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Practice\Github Dataset Practice\"/>
    </mc:Choice>
  </mc:AlternateContent>
  <xr:revisionPtr revIDLastSave="0" documentId="13_ncr:1_{B0AC29A4-22C8-40A2-9B79-321E70517C75}" xr6:coauthVersionLast="47" xr6:coauthVersionMax="47" xr10:uidLastSave="{00000000-0000-0000-0000-000000000000}"/>
  <bookViews>
    <workbookView xWindow="-108" yWindow="-108" windowWidth="23256" windowHeight="12456" xr2:uid="{CF6DB525-CFE1-471E-AB6F-D0E481CCFCB8}"/>
  </bookViews>
  <sheets>
    <sheet name="Dashboard" sheetId="2" r:id="rId1"/>
    <sheet name="India_Sports_Footwear_Ecommerce" sheetId="1" r:id="rId2"/>
    <sheet name="Revenue_Trend" sheetId="3" r:id="rId3"/>
    <sheet name="Top_State" sheetId="4" r:id="rId4"/>
    <sheet name="Top_Brand" sheetId="5" r:id="rId5"/>
    <sheet name="Top_Products" sheetId="6" r:id="rId6"/>
    <sheet name="Customer_Analysis" sheetId="7" r:id="rId7"/>
    <sheet name="KPI" sheetId="8" r:id="rId8"/>
  </sheets>
  <definedNames>
    <definedName name="Slicer_Brand">#N/A</definedName>
    <definedName name="Slicer_Category">#N/A</definedName>
    <definedName name="Slicer_Sales_Channel">#N/A</definedName>
    <definedName name="Slicer_Years__Order_Date">#N/A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8" l="1"/>
  <c r="C6" i="8"/>
  <c r="B6" i="8"/>
  <c r="A6" i="8"/>
  <c r="C9" i="8" l="1"/>
  <c r="C10" i="8" s="1"/>
  <c r="A8" i="8"/>
  <c r="D8" i="8"/>
</calcChain>
</file>

<file path=xl/sharedStrings.xml><?xml version="1.0" encoding="utf-8"?>
<sst xmlns="http://schemas.openxmlformats.org/spreadsheetml/2006/main" count="53843" uniqueCount="4446">
  <si>
    <t>Order ID</t>
  </si>
  <si>
    <t>Customer ID</t>
  </si>
  <si>
    <t>Gender</t>
  </si>
  <si>
    <t>Age Group</t>
  </si>
  <si>
    <t>Order Date</t>
  </si>
  <si>
    <t>Brand</t>
  </si>
  <si>
    <t>Product Name</t>
  </si>
  <si>
    <t>Category</t>
  </si>
  <si>
    <t>Size</t>
  </si>
  <si>
    <t>Color</t>
  </si>
  <si>
    <t>Units Sold</t>
  </si>
  <si>
    <t>MRP (INR)</t>
  </si>
  <si>
    <t>Discount (%)</t>
  </si>
  <si>
    <t>Sold Price (INR)</t>
  </si>
  <si>
    <t>Revenue (INR)</t>
  </si>
  <si>
    <t>Payment Method</t>
  </si>
  <si>
    <t>Sales Channel</t>
  </si>
  <si>
    <t>Country</t>
  </si>
  <si>
    <t>State</t>
  </si>
  <si>
    <t>City</t>
  </si>
  <si>
    <t>Customer Profile</t>
  </si>
  <si>
    <t>Customer Type</t>
  </si>
  <si>
    <t>Customer Rating</t>
  </si>
  <si>
    <t>Order Status</t>
  </si>
  <si>
    <t>Delivery Type</t>
  </si>
  <si>
    <t>Delivery Days</t>
  </si>
  <si>
    <t>ORD201314</t>
  </si>
  <si>
    <t>CUST100981</t>
  </si>
  <si>
    <t>Men</t>
  </si>
  <si>
    <t>35-44</t>
  </si>
  <si>
    <t>Adidas</t>
  </si>
  <si>
    <t>Adidas Own The Game 3</t>
  </si>
  <si>
    <t>Basketball</t>
  </si>
  <si>
    <t>Grey</t>
  </si>
  <si>
    <t>Debit/Credit Card</t>
  </si>
  <si>
    <t>Retail Store</t>
  </si>
  <si>
    <t>India</t>
  </si>
  <si>
    <t>Assam</t>
  </si>
  <si>
    <t>Guwahati</t>
  </si>
  <si>
    <t>Lifestyle Shopper</t>
  </si>
  <si>
    <t>New Customer</t>
  </si>
  <si>
    <t>Delivered</t>
  </si>
  <si>
    <t>Standard</t>
  </si>
  <si>
    <t>ORD202440</t>
  </si>
  <si>
    <t>CUST100006</t>
  </si>
  <si>
    <t>Women</t>
  </si>
  <si>
    <t>25-34</t>
  </si>
  <si>
    <t>Nike</t>
  </si>
  <si>
    <t>Nike Air Max SC</t>
  </si>
  <si>
    <t>Lifestyle</t>
  </si>
  <si>
    <t>Net Banking</t>
  </si>
  <si>
    <t>Online Store</t>
  </si>
  <si>
    <t>Goa</t>
  </si>
  <si>
    <t>Panaji</t>
  </si>
  <si>
    <t>Performance Seeker</t>
  </si>
  <si>
    <t>Express</t>
  </si>
  <si>
    <t>ORD200998</t>
  </si>
  <si>
    <t>CUST100064</t>
  </si>
  <si>
    <t>Adidas Adizero SL</t>
  </si>
  <si>
    <t>Running</t>
  </si>
  <si>
    <t>Margao</t>
  </si>
  <si>
    <t>Value Shopper</t>
  </si>
  <si>
    <t>Returned</t>
  </si>
  <si>
    <t>ORD201054</t>
  </si>
  <si>
    <t>CUST100414</t>
  </si>
  <si>
    <t>Reebok</t>
  </si>
  <si>
    <t>Reebok Floatride Energy 5</t>
  </si>
  <si>
    <t>Blue</t>
  </si>
  <si>
    <t>Haryana</t>
  </si>
  <si>
    <t>Gurugram</t>
  </si>
  <si>
    <t>ORD200583</t>
  </si>
  <si>
    <t>CUST100183</t>
  </si>
  <si>
    <t>Reebok Energen Plus 2</t>
  </si>
  <si>
    <t>White</t>
  </si>
  <si>
    <t>UPI</t>
  </si>
  <si>
    <t>Rajasthan</t>
  </si>
  <si>
    <t>Jaipur</t>
  </si>
  <si>
    <t>ORD201479</t>
  </si>
  <si>
    <t>CUST100982</t>
  </si>
  <si>
    <t>Puma</t>
  </si>
  <si>
    <t>Puma Softride Enzo NXT</t>
  </si>
  <si>
    <t>Cash on Delivery</t>
  </si>
  <si>
    <t>Marketplace</t>
  </si>
  <si>
    <t>Vasco da Gama</t>
  </si>
  <si>
    <t>ORD202484</t>
  </si>
  <si>
    <t>CUST100284</t>
  </si>
  <si>
    <t>ASICS</t>
  </si>
  <si>
    <t>ASICS Gel-Contend 8</t>
  </si>
  <si>
    <t>Red</t>
  </si>
  <si>
    <t>Sikkim</t>
  </si>
  <si>
    <t>Gangtok</t>
  </si>
  <si>
    <t>Premium Shopper</t>
  </si>
  <si>
    <t>ORD201347</t>
  </si>
  <si>
    <t>CUST100357</t>
  </si>
  <si>
    <t>Unisex</t>
  </si>
  <si>
    <t>45-54</t>
  </si>
  <si>
    <t>New Balance</t>
  </si>
  <si>
    <t>New Balance 574 Core</t>
  </si>
  <si>
    <t>Black</t>
  </si>
  <si>
    <t>Manipur</t>
  </si>
  <si>
    <t>Imphal</t>
  </si>
  <si>
    <t>ORD202690</t>
  </si>
  <si>
    <t>CUST100389</t>
  </si>
  <si>
    <t>18-24</t>
  </si>
  <si>
    <t>Uttar Pradesh</t>
  </si>
  <si>
    <t>Lucknow</t>
  </si>
  <si>
    <t>Cancelled</t>
  </si>
  <si>
    <t>ORD200939</t>
  </si>
  <si>
    <t>CUST100565</t>
  </si>
  <si>
    <t>55+</t>
  </si>
  <si>
    <t>Adidas Dropset 2</t>
  </si>
  <si>
    <t>Training</t>
  </si>
  <si>
    <t>Madhya Pradesh</t>
  </si>
  <si>
    <t>Indore</t>
  </si>
  <si>
    <t>ORD202042</t>
  </si>
  <si>
    <t>CUST100503</t>
  </si>
  <si>
    <t>ASICS Japan S</t>
  </si>
  <si>
    <t>Telangana</t>
  </si>
  <si>
    <t>Hyderabad</t>
  </si>
  <si>
    <t>ORD202088</t>
  </si>
  <si>
    <t>CUST100017</t>
  </si>
  <si>
    <t>Nike Metcon 8</t>
  </si>
  <si>
    <t>Bihar</t>
  </si>
  <si>
    <t>Patna</t>
  </si>
  <si>
    <t>Comfort Shopper</t>
  </si>
  <si>
    <t>ORD202791</t>
  </si>
  <si>
    <t>CUST100448</t>
  </si>
  <si>
    <t>Puma PWRFrame TR 3</t>
  </si>
  <si>
    <t>Gym</t>
  </si>
  <si>
    <t>Dadra and Nagar Haveli and Daman and Diu</t>
  </si>
  <si>
    <t>Daman</t>
  </si>
  <si>
    <t>ORD200831</t>
  </si>
  <si>
    <t>CUST100208</t>
  </si>
  <si>
    <t>Bhopal</t>
  </si>
  <si>
    <t>ORD201983</t>
  </si>
  <si>
    <t>CUST100647</t>
  </si>
  <si>
    <t>Lakshadweep</t>
  </si>
  <si>
    <t>Kavaratti</t>
  </si>
  <si>
    <t>ORD200541</t>
  </si>
  <si>
    <t>CUST100778</t>
  </si>
  <si>
    <t>Nike MC Trainer 2</t>
  </si>
  <si>
    <t>Andaman and Nicobar Islands</t>
  </si>
  <si>
    <t>Port Blair</t>
  </si>
  <si>
    <t>ORD202591</t>
  </si>
  <si>
    <t>CUST100651</t>
  </si>
  <si>
    <t>Adidas Duramo SL 2</t>
  </si>
  <si>
    <t>Diu</t>
  </si>
  <si>
    <t>Same Day</t>
  </si>
  <si>
    <t>ORD202908</t>
  </si>
  <si>
    <t>CUST100162</t>
  </si>
  <si>
    <t>Green</t>
  </si>
  <si>
    <t>Arunachal Pradesh</t>
  </si>
  <si>
    <t>Itanagar</t>
  </si>
  <si>
    <t>ORD201323</t>
  </si>
  <si>
    <t>CUST100013</t>
  </si>
  <si>
    <t>New Balance Minimus TR</t>
  </si>
  <si>
    <t>Punjab</t>
  </si>
  <si>
    <t>Ludhiana</t>
  </si>
  <si>
    <t>ORD202227</t>
  </si>
  <si>
    <t>CUST100201</t>
  </si>
  <si>
    <t>Delhi</t>
  </si>
  <si>
    <t>New Delhi</t>
  </si>
  <si>
    <t>ORD200228</t>
  </si>
  <si>
    <t>CUST100402</t>
  </si>
  <si>
    <t>Gujarat</t>
  </si>
  <si>
    <t>Ahmedabad</t>
  </si>
  <si>
    <t>ORD201658</t>
  </si>
  <si>
    <t>CUST100528</t>
  </si>
  <si>
    <t>Puducherry</t>
  </si>
  <si>
    <t>ORD202891</t>
  </si>
  <si>
    <t>CUST100087</t>
  </si>
  <si>
    <t>New Balance Dynasoft TRNR</t>
  </si>
  <si>
    <t>ORD201895</t>
  </si>
  <si>
    <t>CUST100275</t>
  </si>
  <si>
    <t>Puma Court Rider Chaos</t>
  </si>
  <si>
    <t>Chhattisgarh</t>
  </si>
  <si>
    <t>Raipur</t>
  </si>
  <si>
    <t>ORD200229</t>
  </si>
  <si>
    <t>CUST100279</t>
  </si>
  <si>
    <t>Noida</t>
  </si>
  <si>
    <t>ORD203092</t>
  </si>
  <si>
    <t>CUST100898</t>
  </si>
  <si>
    <t>Meghalaya</t>
  </si>
  <si>
    <t>Shillong</t>
  </si>
  <si>
    <t>ORD201089</t>
  </si>
  <si>
    <t>CUST100434</t>
  </si>
  <si>
    <t>Himachal Pradesh</t>
  </si>
  <si>
    <t>Shimla</t>
  </si>
  <si>
    <t>ORD202775</t>
  </si>
  <si>
    <t>CUST100796</t>
  </si>
  <si>
    <t>ASICS Gel-Fit Sana 5</t>
  </si>
  <si>
    <t>Nagaland</t>
  </si>
  <si>
    <t>Kohima</t>
  </si>
  <si>
    <t>ORD201465</t>
  </si>
  <si>
    <t>CUST100295</t>
  </si>
  <si>
    <t>Tripura</t>
  </si>
  <si>
    <t>Agartala</t>
  </si>
  <si>
    <t>ORD202407</t>
  </si>
  <si>
    <t>CUST100672</t>
  </si>
  <si>
    <t>Nike Revolution 7</t>
  </si>
  <si>
    <t>Uttarakhand</t>
  </si>
  <si>
    <t>Dehradun</t>
  </si>
  <si>
    <t>ORD201271</t>
  </si>
  <si>
    <t>CUST100004</t>
  </si>
  <si>
    <t>Haridwar</t>
  </si>
  <si>
    <t>ORD203123</t>
  </si>
  <si>
    <t>CUST100481</t>
  </si>
  <si>
    <t>Faridabad</t>
  </si>
  <si>
    <t>ORD201158</t>
  </si>
  <si>
    <t>CUST100669</t>
  </si>
  <si>
    <t>Karnataka</t>
  </si>
  <si>
    <t>Bengaluru</t>
  </si>
  <si>
    <t>ORD200336</t>
  </si>
  <si>
    <t>CUST100106</t>
  </si>
  <si>
    <t>Adidas Rapidmove</t>
  </si>
  <si>
    <t>Udaipur</t>
  </si>
  <si>
    <t>ORD201713</t>
  </si>
  <si>
    <t>CUST100515</t>
  </si>
  <si>
    <t>Nike Pegasus 40</t>
  </si>
  <si>
    <t>Haldwani</t>
  </si>
  <si>
    <t>ORD201474</t>
  </si>
  <si>
    <t>CUST100390</t>
  </si>
  <si>
    <t>Dharamshala</t>
  </si>
  <si>
    <t>ORD202991</t>
  </si>
  <si>
    <t>CUST100582</t>
  </si>
  <si>
    <t>Agatti</t>
  </si>
  <si>
    <t>ORD200496</t>
  </si>
  <si>
    <t>CUST100350</t>
  </si>
  <si>
    <t>New Balance 880 v13</t>
  </si>
  <si>
    <t>Thoubal</t>
  </si>
  <si>
    <t>ORD202216</t>
  </si>
  <si>
    <t>CUST100919</t>
  </si>
  <si>
    <t>Rishikesh</t>
  </si>
  <si>
    <t>ORD200396</t>
  </si>
  <si>
    <t>CUST100065</t>
  </si>
  <si>
    <t>Mapusa</t>
  </si>
  <si>
    <t>ORD201260</t>
  </si>
  <si>
    <t>CUST100433</t>
  </si>
  <si>
    <t>Jammu and Kashmir</t>
  </si>
  <si>
    <t>Srinagar</t>
  </si>
  <si>
    <t>ORD201329</t>
  </si>
  <si>
    <t>CUST100793</t>
  </si>
  <si>
    <t>ASICS Upcourt 5</t>
  </si>
  <si>
    <t>Kerala</t>
  </si>
  <si>
    <t>Thiruvananthapuram</t>
  </si>
  <si>
    <t>ORD202004</t>
  </si>
  <si>
    <t>CUST100518</t>
  </si>
  <si>
    <t>Dwarka</t>
  </si>
  <si>
    <t>ORD202021</t>
  </si>
  <si>
    <t>CUST100136</t>
  </si>
  <si>
    <t>Jabalpur</t>
  </si>
  <si>
    <t>ORD200799</t>
  </si>
  <si>
    <t>CUST100836</t>
  </si>
  <si>
    <t>Warangal</t>
  </si>
  <si>
    <t>ORD201589</t>
  </si>
  <si>
    <t>CUST100888</t>
  </si>
  <si>
    <t>Reebok BB 4000 II</t>
  </si>
  <si>
    <t>Amritsar</t>
  </si>
  <si>
    <t>ORD202087</t>
  </si>
  <si>
    <t>CUST100694</t>
  </si>
  <si>
    <t>Jammu</t>
  </si>
  <si>
    <t>ORD202139</t>
  </si>
  <si>
    <t>CUST100326</t>
  </si>
  <si>
    <t>ORD200402</t>
  </si>
  <si>
    <t>CUST100337</t>
  </si>
  <si>
    <t>Gwalior</t>
  </si>
  <si>
    <t>ORD201519</t>
  </si>
  <si>
    <t>CUST100081</t>
  </si>
  <si>
    <t>Reebok Flexagon Energy TR</t>
  </si>
  <si>
    <t>Odisha</t>
  </si>
  <si>
    <t>Bhubaneswar</t>
  </si>
  <si>
    <t>ORD201687</t>
  </si>
  <si>
    <t>CUST100890</t>
  </si>
  <si>
    <t>Kochi</t>
  </si>
  <si>
    <t>ORD200787</t>
  </si>
  <si>
    <t>CUST100019</t>
  </si>
  <si>
    <t>Kozhikode</t>
  </si>
  <si>
    <t>ORD202580</t>
  </si>
  <si>
    <t>CUST100165</t>
  </si>
  <si>
    <t>Reebok Nano X3</t>
  </si>
  <si>
    <t>ORD200379</t>
  </si>
  <si>
    <t>CUST100498</t>
  </si>
  <si>
    <t>Silvassa</t>
  </si>
  <si>
    <t>ORD201097</t>
  </si>
  <si>
    <t>CUST100022</t>
  </si>
  <si>
    <t>ASICS Gel-Quantum 180</t>
  </si>
  <si>
    <t>Ladakh</t>
  </si>
  <si>
    <t>Leh</t>
  </si>
  <si>
    <t>ORD201065</t>
  </si>
  <si>
    <t>CUST100011</t>
  </si>
  <si>
    <t>New Balance TWO WXY v4</t>
  </si>
  <si>
    <t>Kanpur</t>
  </si>
  <si>
    <t>ORD201852</t>
  </si>
  <si>
    <t>CUST100084</t>
  </si>
  <si>
    <t>Diglipur</t>
  </si>
  <si>
    <t>ORD201848</t>
  </si>
  <si>
    <t>CUST100578</t>
  </si>
  <si>
    <t>Andhra Pradesh</t>
  </si>
  <si>
    <t>Visakhapatnam</t>
  </si>
  <si>
    <t>ORD202244</t>
  </si>
  <si>
    <t>CUST100093</t>
  </si>
  <si>
    <t>Puma Caven 2.0</t>
  </si>
  <si>
    <t>ORD200742</t>
  </si>
  <si>
    <t>CUST100040</t>
  </si>
  <si>
    <t>Gaya</t>
  </si>
  <si>
    <t>ORD203054</t>
  </si>
  <si>
    <t>CUST100328</t>
  </si>
  <si>
    <t>ORD201235</t>
  </si>
  <si>
    <t>CUST100615</t>
  </si>
  <si>
    <t>Tura</t>
  </si>
  <si>
    <t>ORD200271</t>
  </si>
  <si>
    <t>CUST100108</t>
  </si>
  <si>
    <t>ASICS Gel-Kayano 30</t>
  </si>
  <si>
    <t>ORD202493</t>
  </si>
  <si>
    <t>Surat</t>
  </si>
  <si>
    <t>Repeat Customer</t>
  </si>
  <si>
    <t>ORD200079</t>
  </si>
  <si>
    <t>CUST100130</t>
  </si>
  <si>
    <t>Jodhpur</t>
  </si>
  <si>
    <t>ORD202206</t>
  </si>
  <si>
    <t>CUST100307</t>
  </si>
  <si>
    <t>ORD201786</t>
  </si>
  <si>
    <t>CUST100467</t>
  </si>
  <si>
    <t>New Balance Fresh Foam Arishi v4</t>
  </si>
  <si>
    <t>Jalandhar</t>
  </si>
  <si>
    <t>ORD200992</t>
  </si>
  <si>
    <t>ORD202855</t>
  </si>
  <si>
    <t>CUST100138</t>
  </si>
  <si>
    <t>Thrissur</t>
  </si>
  <si>
    <t>ORD200093</t>
  </si>
  <si>
    <t>CUST100182</t>
  </si>
  <si>
    <t>ORD200299</t>
  </si>
  <si>
    <t>Dimapur</t>
  </si>
  <si>
    <t>ORD202360</t>
  </si>
  <si>
    <t>CUST100846</t>
  </si>
  <si>
    <t>Churachandpur</t>
  </si>
  <si>
    <t>ORD202249</t>
  </si>
  <si>
    <t>CUST101035</t>
  </si>
  <si>
    <t>Chandigarh</t>
  </si>
  <si>
    <t>ORD202840</t>
  </si>
  <si>
    <t>CUST100166</t>
  </si>
  <si>
    <t>Solan</t>
  </si>
  <si>
    <t>ORD200393</t>
  </si>
  <si>
    <t>CUST100971</t>
  </si>
  <si>
    <t>Rohini</t>
  </si>
  <si>
    <t>ORD202504</t>
  </si>
  <si>
    <t>CUST100709</t>
  </si>
  <si>
    <t>Adidas Grand Court 2.0</t>
  </si>
  <si>
    <t>Vadodara</t>
  </si>
  <si>
    <t>ORD200051</t>
  </si>
  <si>
    <t>CUST100036</t>
  </si>
  <si>
    <t>Vijayawada</t>
  </si>
  <si>
    <t>ORD201177</t>
  </si>
  <si>
    <t>CUST100646</t>
  </si>
  <si>
    <t>Tamil Nadu</t>
  </si>
  <si>
    <t>Chennai</t>
  </si>
  <si>
    <t>ORD200634</t>
  </si>
  <si>
    <t>CUST100636</t>
  </si>
  <si>
    <t>Jharkhand</t>
  </si>
  <si>
    <t>Ranchi</t>
  </si>
  <si>
    <t>ORD201406</t>
  </si>
  <si>
    <t>CUST100111</t>
  </si>
  <si>
    <t>Mayabunder</t>
  </si>
  <si>
    <t>ORD200687</t>
  </si>
  <si>
    <t>CUST100493</t>
  </si>
  <si>
    <t>Reebok Club C 85</t>
  </si>
  <si>
    <t>Kargil</t>
  </si>
  <si>
    <t>ORD202629</t>
  </si>
  <si>
    <t>CUST100293</t>
  </si>
  <si>
    <t>Patiala</t>
  </si>
  <si>
    <t>ORD201818</t>
  </si>
  <si>
    <t>CUST100027</t>
  </si>
  <si>
    <t>Muzaffarpur</t>
  </si>
  <si>
    <t>ORD202888</t>
  </si>
  <si>
    <t>CUST100755</t>
  </si>
  <si>
    <t>ORD200318</t>
  </si>
  <si>
    <t>CUST100228</t>
  </si>
  <si>
    <t>Anantnag</t>
  </si>
  <si>
    <t>ORD201683</t>
  </si>
  <si>
    <t>CUST100886</t>
  </si>
  <si>
    <t>ORD202060</t>
  </si>
  <si>
    <t>CUST100021</t>
  </si>
  <si>
    <t>Bhagalpur</t>
  </si>
  <si>
    <t>ORD201194</t>
  </si>
  <si>
    <t>Maharashtra</t>
  </si>
  <si>
    <t>Mumbai</t>
  </si>
  <si>
    <t>ORD200996</t>
  </si>
  <si>
    <t>CUST100048</t>
  </si>
  <si>
    <t>ORD201774</t>
  </si>
  <si>
    <t>CUST100397</t>
  </si>
  <si>
    <t>Guntur</t>
  </si>
  <si>
    <t>ORD201035</t>
  </si>
  <si>
    <t>CUST100112</t>
  </si>
  <si>
    <t>ORD200524</t>
  </si>
  <si>
    <t>Manimajra</t>
  </si>
  <si>
    <t>ORD201604</t>
  </si>
  <si>
    <t>CUST100569</t>
  </si>
  <si>
    <t>Mandi</t>
  </si>
  <si>
    <t>ORD201953</t>
  </si>
  <si>
    <t>CUST100517</t>
  </si>
  <si>
    <t>Panipat</t>
  </si>
  <si>
    <t>ORD202624</t>
  </si>
  <si>
    <t>Nike Giannis Immortality 3</t>
  </si>
  <si>
    <t>ORD201878</t>
  </si>
  <si>
    <t>CUST100876</t>
  </si>
  <si>
    <t>ORD201744</t>
  </si>
  <si>
    <t>CUST100220</t>
  </si>
  <si>
    <t>ORD202200</t>
  </si>
  <si>
    <t>CUST100052</t>
  </si>
  <si>
    <t>Rajkot</t>
  </si>
  <si>
    <t>ORD203159</t>
  </si>
  <si>
    <t>CUST100378</t>
  </si>
  <si>
    <t>Mysuru</t>
  </si>
  <si>
    <t>ORD201862</t>
  </si>
  <si>
    <t>CUST100150</t>
  </si>
  <si>
    <t>Mangaluru</t>
  </si>
  <si>
    <t>ORD201752</t>
  </si>
  <si>
    <t>CUST100029</t>
  </si>
  <si>
    <t>West Bengal</t>
  </si>
  <si>
    <t>Kolkata</t>
  </si>
  <si>
    <t>ORD202044</t>
  </si>
  <si>
    <t>ORD200727</t>
  </si>
  <si>
    <t>CUST100553</t>
  </si>
  <si>
    <t>ORD202055</t>
  </si>
  <si>
    <t>CUST101011</t>
  </si>
  <si>
    <t>Namchi</t>
  </si>
  <si>
    <t>ORD202596</t>
  </si>
  <si>
    <t>CUST100119</t>
  </si>
  <si>
    <t>Dharmanagar</t>
  </si>
  <si>
    <t>ORD202682</t>
  </si>
  <si>
    <t>CUST100951</t>
  </si>
  <si>
    <t>Coimbatore</t>
  </si>
  <si>
    <t>ORD200805</t>
  </si>
  <si>
    <t>CUST100346</t>
  </si>
  <si>
    <t>Madurai</t>
  </si>
  <si>
    <t>ORD201503</t>
  </si>
  <si>
    <t>CUST100152</t>
  </si>
  <si>
    <t>Bhilai</t>
  </si>
  <si>
    <t>ORD202929</t>
  </si>
  <si>
    <t>CUST100920</t>
  </si>
  <si>
    <t>ORD201954</t>
  </si>
  <si>
    <t>CUST100014</t>
  </si>
  <si>
    <t>ORD201338</t>
  </si>
  <si>
    <t>CUST100973</t>
  </si>
  <si>
    <t>Pune</t>
  </si>
  <si>
    <t>ORD203068</t>
  </si>
  <si>
    <t>CUST100100</t>
  </si>
  <si>
    <t>ORD201184</t>
  </si>
  <si>
    <t>CUST100859</t>
  </si>
  <si>
    <t>Burail</t>
  </si>
  <si>
    <t>ORD202478</t>
  </si>
  <si>
    <t>CUST100219</t>
  </si>
  <si>
    <t>Naharlagun</t>
  </si>
  <si>
    <t>ORD202297</t>
  </si>
  <si>
    <t>CUST100466</t>
  </si>
  <si>
    <t>ORD201557</t>
  </si>
  <si>
    <t>ORD200077</t>
  </si>
  <si>
    <t>CUST100188</t>
  </si>
  <si>
    <t>ORD201858</t>
  </si>
  <si>
    <t>CUST100286</t>
  </si>
  <si>
    <t>Mizoram</t>
  </si>
  <si>
    <t>Aizawl</t>
  </si>
  <si>
    <t>ORD201135</t>
  </si>
  <si>
    <t>CUST101008</t>
  </si>
  <si>
    <t>Jamshedpur</t>
  </si>
  <si>
    <t>ORD200147</t>
  </si>
  <si>
    <t>CUST100443</t>
  </si>
  <si>
    <t>ORD201836</t>
  </si>
  <si>
    <t>CUST100322</t>
  </si>
  <si>
    <t>ORD201874</t>
  </si>
  <si>
    <t>ORD202099</t>
  </si>
  <si>
    <t>CUST100091</t>
  </si>
  <si>
    <t>ORD202935</t>
  </si>
  <si>
    <t>CUST100972</t>
  </si>
  <si>
    <t>ORD202446</t>
  </si>
  <si>
    <t>CUST100139</t>
  </si>
  <si>
    <t>ORD200752</t>
  </si>
  <si>
    <t>CUST100314</t>
  </si>
  <si>
    <t>ORD200186</t>
  </si>
  <si>
    <t>CUST100460</t>
  </si>
  <si>
    <t>Puma Fuse 2.0</t>
  </si>
  <si>
    <t>Nagpur</t>
  </si>
  <si>
    <t>ORD200740</t>
  </si>
  <si>
    <t>CUST100687</t>
  </si>
  <si>
    <t>Dibrugarh</t>
  </si>
  <si>
    <t>ORD201424</t>
  </si>
  <si>
    <t>CUST100933</t>
  </si>
  <si>
    <t>ORD201703</t>
  </si>
  <si>
    <t>CUST100560</t>
  </si>
  <si>
    <t>ORD203042</t>
  </si>
  <si>
    <t>CUST100340</t>
  </si>
  <si>
    <t>ORD200516</t>
  </si>
  <si>
    <t>CUST100952</t>
  </si>
  <si>
    <t>ORD202018</t>
  </si>
  <si>
    <t>CUST100850</t>
  </si>
  <si>
    <t>Bilaspur</t>
  </si>
  <si>
    <t>ORD200868</t>
  </si>
  <si>
    <t>CUST100663</t>
  </si>
  <si>
    <t>Baramulla</t>
  </si>
  <si>
    <t>ORD201956</t>
  </si>
  <si>
    <t>CUST100621</t>
  </si>
  <si>
    <t>ORD200061</t>
  </si>
  <si>
    <t>CUST100342</t>
  </si>
  <si>
    <t>Jowai</t>
  </si>
  <si>
    <t>ORD202950</t>
  </si>
  <si>
    <t>CUST100161</t>
  </si>
  <si>
    <t>Pasighat</t>
  </si>
  <si>
    <t>ORD202092</t>
  </si>
  <si>
    <t>CUST100344</t>
  </si>
  <si>
    <t>Silchar</t>
  </si>
  <si>
    <t>ORD202339</t>
  </si>
  <si>
    <t>CUST100256</t>
  </si>
  <si>
    <t>ORD201463</t>
  </si>
  <si>
    <t>CUST100872</t>
  </si>
  <si>
    <t>ORD200390</t>
  </si>
  <si>
    <t>Gyalshing</t>
  </si>
  <si>
    <t>ORD202602</t>
  </si>
  <si>
    <t>Puma Velocity Nitro 2</t>
  </si>
  <si>
    <t>Tiruchirappalli</t>
  </si>
  <si>
    <t>ORD203000</t>
  </si>
  <si>
    <t>CUST100763</t>
  </si>
  <si>
    <t>Mokokchung</t>
  </si>
  <si>
    <t>ORD200757</t>
  </si>
  <si>
    <t>CUST100942</t>
  </si>
  <si>
    <t>ORD201883</t>
  </si>
  <si>
    <t>Lunglei</t>
  </si>
  <si>
    <t>ORD202509</t>
  </si>
  <si>
    <t>CUST100424</t>
  </si>
  <si>
    <t>ORD201404</t>
  </si>
  <si>
    <t>CUST100175</t>
  </si>
  <si>
    <t>ORD201051</t>
  </si>
  <si>
    <t>CUST100229</t>
  </si>
  <si>
    <t>Karaikal</t>
  </si>
  <si>
    <t>ORD200140</t>
  </si>
  <si>
    <t>CUST100707</t>
  </si>
  <si>
    <t>ORD200320</t>
  </si>
  <si>
    <t>CUST100928</t>
  </si>
  <si>
    <t>ORD200416</t>
  </si>
  <si>
    <t>ORD201116</t>
  </si>
  <si>
    <t>CUST100661</t>
  </si>
  <si>
    <t>ORD200908</t>
  </si>
  <si>
    <t>CUST100995</t>
  </si>
  <si>
    <t>ORD202108</t>
  </si>
  <si>
    <t>CUST100770</t>
  </si>
  <si>
    <t>Nizamabad</t>
  </si>
  <si>
    <t>ORD202832</t>
  </si>
  <si>
    <t>CUST100054</t>
  </si>
  <si>
    <t>ORD202945</t>
  </si>
  <si>
    <t>CUST100245</t>
  </si>
  <si>
    <t>Siliguri</t>
  </si>
  <si>
    <t>ORD200172</t>
  </si>
  <si>
    <t>ORD200414</t>
  </si>
  <si>
    <t>CUST100470</t>
  </si>
  <si>
    <t>ORD202666</t>
  </si>
  <si>
    <t>CUST100089</t>
  </si>
  <si>
    <t>ORD201076</t>
  </si>
  <si>
    <t>CUST100391</t>
  </si>
  <si>
    <t>Mahe</t>
  </si>
  <si>
    <t>ORD201978</t>
  </si>
  <si>
    <t>CUST100600</t>
  </si>
  <si>
    <t>ORD202753</t>
  </si>
  <si>
    <t>CUST100044</t>
  </si>
  <si>
    <t>ORD201736</t>
  </si>
  <si>
    <t>CUST100548</t>
  </si>
  <si>
    <t>ORD201446</t>
  </si>
  <si>
    <t>CUST100320</t>
  </si>
  <si>
    <t>Tirupati</t>
  </si>
  <si>
    <t>ORD200803</t>
  </si>
  <si>
    <t>CUST100331</t>
  </si>
  <si>
    <t>ORD201569</t>
  </si>
  <si>
    <t>ORD203155</t>
  </si>
  <si>
    <t>CUST100978</t>
  </si>
  <si>
    <t>Tuensang</t>
  </si>
  <si>
    <t>ORD200545</t>
  </si>
  <si>
    <t>CUST100405</t>
  </si>
  <si>
    <t>Cuttack</t>
  </si>
  <si>
    <t>ORD201382</t>
  </si>
  <si>
    <t>CUST100596</t>
  </si>
  <si>
    <t>ORD202326</t>
  </si>
  <si>
    <t>CUST100196</t>
  </si>
  <si>
    <t>Champhai</t>
  </si>
  <si>
    <t>ORD203081</t>
  </si>
  <si>
    <t>CUST100927</t>
  </si>
  <si>
    <t>ORD200923</t>
  </si>
  <si>
    <t>CUST100083</t>
  </si>
  <si>
    <t>ORD201159</t>
  </si>
  <si>
    <t>CUST100411</t>
  </si>
  <si>
    <t>ORD201531</t>
  </si>
  <si>
    <t>CUST100592</t>
  </si>
  <si>
    <t>ORD201475</t>
  </si>
  <si>
    <t>CUST100447</t>
  </si>
  <si>
    <t>ORD202506</t>
  </si>
  <si>
    <t>CUST100788</t>
  </si>
  <si>
    <t>ORD200895</t>
  </si>
  <si>
    <t>CUST100545</t>
  </si>
  <si>
    <t>ORD201478</t>
  </si>
  <si>
    <t>CUST100066</t>
  </si>
  <si>
    <t>Dhanbad</t>
  </si>
  <si>
    <t>ORD202064</t>
  </si>
  <si>
    <t>CUST100376</t>
  </si>
  <si>
    <t>ORD202795</t>
  </si>
  <si>
    <t>CUST100619</t>
  </si>
  <si>
    <t>ORD200437</t>
  </si>
  <si>
    <t>CUST100440</t>
  </si>
  <si>
    <t>Nongpoh</t>
  </si>
  <si>
    <t>ORD201484</t>
  </si>
  <si>
    <t>CUST100818</t>
  </si>
  <si>
    <t>ORD200296</t>
  </si>
  <si>
    <t>CUST100261</t>
  </si>
  <si>
    <t>ORD201211</t>
  </si>
  <si>
    <t>CUST100037</t>
  </si>
  <si>
    <t>ORD200902</t>
  </si>
  <si>
    <t>CUST100768</t>
  </si>
  <si>
    <t>Durgapur</t>
  </si>
  <si>
    <t>ORD201488</t>
  </si>
  <si>
    <t>CUST100678</t>
  </si>
  <si>
    <t>ORD202578</t>
  </si>
  <si>
    <t>ORD201581</t>
  </si>
  <si>
    <t>ORD202262</t>
  </si>
  <si>
    <t>CUST100015</t>
  </si>
  <si>
    <t>ORD200785</t>
  </si>
  <si>
    <t>CUST100352</t>
  </si>
  <si>
    <t>ORD202980</t>
  </si>
  <si>
    <t>CUST100785</t>
  </si>
  <si>
    <t>ORD202827</t>
  </si>
  <si>
    <t>ORD201132</t>
  </si>
  <si>
    <t>CUST100740</t>
  </si>
  <si>
    <t>ORD201120</t>
  </si>
  <si>
    <t>CUST100031</t>
  </si>
  <si>
    <t>ORD200170</t>
  </si>
  <si>
    <t>CUST100319</t>
  </si>
  <si>
    <t>ORD202205</t>
  </si>
  <si>
    <t>ORD201221</t>
  </si>
  <si>
    <t>CUST100249</t>
  </si>
  <si>
    <t>ORD201718</t>
  </si>
  <si>
    <t>CUST100925</t>
  </si>
  <si>
    <t>ORD203017</t>
  </si>
  <si>
    <t>CUST100359</t>
  </si>
  <si>
    <t>Andrott</t>
  </si>
  <si>
    <t>ORD200218</t>
  </si>
  <si>
    <t>CUST100769</t>
  </si>
  <si>
    <t>ORD200907</t>
  </si>
  <si>
    <t>CUST100723</t>
  </si>
  <si>
    <t>ORD202261</t>
  </si>
  <si>
    <t>CUST100082</t>
  </si>
  <si>
    <t>ORD202913</t>
  </si>
  <si>
    <t>CUST100178</t>
  </si>
  <si>
    <t>ORD200777</t>
  </si>
  <si>
    <t>ORD201048</t>
  </si>
  <si>
    <t>CUST100772</t>
  </si>
  <si>
    <t>ORD200776</t>
  </si>
  <si>
    <t>CUST100254</t>
  </si>
  <si>
    <t>Rourkela</t>
  </si>
  <si>
    <t>ORD201283</t>
  </si>
  <si>
    <t>CUST100332</t>
  </si>
  <si>
    <t>Amli</t>
  </si>
  <si>
    <t>ORD202207</t>
  </si>
  <si>
    <t>CUST100035</t>
  </si>
  <si>
    <t>ORD201598</t>
  </si>
  <si>
    <t>ORD202501</t>
  </si>
  <si>
    <t>CUST100316</t>
  </si>
  <si>
    <t>ORD200380</t>
  </si>
  <si>
    <t>CUST100699</t>
  </si>
  <si>
    <t>ORD201166</t>
  </si>
  <si>
    <t>CUST100101</t>
  </si>
  <si>
    <t>Kailasahar</t>
  </si>
  <si>
    <t>ORD201873</t>
  </si>
  <si>
    <t>CUST101050</t>
  </si>
  <si>
    <t>ORD202870</t>
  </si>
  <si>
    <t>CUST100488</t>
  </si>
  <si>
    <t>ORD201861</t>
  </si>
  <si>
    <t>CUST100631</t>
  </si>
  <si>
    <t>ORD203070</t>
  </si>
  <si>
    <t>CUST100109</t>
  </si>
  <si>
    <t>ORD200194</t>
  </si>
  <si>
    <t>CUST100179</t>
  </si>
  <si>
    <t>ORD200598</t>
  </si>
  <si>
    <t>CUST100395</t>
  </si>
  <si>
    <t>ORD201993</t>
  </si>
  <si>
    <t>CUST100153</t>
  </si>
  <si>
    <t>Hubballi</t>
  </si>
  <si>
    <t>ORD201431</t>
  </si>
  <si>
    <t>ORD203137</t>
  </si>
  <si>
    <t>ORD200761</t>
  </si>
  <si>
    <t>CUST100399</t>
  </si>
  <si>
    <t>ORD202381</t>
  </si>
  <si>
    <t>CUST100439</t>
  </si>
  <si>
    <t>ORD200462</t>
  </si>
  <si>
    <t>CUST100869</t>
  </si>
  <si>
    <t>ORD200876</t>
  </si>
  <si>
    <t>ORD201830</t>
  </si>
  <si>
    <t>CUST100500</t>
  </si>
  <si>
    <t>ORD202650</t>
  </si>
  <si>
    <t>CUST100637</t>
  </si>
  <si>
    <t>ORD201374</t>
  </si>
  <si>
    <t>CUST100857</t>
  </si>
  <si>
    <t>ORD201416</t>
  </si>
  <si>
    <t>CUST100745</t>
  </si>
  <si>
    <t>ORD202433</t>
  </si>
  <si>
    <t>CUST100549</t>
  </si>
  <si>
    <t>ORD200330</t>
  </si>
  <si>
    <t>CUST100491</t>
  </si>
  <si>
    <t>ORD202515</t>
  </si>
  <si>
    <t>CUST100338</t>
  </si>
  <si>
    <t>ORD202222</t>
  </si>
  <si>
    <t>CUST100664</t>
  </si>
  <si>
    <t>ORD201174</t>
  </si>
  <si>
    <t>CUST100407</t>
  </si>
  <si>
    <t>ORD200295</t>
  </si>
  <si>
    <t>CUST100205</t>
  </si>
  <si>
    <t>ORD203024</t>
  </si>
  <si>
    <t>CUST100415</t>
  </si>
  <si>
    <t>ORD200452</t>
  </si>
  <si>
    <t>CUST100654</t>
  </si>
  <si>
    <t>Yanam</t>
  </si>
  <si>
    <t>ORD201677</t>
  </si>
  <si>
    <t>CUST100641</t>
  </si>
  <si>
    <t>ORD201411</t>
  </si>
  <si>
    <t>ORD200682</t>
  </si>
  <si>
    <t>CUST100242</t>
  </si>
  <si>
    <t>ORD203105</t>
  </si>
  <si>
    <t>ORD201970</t>
  </si>
  <si>
    <t>CUST100544</t>
  </si>
  <si>
    <t>ORD202824</t>
  </si>
  <si>
    <t>CUST100264</t>
  </si>
  <si>
    <t>ORD201805</t>
  </si>
  <si>
    <t>ORD203157</t>
  </si>
  <si>
    <t>CUST100598</t>
  </si>
  <si>
    <t>Rangat</t>
  </si>
  <si>
    <t>ORD202089</t>
  </si>
  <si>
    <t>CUST100853</t>
  </si>
  <si>
    <t>ORD202491</t>
  </si>
  <si>
    <t>CUST100059</t>
  </si>
  <si>
    <t>ORD200173</t>
  </si>
  <si>
    <t>CUST100976</t>
  </si>
  <si>
    <t>ORD202311</t>
  </si>
  <si>
    <t>CUST100726</t>
  </si>
  <si>
    <t>Diskit</t>
  </si>
  <si>
    <t>ORD200415</t>
  </si>
  <si>
    <t>CUST100102</t>
  </si>
  <si>
    <t>ORD201251</t>
  </si>
  <si>
    <t>CUST100708</t>
  </si>
  <si>
    <t>ORD201910</t>
  </si>
  <si>
    <t>ORD200006</t>
  </si>
  <si>
    <t>CUST100063</t>
  </si>
  <si>
    <t>ORD200257</t>
  </si>
  <si>
    <t>CUST100231</t>
  </si>
  <si>
    <t>ORD201530</t>
  </si>
  <si>
    <t>CUST100114</t>
  </si>
  <si>
    <t>ORD201559</t>
  </si>
  <si>
    <t>CUST100760</t>
  </si>
  <si>
    <t>Karimnagar</t>
  </si>
  <si>
    <t>ORD200211</t>
  </si>
  <si>
    <t>CUST100896</t>
  </si>
  <si>
    <t>ORD200710</t>
  </si>
  <si>
    <t>ORD202588</t>
  </si>
  <si>
    <t>CUST100410</t>
  </si>
  <si>
    <t>ORD202689</t>
  </si>
  <si>
    <t>CUST100355</t>
  </si>
  <si>
    <t>Kakching</t>
  </si>
  <si>
    <t>ORD200474</t>
  </si>
  <si>
    <t>CUST100789</t>
  </si>
  <si>
    <t>ORD200538</t>
  </si>
  <si>
    <t>CUST100079</t>
  </si>
  <si>
    <t>ORD201181</t>
  </si>
  <si>
    <t>CUST100012</t>
  </si>
  <si>
    <t>ORD201252</t>
  </si>
  <si>
    <t>CUST100347</t>
  </si>
  <si>
    <t>Nubra</t>
  </si>
  <si>
    <t>ORD202169</t>
  </si>
  <si>
    <t>CUST100948</t>
  </si>
  <si>
    <t>ORD201366</t>
  </si>
  <si>
    <t>CUST100531</t>
  </si>
  <si>
    <t>ORD201890</t>
  </si>
  <si>
    <t>CUST100468</t>
  </si>
  <si>
    <t>ORD203149</t>
  </si>
  <si>
    <t>CUST100388</t>
  </si>
  <si>
    <t>ORD201775</t>
  </si>
  <si>
    <t>CUST100419</t>
  </si>
  <si>
    <t>Daria</t>
  </si>
  <si>
    <t>ORD202040</t>
  </si>
  <si>
    <t>CUST100657</t>
  </si>
  <si>
    <t>ORD201715</t>
  </si>
  <si>
    <t>CUST100628</t>
  </si>
  <si>
    <t>ORD203035</t>
  </si>
  <si>
    <t>ORD201613</t>
  </si>
  <si>
    <t>ORD200123</t>
  </si>
  <si>
    <t>ORD201462</t>
  </si>
  <si>
    <t>CUST100590</t>
  </si>
  <si>
    <t>ORD201064</t>
  </si>
  <si>
    <t>ORD201085</t>
  </si>
  <si>
    <t>CUST100910</t>
  </si>
  <si>
    <t>ORD201346</t>
  </si>
  <si>
    <t>CUST100536</t>
  </si>
  <si>
    <t>ORD202201</t>
  </si>
  <si>
    <t>ORD202925</t>
  </si>
  <si>
    <t>Kota</t>
  </si>
  <si>
    <t>ORD201063</t>
  </si>
  <si>
    <t>CUST100666</t>
  </si>
  <si>
    <t>ORD201139</t>
  </si>
  <si>
    <t>CUST100525</t>
  </si>
  <si>
    <t>ORD201567</t>
  </si>
  <si>
    <t>CUST100132</t>
  </si>
  <si>
    <t>ORD203112</t>
  </si>
  <si>
    <t>CUST100489</t>
  </si>
  <si>
    <t>Bokaro</t>
  </si>
  <si>
    <t>ORD200215</t>
  </si>
  <si>
    <t>ORD201055</t>
  </si>
  <si>
    <t>CUST100442</t>
  </si>
  <si>
    <t>ORD201365</t>
  </si>
  <si>
    <t>CUST100597</t>
  </si>
  <si>
    <t>Hisar</t>
  </si>
  <si>
    <t>ORD201846</t>
  </si>
  <si>
    <t>ORD202593</t>
  </si>
  <si>
    <t>CUST100398</t>
  </si>
  <si>
    <t>ORD200313</t>
  </si>
  <si>
    <t>CUST100915</t>
  </si>
  <si>
    <t>ORD201133</t>
  </si>
  <si>
    <t>ORD202739</t>
  </si>
  <si>
    <t>CUST100822</t>
  </si>
  <si>
    <t>ORD202757</t>
  </si>
  <si>
    <t>CUST100377</t>
  </si>
  <si>
    <t>ORD201307</t>
  </si>
  <si>
    <t>CUST100094</t>
  </si>
  <si>
    <t>ORD200410</t>
  </si>
  <si>
    <t>CUST100604</t>
  </si>
  <si>
    <t>ORD200660</t>
  </si>
  <si>
    <t>CUST100458</t>
  </si>
  <si>
    <t>ORD200968</t>
  </si>
  <si>
    <t>CUST100207</t>
  </si>
  <si>
    <t>ORD201784</t>
  </si>
  <si>
    <t>CUST100023</t>
  </si>
  <si>
    <t>ORD200822</t>
  </si>
  <si>
    <t>CUST100505</t>
  </si>
  <si>
    <t>ORD201561</t>
  </si>
  <si>
    <t>CUST101026</t>
  </si>
  <si>
    <t>ORD202659</t>
  </si>
  <si>
    <t>CUST100073</t>
  </si>
  <si>
    <t>ORD201937</t>
  </si>
  <si>
    <t>CUST100453</t>
  </si>
  <si>
    <t>ORD202468</t>
  </si>
  <si>
    <t>CUST100077</t>
  </si>
  <si>
    <t>ORD201766</t>
  </si>
  <si>
    <t>CUST100085</t>
  </si>
  <si>
    <t>ORD202681</t>
  </si>
  <si>
    <t>CUST100795</t>
  </si>
  <si>
    <t>ORD201311</t>
  </si>
  <si>
    <t>CUST100487</t>
  </si>
  <si>
    <t>ORD202272</t>
  </si>
  <si>
    <t>CUST100221</t>
  </si>
  <si>
    <t>ORD200929</t>
  </si>
  <si>
    <t>ORD201555</t>
  </si>
  <si>
    <t>CUST100658</t>
  </si>
  <si>
    <t>ORD202019</t>
  </si>
  <si>
    <t>CUST100750</t>
  </si>
  <si>
    <t>ORD202575</t>
  </si>
  <si>
    <t>CUST100214</t>
  </si>
  <si>
    <t>ORD202067</t>
  </si>
  <si>
    <t>CUST100949</t>
  </si>
  <si>
    <t>ORD201502</t>
  </si>
  <si>
    <t>CUST100143</t>
  </si>
  <si>
    <t>ORD200930</t>
  </si>
  <si>
    <t>CUST100539</t>
  </si>
  <si>
    <t>ORD200220</t>
  </si>
  <si>
    <t>ORD202810</t>
  </si>
  <si>
    <t>Korba</t>
  </si>
  <si>
    <t>ORD200981</t>
  </si>
  <si>
    <t>ORD200851</t>
  </si>
  <si>
    <t>CUST100235</t>
  </si>
  <si>
    <t>ORD200071</t>
  </si>
  <si>
    <t>CUST100122</t>
  </si>
  <si>
    <t>ORD200590</t>
  </si>
  <si>
    <t>CUST101004</t>
  </si>
  <si>
    <t>ORD200095</t>
  </si>
  <si>
    <t>CUST100766</t>
  </si>
  <si>
    <t>ORD201587</t>
  </si>
  <si>
    <t>CUST100385</t>
  </si>
  <si>
    <t>ORD200593</t>
  </si>
  <si>
    <t>CUST100741</t>
  </si>
  <si>
    <t>ORD201443</t>
  </si>
  <si>
    <t>ORD202784</t>
  </si>
  <si>
    <t>ORD200588</t>
  </si>
  <si>
    <t>CUST100543</t>
  </si>
  <si>
    <t>ORD201563</t>
  </si>
  <si>
    <t>CUST100963</t>
  </si>
  <si>
    <t>ORD201985</t>
  </si>
  <si>
    <t>CUST100197</t>
  </si>
  <si>
    <t>ORD201391</t>
  </si>
  <si>
    <t>ORD201392</t>
  </si>
  <si>
    <t>CUST100158</t>
  </si>
  <si>
    <t>Tawang</t>
  </si>
  <si>
    <t>ORD200938</t>
  </si>
  <si>
    <t>ORD201801</t>
  </si>
  <si>
    <t>CUST100428</t>
  </si>
  <si>
    <t>ORD200892</t>
  </si>
  <si>
    <t>CUST101046</t>
  </si>
  <si>
    <t>ORD202584</t>
  </si>
  <si>
    <t>CUST100016</t>
  </si>
  <si>
    <t>ORD200109</t>
  </si>
  <si>
    <t>CUST100449</t>
  </si>
  <si>
    <t>ORD202292</t>
  </si>
  <si>
    <t>ORD201293</t>
  </si>
  <si>
    <t>ORD200943</t>
  </si>
  <si>
    <t>CUST100758</t>
  </si>
  <si>
    <t>ORD201375</t>
  </si>
  <si>
    <t>ORD200547</t>
  </si>
  <si>
    <t>CUST100030</t>
  </si>
  <si>
    <t>ORD201847</t>
  </si>
  <si>
    <t>CUST100124</t>
  </si>
  <si>
    <t>ORD200153</t>
  </si>
  <si>
    <t>CUST100800</t>
  </si>
  <si>
    <t>ORD200887</t>
  </si>
  <si>
    <t>CUST100558</t>
  </si>
  <si>
    <t>ORD201313</t>
  </si>
  <si>
    <t>CUST100406</t>
  </si>
  <si>
    <t>ORD202785</t>
  </si>
  <si>
    <t>CUST100110</t>
  </si>
  <si>
    <t>ORD201396</t>
  </si>
  <si>
    <t>CUST100292</t>
  </si>
  <si>
    <t>ORD202616</t>
  </si>
  <si>
    <t>ORD202357</t>
  </si>
  <si>
    <t>CUST101001</t>
  </si>
  <si>
    <t>ORD202662</t>
  </si>
  <si>
    <t>CUST100241</t>
  </si>
  <si>
    <t>Asansol</t>
  </si>
  <si>
    <t>ORD200815</t>
  </si>
  <si>
    <t>ORD202229</t>
  </si>
  <si>
    <t>CUST100233</t>
  </si>
  <si>
    <t>ORD202944</t>
  </si>
  <si>
    <t>ORD200240</t>
  </si>
  <si>
    <t>CUST100260</t>
  </si>
  <si>
    <t>ORD202073</t>
  </si>
  <si>
    <t>CUST100736</t>
  </si>
  <si>
    <t>ORD200505</t>
  </si>
  <si>
    <t>ORD201067</t>
  </si>
  <si>
    <t>CUST100278</t>
  </si>
  <si>
    <t>ORD201707</t>
  </si>
  <si>
    <t>ORD200294</t>
  </si>
  <si>
    <t>CUST100617</t>
  </si>
  <si>
    <t>ORD201825</t>
  </si>
  <si>
    <t>ORD202414</t>
  </si>
  <si>
    <t>CUST100875</t>
  </si>
  <si>
    <t>ORD202058</t>
  </si>
  <si>
    <t>CUST100679</t>
  </si>
  <si>
    <t>ORD201772</t>
  </si>
  <si>
    <t>CUST100301</t>
  </si>
  <si>
    <t>ORD202726</t>
  </si>
  <si>
    <t>CUST100144</t>
  </si>
  <si>
    <t>ORD202122</t>
  </si>
  <si>
    <t>CUST100581</t>
  </si>
  <si>
    <t>ORD200666</t>
  </si>
  <si>
    <t>CUST100799</t>
  </si>
  <si>
    <t>ORD202144</t>
  </si>
  <si>
    <t>CUST100172</t>
  </si>
  <si>
    <t>ORD201192</t>
  </si>
  <si>
    <t>CUST100367</t>
  </si>
  <si>
    <t>ORD200298</t>
  </si>
  <si>
    <t>ORD201302</t>
  </si>
  <si>
    <t>ORD202162</t>
  </si>
  <si>
    <t>ORD203052</t>
  </si>
  <si>
    <t>ORD200503</t>
  </si>
  <si>
    <t>Berhampur</t>
  </si>
  <si>
    <t>ORD200978</t>
  </si>
  <si>
    <t>ORD201735</t>
  </si>
  <si>
    <t>CUST100568</t>
  </si>
  <si>
    <t>ORD200808</t>
  </si>
  <si>
    <t>ORD202225</t>
  </si>
  <si>
    <t>CUST100325</t>
  </si>
  <si>
    <t>ORD200684</t>
  </si>
  <si>
    <t>Loyal Customer</t>
  </si>
  <si>
    <t>ORD202947</t>
  </si>
  <si>
    <t>CUST100103</t>
  </si>
  <si>
    <t>ORD203050</t>
  </si>
  <si>
    <t>ORD200302</t>
  </si>
  <si>
    <t>CUST100306</t>
  </si>
  <si>
    <t>ORD201128</t>
  </si>
  <si>
    <t>CUST100534</t>
  </si>
  <si>
    <t>ORD202660</t>
  </si>
  <si>
    <t>CUST100396</t>
  </si>
  <si>
    <t>ORD203108</t>
  </si>
  <si>
    <t>CUST100957</t>
  </si>
  <si>
    <t>ORD200408</t>
  </si>
  <si>
    <t>ORD201729</t>
  </si>
  <si>
    <t>CUST100141</t>
  </si>
  <si>
    <t>ORD201837</t>
  </si>
  <si>
    <t>CUST100484</t>
  </si>
  <si>
    <t>ORD200857</t>
  </si>
  <si>
    <t>CUST100556</t>
  </si>
  <si>
    <t>ORD200874</t>
  </si>
  <si>
    <t>ORD201867</t>
  </si>
  <si>
    <t>ORD203162</t>
  </si>
  <si>
    <t>CUST100566</t>
  </si>
  <si>
    <t>ORD201030</t>
  </si>
  <si>
    <t>CUST100246</t>
  </si>
  <si>
    <t>ORD201309</t>
  </si>
  <si>
    <t>ORD202156</t>
  </si>
  <si>
    <t>CUST100879</t>
  </si>
  <si>
    <t>ORD202930</t>
  </si>
  <si>
    <t>CUST100129</t>
  </si>
  <si>
    <t>ORD200373</t>
  </si>
  <si>
    <t>CUST100181</t>
  </si>
  <si>
    <t>ORD200662</t>
  </si>
  <si>
    <t>CUST100195</t>
  </si>
  <si>
    <t>ORD201315</t>
  </si>
  <si>
    <t>ORD200086</t>
  </si>
  <si>
    <t>CUST100185</t>
  </si>
  <si>
    <t>ORD200635</t>
  </si>
  <si>
    <t>CUST100327</t>
  </si>
  <si>
    <t>ORD201105</t>
  </si>
  <si>
    <t>ORD201440</t>
  </si>
  <si>
    <t>CUST100776</t>
  </si>
  <si>
    <t>ORD202174</t>
  </si>
  <si>
    <t>ORD200677</t>
  </si>
  <si>
    <t>CUST100244</t>
  </si>
  <si>
    <t>ORD200032</t>
  </si>
  <si>
    <t>ORD200885</t>
  </si>
  <si>
    <t>CUST100060</t>
  </si>
  <si>
    <t>ORD202475</t>
  </si>
  <si>
    <t>CUST100472</t>
  </si>
  <si>
    <t>ORD202903</t>
  </si>
  <si>
    <t>CUST100092</t>
  </si>
  <si>
    <t>ORD202003</t>
  </si>
  <si>
    <t>ORD201711</t>
  </si>
  <si>
    <t>ORD202698</t>
  </si>
  <si>
    <t>CUST101037</t>
  </si>
  <si>
    <t>ORD200386</t>
  </si>
  <si>
    <t>ORD202005</t>
  </si>
  <si>
    <t>CUST100156</t>
  </si>
  <si>
    <t>ORD202663</t>
  </si>
  <si>
    <t>CUST100921</t>
  </si>
  <si>
    <t>ORD200157</t>
  </si>
  <si>
    <t>CUST100202</t>
  </si>
  <si>
    <t>ORD203143</t>
  </si>
  <si>
    <t>ORD201632</t>
  </si>
  <si>
    <t>CUST100218</t>
  </si>
  <si>
    <t>ORD201143</t>
  </si>
  <si>
    <t>CUST100392</t>
  </si>
  <si>
    <t>ORD201355</t>
  </si>
  <si>
    <t>CUST100914</t>
  </si>
  <si>
    <t>ORD200193</t>
  </si>
  <si>
    <t>ORD202583</t>
  </si>
  <si>
    <t>ORD200255</t>
  </si>
  <si>
    <t>CUST100991</t>
  </si>
  <si>
    <t>ORD201843</t>
  </si>
  <si>
    <t>CUST100203</t>
  </si>
  <si>
    <t>ORD201620</t>
  </si>
  <si>
    <t>CUST100339</t>
  </si>
  <si>
    <t>ORD201999</t>
  </si>
  <si>
    <t>Varanasi</t>
  </si>
  <si>
    <t>ORD200517</t>
  </si>
  <si>
    <t>ORD200349</t>
  </si>
  <si>
    <t>ORD200130</t>
  </si>
  <si>
    <t>CUST100387</t>
  </si>
  <si>
    <t>ORD200136</t>
  </si>
  <si>
    <t>ORD201265</t>
  </si>
  <si>
    <t>ORD201725</t>
  </si>
  <si>
    <t>CUST100645</t>
  </si>
  <si>
    <t>ORD202287</t>
  </si>
  <si>
    <t>ORD202382</t>
  </si>
  <si>
    <t>CUST100513</t>
  </si>
  <si>
    <t>ORD200574</t>
  </si>
  <si>
    <t>CUST100713</t>
  </si>
  <si>
    <t>ORD202351</t>
  </si>
  <si>
    <t>CUST100605</t>
  </si>
  <si>
    <t>ORD200750</t>
  </si>
  <si>
    <t>CUST100291</t>
  </si>
  <si>
    <t>ORD202849</t>
  </si>
  <si>
    <t>CUST100115</t>
  </si>
  <si>
    <t>ORD202759</t>
  </si>
  <si>
    <t>ORD200107</t>
  </si>
  <si>
    <t>ORD202443</t>
  </si>
  <si>
    <t>ORD200456</t>
  </si>
  <si>
    <t>ORD202802</t>
  </si>
  <si>
    <t>ORD202540</t>
  </si>
  <si>
    <t>CUST100702</t>
  </si>
  <si>
    <t>ORD200282</t>
  </si>
  <si>
    <t>CUST100913</t>
  </si>
  <si>
    <t>ORD201920</t>
  </si>
  <si>
    <t>ORD200903</t>
  </si>
  <si>
    <t>CUST100947</t>
  </si>
  <si>
    <t>ORD201264</t>
  </si>
  <si>
    <t>CUST100118</t>
  </si>
  <si>
    <t>ORD202135</t>
  </si>
  <si>
    <t>ORD203061</t>
  </si>
  <si>
    <t>ORD200605</t>
  </si>
  <si>
    <t>CUST100589</t>
  </si>
  <si>
    <t>ORD201641</t>
  </si>
  <si>
    <t>ORD202290</t>
  </si>
  <si>
    <t>CUST100522</t>
  </si>
  <si>
    <t>ORD200515</t>
  </si>
  <si>
    <t>CUST100495</t>
  </si>
  <si>
    <t>ORD202437</t>
  </si>
  <si>
    <t>ORD200651</t>
  </si>
  <si>
    <t>CUST100791</t>
  </si>
  <si>
    <t>ORD202572</t>
  </si>
  <si>
    <t>CUST100537</t>
  </si>
  <si>
    <t>ORD200676</t>
  </si>
  <si>
    <t>ORD200747</t>
  </si>
  <si>
    <t>ORD202161</t>
  </si>
  <si>
    <t>ORD200809</t>
  </si>
  <si>
    <t>CUST100230</t>
  </si>
  <si>
    <t>ORD200451</t>
  </si>
  <si>
    <t>CUST100900</t>
  </si>
  <si>
    <t>ORD200778</t>
  </si>
  <si>
    <t>ORD202094</t>
  </si>
  <si>
    <t>CUST100420</t>
  </si>
  <si>
    <t>ORD202712</t>
  </si>
  <si>
    <t>CUST100465</t>
  </si>
  <si>
    <t>ORD202803</t>
  </si>
  <si>
    <t>CUST100777</t>
  </si>
  <si>
    <t>ORD200369</t>
  </si>
  <si>
    <t>ORD202448</t>
  </si>
  <si>
    <t>ORD203071</t>
  </si>
  <si>
    <t>CUST100080</t>
  </si>
  <si>
    <t>ORD201611</t>
  </si>
  <si>
    <t>CUST100427</t>
  </si>
  <si>
    <t>ORD200376</t>
  </si>
  <si>
    <t>ORD201959</t>
  </si>
  <si>
    <t>ORD202864</t>
  </si>
  <si>
    <t>CUST100892</t>
  </si>
  <si>
    <t>ORD202432</t>
  </si>
  <si>
    <t>CUST100330</t>
  </si>
  <si>
    <t>Jorhat</t>
  </si>
  <si>
    <t>ORD200711</t>
  </si>
  <si>
    <t>CUST100090</t>
  </si>
  <si>
    <t>ORD200872</t>
  </si>
  <si>
    <t>CUST100764</t>
  </si>
  <si>
    <t>ORD202462</t>
  </si>
  <si>
    <t>ORD201256</t>
  </si>
  <si>
    <t>CUST100058</t>
  </si>
  <si>
    <t>ORD200219</t>
  </si>
  <si>
    <t>ORD200692</t>
  </si>
  <si>
    <t>CUST100394</t>
  </si>
  <si>
    <t>ORD201220</t>
  </si>
  <si>
    <t>CUST100510</t>
  </si>
  <si>
    <t>ORD200005</t>
  </si>
  <si>
    <t>ORD200706</t>
  </si>
  <si>
    <t>CUST100885</t>
  </si>
  <si>
    <t>ORD202334</t>
  </si>
  <si>
    <t>CUST100238</t>
  </si>
  <si>
    <t>ORD202678</t>
  </si>
  <si>
    <t>CUST100848</t>
  </si>
  <si>
    <t>ORD202256</t>
  </si>
  <si>
    <t>CUST100980</t>
  </si>
  <si>
    <t>ORD200191</t>
  </si>
  <si>
    <t>ORD202151</t>
  </si>
  <si>
    <t>CUST100431</t>
  </si>
  <si>
    <t>ORD200894</t>
  </si>
  <si>
    <t>ORD200337</t>
  </si>
  <si>
    <t>ORD202000</t>
  </si>
  <si>
    <t>CUST100088</t>
  </si>
  <si>
    <t>ORD202546</t>
  </si>
  <si>
    <t>CUST100018</t>
  </si>
  <si>
    <t>ORD200748</t>
  </si>
  <si>
    <t>CUST100351</t>
  </si>
  <si>
    <t>ORD200250</t>
  </si>
  <si>
    <t>CUST100451</t>
  </si>
  <si>
    <t>ORD200562</t>
  </si>
  <si>
    <t>ORD201558</t>
  </si>
  <si>
    <t>ORD200066</t>
  </si>
  <si>
    <t>CUST100463</t>
  </si>
  <si>
    <t>ORD201028</t>
  </si>
  <si>
    <t>ORD201487</t>
  </si>
  <si>
    <t>CUST100757</t>
  </si>
  <si>
    <t>ORD202080</t>
  </si>
  <si>
    <t>CUST100074</t>
  </si>
  <si>
    <t>ORD201069</t>
  </si>
  <si>
    <t>ORD201266</t>
  </si>
  <si>
    <t>CUST100717</t>
  </si>
  <si>
    <t>ORD202114</t>
  </si>
  <si>
    <t>CUST100490</t>
  </si>
  <si>
    <t>ORD202485</t>
  </si>
  <si>
    <t>CUST100703</t>
  </si>
  <si>
    <t>ORD201425</t>
  </si>
  <si>
    <t>ORD202549</t>
  </si>
  <si>
    <t>ORD202028</t>
  </si>
  <si>
    <t>ORD202801</t>
  </si>
  <si>
    <t>CUST100840</t>
  </si>
  <si>
    <t>ORD200920</t>
  </si>
  <si>
    <t>CUST100719</t>
  </si>
  <si>
    <t>ORD203026</t>
  </si>
  <si>
    <t>CUST100863</t>
  </si>
  <si>
    <t>ORD201449</t>
  </si>
  <si>
    <t>ORD201538</t>
  </si>
  <si>
    <t>ORD200889</t>
  </si>
  <si>
    <t>ORD202582</t>
  </si>
  <si>
    <t>CUST100732</t>
  </si>
  <si>
    <t>ORD200398</t>
  </si>
  <si>
    <t>ORD203122</t>
  </si>
  <si>
    <t>CUST100371</t>
  </si>
  <si>
    <t>ORD201150</t>
  </si>
  <si>
    <t>CUST100370</t>
  </si>
  <si>
    <t>ORD200289</t>
  </si>
  <si>
    <t>CUST100721</t>
  </si>
  <si>
    <t>ORD200401</t>
  </si>
  <si>
    <t>CUST100373</t>
  </si>
  <si>
    <t>ORD202816</t>
  </si>
  <si>
    <t>CUST100243</t>
  </si>
  <si>
    <t>ORD202676</t>
  </si>
  <si>
    <t>CUST100557</t>
  </si>
  <si>
    <t>ORD202797</t>
  </si>
  <si>
    <t>CUST100305</t>
  </si>
  <si>
    <t>ORD202023</t>
  </si>
  <si>
    <t>CUST100810</t>
  </si>
  <si>
    <t>ORD202085</t>
  </si>
  <si>
    <t>CUST100512</t>
  </si>
  <si>
    <t>ORD200371</t>
  </si>
  <si>
    <t>CUST100194</t>
  </si>
  <si>
    <t>ORD200180</t>
  </si>
  <si>
    <t>ORD201634</t>
  </si>
  <si>
    <t>CUST100574</t>
  </si>
  <si>
    <t>ORD201644</t>
  </si>
  <si>
    <t>ORD201714</t>
  </si>
  <si>
    <t>CUST100010</t>
  </si>
  <si>
    <t>ORD202477</t>
  </si>
  <si>
    <t>ORD201003</t>
  </si>
  <si>
    <t>CUST100728</t>
  </si>
  <si>
    <t>Nashik</t>
  </si>
  <si>
    <t>ORD201179</t>
  </si>
  <si>
    <t>ORD202171</t>
  </si>
  <si>
    <t>CUST100714</t>
  </si>
  <si>
    <t>ORD201568</t>
  </si>
  <si>
    <t>CUST100033</t>
  </si>
  <si>
    <t>ORD200578</t>
  </si>
  <si>
    <t>ORD200721</t>
  </si>
  <si>
    <t>CUST100497</t>
  </si>
  <si>
    <t>ORD201753</t>
  </si>
  <si>
    <t>ORD202557</t>
  </si>
  <si>
    <t>ORD200832</t>
  </si>
  <si>
    <t>CUST100001</t>
  </si>
  <si>
    <t>ORD202119</t>
  </si>
  <si>
    <t>CUST100792</t>
  </si>
  <si>
    <t>ORD200245</t>
  </si>
  <si>
    <t>CUST100224</t>
  </si>
  <si>
    <t>ORD201595</t>
  </si>
  <si>
    <t>CUST100097</t>
  </si>
  <si>
    <t>ORD202806</t>
  </si>
  <si>
    <t>ORD200112</t>
  </si>
  <si>
    <t>CUST100700</t>
  </si>
  <si>
    <t>ORD202294</t>
  </si>
  <si>
    <t>CUST100062</t>
  </si>
  <si>
    <t>ORD200844</t>
  </si>
  <si>
    <t>ORD202319</t>
  </si>
  <si>
    <t>ORD200834</t>
  </si>
  <si>
    <t>ORD202758</t>
  </si>
  <si>
    <t>CUST100871</t>
  </si>
  <si>
    <t>ORD202393</t>
  </si>
  <si>
    <t>ORD202637</t>
  </si>
  <si>
    <t>CUST100759</t>
  </si>
  <si>
    <t>ORD200846</t>
  </si>
  <si>
    <t>CUST100704</t>
  </si>
  <si>
    <t>ORD200394</t>
  </si>
  <si>
    <t>ORD200527</t>
  </si>
  <si>
    <t>CUST100270</t>
  </si>
  <si>
    <t>ORD201370</t>
  </si>
  <si>
    <t>CUST100341</t>
  </si>
  <si>
    <t>ORD200744</t>
  </si>
  <si>
    <t>ORD201394</t>
  </si>
  <si>
    <t>ORD203074</t>
  </si>
  <si>
    <t>ORD200814</t>
  </si>
  <si>
    <t>CUST100369</t>
  </si>
  <si>
    <t>ORD201570</t>
  </si>
  <si>
    <t>ORD201306</t>
  </si>
  <si>
    <t>ORD202368</t>
  </si>
  <si>
    <t>CUST100360</t>
  </si>
  <si>
    <t>ORD200122</t>
  </si>
  <si>
    <t>CUST100026</t>
  </si>
  <si>
    <t>ORD201891</t>
  </si>
  <si>
    <t>ORD201972</t>
  </si>
  <si>
    <t>CUST100634</t>
  </si>
  <si>
    <t>ORD201996</t>
  </si>
  <si>
    <t>CUST100482</t>
  </si>
  <si>
    <t>ORD200688</t>
  </si>
  <si>
    <t>CUST100580</t>
  </si>
  <si>
    <t>ORD200870</t>
  </si>
  <si>
    <t>ORD202134</t>
  </si>
  <si>
    <t>CUST100239</t>
  </si>
  <si>
    <t>ORD200471</t>
  </si>
  <si>
    <t>ORD201068</t>
  </si>
  <si>
    <t>CUST100471</t>
  </si>
  <si>
    <t>ORD202789</t>
  </si>
  <si>
    <t>CUST100504</t>
  </si>
  <si>
    <t>ORD203101</t>
  </si>
  <si>
    <t>ORD203124</t>
  </si>
  <si>
    <t>ORD200911</t>
  </si>
  <si>
    <t>CUST100416</t>
  </si>
  <si>
    <t>ORD201952</t>
  </si>
  <si>
    <t>ORD202316</t>
  </si>
  <si>
    <t>CUST100731</t>
  </si>
  <si>
    <t>ORD202374</t>
  </si>
  <si>
    <t>CUST100781</t>
  </si>
  <si>
    <t>ORD202764</t>
  </si>
  <si>
    <t>CUST100586</t>
  </si>
  <si>
    <t>ORD200880</t>
  </si>
  <si>
    <t>CUST100476</t>
  </si>
  <si>
    <t>ORD201322</t>
  </si>
  <si>
    <t>ORD200773</t>
  </si>
  <si>
    <t>CUST100413</t>
  </si>
  <si>
    <t>ORD203020</t>
  </si>
  <si>
    <t>ORD202035</t>
  </si>
  <si>
    <t>CUST100908</t>
  </si>
  <si>
    <t>ORD202181</t>
  </si>
  <si>
    <t>CUST100213</t>
  </si>
  <si>
    <t>ORD202284</t>
  </si>
  <si>
    <t>CUST100652</t>
  </si>
  <si>
    <t>ORD201918</t>
  </si>
  <si>
    <t>CUST101017</t>
  </si>
  <si>
    <t>ORD200813</t>
  </si>
  <si>
    <t>CUST100215</t>
  </si>
  <si>
    <t>ORD202245</t>
  </si>
  <si>
    <t>CUST100511</t>
  </si>
  <si>
    <t>ORD202405</t>
  </si>
  <si>
    <t>CUST100994</t>
  </si>
  <si>
    <t>ORD202675</t>
  </si>
  <si>
    <t>ORD202488</t>
  </si>
  <si>
    <t>CUST100061</t>
  </si>
  <si>
    <t>ORD200288</t>
  </si>
  <si>
    <t>ORD202885</t>
  </si>
  <si>
    <t>ORD200221</t>
  </si>
  <si>
    <t>ORD201312</t>
  </si>
  <si>
    <t>ORD202635</t>
  </si>
  <si>
    <t>ORD202031</t>
  </si>
  <si>
    <t>ORD202961</t>
  </si>
  <si>
    <t>CUST100412</t>
  </si>
  <si>
    <t>ORD200262</t>
  </si>
  <si>
    <t>ORD200915</t>
  </si>
  <si>
    <t>CUST100689</t>
  </si>
  <si>
    <t>ORD202283</t>
  </si>
  <si>
    <t>CUST100630</t>
  </si>
  <si>
    <t>ORD200756</t>
  </si>
  <si>
    <t>ORD201618</t>
  </si>
  <si>
    <t>ORD201386</t>
  </si>
  <si>
    <t>CUST100616</t>
  </si>
  <si>
    <t>ORD202133</t>
  </si>
  <si>
    <t>CUST100176</t>
  </si>
  <si>
    <t>ORD202530</t>
  </si>
  <si>
    <t>CUST100067</t>
  </si>
  <si>
    <t>ORD202673</t>
  </si>
  <si>
    <t>ORD201349</t>
  </si>
  <si>
    <t>CUST100312</t>
  </si>
  <si>
    <t>ORD200174</t>
  </si>
  <si>
    <t>ORD201049</t>
  </si>
  <si>
    <t>CUST100104</t>
  </si>
  <si>
    <t>ORD200081</t>
  </si>
  <si>
    <t>ORD202395</t>
  </si>
  <si>
    <t>ORD201496</t>
  </si>
  <si>
    <t>ORD201540</t>
  </si>
  <si>
    <t>CUST100190</t>
  </si>
  <si>
    <t>ORD201951</t>
  </si>
  <si>
    <t>CUST100262</t>
  </si>
  <si>
    <t>ORD200098</t>
  </si>
  <si>
    <t>ORD200480</t>
  </si>
  <si>
    <t>ORD201175</t>
  </si>
  <si>
    <t>ORD201534</t>
  </si>
  <si>
    <t>CUST100624</t>
  </si>
  <si>
    <t>ORD200216</t>
  </si>
  <si>
    <t>CUST100572</t>
  </si>
  <si>
    <t>ORD201053</t>
  </si>
  <si>
    <t>ORD201301</t>
  </si>
  <si>
    <t>CUST100333</t>
  </si>
  <si>
    <t>ORD200129</t>
  </si>
  <si>
    <t>CUST100329</t>
  </si>
  <si>
    <t>ORD201669</t>
  </si>
  <si>
    <t>CUST100638</t>
  </si>
  <si>
    <t>ORD200977</t>
  </si>
  <si>
    <t>CUST100271</t>
  </si>
  <si>
    <t>ORD202699</t>
  </si>
  <si>
    <t>CUST100057</t>
  </si>
  <si>
    <t>ORD200836</t>
  </si>
  <si>
    <t>CUST100475</t>
  </si>
  <si>
    <t>ORD200306</t>
  </si>
  <si>
    <t>CUST100310</t>
  </si>
  <si>
    <t>ORD200891</t>
  </si>
  <si>
    <t>ORD202184</t>
  </si>
  <si>
    <t>CUST100959</t>
  </si>
  <si>
    <t>ORD200700</t>
  </si>
  <si>
    <t>CUST100577</t>
  </si>
  <si>
    <t>ORD200335</t>
  </si>
  <si>
    <t>CUST100046</t>
  </si>
  <si>
    <t>ORD201720</t>
  </si>
  <si>
    <t>ORD202873</t>
  </si>
  <si>
    <t>CUST100298</t>
  </si>
  <si>
    <t>ORD202473</t>
  </si>
  <si>
    <t>CUST100633</t>
  </si>
  <si>
    <t>ORD203036</t>
  </si>
  <si>
    <t>CUST101005</t>
  </si>
  <si>
    <t>ORD201564</t>
  </si>
  <si>
    <t>CUST100567</t>
  </si>
  <si>
    <t>ORD202558</t>
  </si>
  <si>
    <t>ORD202633</t>
  </si>
  <si>
    <t>CUST100315</t>
  </si>
  <si>
    <t>ORD202375</t>
  </si>
  <si>
    <t>CUST100794</t>
  </si>
  <si>
    <t>ORD200203</t>
  </si>
  <si>
    <t>ORD200439</t>
  </si>
  <si>
    <t>CUST100384</t>
  </si>
  <si>
    <t>ORD200534</t>
  </si>
  <si>
    <t>ORD201270</t>
  </si>
  <si>
    <t>ORD200363</t>
  </si>
  <si>
    <t>CUST100540</t>
  </si>
  <si>
    <t>ORD200522</t>
  </si>
  <si>
    <t>ORD203011</t>
  </si>
  <si>
    <t>ORD200440</t>
  </si>
  <si>
    <t>ORD200689</t>
  </si>
  <si>
    <t>ORD202410</t>
  </si>
  <si>
    <t>CUST100273</t>
  </si>
  <si>
    <t>ORD201240</t>
  </si>
  <si>
    <t>ORD201304</t>
  </si>
  <si>
    <t>ORD202590</t>
  </si>
  <si>
    <t>CUST100417</t>
  </si>
  <si>
    <t>ORD200001</t>
  </si>
  <si>
    <t>CUST100393</t>
  </si>
  <si>
    <t>ORD202152</t>
  </si>
  <si>
    <t>ORD200385</t>
  </si>
  <si>
    <t>ORD200916</t>
  </si>
  <si>
    <t>CUST100901</t>
  </si>
  <si>
    <t>ORD203059</t>
  </si>
  <si>
    <t>CUST100345</t>
  </si>
  <si>
    <t>ORD201052</t>
  </si>
  <si>
    <t>CUST100070</t>
  </si>
  <si>
    <t>ORD200460</t>
  </si>
  <si>
    <t>CUST100899</t>
  </si>
  <si>
    <t>ORD200893</t>
  </si>
  <si>
    <t>CUST100379</t>
  </si>
  <si>
    <t>ORD202736</t>
  </si>
  <si>
    <t>CUST100050</t>
  </si>
  <si>
    <t>ORD200491</t>
  </si>
  <si>
    <t>CUST100599</t>
  </si>
  <si>
    <t>ORD201802</t>
  </si>
  <si>
    <t>CUST100009</t>
  </si>
  <si>
    <t>ORD202665</t>
  </si>
  <si>
    <t>CUST100072</t>
  </si>
  <si>
    <t>ORD201839</t>
  </si>
  <si>
    <t>CUST100804</t>
  </si>
  <si>
    <t>ORD201552</t>
  </si>
  <si>
    <t>CUST100897</t>
  </si>
  <si>
    <t>ORD202025</t>
  </si>
  <si>
    <t>ORD200764</t>
  </si>
  <si>
    <t>ORD201333</t>
  </si>
  <si>
    <t>ORD201352</t>
  </si>
  <si>
    <t>CUST100767</t>
  </si>
  <si>
    <t>ORD202254</t>
  </si>
  <si>
    <t>ORD201748</t>
  </si>
  <si>
    <t>CUST100662</t>
  </si>
  <si>
    <t>ORD202300</t>
  </si>
  <si>
    <t>CUST100265</t>
  </si>
  <si>
    <t>ORD202378</t>
  </si>
  <si>
    <t>CUST100237</t>
  </si>
  <si>
    <t>ORD201988</t>
  </si>
  <si>
    <t>CUST100541</t>
  </si>
  <si>
    <t>ORD201163</t>
  </si>
  <si>
    <t>CUST100311</t>
  </si>
  <si>
    <t>ORD202518</t>
  </si>
  <si>
    <t>CUST100007</t>
  </si>
  <si>
    <t>ORD202915</t>
  </si>
  <si>
    <t>CUST100547</t>
  </si>
  <si>
    <t>ORD200007</t>
  </si>
  <si>
    <t>ORD201457</t>
  </si>
  <si>
    <t>ORD202622</t>
  </si>
  <si>
    <t>CUST100267</t>
  </si>
  <si>
    <t>ORD201974</t>
  </si>
  <si>
    <t>ORD202525</t>
  </si>
  <si>
    <t>ORD202555</t>
  </si>
  <si>
    <t>CUST100276</t>
  </si>
  <si>
    <t>ORD201454</t>
  </si>
  <si>
    <t>CUST100889</t>
  </si>
  <si>
    <t>ORD201445</t>
  </si>
  <si>
    <t>ORD200166</t>
  </si>
  <si>
    <t>ORD201892</t>
  </si>
  <si>
    <t>ORD200746</t>
  </si>
  <si>
    <t>ORD200412</t>
  </si>
  <si>
    <t>ORD200997</t>
  </si>
  <si>
    <t>ORD202384</t>
  </si>
  <si>
    <t>ORD200495</t>
  </si>
  <si>
    <t>CUST100034</t>
  </si>
  <si>
    <t>ORD202866</t>
  </si>
  <si>
    <t>ORD202364</t>
  </si>
  <si>
    <t>CUST100583</t>
  </si>
  <si>
    <t>ORD201351</t>
  </si>
  <si>
    <t>ORD201763</t>
  </si>
  <si>
    <t>CUST101032</t>
  </si>
  <si>
    <t>ORD202993</t>
  </si>
  <si>
    <t>ORD200413</t>
  </si>
  <si>
    <t>CUST100773</t>
  </si>
  <si>
    <t>ORD201754</t>
  </si>
  <si>
    <t>CUST100272</t>
  </si>
  <si>
    <t>ORD200278</t>
  </si>
  <si>
    <t>CUST100649</t>
  </si>
  <si>
    <t>ORD203077</t>
  </si>
  <si>
    <t>ORD200347</t>
  </si>
  <si>
    <t>ORD202202</t>
  </si>
  <si>
    <t>CUST100157</t>
  </si>
  <si>
    <t>ORD201876</t>
  </si>
  <si>
    <t>CUST100893</t>
  </si>
  <si>
    <t>ORD201384</t>
  </si>
  <si>
    <t>CUST100149</t>
  </si>
  <si>
    <t>ORD200499</t>
  </si>
  <si>
    <t>CUST100043</t>
  </si>
  <si>
    <t>ORD202647</t>
  </si>
  <si>
    <t>ORD201145</t>
  </si>
  <si>
    <t>CUST100935</t>
  </si>
  <si>
    <t>ORD202967</t>
  </si>
  <si>
    <t>CUST100749</t>
  </si>
  <si>
    <t>ORD200334</t>
  </si>
  <si>
    <t>ORD200565</t>
  </si>
  <si>
    <t>CUST100812</t>
  </si>
  <si>
    <t>ORD200446</t>
  </si>
  <si>
    <t>CUST100535</t>
  </si>
  <si>
    <t>ORD201724</t>
  </si>
  <si>
    <t>CUST100039</t>
  </si>
  <si>
    <t>ORD202565</t>
  </si>
  <si>
    <t>CUST100159</t>
  </si>
  <si>
    <t>ORD202932</t>
  </si>
  <si>
    <t>ORD201489</t>
  </si>
  <si>
    <t>ORD200693</t>
  </si>
  <si>
    <t>ORD200774</t>
  </si>
  <si>
    <t>CUST100916</t>
  </si>
  <si>
    <t>ORD201101</t>
  </si>
  <si>
    <t>ORD202611</t>
  </si>
  <si>
    <t>ORD201982</t>
  </si>
  <si>
    <t>ORD200004</t>
  </si>
  <si>
    <t>ORD200725</t>
  </si>
  <si>
    <t>ORD200124</t>
  </si>
  <si>
    <t>CUST100142</t>
  </si>
  <si>
    <t>ORD202715</t>
  </si>
  <si>
    <t>CUST100681</t>
  </si>
  <si>
    <t>ORD200866</t>
  </si>
  <si>
    <t>ORD200685</t>
  </si>
  <si>
    <t>CUST100436</t>
  </si>
  <si>
    <t>ORD200886</t>
  </si>
  <si>
    <t>ORD201422</t>
  </si>
  <si>
    <t>CUST100076</t>
  </si>
  <si>
    <t>ORD202145</t>
  </si>
  <si>
    <t>ORD201060</t>
  </si>
  <si>
    <t>ORD201494</t>
  </si>
  <si>
    <t>CUST100225</t>
  </si>
  <si>
    <t>ORD201580</t>
  </si>
  <si>
    <t>CUST100881</t>
  </si>
  <si>
    <t>ORD203088</t>
  </si>
  <si>
    <t>ORD201525</t>
  </si>
  <si>
    <t>ORD200423</t>
  </si>
  <si>
    <t>ORD200729</t>
  </si>
  <si>
    <t>ORD202010</t>
  </si>
  <si>
    <t>ORD201124</t>
  </si>
  <si>
    <t>ORD200492</t>
  </si>
  <si>
    <t>CUST100844</t>
  </si>
  <si>
    <t>ORD200233</t>
  </si>
  <si>
    <t>ORD201037</t>
  </si>
  <si>
    <t>ORD201002</t>
  </si>
  <si>
    <t>ORD202232</t>
  </si>
  <si>
    <t>ORD200234</t>
  </si>
  <si>
    <t>CUST100432</t>
  </si>
  <si>
    <t>ORD201544</t>
  </si>
  <si>
    <t>CUST100206</t>
  </si>
  <si>
    <t>ORD200431</t>
  </si>
  <si>
    <t>CUST100787</t>
  </si>
  <si>
    <t>ORD202177</t>
  </si>
  <si>
    <t>ORD201070</t>
  </si>
  <si>
    <t>CUST100462</t>
  </si>
  <si>
    <t>ORD202048</t>
  </si>
  <si>
    <t>CUST100227</t>
  </si>
  <si>
    <t>ORD200833</t>
  </si>
  <si>
    <t>CUST100049</t>
  </si>
  <si>
    <t>ORD200125</t>
  </si>
  <si>
    <t>ORD202609</t>
  </si>
  <si>
    <t>CUST100297</t>
  </si>
  <si>
    <t>ORD201099</t>
  </si>
  <si>
    <t>ORD202535</t>
  </si>
  <si>
    <t>ORD202586</t>
  </si>
  <si>
    <t>CUST100579</t>
  </si>
  <si>
    <t>ORD200788</t>
  </si>
  <si>
    <t>ORD201345</t>
  </si>
  <si>
    <t>CUST100234</t>
  </si>
  <si>
    <t>ORD201255</t>
  </si>
  <si>
    <t>CUST100126</t>
  </si>
  <si>
    <t>ORD201670</t>
  </si>
  <si>
    <t>CUST101021</t>
  </si>
  <si>
    <t>ORD202399</t>
  </si>
  <si>
    <t>ORD202621</t>
  </si>
  <si>
    <t>ORD200105</t>
  </si>
  <si>
    <t>CUST100807</t>
  </si>
  <si>
    <t>ORD200537</t>
  </si>
  <si>
    <t>CUST100299</t>
  </si>
  <si>
    <t>ORD202505</t>
  </si>
  <si>
    <t>ORD202830</t>
  </si>
  <si>
    <t>CUST100712</t>
  </si>
  <si>
    <t>ORD203023</t>
  </si>
  <si>
    <t>CUST100519</t>
  </si>
  <si>
    <t>ORD201095</t>
  </si>
  <si>
    <t>CUST100584</t>
  </si>
  <si>
    <t>ORD200566</t>
  </si>
  <si>
    <t>CUST100353</t>
  </si>
  <si>
    <t>ORD201008</t>
  </si>
  <si>
    <t>CUST100509</t>
  </si>
  <si>
    <t>ORD202700</t>
  </si>
  <si>
    <t>CUST100992</t>
  </si>
  <si>
    <t>ORD200345</t>
  </si>
  <si>
    <t>ORD201539</t>
  </si>
  <si>
    <t>CUST100069</t>
  </si>
  <si>
    <t>ORD201757</t>
  </si>
  <si>
    <t>CUST100051</t>
  </si>
  <si>
    <t>ORD201505</t>
  </si>
  <si>
    <t>ORD200850</t>
  </si>
  <si>
    <t>CUST100680</t>
  </si>
  <si>
    <t>ORD201565</t>
  </si>
  <si>
    <t>ORD201136</t>
  </si>
  <si>
    <t>ORD201866</t>
  </si>
  <si>
    <t>ORD202237</t>
  </si>
  <si>
    <t>ORD202338</t>
  </si>
  <si>
    <t>ORD202692</t>
  </si>
  <si>
    <t>ORD200405</t>
  </si>
  <si>
    <t>ORD202922</t>
  </si>
  <si>
    <t>CUST100968</t>
  </si>
  <si>
    <t>ORD200647</t>
  </si>
  <si>
    <t>CUST100867</t>
  </si>
  <si>
    <t>ORD201183</t>
  </si>
  <si>
    <t>CUST100858</t>
  </si>
  <si>
    <t>ORD200467</t>
  </si>
  <si>
    <t>ORD201973</t>
  </si>
  <si>
    <t>CUST100321</t>
  </si>
  <si>
    <t>ORD200360</t>
  </si>
  <si>
    <t>ORD202247</t>
  </si>
  <si>
    <t>ORD200553</t>
  </si>
  <si>
    <t>ORD201024</t>
  </si>
  <si>
    <t>CUST100193</t>
  </si>
  <si>
    <t>ORD202153</t>
  </si>
  <si>
    <t>ORD202956</t>
  </si>
  <si>
    <t>CUST100025</t>
  </si>
  <si>
    <t>ORD201236</t>
  </si>
  <si>
    <t>ORD202142</t>
  </si>
  <si>
    <t>ORD202554</t>
  </si>
  <si>
    <t>ORD200176</t>
  </si>
  <si>
    <t>ORD201444</t>
  </si>
  <si>
    <t>CUST100259</t>
  </si>
  <si>
    <t>ORD201810</t>
  </si>
  <si>
    <t>CUST100912</t>
  </si>
  <si>
    <t>ORD200131</t>
  </si>
  <si>
    <t>ORD201373</t>
  </si>
  <si>
    <t>CUST100595</t>
  </si>
  <si>
    <t>ORD202404</t>
  </si>
  <si>
    <t>CUST100874</t>
  </si>
  <si>
    <t>ORD201509</t>
  </si>
  <si>
    <t>ORD200619</t>
  </si>
  <si>
    <t>ORD200917</t>
  </si>
  <si>
    <t>ORD201785</t>
  </si>
  <si>
    <t>CUST100492</t>
  </si>
  <si>
    <t>ORD201755</t>
  </si>
  <si>
    <t>ORD202927</t>
  </si>
  <si>
    <t>ORD203094</t>
  </si>
  <si>
    <t>ORD203119</t>
  </si>
  <si>
    <t>ORD203006</t>
  </si>
  <si>
    <t>ORD200498</t>
  </si>
  <si>
    <t>CUST100808</t>
  </si>
  <si>
    <t>ORD201442</t>
  </si>
  <si>
    <t>ORD201930</t>
  </si>
  <si>
    <t>CUST100335</t>
  </si>
  <si>
    <t>ORD200055</t>
  </si>
  <si>
    <t>ORD201788</t>
  </si>
  <si>
    <t>CUST100670</t>
  </si>
  <si>
    <t>ORD200101</t>
  </si>
  <si>
    <t>ORD200591</t>
  </si>
  <si>
    <t>CUST100627</t>
  </si>
  <si>
    <t>ORD201671</t>
  </si>
  <si>
    <t>CUST100133</t>
  </si>
  <si>
    <t>ORD202790</t>
  </si>
  <si>
    <t>CUST100055</t>
  </si>
  <si>
    <t>ORD201408</t>
  </si>
  <si>
    <t>ORD202828</t>
  </si>
  <si>
    <t>CUST100425</t>
  </si>
  <si>
    <t>ORD200825</t>
  </si>
  <si>
    <t>CUST100705</t>
  </si>
  <si>
    <t>ORD201621</t>
  </si>
  <si>
    <t>ORD203139</t>
  </si>
  <si>
    <t>ORD200073</t>
  </si>
  <si>
    <t>ORD201939</t>
  </si>
  <si>
    <t>ORD202195</t>
  </si>
  <si>
    <t>CUST100421</t>
  </si>
  <si>
    <t>ORD200106</t>
  </si>
  <si>
    <t>CUST100461</t>
  </si>
  <si>
    <t>ORD202158</t>
  </si>
  <si>
    <t>ORD200372</t>
  </si>
  <si>
    <t>ORD200570</t>
  </si>
  <si>
    <t>ORD200709</t>
  </si>
  <si>
    <t>ORD201109</t>
  </si>
  <si>
    <t>CUST100884</t>
  </si>
  <si>
    <t>ORD202560</t>
  </si>
  <si>
    <t>CUST100164</t>
  </si>
  <si>
    <t>ORD201894</t>
  </si>
  <si>
    <t>ORD202301</t>
  </si>
  <si>
    <t>CUST100210</t>
  </si>
  <si>
    <t>ORD201282</t>
  </si>
  <si>
    <t>CUST100701</t>
  </si>
  <si>
    <t>ORD200177</t>
  </si>
  <si>
    <t>Amini</t>
  </si>
  <si>
    <t>ORD202630</t>
  </si>
  <si>
    <t>ORD200947</t>
  </si>
  <si>
    <t>ORD201141</t>
  </si>
  <si>
    <t>ORD201045</t>
  </si>
  <si>
    <t>ORD201000</t>
  </si>
  <si>
    <t>CUST100277</t>
  </si>
  <si>
    <t>ORD202388</t>
  </si>
  <si>
    <t>ORD201921</t>
  </si>
  <si>
    <t>CUST100748</t>
  </si>
  <si>
    <t>ORD202197</t>
  </si>
  <si>
    <t>CUST100587</t>
  </si>
  <si>
    <t>ORD202361</t>
  </si>
  <si>
    <t>CUST100674</t>
  </si>
  <si>
    <t>ORD200530</t>
  </si>
  <si>
    <t>ORD203008</t>
  </si>
  <si>
    <t>ORD200680</t>
  </si>
  <si>
    <t>ORD200683</t>
  </si>
  <si>
    <t>CUST100917</t>
  </si>
  <si>
    <t>ORD200577</t>
  </si>
  <si>
    <t>CUST101010</t>
  </si>
  <si>
    <t>ORD202105</t>
  </si>
  <si>
    <t>CUST100744</t>
  </si>
  <si>
    <t>ORD202729</t>
  </si>
  <si>
    <t>CUST100137</t>
  </si>
  <si>
    <t>ORD202882</t>
  </si>
  <si>
    <t>CUST100508</t>
  </si>
  <si>
    <t>ORD202999</t>
  </si>
  <si>
    <t>ORD200128</t>
  </si>
  <si>
    <t>ORD202112</t>
  </si>
  <si>
    <t>ORD202077</t>
  </si>
  <si>
    <t>CUST100222</t>
  </si>
  <si>
    <t>ORD202792</t>
  </si>
  <si>
    <t>ORD200960</t>
  </si>
  <si>
    <t>ORD201223</t>
  </si>
  <si>
    <t>ORD201267</t>
  </si>
  <si>
    <t>CUST100354</t>
  </si>
  <si>
    <t>ORD200675</t>
  </si>
  <si>
    <t>ORD202510</t>
  </si>
  <si>
    <t>ORD202679</t>
  </si>
  <si>
    <t>ORD200175</t>
  </si>
  <si>
    <t>CUST100715</t>
  </si>
  <si>
    <t>ORD200003</t>
  </si>
  <si>
    <t>ORD200626</t>
  </si>
  <si>
    <t>ORD200928</t>
  </si>
  <si>
    <t>ORD201359</t>
  </si>
  <si>
    <t>CUST101007</t>
  </si>
  <si>
    <t>ORD202380</t>
  </si>
  <si>
    <t>CUST100499</t>
  </si>
  <si>
    <t>ORD202952</t>
  </si>
  <si>
    <t>ORD200102</t>
  </si>
  <si>
    <t>CUST100695</t>
  </si>
  <si>
    <t>ORD200540</t>
  </si>
  <si>
    <t>ORD202321</t>
  </si>
  <si>
    <t>ORD201044</t>
  </si>
  <si>
    <t>ORD201401</t>
  </si>
  <si>
    <t>CUST100667</t>
  </si>
  <si>
    <t>ORD203031</t>
  </si>
  <si>
    <t>CUST100710</t>
  </si>
  <si>
    <t>ORD203079</t>
  </si>
  <si>
    <t>ORD203161</t>
  </si>
  <si>
    <t>CUST100986</t>
  </si>
  <si>
    <t>ORD200957</t>
  </si>
  <si>
    <t>ORD201126</t>
  </si>
  <si>
    <t>ORD201630</t>
  </si>
  <si>
    <t>ORD203128</t>
  </si>
  <si>
    <t>CUST100961</t>
  </si>
  <si>
    <t>ORD200400</t>
  </si>
  <si>
    <t>CUST100268</t>
  </si>
  <si>
    <t>ORD201612</t>
  </si>
  <si>
    <t>CUST100174</t>
  </si>
  <si>
    <t>ORD200735</t>
  </si>
  <si>
    <t>CUST100308</t>
  </si>
  <si>
    <t>ORD201246</t>
  </si>
  <si>
    <t>ORD201330</t>
  </si>
  <si>
    <t>ORD201040</t>
  </si>
  <si>
    <t>ORD201814</t>
  </si>
  <si>
    <t>ORD201989</t>
  </si>
  <si>
    <t>ORD202771</t>
  </si>
  <si>
    <t>ORD201480</t>
  </si>
  <si>
    <t>ORD200801</t>
  </si>
  <si>
    <t>ORD201439</t>
  </si>
  <si>
    <t>CUST100435</t>
  </si>
  <si>
    <t>ORD202193</t>
  </si>
  <si>
    <t>ORD201690</t>
  </si>
  <si>
    <t>CUST100593</t>
  </si>
  <si>
    <t>ORD200225</t>
  </si>
  <si>
    <t>CUST100117</t>
  </si>
  <si>
    <t>ORD200365</t>
  </si>
  <si>
    <t>ORD200934</t>
  </si>
  <si>
    <t>ORD201499</t>
  </si>
  <si>
    <t>CUST100252</t>
  </si>
  <si>
    <t>ORD202013</t>
  </si>
  <si>
    <t>CUST100288</t>
  </si>
  <si>
    <t>ORD202113</t>
  </si>
  <si>
    <t>CUST100002</t>
  </si>
  <si>
    <t>ORD200056</t>
  </si>
  <si>
    <t>ORD202783</t>
  </si>
  <si>
    <t>ORD202938</t>
  </si>
  <si>
    <t>ORD200121</t>
  </si>
  <si>
    <t>ORD201510</t>
  </si>
  <si>
    <t>ORD201778</t>
  </si>
  <si>
    <t>ORD202772</t>
  </si>
  <si>
    <t>ORD200576</t>
  </si>
  <si>
    <t>ORD202820</t>
  </si>
  <si>
    <t>CUST100660</t>
  </si>
  <si>
    <t>ORD202837</t>
  </si>
  <si>
    <t>ORD201468</t>
  </si>
  <si>
    <t>CUST100686</t>
  </si>
  <si>
    <t>ORD200749</t>
  </si>
  <si>
    <t>CUST100160</t>
  </si>
  <si>
    <t>ORD200925</t>
  </si>
  <si>
    <t>CUST100131</t>
  </si>
  <si>
    <t>ORD200965</t>
  </si>
  <si>
    <t>ORD202654</t>
  </si>
  <si>
    <t>CUST100426</t>
  </si>
  <si>
    <t>ORD202745</t>
  </si>
  <si>
    <t>ORD200551</t>
  </si>
  <si>
    <t>ORD202441</t>
  </si>
  <si>
    <t>ORD202224</t>
  </si>
  <si>
    <t>ORD203064</t>
  </si>
  <si>
    <t>CUST100911</t>
  </si>
  <si>
    <t>ORD200418</t>
  </si>
  <si>
    <t>CUST100698</t>
  </si>
  <si>
    <t>ORD202385</t>
  </si>
  <si>
    <t>ORD200765</t>
  </si>
  <si>
    <t>ORD202325</t>
  </si>
  <si>
    <t>CUST100909</t>
  </si>
  <si>
    <t>ORD202422</t>
  </si>
  <si>
    <t>ORD202702</t>
  </si>
  <si>
    <t>ORD201588</t>
  </si>
  <si>
    <t>CUST100683</t>
  </si>
  <si>
    <t>ORD201652</t>
  </si>
  <si>
    <t>CUST100473</t>
  </si>
  <si>
    <t>ORD202329</t>
  </si>
  <si>
    <t>CUST100697</t>
  </si>
  <si>
    <t>ORD202707</t>
  </si>
  <si>
    <t>CUST101045</t>
  </si>
  <si>
    <t>ORD202056</t>
  </si>
  <si>
    <t>CUST100559</t>
  </si>
  <si>
    <t>ORD203140</t>
  </si>
  <si>
    <t>CUST100841</t>
  </si>
  <si>
    <t>ORD200351</t>
  </si>
  <si>
    <t>CUST100382</t>
  </si>
  <si>
    <t>ORD200448</t>
  </si>
  <si>
    <t>CUST100145</t>
  </si>
  <si>
    <t>ORD200045</t>
  </si>
  <si>
    <t>ORD200829</t>
  </si>
  <si>
    <t>ORD201173</t>
  </si>
  <si>
    <t>CUST100120</t>
  </si>
  <si>
    <t>ORD202639</t>
  </si>
  <si>
    <t>CUST100211</t>
  </si>
  <si>
    <t>ORD202343</t>
  </si>
  <si>
    <t>CUST100820</t>
  </si>
  <si>
    <t>ORD202442</t>
  </si>
  <si>
    <t>ORD201436</t>
  </si>
  <si>
    <t>CUST100629</t>
  </si>
  <si>
    <t>ORD202703</t>
  </si>
  <si>
    <t>ORD201015</t>
  </si>
  <si>
    <t>ORD200120</t>
  </si>
  <si>
    <t>ORD201224</t>
  </si>
  <si>
    <t>CUST100786</t>
  </si>
  <si>
    <t>ORD200612</t>
  </si>
  <si>
    <t>CUST100028</t>
  </si>
  <si>
    <t>ORD203120</t>
  </si>
  <si>
    <t>ORD202065</t>
  </si>
  <si>
    <t>ORD202434</t>
  </si>
  <si>
    <t>CUST100521</t>
  </si>
  <si>
    <t>ORD200443</t>
  </si>
  <si>
    <t>CUST100280</t>
  </si>
  <si>
    <t>ORD201650</t>
  </si>
  <si>
    <t>ORD203091</t>
  </si>
  <si>
    <t>ORD201888</t>
  </si>
  <si>
    <t>CUST100134</t>
  </si>
  <si>
    <t>ORD202502</t>
  </si>
  <si>
    <t>Kolasib</t>
  </si>
  <si>
    <t>ORD201601</t>
  </si>
  <si>
    <t>ORD202725</t>
  </si>
  <si>
    <t>ORD202959</t>
  </si>
  <si>
    <t>ORD200790</t>
  </si>
  <si>
    <t>CUST100816</t>
  </si>
  <si>
    <t>ORD200149</t>
  </si>
  <si>
    <t>CUST100422</t>
  </si>
  <si>
    <t>ORD200980</t>
  </si>
  <si>
    <t>ORD201481</t>
  </si>
  <si>
    <t>ORD201517</t>
  </si>
  <si>
    <t>ORD201532</t>
  </si>
  <si>
    <t>CUST100170</t>
  </si>
  <si>
    <t>ORD201646</t>
  </si>
  <si>
    <t>CUST100671</t>
  </si>
  <si>
    <t>ORD202344</t>
  </si>
  <si>
    <t>CUST100527</t>
  </si>
  <si>
    <t>ORD202302</t>
  </si>
  <si>
    <t>ORD202370</t>
  </si>
  <si>
    <t>CUST100168</t>
  </si>
  <si>
    <t>ORD202641</t>
  </si>
  <si>
    <t>ORD201832</t>
  </si>
  <si>
    <t>CUST100247</t>
  </si>
  <si>
    <t>ORD200113</t>
  </si>
  <si>
    <t>ORD202517</t>
  </si>
  <si>
    <t>CUST100860</t>
  </si>
  <si>
    <t>ORD202141</t>
  </si>
  <si>
    <t>CUST100253</t>
  </si>
  <si>
    <t>ORD202542</t>
  </si>
  <si>
    <t>ORD200592</t>
  </si>
  <si>
    <t>ORD200751</t>
  </si>
  <si>
    <t>CUST100905</t>
  </si>
  <si>
    <t>ORD200060</t>
  </si>
  <si>
    <t>ORD203096</t>
  </si>
  <si>
    <t>ORD201870</t>
  </si>
  <si>
    <t>ORD201542</t>
  </si>
  <si>
    <t>CUST100323</t>
  </si>
  <si>
    <t>ORD201875</t>
  </si>
  <si>
    <t>ORD202653</t>
  </si>
  <si>
    <t>ORD201765</t>
  </si>
  <si>
    <t>CUST100993</t>
  </si>
  <si>
    <t>ORD200425</t>
  </si>
  <si>
    <t>ORD201450</t>
  </si>
  <si>
    <t>ORD200745</t>
  </si>
  <si>
    <t>CUST100086</t>
  </si>
  <si>
    <t>ORD201500</t>
  </si>
  <si>
    <t>ORD201741</t>
  </si>
  <si>
    <t>ORD202910</t>
  </si>
  <si>
    <t>CUST100983</t>
  </si>
  <si>
    <t>ORD202610</t>
  </si>
  <si>
    <t>ORD200984</t>
  </si>
  <si>
    <t>ORD200988</t>
  </si>
  <si>
    <t>ORD201142</t>
  </si>
  <si>
    <t>CUST100147</t>
  </si>
  <si>
    <t>ORD200549</t>
  </si>
  <si>
    <t>CUST100409</t>
  </si>
  <si>
    <t>ORD201709</t>
  </si>
  <si>
    <t>CUST100441</t>
  </si>
  <si>
    <t>ORD201880</t>
  </si>
  <si>
    <t>ORD202494</t>
  </si>
  <si>
    <t>CUST100403</t>
  </si>
  <si>
    <t>ORD201410</t>
  </si>
  <si>
    <t>ORD201731</t>
  </si>
  <si>
    <t>ORD202821</t>
  </si>
  <si>
    <t>CUST100676</t>
  </si>
  <si>
    <t>ORD203099</t>
  </si>
  <si>
    <t>ORD200381</t>
  </si>
  <si>
    <t>ORD200585</t>
  </si>
  <si>
    <t>ORD202117</t>
  </si>
  <si>
    <t>ORD200392</t>
  </si>
  <si>
    <t>ORD202176</t>
  </si>
  <si>
    <t>ORD201640</t>
  </si>
  <si>
    <t>ORD201514</t>
  </si>
  <si>
    <t>CUST100782</t>
  </si>
  <si>
    <t>ORD200357</t>
  </si>
  <si>
    <t>ORD201877</t>
  </si>
  <si>
    <t>CUST100053</t>
  </si>
  <si>
    <t>ORD201222</t>
  </si>
  <si>
    <t>ORD201806</t>
  </si>
  <si>
    <t>ORD200812</t>
  </si>
  <si>
    <t>ORD202814</t>
  </si>
  <si>
    <t>ORD202842</t>
  </si>
  <si>
    <t>ORD200561</t>
  </si>
  <si>
    <t>ORD201403</t>
  </si>
  <si>
    <t>ORD202052</t>
  </si>
  <si>
    <t>CUST100936</t>
  </si>
  <si>
    <t>ORD202751</t>
  </si>
  <si>
    <t>ORD201077</t>
  </si>
  <si>
    <t>ORD200948</t>
  </si>
  <si>
    <t>ORD202186</t>
  </si>
  <si>
    <t>ORD202931</t>
  </si>
  <si>
    <t>ORD200461</t>
  </si>
  <si>
    <t>ORD201115</t>
  </si>
  <si>
    <t>CUST100546</t>
  </si>
  <si>
    <t>ORD201823</t>
  </si>
  <si>
    <t>CUST100997</t>
  </si>
  <si>
    <t>ORD202255</t>
  </si>
  <si>
    <t>ORD201331</t>
  </si>
  <si>
    <t>ORD201521</t>
  </si>
  <si>
    <t>ORD201811</t>
  </si>
  <si>
    <t>CUST100623</t>
  </si>
  <si>
    <t>ORD201666</t>
  </si>
  <si>
    <t>ORD202365</t>
  </si>
  <si>
    <t>ORD200678</t>
  </si>
  <si>
    <t>ORD200231</t>
  </si>
  <si>
    <t>CUST100032</t>
  </si>
  <si>
    <t>ORD200097</t>
  </si>
  <si>
    <t>ORD202573</t>
  </si>
  <si>
    <t>CUST100236</t>
  </si>
  <si>
    <t>ORD200254</t>
  </si>
  <si>
    <t>ORD201042</t>
  </si>
  <si>
    <t>ORD201747</t>
  </si>
  <si>
    <t>ORD202767</t>
  </si>
  <si>
    <t>ORD200640</t>
  </si>
  <si>
    <t>Mangan</t>
  </si>
  <si>
    <t>ORD202366</t>
  </si>
  <si>
    <t>ORD200198</t>
  </si>
  <si>
    <t>ORD202763</t>
  </si>
  <si>
    <t>ORD200328</t>
  </si>
  <si>
    <t>ORD200954</t>
  </si>
  <si>
    <t>CUST100562</t>
  </si>
  <si>
    <t>ORD202818</t>
  </si>
  <si>
    <t>CUST100445</t>
  </si>
  <si>
    <t>ORD203146</t>
  </si>
  <si>
    <t>CUST100551</t>
  </si>
  <si>
    <t>ORD202386</t>
  </si>
  <si>
    <t>ORD200252</t>
  </si>
  <si>
    <t>CUST101018</t>
  </si>
  <si>
    <t>ORD200759</t>
  </si>
  <si>
    <t>ORD200189</t>
  </si>
  <si>
    <t>ORD202419</t>
  </si>
  <si>
    <t>ORD200272</t>
  </si>
  <si>
    <t>ORD202447</t>
  </si>
  <si>
    <t>ORD203089</t>
  </si>
  <si>
    <t>ORD202570</t>
  </si>
  <si>
    <t>CUST100725</t>
  </si>
  <si>
    <t>ORD201420</t>
  </si>
  <si>
    <t>ORD202754</t>
  </si>
  <si>
    <t>ORD201648</t>
  </si>
  <si>
    <t>ORD202674</t>
  </si>
  <si>
    <t>ORD200115</t>
  </si>
  <si>
    <t>ORD202940</t>
  </si>
  <si>
    <t>ORD200734</t>
  </si>
  <si>
    <t>ORD201927</t>
  </si>
  <si>
    <t>CUST100851</t>
  </si>
  <si>
    <t>ORD202327</t>
  </si>
  <si>
    <t>ORD200945</t>
  </si>
  <si>
    <t>ORD202180</t>
  </si>
  <si>
    <t>ORD202895</t>
  </si>
  <si>
    <t>CUST100423</t>
  </si>
  <si>
    <t>ORD201980</t>
  </si>
  <si>
    <t>ORD202672</t>
  </si>
  <si>
    <t>ORD202868</t>
  </si>
  <si>
    <t>CUST100444</t>
  </si>
  <si>
    <t>ORD200205</t>
  </si>
  <si>
    <t>ORD200910</t>
  </si>
  <si>
    <t>ORD202817</t>
  </si>
  <si>
    <t>CUST100358</t>
  </si>
  <si>
    <t>ORD201261</t>
  </si>
  <si>
    <t>CUST100418</t>
  </si>
  <si>
    <t>ORD201758</t>
  </si>
  <si>
    <t>CUST100123</t>
  </si>
  <si>
    <t>ORD201016</t>
  </si>
  <si>
    <t>ORD201087</t>
  </si>
  <si>
    <t>CUST100594</t>
  </si>
  <si>
    <t>ORD201467</t>
  </si>
  <si>
    <t>ORD202617</t>
  </si>
  <si>
    <t>CUST100722</t>
  </si>
  <si>
    <t>ORD202800</t>
  </si>
  <si>
    <t>CUST100056</t>
  </si>
  <si>
    <t>ORD203080</t>
  </si>
  <si>
    <t>ORD201458</t>
  </si>
  <si>
    <t>ORD202212</t>
  </si>
  <si>
    <t>ORD202987</t>
  </si>
  <si>
    <t>CUST100691</t>
  </si>
  <si>
    <t>ORD201350</t>
  </si>
  <si>
    <t>ORD200737</t>
  </si>
  <si>
    <t>ORD202072</t>
  </si>
  <si>
    <t>ORD200428</t>
  </si>
  <si>
    <t>ORD200445</t>
  </si>
  <si>
    <t>CUST100607</t>
  </si>
  <si>
    <t>ORD201668</t>
  </si>
  <si>
    <t>ORD200238</t>
  </si>
  <si>
    <t>ORD200468</t>
  </si>
  <si>
    <t>ORD200830</t>
  </si>
  <si>
    <t>CUST100232</t>
  </si>
  <si>
    <t>ORD200879</t>
  </si>
  <si>
    <t>CUST100494</t>
  </si>
  <si>
    <t>ORD200797</t>
  </si>
  <si>
    <t>ORD200898</t>
  </si>
  <si>
    <t>ORD200525</t>
  </si>
  <si>
    <t>ORD201372</t>
  </si>
  <si>
    <t>ORD200377</t>
  </si>
  <si>
    <t>CUST100761</t>
  </si>
  <si>
    <t>ORD202691</t>
  </si>
  <si>
    <t>CUST100452</t>
  </si>
  <si>
    <t>ORD200550</t>
  </si>
  <si>
    <t>ORD201284</t>
  </si>
  <si>
    <t>ORD202313</t>
  </si>
  <si>
    <t>ORD202809</t>
  </si>
  <si>
    <t>ORD201305</t>
  </si>
  <si>
    <t>ORD202014</t>
  </si>
  <si>
    <t>CUST100866</t>
  </si>
  <si>
    <t>ORD200521</t>
  </si>
  <si>
    <t>ORD200853</t>
  </si>
  <si>
    <t>ORD200300</t>
  </si>
  <si>
    <t>ORD201160</t>
  </si>
  <si>
    <t>ORD202022</t>
  </si>
  <si>
    <t>CUST100985</t>
  </si>
  <si>
    <t>ORD201419</t>
  </si>
  <si>
    <t>CUST100283</t>
  </si>
  <si>
    <t>ORD200904</t>
  </si>
  <si>
    <t>CUST100474</t>
  </si>
  <si>
    <t>ORD201782</t>
  </si>
  <si>
    <t>ORD200389</t>
  </si>
  <si>
    <t>ORD201944</t>
  </si>
  <si>
    <t>ORD203084</t>
  </si>
  <si>
    <t>ORD200976</t>
  </si>
  <si>
    <t>ORD201092</t>
  </si>
  <si>
    <t>CUST100642</t>
  </si>
  <si>
    <t>ORD202030</t>
  </si>
  <si>
    <t>ORD202490</t>
  </si>
  <si>
    <t>CUST101024</t>
  </si>
  <si>
    <t>ORD202260</t>
  </si>
  <si>
    <t>ORD201844</t>
  </si>
  <si>
    <t>ORD201597</t>
  </si>
  <si>
    <t>ORD201732</t>
  </si>
  <si>
    <t>ORD202463</t>
  </si>
  <si>
    <t>ORD200312</t>
  </si>
  <si>
    <t>ORD201869</t>
  </si>
  <si>
    <t>CUST100878</t>
  </si>
  <si>
    <t>ORD202250</t>
  </si>
  <si>
    <t>ORD200154</t>
  </si>
  <si>
    <t>ORD200901</t>
  </si>
  <si>
    <t>ORD202353</t>
  </si>
  <si>
    <t>CUST100381</t>
  </si>
  <si>
    <t>ORD202608</t>
  </si>
  <si>
    <t>ORD200724</t>
  </si>
  <si>
    <t>ORD203056</t>
  </si>
  <si>
    <t>ORD202532</t>
  </si>
  <si>
    <t>CUST100902</t>
  </si>
  <si>
    <t>ORD200665</t>
  </si>
  <si>
    <t>ORD202997</t>
  </si>
  <si>
    <t>CUST100953</t>
  </si>
  <si>
    <t>ORD200826</t>
  </si>
  <si>
    <t>ORD201243</t>
  </si>
  <si>
    <t>CUST100455</t>
  </si>
  <si>
    <t>ORD201619</t>
  </si>
  <si>
    <t>ORD201297</t>
  </si>
  <si>
    <t>CUST100148</t>
  </si>
  <si>
    <t>ORD201626</t>
  </si>
  <si>
    <t>ORD202919</t>
  </si>
  <si>
    <t>ORD202968</t>
  </si>
  <si>
    <t>ORD200982</t>
  </si>
  <si>
    <t>CUST100987</t>
  </si>
  <si>
    <t>ORD200994</t>
  </si>
  <si>
    <t>ORD200912</t>
  </si>
  <si>
    <t>ORD202727</t>
  </si>
  <si>
    <t>CUST100285</t>
  </si>
  <si>
    <t>ORD200839</t>
  </si>
  <si>
    <t>CUST101040</t>
  </si>
  <si>
    <t>ORD201196</t>
  </si>
  <si>
    <t>CUST100483</t>
  </si>
  <si>
    <t>ORD202209</t>
  </si>
  <si>
    <t>CUST100477</t>
  </si>
  <si>
    <t>ORD200573</t>
  </si>
  <si>
    <t>ORD202612</t>
  </si>
  <si>
    <t>CUST100269</t>
  </si>
  <si>
    <t>ORD200449</t>
  </si>
  <si>
    <t>ORD202451</t>
  </si>
  <si>
    <t>ORD201779</t>
  </si>
  <si>
    <t>CUST100601</t>
  </si>
  <si>
    <t>ORD201817</t>
  </si>
  <si>
    <t>ORD200209</t>
  </si>
  <si>
    <t>ORD201647</t>
  </si>
  <si>
    <t>ORD202841</t>
  </si>
  <si>
    <t>CUST100078</t>
  </si>
  <si>
    <t>ORD200670</t>
  </si>
  <si>
    <t>CUST100363</t>
  </si>
  <si>
    <t>ORD202233</t>
  </si>
  <si>
    <t>ORD202503</t>
  </si>
  <si>
    <t>ORD202306</t>
  </si>
  <si>
    <t>ORD201144</t>
  </si>
  <si>
    <t>ORD202823</t>
  </si>
  <si>
    <t>ORD202312</t>
  </si>
  <si>
    <t>ORD202847</t>
  </si>
  <si>
    <t>ORD200617</t>
  </si>
  <si>
    <t>ORD202708</t>
  </si>
  <si>
    <t>ORD200477</t>
  </si>
  <si>
    <t>CUST100099</t>
  </si>
  <si>
    <t>ORD200950</t>
  </si>
  <si>
    <t>ORD201971</t>
  </si>
  <si>
    <t>ORD202620</t>
  </si>
  <si>
    <t>CUST100075</t>
  </si>
  <si>
    <t>ORD200599</t>
  </si>
  <si>
    <t>ORD200555</t>
  </si>
  <si>
    <t>ORD200528</t>
  </si>
  <si>
    <t>ORD201057</t>
  </si>
  <si>
    <t>ORD201935</t>
  </si>
  <si>
    <t>CUST100300</t>
  </si>
  <si>
    <t>ORD202479</t>
  </si>
  <si>
    <t>CUST100024</t>
  </si>
  <si>
    <t>ORD201033</t>
  </si>
  <si>
    <t>ORD201245</t>
  </si>
  <si>
    <t>ORD201511</t>
  </si>
  <si>
    <t>ORD201617</t>
  </si>
  <si>
    <t>CUST100823</t>
  </si>
  <si>
    <t>ORD202645</t>
  </si>
  <si>
    <t>ORD202299</t>
  </si>
  <si>
    <t>ORD202051</t>
  </si>
  <si>
    <t>ORD201834</t>
  </si>
  <si>
    <t>ORD202951</t>
  </si>
  <si>
    <t>ORD200632</t>
  </si>
  <si>
    <t>ORD202597</t>
  </si>
  <si>
    <t>ORD200277</t>
  </si>
  <si>
    <t>ORD202400</t>
  </si>
  <si>
    <t>ORD200353</t>
  </si>
  <si>
    <t>CUST100742</t>
  </si>
  <si>
    <t>ORD201975</t>
  </si>
  <si>
    <t>ORD202118</t>
  </si>
  <si>
    <t>ORD202566</t>
  </si>
  <si>
    <t>ORD200974</t>
  </si>
  <si>
    <t>ORD201117</t>
  </si>
  <si>
    <t>ORD202474</t>
  </si>
  <si>
    <t>ORD200074</t>
  </si>
  <si>
    <t>ORD200315</t>
  </si>
  <si>
    <t>ORD201195</t>
  </si>
  <si>
    <t>ORD202163</t>
  </si>
  <si>
    <t>CUST100571</t>
  </si>
  <si>
    <t>ORD203085</t>
  </si>
  <si>
    <t>CUST100430</t>
  </si>
  <si>
    <t>ORD200816</t>
  </si>
  <si>
    <t>CUST100366</t>
  </si>
  <si>
    <t>ORD200964</t>
  </si>
  <si>
    <t>ORD202078</t>
  </si>
  <si>
    <t>ORD201327</t>
  </si>
  <si>
    <t>ORD200206</t>
  </si>
  <si>
    <t>ORD200429</t>
  </si>
  <si>
    <t>ORD201524</t>
  </si>
  <si>
    <t>CUST101042</t>
  </si>
  <si>
    <t>ORD202204</t>
  </si>
  <si>
    <t>ORD200420</t>
  </si>
  <si>
    <t>CUST100257</t>
  </si>
  <si>
    <t>ORD201997</t>
  </si>
  <si>
    <t>ORD201344</t>
  </si>
  <si>
    <t>CUST100880</t>
  </si>
  <si>
    <t>ORD201704</t>
  </si>
  <si>
    <t>ORD202860</t>
  </si>
  <si>
    <t>CUST100739</t>
  </si>
  <si>
    <t>ORD202379</t>
  </si>
  <si>
    <t>ORD201110</t>
  </si>
  <si>
    <t>CUST100362</t>
  </si>
  <si>
    <t>ORD202680</t>
  </si>
  <si>
    <t>ORD201086</t>
  </si>
  <si>
    <t>ORD202457</t>
  </si>
  <si>
    <t>ORD201722</t>
  </si>
  <si>
    <t>CUST100287</t>
  </si>
  <si>
    <t>ORD200802</t>
  </si>
  <si>
    <t>ORD200628</t>
  </si>
  <si>
    <t>CUST100653</t>
  </si>
  <si>
    <t>ORD200030</t>
  </si>
  <si>
    <t>ORD201318</t>
  </si>
  <si>
    <t>ORD202020</t>
  </si>
  <si>
    <t>CUST100038</t>
  </si>
  <si>
    <t>ORD202537</t>
  </si>
  <si>
    <t>ORD201358</t>
  </si>
  <si>
    <t>ORD201541</t>
  </si>
  <si>
    <t>ORD200657</t>
  </si>
  <si>
    <t>CUST100716</t>
  </si>
  <si>
    <t>ORD201188</t>
  </si>
  <si>
    <t>CUST100550</t>
  </si>
  <si>
    <t>ORD202711</t>
  </si>
  <si>
    <t>ORD201279</t>
  </si>
  <si>
    <t>ORD200308</t>
  </si>
  <si>
    <t>CUST100891</t>
  </si>
  <si>
    <t>ORD201258</t>
  </si>
  <si>
    <t>CUST100383</t>
  </si>
  <si>
    <t>ORD202642</t>
  </si>
  <si>
    <t>ORD202921</t>
  </si>
  <si>
    <t>ORD200378</t>
  </si>
  <si>
    <t>CUST100248</t>
  </si>
  <si>
    <t>ORD202253</t>
  </si>
  <si>
    <t>ORD202170</t>
  </si>
  <si>
    <t>ORD202431</t>
  </si>
  <si>
    <t>ORD200625</t>
  </si>
  <si>
    <t>ORD202081</t>
  </si>
  <si>
    <t>ORD202420</t>
  </si>
  <si>
    <t>ORD202807</t>
  </si>
  <si>
    <t>ORD200010</t>
  </si>
  <si>
    <t>CUST100496</t>
  </si>
  <si>
    <t>ORD202070</t>
  </si>
  <si>
    <t>ORD201797</t>
  </si>
  <si>
    <t>CUST100684</t>
  </si>
  <si>
    <t>ORD200142</t>
  </si>
  <si>
    <t>ORD201214</t>
  </si>
  <si>
    <t>ORD202330</t>
  </si>
  <si>
    <t>ORD200058</t>
  </si>
  <si>
    <t>CUST100854</t>
  </si>
  <si>
    <t>ORD201841</t>
  </si>
  <si>
    <t>CUST100837</t>
  </si>
  <si>
    <t>ORD202421</t>
  </si>
  <si>
    <t>CUST100167</t>
  </si>
  <si>
    <t>ORD202519</t>
  </si>
  <si>
    <t>ORD201379</t>
  </si>
  <si>
    <t>ORD202652</t>
  </si>
  <si>
    <t>ORD202844</t>
  </si>
  <si>
    <t>CUST100644</t>
  </si>
  <si>
    <t>ORD200459</t>
  </si>
  <si>
    <t>ORD200466</t>
  </si>
  <si>
    <t>CUST100552</t>
  </si>
  <si>
    <t>ORD201907</t>
  </si>
  <si>
    <t>ORD200531</t>
  </si>
  <si>
    <t>CUST100735</t>
  </si>
  <si>
    <t>ORD202352</t>
  </si>
  <si>
    <t>ORD202194</t>
  </si>
  <si>
    <t>ORD203019</t>
  </si>
  <si>
    <t>ORD200316</t>
  </si>
  <si>
    <t>ORD201726</t>
  </si>
  <si>
    <t>CUST100200</t>
  </si>
  <si>
    <t>ORD202556</t>
  </si>
  <si>
    <t>ORD201981</t>
  </si>
  <si>
    <t>ORD202241</t>
  </si>
  <si>
    <t>ORD202853</t>
  </si>
  <si>
    <t>ORD201781</t>
  </si>
  <si>
    <t>ORD201986</t>
  </si>
  <si>
    <t>ORD202747</t>
  </si>
  <si>
    <t>CUST100304</t>
  </si>
  <si>
    <t>ORD202786</t>
  </si>
  <si>
    <t>ORD202429</t>
  </si>
  <si>
    <t>CUST100790</t>
  </si>
  <si>
    <t>ORD202498</t>
  </si>
  <si>
    <t>ORD202909</t>
  </si>
  <si>
    <t>CUST101014</t>
  </si>
  <si>
    <t>ORD202495</t>
  </si>
  <si>
    <t>ORD202798</t>
  </si>
  <si>
    <t>ORD200200</t>
  </si>
  <si>
    <t>ORD200609</t>
  </si>
  <si>
    <t>ORD201795</t>
  </si>
  <si>
    <t>ORD202143</t>
  </si>
  <si>
    <t>ORD202765</t>
  </si>
  <si>
    <t>ORD201029</t>
  </si>
  <si>
    <t>CUST100140</t>
  </si>
  <si>
    <t>ORD200091</t>
  </si>
  <si>
    <t>CUST100507</t>
  </si>
  <si>
    <t>ORD202296</t>
  </si>
  <si>
    <t>ORD202872</t>
  </si>
  <si>
    <t>ORD200242</t>
  </si>
  <si>
    <t>ORD200409</t>
  </si>
  <si>
    <t>ORD200092</t>
  </si>
  <si>
    <t>CUST100941</t>
  </si>
  <si>
    <t>ORD200704</t>
  </si>
  <si>
    <t>ORD200858</t>
  </si>
  <si>
    <t>ORD200453</t>
  </si>
  <si>
    <t>ORD200883</t>
  </si>
  <si>
    <t>CUST100843</t>
  </si>
  <si>
    <t>ORD201987</t>
  </si>
  <si>
    <t>ORD202150</t>
  </si>
  <si>
    <t>ORD201639</t>
  </si>
  <si>
    <t>ORD202762</t>
  </si>
  <si>
    <t>ORD202902</t>
  </si>
  <si>
    <t>ORD200854</t>
  </si>
  <si>
    <t>ORD202071</t>
  </si>
  <si>
    <t>CUST100751</t>
  </si>
  <si>
    <t>ORD201230</t>
  </si>
  <si>
    <t>CUST100429</t>
  </si>
  <si>
    <t>ORD200532</t>
  </si>
  <si>
    <t>CUST100783</t>
  </si>
  <si>
    <t>ORD201019</t>
  </si>
  <si>
    <t>CUST100217</t>
  </si>
  <si>
    <t>ORD202001</t>
  </si>
  <si>
    <t>ORD200237</t>
  </si>
  <si>
    <t>CUST100668</t>
  </si>
  <si>
    <t>ORD201592</t>
  </si>
  <si>
    <t>ORD202547</t>
  </si>
  <si>
    <t>CUST100456</t>
  </si>
  <si>
    <t>ORD202865</t>
  </si>
  <si>
    <t>ORD200364</t>
  </si>
  <si>
    <t>ORD202293</t>
  </si>
  <si>
    <t>ORD202788</t>
  </si>
  <si>
    <t>ORD202985</t>
  </si>
  <si>
    <t>CUST100459</t>
  </si>
  <si>
    <t>ORD200554</t>
  </si>
  <si>
    <t>ORD200702</t>
  </si>
  <si>
    <t>CUST100506</t>
  </si>
  <si>
    <t>ORD200043</t>
  </si>
  <si>
    <t>ORD200800</t>
  </si>
  <si>
    <t>CUST100734</t>
  </si>
  <si>
    <t>ORD200888</t>
  </si>
  <si>
    <t>ORD201437</t>
  </si>
  <si>
    <t>CUST100020</t>
  </si>
  <si>
    <t>ORD201884</t>
  </si>
  <si>
    <t>CUST100797</t>
  </si>
  <si>
    <t>ORD200087</t>
  </si>
  <si>
    <t>ORD200841</t>
  </si>
  <si>
    <t>ORD200162</t>
  </si>
  <si>
    <t>ORD201642</t>
  </si>
  <si>
    <t>ORD202333</t>
  </si>
  <si>
    <t>ORD200049</t>
  </si>
  <si>
    <t>CUST100665</t>
  </si>
  <si>
    <t>ORD200843</t>
  </si>
  <si>
    <t>ORD201216</t>
  </si>
  <si>
    <t>ORD200072</t>
  </si>
  <si>
    <t>ORD200464</t>
  </si>
  <si>
    <t>ORD202148</t>
  </si>
  <si>
    <t>CUST100563</t>
  </si>
  <si>
    <t>ORD202552</t>
  </si>
  <si>
    <t>CUST100865</t>
  </si>
  <si>
    <t>ORD202769</t>
  </si>
  <si>
    <t>ORD200015</t>
  </si>
  <si>
    <t>ORD200417</t>
  </si>
  <si>
    <t>ORD201678</t>
  </si>
  <si>
    <t>CUST100923</t>
  </si>
  <si>
    <t>ORD200862</t>
  </si>
  <si>
    <t>ORD202016</t>
  </si>
  <si>
    <t>ORD202748</t>
  </si>
  <si>
    <t>CUST101003</t>
  </si>
  <si>
    <t>ORD201655</t>
  </si>
  <si>
    <t>ORD200267</t>
  </si>
  <si>
    <t>ORD200070</t>
  </si>
  <si>
    <t>ORD200331</t>
  </si>
  <si>
    <t>ORD202011</t>
  </si>
  <si>
    <t>ORD203121</t>
  </si>
  <si>
    <t>ORD200019</t>
  </si>
  <si>
    <t>CUST100802</t>
  </si>
  <si>
    <t>ORD200382</t>
  </si>
  <si>
    <t>CUST100682</t>
  </si>
  <si>
    <t>ORD201533</t>
  </si>
  <si>
    <t>CUST100743</t>
  </si>
  <si>
    <t>ORD200986</t>
  </si>
  <si>
    <t>ORD202746</t>
  </si>
  <si>
    <t>CUST100626</t>
  </si>
  <si>
    <t>ORD200962</t>
  </si>
  <si>
    <t>ORD200422</t>
  </si>
  <si>
    <t>ORD202883</t>
  </si>
  <si>
    <t>CUST100128</t>
  </si>
  <si>
    <t>ORD202977</t>
  </si>
  <si>
    <t>ORD202458</t>
  </si>
  <si>
    <t>ORD201518</t>
  </si>
  <si>
    <t>ORD203144</t>
  </si>
  <si>
    <t>CUST100437</t>
  </si>
  <si>
    <t>ORD202942</t>
  </si>
  <si>
    <t>ORD200065</t>
  </si>
  <si>
    <t>ORD202526</t>
  </si>
  <si>
    <t>ORD201168</t>
  </si>
  <si>
    <t>ORD201402</t>
  </si>
  <si>
    <t>CUST100408</t>
  </si>
  <si>
    <t>ORD202619</t>
  </si>
  <si>
    <t>ORD202600</t>
  </si>
  <si>
    <t>CUST100606</t>
  </si>
  <si>
    <t>ORD202644</t>
  </si>
  <si>
    <t>ORD201773</t>
  </si>
  <si>
    <t>ORD201948</t>
  </si>
  <si>
    <t>CUST100266</t>
  </si>
  <si>
    <t>ORD202323</t>
  </si>
  <si>
    <t>CUST100523</t>
  </si>
  <si>
    <t>ORD200909</t>
  </si>
  <si>
    <t>CUST100954</t>
  </si>
  <si>
    <t>ORD201104</t>
  </si>
  <si>
    <t>ORD202095</t>
  </si>
  <si>
    <t>CUST100530</t>
  </si>
  <si>
    <t>ORD202146</t>
  </si>
  <si>
    <t>CUST100784</t>
  </si>
  <si>
    <t>ORD200059</t>
  </si>
  <si>
    <t>ORD202955</t>
  </si>
  <si>
    <t>ORD201719</t>
  </si>
  <si>
    <t>ORD200273</t>
  </si>
  <si>
    <t>ORD201165</t>
  </si>
  <si>
    <t>ORD201342</t>
  </si>
  <si>
    <t>CUST100105</t>
  </si>
  <si>
    <t>ORD201653</t>
  </si>
  <si>
    <t>ORD201853</t>
  </si>
  <si>
    <t>ORD201896</t>
  </si>
  <si>
    <t>ORD202243</t>
  </si>
  <si>
    <t>ORD201125</t>
  </si>
  <si>
    <t>ORD202412</t>
  </si>
  <si>
    <t>CUST100380</t>
  </si>
  <si>
    <t>ORD202813</t>
  </si>
  <si>
    <t>ORD200012</t>
  </si>
  <si>
    <t>CUST100096</t>
  </si>
  <si>
    <t>ORD200190</t>
  </si>
  <si>
    <t>ORD200507</t>
  </si>
  <si>
    <t>CUST100675</t>
  </si>
  <si>
    <t>ORD201013</t>
  </si>
  <si>
    <t>ORD200646</t>
  </si>
  <si>
    <t>CUST100832</t>
  </si>
  <si>
    <t>ORD202183</t>
  </si>
  <si>
    <t>ORD202267</t>
  </si>
  <si>
    <t>CUST100828</t>
  </si>
  <si>
    <t>ORD202966</t>
  </si>
  <si>
    <t>CUST100803</t>
  </si>
  <si>
    <t>ORD200845</t>
  </si>
  <si>
    <t>ORD201149</t>
  </si>
  <si>
    <t>ORD200139</t>
  </si>
  <si>
    <t>ORD200601</t>
  </si>
  <si>
    <t>ORD200227</t>
  </si>
  <si>
    <t>ORD201512</t>
  </si>
  <si>
    <t>ORD200388</t>
  </si>
  <si>
    <t>CUST100677</t>
  </si>
  <si>
    <t>ORD202187</t>
  </si>
  <si>
    <t>ORD202863</t>
  </si>
  <si>
    <t>CUST100107</t>
  </si>
  <si>
    <t>ORD203016</t>
  </si>
  <si>
    <t>ORD203005</t>
  </si>
  <si>
    <t>ORD200103</t>
  </si>
  <si>
    <t>ORD203010</t>
  </si>
  <si>
    <t>CUST100989</t>
  </si>
  <si>
    <t>ORD201492</t>
  </si>
  <si>
    <t>ORD201803</t>
  </si>
  <si>
    <t>ORD200214</t>
  </si>
  <si>
    <t>ORD201447</t>
  </si>
  <si>
    <t>ORD201575</t>
  </si>
  <si>
    <t>ORD201857</t>
  </si>
  <si>
    <t>ORD202688</t>
  </si>
  <si>
    <t>ORD202054</t>
  </si>
  <si>
    <t>ORD201353</t>
  </si>
  <si>
    <t>ORD202793</t>
  </si>
  <si>
    <t>ORD200256</t>
  </si>
  <si>
    <t>ORD200488</t>
  </si>
  <si>
    <t>ORD201332</t>
  </si>
  <si>
    <t>ORD202894</t>
  </si>
  <si>
    <t>ORD201819</t>
  </si>
  <si>
    <t>ORD202045</t>
  </si>
  <si>
    <t>ORD203025</t>
  </si>
  <si>
    <t>ORD201942</t>
  </si>
  <si>
    <t>ORD201965</t>
  </si>
  <si>
    <t>ORD201553</t>
  </si>
  <si>
    <t>ORD201654</t>
  </si>
  <si>
    <t>ORD203130</t>
  </si>
  <si>
    <t>ORD201963</t>
  </si>
  <si>
    <t>ORD200100</t>
  </si>
  <si>
    <t>ORD200618</t>
  </si>
  <si>
    <t>CUST100302</t>
  </si>
  <si>
    <t>ORD201367</t>
  </si>
  <si>
    <t>ORD201438</t>
  </si>
  <si>
    <t>ORD200029</t>
  </si>
  <si>
    <t>CUST100852</t>
  </si>
  <si>
    <t>ORD202086</t>
  </si>
  <si>
    <t>ORD201835</t>
  </si>
  <si>
    <t>CUST100780</t>
  </si>
  <si>
    <t>ORD202799</t>
  </si>
  <si>
    <t>ORD202972</t>
  </si>
  <si>
    <t>ORD203150</t>
  </si>
  <si>
    <t>ORD200753</t>
  </si>
  <si>
    <t>ORD200944</t>
  </si>
  <si>
    <t>ORD201881</t>
  </si>
  <si>
    <t>ORD202318</t>
  </si>
  <si>
    <t>ORD202496</t>
  </si>
  <si>
    <t>ORD201585</t>
  </si>
  <si>
    <t>CUST100204</t>
  </si>
  <si>
    <t>ORD202278</t>
  </si>
  <si>
    <t>ORD200613</t>
  </si>
  <si>
    <t>ORD200603</t>
  </si>
  <si>
    <t>ORD202280</t>
  </si>
  <si>
    <t>ORD200018</t>
  </si>
  <si>
    <t>ORD200258</t>
  </si>
  <si>
    <t>ORD201675</t>
  </si>
  <si>
    <t>ORD202697</t>
  </si>
  <si>
    <t>CUST100127</t>
  </si>
  <si>
    <t>ORD200404</t>
  </si>
  <si>
    <t>ORD202941</t>
  </si>
  <si>
    <t>ORD201156</t>
  </si>
  <si>
    <t>ORD201006</t>
  </si>
  <si>
    <t>ORD200031</t>
  </si>
  <si>
    <t>ORD202332</t>
  </si>
  <si>
    <t>ORD200301</t>
  </si>
  <si>
    <t>ORD201770</t>
  </si>
  <si>
    <t>ORD203103</t>
  </si>
  <si>
    <t>CUST100861</t>
  </si>
  <si>
    <t>ORD201281</t>
  </si>
  <si>
    <t>ORD200133</t>
  </si>
  <si>
    <t>ORD200772</t>
  </si>
  <si>
    <t>ORD201863</t>
  </si>
  <si>
    <t>ORD202719</t>
  </si>
  <si>
    <t>ORD203051</t>
  </si>
  <si>
    <t>CUST100775</t>
  </si>
  <si>
    <t>ORD200309</t>
  </si>
  <si>
    <t>ORD203046</t>
  </si>
  <si>
    <t>ORD202574</t>
  </si>
  <si>
    <t>ORD203160</t>
  </si>
  <si>
    <t>ORD200569</t>
  </si>
  <si>
    <t>ORD202009</t>
  </si>
  <si>
    <t>ORD202208</t>
  </si>
  <si>
    <t>ORD200310</t>
  </si>
  <si>
    <t>CUST100845</t>
  </si>
  <si>
    <t>ORD201460</t>
  </si>
  <si>
    <t>ORD201583</t>
  </si>
  <si>
    <t>ORD202276</t>
  </si>
  <si>
    <t>CUST100711</t>
  </si>
  <si>
    <t>ORD200427</t>
  </si>
  <si>
    <t>ORD202178</t>
  </si>
  <si>
    <t>ORD202531</t>
  </si>
  <si>
    <t>CUST100620</t>
  </si>
  <si>
    <t>ORD200057</t>
  </si>
  <si>
    <t>ORD200768</t>
  </si>
  <si>
    <t>CUST100520</t>
  </si>
  <si>
    <t>ORD201627</t>
  </si>
  <si>
    <t>ORD201545</t>
  </si>
  <si>
    <t>ORD201289</t>
  </si>
  <si>
    <t>ORD200798</t>
  </si>
  <si>
    <t>ORD200896</t>
  </si>
  <si>
    <t>ORD202539</t>
  </si>
  <si>
    <t>ORD201605</t>
  </si>
  <si>
    <t>CUST100862</t>
  </si>
  <si>
    <t>ORD200159</t>
  </si>
  <si>
    <t>CUST100464</t>
  </si>
  <si>
    <t>ORD200519</t>
  </si>
  <si>
    <t>ORD200698</t>
  </si>
  <si>
    <t>ORD200715</t>
  </si>
  <si>
    <t>ORD201702</t>
  </si>
  <si>
    <t>ORD201739</t>
  </si>
  <si>
    <t>ORD200358</t>
  </si>
  <si>
    <t>ORD203090</t>
  </si>
  <si>
    <t>ORD200860</t>
  </si>
  <si>
    <t>ORD202413</t>
  </si>
  <si>
    <t>ORD201860</t>
  </si>
  <si>
    <t>CUST100815</t>
  </si>
  <si>
    <t>ORD202288</t>
  </si>
  <si>
    <t>ORD200536</t>
  </si>
  <si>
    <t>ORD200201</t>
  </si>
  <si>
    <t>ORD200504</t>
  </si>
  <si>
    <t>CUST100855</t>
  </si>
  <si>
    <t>ORD201337</t>
  </si>
  <si>
    <t>ORD200882</t>
  </si>
  <si>
    <t>CUST101047</t>
  </si>
  <si>
    <t>ORD201238</t>
  </si>
  <si>
    <t>CUST100125</t>
  </si>
  <si>
    <t>ORD201461</t>
  </si>
  <si>
    <t>ORD201034</t>
  </si>
  <si>
    <t>ORD200730</t>
  </si>
  <si>
    <t>ORD202074</t>
  </si>
  <si>
    <t>ORD202100</t>
  </si>
  <si>
    <t>ORD200767</t>
  </si>
  <si>
    <t>ORD202076</t>
  </si>
  <si>
    <t>ORD200395</t>
  </si>
  <si>
    <t>ORD201007</t>
  </si>
  <si>
    <t>ORD202871</t>
  </si>
  <si>
    <t>ORD200720</t>
  </si>
  <si>
    <t>ORD202470</t>
  </si>
  <si>
    <t>ORD201506</t>
  </si>
  <si>
    <t>CUST100045</t>
  </si>
  <si>
    <t>ORD200403</t>
  </si>
  <si>
    <t>CUST100608</t>
  </si>
  <si>
    <t>ORD201529</t>
  </si>
  <si>
    <t>ORD202217</t>
  </si>
  <si>
    <t>ORD200132</t>
  </si>
  <si>
    <t>ORD200946</t>
  </si>
  <si>
    <t>ORD201546</t>
  </si>
  <si>
    <t>ORD202476</t>
  </si>
  <si>
    <t>ORD202651</t>
  </si>
  <si>
    <t>ORD201800</t>
  </si>
  <si>
    <t>CUST100625</t>
  </si>
  <si>
    <t>ORD202734</t>
  </si>
  <si>
    <t>CUST100294</t>
  </si>
  <si>
    <t>ORD200728</t>
  </si>
  <si>
    <t>ORD202274</t>
  </si>
  <si>
    <t>ORD200661</t>
  </si>
  <si>
    <t>ORD200361</t>
  </si>
  <si>
    <t>ORD201082</t>
  </si>
  <si>
    <t>ORD201451</t>
  </si>
  <si>
    <t>ORD202102</t>
  </si>
  <si>
    <t>ORD202839</t>
  </si>
  <si>
    <t>ORD202221</t>
  </si>
  <si>
    <t>ORD202667</t>
  </si>
  <si>
    <t>ORD200450</t>
  </si>
  <si>
    <t>ORD201827</t>
  </si>
  <si>
    <t>ORD201906</t>
  </si>
  <si>
    <t>ORD200034</t>
  </si>
  <si>
    <t>ORD200327</t>
  </si>
  <si>
    <t>ORD201244</t>
  </si>
  <si>
    <t>CUST100374</t>
  </si>
  <si>
    <t>ORD201456</t>
  </si>
  <si>
    <t>ORD202528</t>
  </si>
  <si>
    <t>ORD202780</t>
  </si>
  <si>
    <t>ORD200979</t>
  </si>
  <si>
    <t>ORD201513</t>
  </si>
  <si>
    <t>ORD200731</t>
  </si>
  <si>
    <t>CUST100400</t>
  </si>
  <si>
    <t>ORD201547</t>
  </si>
  <si>
    <t>ORD202220</t>
  </si>
  <si>
    <t>ORD200028</t>
  </si>
  <si>
    <t>ORD201699</t>
  </si>
  <si>
    <t>CUST100988</t>
  </si>
  <si>
    <t>ORD202808</t>
  </si>
  <si>
    <t>CUST100830</t>
  </si>
  <si>
    <t>ORD202415</t>
  </si>
  <si>
    <t>ORD200274</t>
  </si>
  <si>
    <t>ORD200275</t>
  </si>
  <si>
    <t>CUST100199</t>
  </si>
  <si>
    <t>ORD201295</t>
  </si>
  <si>
    <t>CUST101013</t>
  </si>
  <si>
    <t>ORD202273</t>
  </si>
  <si>
    <t>CUST100223</t>
  </si>
  <si>
    <t>ORD200419</t>
  </si>
  <si>
    <t>ORD200490</t>
  </si>
  <si>
    <t>ORD202320</t>
  </si>
  <si>
    <t>ORD202914</t>
  </si>
  <si>
    <t>CUST100003</t>
  </si>
  <si>
    <t>ORD200152</t>
  </si>
  <si>
    <t>ORD200914</t>
  </si>
  <si>
    <t>ORD201550</t>
  </si>
  <si>
    <t>ORD202492</t>
  </si>
  <si>
    <t>ORD200204</t>
  </si>
  <si>
    <t>ORD201294</t>
  </si>
  <si>
    <t>ORD202551</t>
  </si>
  <si>
    <t>ORD200241</t>
  </si>
  <si>
    <t>ORD201399</t>
  </si>
  <si>
    <t>ORD201695</t>
  </si>
  <si>
    <t>ORD202471</t>
  </si>
  <si>
    <t>ORD202973</t>
  </si>
  <si>
    <t>ORD200556</t>
  </si>
  <si>
    <t>ORD200786</t>
  </si>
  <si>
    <t>ORD201074</t>
  </si>
  <si>
    <t>ORD201692</t>
  </si>
  <si>
    <t>CUST100673</t>
  </si>
  <si>
    <t>ORD202252</t>
  </si>
  <si>
    <t>ORD202308</t>
  </si>
  <si>
    <t>ORD202638</t>
  </si>
  <si>
    <t>ORD202970</t>
  </si>
  <si>
    <t>ORD201066</t>
  </si>
  <si>
    <t>ORD202038</t>
  </si>
  <si>
    <t>ORD203048</t>
  </si>
  <si>
    <t>ORD202435</t>
  </si>
  <si>
    <t>CUST100868</t>
  </si>
  <si>
    <t>ORD200279</t>
  </si>
  <si>
    <t>ORD202569</t>
  </si>
  <si>
    <t>CUST101044</t>
  </si>
  <si>
    <t>ORD200616</t>
  </si>
  <si>
    <t>ORD200821</t>
  </si>
  <si>
    <t>ORD202640</t>
  </si>
  <si>
    <t>ORD200213</t>
  </si>
  <si>
    <t>ORD200473</t>
  </si>
  <si>
    <t>ORD203106</t>
  </si>
  <si>
    <t>CUST100573</t>
  </si>
  <si>
    <t>ORD201138</t>
  </si>
  <si>
    <t>ORD201826</t>
  </si>
  <si>
    <t>CUST100198</t>
  </si>
  <si>
    <t>ORD201928</t>
  </si>
  <si>
    <t>ORD200679</t>
  </si>
  <si>
    <t>ORD200806</t>
  </si>
  <si>
    <t>ORD201577</t>
  </si>
  <si>
    <t>ORD200135</t>
  </si>
  <si>
    <t>CUST100533</t>
  </si>
  <si>
    <t>ORD201050</t>
  </si>
  <si>
    <t>ORD200629</t>
  </si>
  <si>
    <t>ORD201204</t>
  </si>
  <si>
    <t>ORD201967</t>
  </si>
  <si>
    <t>ORD201376</t>
  </si>
  <si>
    <t>ORD201783</t>
  </si>
  <si>
    <t>ORD201061</t>
  </si>
  <si>
    <t>ORD202456</t>
  </si>
  <si>
    <t>ORD202943</t>
  </si>
  <si>
    <t>ORD201041</t>
  </si>
  <si>
    <t>ORD200890</t>
  </si>
  <si>
    <t>ORD202322</t>
  </si>
  <si>
    <t>ORD200354</t>
  </si>
  <si>
    <t>CUST101002</t>
  </si>
  <si>
    <t>ORD201737</t>
  </si>
  <si>
    <t>ORD202971</t>
  </si>
  <si>
    <t>ORD200972</t>
  </si>
  <si>
    <t>ORD200406</t>
  </si>
  <si>
    <t>ORD200375</t>
  </si>
  <si>
    <t>ORD201227</t>
  </si>
  <si>
    <t>ORD201248</t>
  </si>
  <si>
    <t>ORD202286</t>
  </si>
  <si>
    <t>CUST100173</t>
  </si>
  <si>
    <t>ORD203076</t>
  </si>
  <si>
    <t>ORD201990</t>
  </si>
  <si>
    <t>ORD201473</t>
  </si>
  <si>
    <t>ORD200052</t>
  </si>
  <si>
    <t>ORD202782</t>
  </si>
  <si>
    <t>CUST100603</t>
  </si>
  <si>
    <t>ORD201734</t>
  </si>
  <si>
    <t>ORD202766</t>
  </si>
  <si>
    <t>ORD201969</t>
  </si>
  <si>
    <t>ORD201377</t>
  </si>
  <si>
    <t>ORD201560</t>
  </si>
  <si>
    <t>CUST100765</t>
  </si>
  <si>
    <t>ORD202714</t>
  </si>
  <si>
    <t>ORD202846</t>
  </si>
  <si>
    <t>ORD200755</t>
  </si>
  <si>
    <t>ORD201483</t>
  </si>
  <si>
    <t>ORD202811</t>
  </si>
  <si>
    <t>ORD202263</t>
  </si>
  <si>
    <t>ORD200447</t>
  </si>
  <si>
    <t>ORD200567</t>
  </si>
  <si>
    <t>ORD202825</t>
  </si>
  <si>
    <t>ORD203136</t>
  </si>
  <si>
    <t>CUST101043</t>
  </si>
  <si>
    <t>ORD201393</t>
  </si>
  <si>
    <t>ORD201743</t>
  </si>
  <si>
    <t>ORD201968</t>
  </si>
  <si>
    <t>ORD201851</t>
  </si>
  <si>
    <t>ORD202032</t>
  </si>
  <si>
    <t>ORD200457</t>
  </si>
  <si>
    <t>CUST100814</t>
  </si>
  <si>
    <t>ORD202722</t>
  </si>
  <si>
    <t>CUST100365</t>
  </si>
  <si>
    <t>ORD200961</t>
  </si>
  <si>
    <t>ORD203086</t>
  </si>
  <si>
    <t>CUST100348</t>
  </si>
  <si>
    <t>ORD200260</t>
  </si>
  <si>
    <t>ORD200867</t>
  </si>
  <si>
    <t>ORD202328</t>
  </si>
  <si>
    <t>ORD202461</t>
  </si>
  <si>
    <t>ORD201472</t>
  </si>
  <si>
    <t>CUST100819</t>
  </si>
  <si>
    <t>ORD202962</t>
  </si>
  <si>
    <t>ORD202986</t>
  </si>
  <si>
    <t>CUST100834</t>
  </si>
  <si>
    <t>ORD201361</t>
  </si>
  <si>
    <t>ORD202613</t>
  </si>
  <si>
    <t>ORD201643</t>
  </si>
  <si>
    <t>ORD202723</t>
  </si>
  <si>
    <t>CUST100438</t>
  </si>
  <si>
    <t>ORD203116</t>
  </si>
  <si>
    <t>ORD200374</t>
  </si>
  <si>
    <t>CUST100450</t>
  </si>
  <si>
    <t>ORD202223</t>
  </si>
  <si>
    <t>ORD202875</t>
  </si>
  <si>
    <t>ORD200208</t>
  </si>
  <si>
    <t>ORD201829</t>
  </si>
  <si>
    <t>ORD202833</t>
  </si>
  <si>
    <t>CUST100964</t>
  </si>
  <si>
    <t>ORD202928</t>
  </si>
  <si>
    <t>ORD200658</t>
  </si>
  <si>
    <t>CUST101019</t>
  </si>
  <si>
    <t>ORD201606</t>
  </si>
  <si>
    <t>CUST100831</t>
  </si>
  <si>
    <t>ORD202127</t>
  </si>
  <si>
    <t>ORD203156</t>
  </si>
  <si>
    <t>CUST100042</t>
  </si>
  <si>
    <t>ORD202553</t>
  </si>
  <si>
    <t>ORD201056</t>
  </si>
  <si>
    <t>ORD201756</t>
  </si>
  <si>
    <t>CUST100364</t>
  </si>
  <si>
    <t>ORD200501</t>
  </si>
  <si>
    <t>CUST100349</t>
  </si>
  <si>
    <t>ORD200631</t>
  </si>
  <si>
    <t>ORD200559</t>
  </si>
  <si>
    <t>ORD202349</t>
  </si>
  <si>
    <t>ORD201491</t>
  </si>
  <si>
    <t>ORD202059</t>
  </si>
  <si>
    <t>ORD202990</t>
  </si>
  <si>
    <t>ORD200054</t>
  </si>
  <si>
    <t>CUST100926</t>
  </si>
  <si>
    <t>ORD201434</t>
  </si>
  <si>
    <t>ORD202264</t>
  </si>
  <si>
    <t>ORD202409</t>
  </si>
  <si>
    <t>ORD202881</t>
  </si>
  <si>
    <t>ORD201103</t>
  </si>
  <si>
    <t>CUST100334</t>
  </si>
  <si>
    <t>ORD200639</t>
  </si>
  <si>
    <t>ORD200818</t>
  </si>
  <si>
    <t>ORD201433</t>
  </si>
  <si>
    <t>ORD202615</t>
  </si>
  <si>
    <t>CUST100883</t>
  </si>
  <si>
    <t>ORD202787</t>
  </si>
  <si>
    <t>ORD202829</t>
  </si>
  <si>
    <t>ORD202936</t>
  </si>
  <si>
    <t>ORD200506</t>
  </si>
  <si>
    <t>CUST100479</t>
  </si>
  <si>
    <t>ORD201199</t>
  </si>
  <si>
    <t>ORD201398</t>
  </si>
  <si>
    <t>ORD201663</t>
  </si>
  <si>
    <t>ORD200497</t>
  </si>
  <si>
    <t>ORD201335</t>
  </si>
  <si>
    <t>CUST100226</t>
  </si>
  <si>
    <t>ORD201464</t>
  </si>
  <si>
    <t>ORD203012</t>
  </si>
  <si>
    <t>ORD200217</t>
  </si>
  <si>
    <t>ORD202165</t>
  </si>
  <si>
    <t>ORD200126</t>
  </si>
  <si>
    <t>ORD201288</t>
  </si>
  <si>
    <t>ORD201336</t>
  </si>
  <si>
    <t>ORD201383</t>
  </si>
  <si>
    <t>ORD200717</t>
  </si>
  <si>
    <t>ORD201250</t>
  </si>
  <si>
    <t>ORD201733</t>
  </si>
  <si>
    <t>CUST100762</t>
  </si>
  <si>
    <t>ORD201898</t>
  </si>
  <si>
    <t>ORD202189</t>
  </si>
  <si>
    <t>ORD200276</t>
  </si>
  <si>
    <t>CUST101030</t>
  </si>
  <si>
    <t>ORD200615</t>
  </si>
  <si>
    <t>ORD200863</t>
  </si>
  <si>
    <t>ORD201992</t>
  </si>
  <si>
    <t>ORD200780</t>
  </si>
  <si>
    <t>ORD202472</t>
  </si>
  <si>
    <t>ORD200769</t>
  </si>
  <si>
    <t>ORD200936</t>
  </si>
  <si>
    <t>ORD201776</t>
  </si>
  <si>
    <t>CUST100945</t>
  </si>
  <si>
    <t>ORD201822</t>
  </si>
  <si>
    <t>ORD201926</t>
  </si>
  <si>
    <t>CUST100613</t>
  </si>
  <si>
    <t>ORD202737</t>
  </si>
  <si>
    <t>ORD200094</t>
  </si>
  <si>
    <t>ORD201009</t>
  </si>
  <si>
    <t>ORD201717</t>
  </si>
  <si>
    <t>ORD200099</t>
  </si>
  <si>
    <t>ORD200606</t>
  </si>
  <si>
    <t>ORD202358</t>
  </si>
  <si>
    <t>ORD203063</t>
  </si>
  <si>
    <t>ORD202132</t>
  </si>
  <si>
    <t>ORD201303</t>
  </si>
  <si>
    <t>ORD201762</t>
  </si>
  <si>
    <t>CUST100372</t>
  </si>
  <si>
    <t>ORD200261</t>
  </si>
  <si>
    <t>CUST101028</t>
  </si>
  <si>
    <t>ORD202983</t>
  </si>
  <si>
    <t>ORD200355</t>
  </si>
  <si>
    <t>ORD200513</t>
  </si>
  <si>
    <t>ORD200582</t>
  </si>
  <si>
    <t>ORD200993</t>
  </si>
  <si>
    <t>ORD200119</t>
  </si>
  <si>
    <t>ORD200544</t>
  </si>
  <si>
    <t>CUST100555</t>
  </si>
  <si>
    <t>ORD202705</t>
  </si>
  <si>
    <t>ORD201280</t>
  </si>
  <si>
    <t>ORD202017</t>
  </si>
  <si>
    <t>CUST100255</t>
  </si>
  <si>
    <t>ORD202876</t>
  </si>
  <si>
    <t>ORD202893</t>
  </si>
  <si>
    <t>ORD201043</t>
  </si>
  <si>
    <t>ORD202240</t>
  </si>
  <si>
    <t>ORD202398</t>
  </si>
  <si>
    <t>ORD200476</t>
  </si>
  <si>
    <t>ORD200949</t>
  </si>
  <si>
    <t>ORD201360</t>
  </si>
  <si>
    <t>ORD202445</t>
  </si>
  <si>
    <t>CUST100998</t>
  </si>
  <si>
    <t>ORD200319</t>
  </si>
  <si>
    <t>ORD201738</t>
  </si>
  <si>
    <t>ORD202487</t>
  </si>
  <si>
    <t>ORD201845</t>
  </si>
  <si>
    <t>ORD202559</t>
  </si>
  <si>
    <t>ORD201380</t>
  </si>
  <si>
    <t>ORD201527</t>
  </si>
  <si>
    <t>ORD202401</t>
  </si>
  <si>
    <t>ORD202567</t>
  </si>
  <si>
    <t>ORD200292</t>
  </si>
  <si>
    <t>CUST100135</t>
  </si>
  <si>
    <t>ORD202960</t>
  </si>
  <si>
    <t>ORD201100</t>
  </si>
  <si>
    <t>ORD202373</t>
  </si>
  <si>
    <t>ORD202683</t>
  </si>
  <si>
    <t>ORD201176</t>
  </si>
  <si>
    <t>CUST100977</t>
  </si>
  <si>
    <t>ORD201697</t>
  </si>
  <si>
    <t>CUST100121</t>
  </si>
  <si>
    <t>ORD202417</t>
  </si>
  <si>
    <t>ORD201215</t>
  </si>
  <si>
    <t>ORD200842</t>
  </si>
  <si>
    <t>ORD201584</t>
  </si>
  <si>
    <t>CUST100169</t>
  </si>
  <si>
    <t>ORD202271</t>
  </si>
  <si>
    <t>ORD202337</t>
  </si>
  <si>
    <t>ORD203027</t>
  </si>
  <si>
    <t>ORD202182</t>
  </si>
  <si>
    <t>CUST100274</t>
  </si>
  <si>
    <t>ORD200210</t>
  </si>
  <si>
    <t>ORD201400</t>
  </si>
  <si>
    <t>ORD200953</t>
  </si>
  <si>
    <t>ORD201004</t>
  </si>
  <si>
    <t>ORD201938</t>
  </si>
  <si>
    <t>ORD200620</t>
  </si>
  <si>
    <t>ORD202826</t>
  </si>
  <si>
    <t>ORD201507</t>
  </si>
  <si>
    <t>ORD201657</t>
  </si>
  <si>
    <t>CUST100650</t>
  </si>
  <si>
    <t>ORD200444</t>
  </si>
  <si>
    <t>ORD201193</t>
  </si>
  <si>
    <t>ORD201602</t>
  </si>
  <si>
    <t>ORD201676</t>
  </si>
  <si>
    <t>ORD202969</t>
  </si>
  <si>
    <t>CUST101033</t>
  </si>
  <si>
    <t>ORD202452</t>
  </si>
  <si>
    <t>ORD202926</t>
  </si>
  <si>
    <t>ORD200026</t>
  </si>
  <si>
    <t>ORD200586</t>
  </si>
  <si>
    <t>ORD200324</t>
  </si>
  <si>
    <t>CUST101031</t>
  </si>
  <si>
    <t>ORD203072</t>
  </si>
  <si>
    <t>CUST100008</t>
  </si>
  <si>
    <t>ORD200263</t>
  </si>
  <si>
    <t>ORD201022</t>
  </si>
  <si>
    <t>ORD201219</t>
  </si>
  <si>
    <t>CUST100960</t>
  </si>
  <si>
    <t>ORD202579</t>
  </si>
  <si>
    <t>ORD202406</t>
  </si>
  <si>
    <t>ORD200535</t>
  </si>
  <si>
    <t>ORD202670</t>
  </si>
  <si>
    <t>ORD201661</t>
  </si>
  <si>
    <t>ORD202603</t>
  </si>
  <si>
    <t>ORD200286</t>
  </si>
  <si>
    <t>ORD200669</t>
  </si>
  <si>
    <t>CUST100754</t>
  </si>
  <si>
    <t>ORD201771</t>
  </si>
  <si>
    <t>ORD201931</t>
  </si>
  <si>
    <t>ORD201750</t>
  </si>
  <si>
    <t>ORD202656</t>
  </si>
  <si>
    <t>ORD201218</t>
  </si>
  <si>
    <t>CUST100154</t>
  </si>
  <si>
    <t>ORD201242</t>
  </si>
  <si>
    <t>ORD202857</t>
  </si>
  <si>
    <t>ORD201427</t>
  </si>
  <si>
    <t>ORD201413</t>
  </si>
  <si>
    <t>ORD200438</t>
  </si>
  <si>
    <t>ORD202779</t>
  </si>
  <si>
    <t>ORD202687</t>
  </si>
  <si>
    <t>ORD202822</t>
  </si>
  <si>
    <t>CUST100771</t>
  </si>
  <si>
    <t>ORD203040</t>
  </si>
  <si>
    <t>ORD200987</t>
  </si>
  <si>
    <t>CUST100047</t>
  </si>
  <si>
    <t>ORD202576</t>
  </si>
  <si>
    <t>CUST100212</t>
  </si>
  <si>
    <t>ORD203029</t>
  </si>
  <si>
    <t>ORD202701</t>
  </si>
  <si>
    <t>ORD202862</t>
  </si>
  <si>
    <t>ORD201721</t>
  </si>
  <si>
    <t>ORD201751</t>
  </si>
  <si>
    <t>ORD200248</t>
  </si>
  <si>
    <t>ORD202160</t>
  </si>
  <si>
    <t>ORD200990</t>
  </si>
  <si>
    <t>ORD201950</t>
  </si>
  <si>
    <t>ORD202391</t>
  </si>
  <si>
    <t>ORD203041</t>
  </si>
  <si>
    <t>ORD200624</t>
  </si>
  <si>
    <t>ORD202521</t>
  </si>
  <si>
    <t>ORD203133</t>
  </si>
  <si>
    <t>CUST100336</t>
  </si>
  <si>
    <t>ORD201856</t>
  </si>
  <si>
    <t>CUST100180</t>
  </si>
  <si>
    <t>ORD202345</t>
  </si>
  <si>
    <t>ORD200069</t>
  </si>
  <si>
    <t>ORD202480</t>
  </si>
  <si>
    <t>CUST100842</t>
  </si>
  <si>
    <t>ORD200160</t>
  </si>
  <si>
    <t>ORD201594</t>
  </si>
  <si>
    <t>ORD202939</t>
  </si>
  <si>
    <t>CUST100753</t>
  </si>
  <si>
    <t>ORD200303</t>
  </si>
  <si>
    <t>ORD202277</t>
  </si>
  <si>
    <t>ORD200281</t>
  </si>
  <si>
    <t>ORD200743</t>
  </si>
  <si>
    <t>ORD202007</t>
  </si>
  <si>
    <t>ORD202988</t>
  </si>
  <si>
    <t>ORD200104</t>
  </si>
  <si>
    <t>ORD200510</t>
  </si>
  <si>
    <t>ORD202307</t>
  </si>
  <si>
    <t>CUST100809</t>
  </si>
  <si>
    <t>ORD202387</t>
  </si>
  <si>
    <t>ORD200110</t>
  </si>
  <si>
    <t>ORD200287</t>
  </si>
  <si>
    <t>ORD200304</t>
  </si>
  <si>
    <t>ORD201205</t>
  </si>
  <si>
    <t>CUST100575</t>
  </si>
  <si>
    <t>ORD201536</t>
  </si>
  <si>
    <t>ORD201799</t>
  </si>
  <si>
    <t>ORD203129</t>
  </si>
  <si>
    <t>ORD201574</t>
  </si>
  <si>
    <t>ORD200652</t>
  </si>
  <si>
    <t>ORD200584</t>
  </si>
  <si>
    <t>ORD200622</t>
  </si>
  <si>
    <t>ORD202103</t>
  </si>
  <si>
    <t>ORD202215</t>
  </si>
  <si>
    <t>CUST100821</t>
  </si>
  <si>
    <t>ORD200572</t>
  </si>
  <si>
    <t>CUST100171</t>
  </si>
  <si>
    <t>ORD200650</t>
  </si>
  <si>
    <t>ORD202732</t>
  </si>
  <si>
    <t>ORD200644</t>
  </si>
  <si>
    <t>CUST101036</t>
  </si>
  <si>
    <t>ORD200855</t>
  </si>
  <si>
    <t>ORD202068</t>
  </si>
  <si>
    <t>CUST100955</t>
  </si>
  <si>
    <t>ORD200672</t>
  </si>
  <si>
    <t>CUST100184</t>
  </si>
  <si>
    <t>ORD201520</t>
  </si>
  <si>
    <t>ORD201412</t>
  </si>
  <si>
    <t>CUST100386</t>
  </si>
  <si>
    <t>ORD202355</t>
  </si>
  <si>
    <t>ORD200820</t>
  </si>
  <si>
    <t>ORD201129</t>
  </si>
  <si>
    <t>ORD202924</t>
  </si>
  <si>
    <t>ORD200869</t>
  </si>
  <si>
    <t>ORD200905</t>
  </si>
  <si>
    <t>ORD201047</t>
  </si>
  <si>
    <t>ORD201321</t>
  </si>
  <si>
    <t>ORD202303</t>
  </si>
  <si>
    <t>ORD202627</t>
  </si>
  <si>
    <t>ORD200037</t>
  </si>
  <si>
    <t>ORD202238</t>
  </si>
  <si>
    <t>ORD201317</t>
  </si>
  <si>
    <t>ORD202852</t>
  </si>
  <si>
    <t>ORD201893</t>
  </si>
  <si>
    <t>ORD203131</t>
  </si>
  <si>
    <t>CUST100514</t>
  </si>
  <si>
    <t>ORD203065</t>
  </si>
  <si>
    <t>ORD201849</t>
  </si>
  <si>
    <t>ORD200000</t>
  </si>
  <si>
    <t>ORD201600</t>
  </si>
  <si>
    <t>ORD200489</t>
  </si>
  <si>
    <t>ORD201526</t>
  </si>
  <si>
    <t>ORD201716</t>
  </si>
  <si>
    <t>ORD202043</t>
  </si>
  <si>
    <t>ORD201036</t>
  </si>
  <si>
    <t>CUST100611</t>
  </si>
  <si>
    <t>ORD202693</t>
  </si>
  <si>
    <t>ORD200199</t>
  </si>
  <si>
    <t>CUST100457</t>
  </si>
  <si>
    <t>ORD200827</t>
  </si>
  <si>
    <t>ORD201504</t>
  </si>
  <si>
    <t>ORD202706</t>
  </si>
  <si>
    <t>ORD201140</t>
  </si>
  <si>
    <t>CUST100309</t>
  </si>
  <si>
    <t>ORD202211</t>
  </si>
  <si>
    <t>ORD203111</t>
  </si>
  <si>
    <t>ORD201180</t>
  </si>
  <si>
    <t>ORD202761</t>
  </si>
  <si>
    <t>ORD201025</t>
  </si>
  <si>
    <t>ORD200959</t>
  </si>
  <si>
    <t>ORD201821</t>
  </si>
  <si>
    <t>ORD201058</t>
  </si>
  <si>
    <t>ORD201237</t>
  </si>
  <si>
    <t>ORD203142</t>
  </si>
  <si>
    <t>CUST100656</t>
  </si>
  <si>
    <t>ORD200983</t>
  </si>
  <si>
    <t>ORD201203</t>
  </si>
  <si>
    <t>ORD201528</t>
  </si>
  <si>
    <t>ORD203125</t>
  </si>
  <si>
    <t>ORD200024</t>
  </si>
  <si>
    <t>ORD200664</t>
  </si>
  <si>
    <t>ORD200918</t>
  </si>
  <si>
    <t>ORD202523</t>
  </si>
  <si>
    <t>ORD202436</t>
  </si>
  <si>
    <t>ORD201912</t>
  </si>
  <si>
    <t>ORD200011</t>
  </si>
  <si>
    <t>ORD200483</t>
  </si>
  <si>
    <t>ORD202172</t>
  </si>
  <si>
    <t>ORD201905</t>
  </si>
  <si>
    <t>ORD201485</t>
  </si>
  <si>
    <t>ORD201899</t>
  </si>
  <si>
    <t>ORD202649</t>
  </si>
  <si>
    <t>ORD202901</t>
  </si>
  <si>
    <t>ORD202396</t>
  </si>
  <si>
    <t>ORD202835</t>
  </si>
  <si>
    <t>ORD201151</t>
  </si>
  <si>
    <t>ORD202548</t>
  </si>
  <si>
    <t>ORD203098</t>
  </si>
  <si>
    <t>ORD201272</t>
  </si>
  <si>
    <t>ORD201405</t>
  </si>
  <si>
    <t>CUST100191</t>
  </si>
  <si>
    <t>ORD201576</t>
  </si>
  <si>
    <t>ORD200897</t>
  </si>
  <si>
    <t>ORD200878</t>
  </si>
  <si>
    <t>ORD201616</t>
  </si>
  <si>
    <t>ORD201684</t>
  </si>
  <si>
    <t>ORD201686</t>
  </si>
  <si>
    <t>CUST100404</t>
  </si>
  <si>
    <t>ORD202173</t>
  </si>
  <si>
    <t>ORD203001</t>
  </si>
  <si>
    <t>ORD201371</t>
  </si>
  <si>
    <t>ORD203127</t>
  </si>
  <si>
    <t>ORD201409</t>
  </si>
  <si>
    <t>ORD202805</t>
  </si>
  <si>
    <t>ORD203154</t>
  </si>
  <si>
    <t>ORD200623</t>
  </si>
  <si>
    <t>ORD200359</t>
  </si>
  <si>
    <t>ORD202632</t>
  </si>
  <si>
    <t>ORD200648</t>
  </si>
  <si>
    <t>ORD200899</t>
  </si>
  <si>
    <t>ORD201903</t>
  </si>
  <si>
    <t>ORD200971</t>
  </si>
  <si>
    <t>ORD200195</t>
  </si>
  <si>
    <t>ORD201308</t>
  </si>
  <si>
    <t>ORD200770</t>
  </si>
  <si>
    <t>ORD201610</t>
  </si>
  <si>
    <t>ORD201608</t>
  </si>
  <si>
    <t>ORD200009</t>
  </si>
  <si>
    <t>ORD201820</t>
  </si>
  <si>
    <t>ORD200587</t>
  </si>
  <si>
    <t>ORD200927</t>
  </si>
  <si>
    <t>CUST100999</t>
  </si>
  <si>
    <t>ORD201633</t>
  </si>
  <si>
    <t>CUST100962</t>
  </si>
  <si>
    <t>ORD201414</t>
  </si>
  <si>
    <t>ORD203110</t>
  </si>
  <si>
    <t>ORD200856</t>
  </si>
  <si>
    <t>CUST100938</t>
  </si>
  <si>
    <t>ORD202002</t>
  </si>
  <si>
    <t>ORD202199</t>
  </si>
  <si>
    <t>ORD201791</t>
  </si>
  <si>
    <t>ORD201889</t>
  </si>
  <si>
    <t>ORD202185</t>
  </si>
  <si>
    <t>ORD200023</t>
  </si>
  <si>
    <t>ORD200285</t>
  </si>
  <si>
    <t>ORD202377</t>
  </si>
  <si>
    <t>ORD202270</t>
  </si>
  <si>
    <t>ORD202721</t>
  </si>
  <si>
    <t>CUST100635</t>
  </si>
  <si>
    <t>ORD200484</t>
  </si>
  <si>
    <t>ORD201535</t>
  </si>
  <si>
    <t>ORD200520</t>
  </si>
  <si>
    <t>ORD200197</t>
  </si>
  <si>
    <t>CUST100401</t>
  </si>
  <si>
    <t>ORD200884</t>
  </si>
  <si>
    <t>ORD201356</t>
  </si>
  <si>
    <t>ORD202716</t>
  </si>
  <si>
    <t>ORD200955</t>
  </si>
  <si>
    <t>ORD202008</t>
  </si>
  <si>
    <t>ORD200937</t>
  </si>
  <si>
    <t>CUST100251</t>
  </si>
  <si>
    <t>ORD202317</t>
  </si>
  <si>
    <t>ORD202752</t>
  </si>
  <si>
    <t>ORD200482</t>
  </si>
  <si>
    <t>ORD201182</t>
  </si>
  <si>
    <t>ORD200792</t>
  </si>
  <si>
    <t>CUST100864</t>
  </si>
  <si>
    <t>ORD201014</t>
  </si>
  <si>
    <t>ORD201682</t>
  </si>
  <si>
    <t>ORD200088</t>
  </si>
  <si>
    <t>ORD200694</t>
  </si>
  <si>
    <t>ORD200040</t>
  </si>
  <si>
    <t>ORD200580</t>
  </si>
  <si>
    <t>ORD201316</t>
  </si>
  <si>
    <t>ORD200014</t>
  </si>
  <si>
    <t>ORD201664</t>
  </si>
  <si>
    <t>ORD200013</t>
  </si>
  <si>
    <t>ORD200475</t>
  </si>
  <si>
    <t>ORD201225</t>
  </si>
  <si>
    <t>ORD202460</t>
  </si>
  <si>
    <t>ORD202774</t>
  </si>
  <si>
    <t>ORD201645</t>
  </si>
  <si>
    <t>ORD200663</t>
  </si>
  <si>
    <t>CUST100805</t>
  </si>
  <si>
    <t>ORD200259</t>
  </si>
  <si>
    <t>ORD200696</t>
  </si>
  <si>
    <t>ORD202514</t>
  </si>
  <si>
    <t>ORD200502</t>
  </si>
  <si>
    <t>ORD201162</t>
  </si>
  <si>
    <t>ORD202605</t>
  </si>
  <si>
    <t>CUST100486</t>
  </si>
  <si>
    <t>ORD202315</t>
  </si>
  <si>
    <t>ORD202120</t>
  </si>
  <si>
    <t>ORD202226</t>
  </si>
  <si>
    <t>ORD201011</t>
  </si>
  <si>
    <t>ORD203138</t>
  </si>
  <si>
    <t>ORD202268</t>
  </si>
  <si>
    <t>ORD202743</t>
  </si>
  <si>
    <t>ORD202989</t>
  </si>
  <si>
    <t>ORD200311</t>
  </si>
  <si>
    <t>ORD200485</t>
  </si>
  <si>
    <t>ORD201452</t>
  </si>
  <si>
    <t>ORD201210</t>
  </si>
  <si>
    <t>ORD201190</t>
  </si>
  <si>
    <t>ORD201593</t>
  </si>
  <si>
    <t>CUST100873</t>
  </si>
  <si>
    <t>ORD203141</t>
  </si>
  <si>
    <t>ORD200511</t>
  </si>
  <si>
    <t>ORD202219</t>
  </si>
  <si>
    <t>ORD202869</t>
  </si>
  <si>
    <t>ORD202657</t>
  </si>
  <si>
    <t>ORD202029</t>
  </si>
  <si>
    <t>ORD200207</t>
  </si>
  <si>
    <t>ORD201701</t>
  </si>
  <si>
    <t>ORD200144</t>
  </si>
  <si>
    <t>ORD201212</t>
  </si>
  <si>
    <t>ORD201933</t>
  </si>
  <si>
    <t>ORD201172</t>
  </si>
  <si>
    <t>ORD202880</t>
  </si>
  <si>
    <t>ORD201031</t>
  </si>
  <si>
    <t>ORD201929</t>
  </si>
  <si>
    <t>ORD201368</t>
  </si>
  <si>
    <t>ORD202589</t>
  </si>
  <si>
    <t>ORD201020</t>
  </si>
  <si>
    <t>ORD201343</t>
  </si>
  <si>
    <t>ORD201637</t>
  </si>
  <si>
    <t>ORD201934</t>
  </si>
  <si>
    <t>ORD201609</t>
  </si>
  <si>
    <t>ORD202773</t>
  </si>
  <si>
    <t>ORD202614</t>
  </si>
  <si>
    <t>ORD202363</t>
  </si>
  <si>
    <t>ORD202376</t>
  </si>
  <si>
    <t>ORD200340</t>
  </si>
  <si>
    <t>ORD201740</t>
  </si>
  <si>
    <t>ORD200655</t>
  </si>
  <si>
    <t>CUST100368</t>
  </si>
  <si>
    <t>ORD201091</t>
  </si>
  <si>
    <t>ORD201385</t>
  </si>
  <si>
    <t>ORD201696</t>
  </si>
  <si>
    <t>CUST100747</t>
  </si>
  <si>
    <t>ORD203102</t>
  </si>
  <si>
    <t>ORD200435</t>
  </si>
  <si>
    <t>CUST100640</t>
  </si>
  <si>
    <t>ORD202394</t>
  </si>
  <si>
    <t>ORD202634</t>
  </si>
  <si>
    <t>ORD200594</t>
  </si>
  <si>
    <t>ORD200654</t>
  </si>
  <si>
    <t>ORD202093</t>
  </si>
  <si>
    <t>ORD202164</t>
  </si>
  <si>
    <t>ORD200350</t>
  </si>
  <si>
    <t>ORD201614</t>
  </si>
  <si>
    <t>ORD201955</t>
  </si>
  <si>
    <t>ORD202497</t>
  </si>
  <si>
    <t>ORD202425</t>
  </si>
  <si>
    <t>ORD203007</t>
  </si>
  <si>
    <t>ORD202213</t>
  </si>
  <si>
    <t>ORD202838</t>
  </si>
  <si>
    <t>ORD200718</t>
  </si>
  <si>
    <t>ORD200387</t>
  </si>
  <si>
    <t>CUST100602</t>
  </si>
  <si>
    <t>ORD200487</t>
  </si>
  <si>
    <t>ORD202858</t>
  </si>
  <si>
    <t>ORD200608</t>
  </si>
  <si>
    <t>ORD200811</t>
  </si>
  <si>
    <t>ORD202116</t>
  </si>
  <si>
    <t>ORD200581</t>
  </si>
  <si>
    <t>ORD203134</t>
  </si>
  <si>
    <t>ORD201672</t>
  </si>
  <si>
    <t>ORD201429</t>
  </si>
  <si>
    <t>ORD203021</t>
  </si>
  <si>
    <t>ORD200481</t>
  </si>
  <si>
    <t>ORD200835</t>
  </si>
  <si>
    <t>ORD201001</t>
  </si>
  <si>
    <t>ORD201886</t>
  </si>
  <si>
    <t>ORD201131</t>
  </si>
  <si>
    <t>ORD201418</t>
  </si>
  <si>
    <t>ORD201917</t>
  </si>
  <si>
    <t>ORD202347</t>
  </si>
  <si>
    <t>ORD200641</t>
  </si>
  <si>
    <t>ORD200881</t>
  </si>
  <si>
    <t>ORD201146</t>
  </si>
  <si>
    <t>ORD201273</t>
  </si>
  <si>
    <t>ORD202896</t>
  </si>
  <si>
    <t>ORD203069</t>
  </si>
  <si>
    <t>ORD200307</t>
  </si>
  <si>
    <t>CUST100192</t>
  </si>
  <si>
    <t>ORD202489</t>
  </si>
  <si>
    <t>ORD200163</t>
  </si>
  <si>
    <t>CUST100588</t>
  </si>
  <si>
    <t>ORD202057</t>
  </si>
  <si>
    <t>CUST100643</t>
  </si>
  <si>
    <t>ORD202341</t>
  </si>
  <si>
    <t>ORD200266</t>
  </si>
  <si>
    <t>ORD200795</t>
  </si>
  <si>
    <t>ORD201887</t>
  </si>
  <si>
    <t>ORD202047</t>
  </si>
  <si>
    <t>ORD202210</t>
  </si>
  <si>
    <t>ORD202520</t>
  </si>
  <si>
    <t>CUST100965</t>
  </si>
  <si>
    <t>ORD202522</t>
  </si>
  <si>
    <t>ORD202978</t>
  </si>
  <si>
    <t>ORD203045</t>
  </si>
  <si>
    <t>ORD203135</t>
  </si>
  <si>
    <t>ORD200465</t>
  </si>
  <si>
    <t>ORD202129</t>
  </si>
  <si>
    <t>ORD202424</t>
  </si>
  <si>
    <t>ORD200325</t>
  </si>
  <si>
    <t>CUST100485</t>
  </si>
  <si>
    <t>ORD200941</t>
  </si>
  <si>
    <t>ORD202236</t>
  </si>
  <si>
    <t>ORD202710</t>
  </si>
  <si>
    <t>ORD202564</t>
  </si>
  <si>
    <t>ORD200596</t>
  </si>
  <si>
    <t>ORD200579</t>
  </si>
  <si>
    <t>ORD200921</t>
  </si>
  <si>
    <t>ORD201296</t>
  </si>
  <si>
    <t>ORD201706</t>
  </si>
  <si>
    <t>ORD201872</t>
  </si>
  <si>
    <t>ORD200169</t>
  </si>
  <si>
    <t>ORD200343</t>
  </si>
  <si>
    <t>ORD201815</t>
  </si>
  <si>
    <t>ORD201094</t>
  </si>
  <si>
    <t>CUST100696</t>
  </si>
  <si>
    <t>ORD202061</t>
  </si>
  <si>
    <t>CUST100685</t>
  </si>
  <si>
    <t>ORD202466</t>
  </si>
  <si>
    <t>ORD203126</t>
  </si>
  <si>
    <t>ORD200329</t>
  </si>
  <si>
    <t>ORD201200</t>
  </si>
  <si>
    <t>ORD201562</t>
  </si>
  <si>
    <t>ORD203039</t>
  </si>
  <si>
    <t>ORD202098</t>
  </si>
  <si>
    <t>ORD203114</t>
  </si>
  <si>
    <t>ORD203132</t>
  </si>
  <si>
    <t>CUST100585</t>
  </si>
  <si>
    <t>ORD200621</t>
  </si>
  <si>
    <t>ORD200823</t>
  </si>
  <si>
    <t>ORD200875</t>
  </si>
  <si>
    <t>ORD201808</t>
  </si>
  <si>
    <t>ORD201046</t>
  </si>
  <si>
    <t>CUST100177</t>
  </si>
  <si>
    <t>ORD201916</t>
  </si>
  <si>
    <t>ORD200575</t>
  </si>
  <si>
    <t>ORD201189</t>
  </si>
  <si>
    <t>ORD200479</t>
  </si>
  <si>
    <t>ORD202246</t>
  </si>
  <si>
    <t>ORD201932</t>
  </si>
  <si>
    <t>ORD200703</t>
  </si>
  <si>
    <t>ORD200837</t>
  </si>
  <si>
    <t>ORD201628</t>
  </si>
  <si>
    <t>CUST100146</t>
  </si>
  <si>
    <t>ORD202310</t>
  </si>
  <si>
    <t>ORD202998</t>
  </si>
  <si>
    <t>CUST100151</t>
  </si>
  <si>
    <t>ORD202760</t>
  </si>
  <si>
    <t>ORD201904</t>
  </si>
  <si>
    <t>ORD200804</t>
  </si>
  <si>
    <t>ORD201186</t>
  </si>
  <si>
    <t>ORD201269</t>
  </si>
  <si>
    <t>ORD202467</t>
  </si>
  <si>
    <t>ORD201790</t>
  </si>
  <si>
    <t>ORD202125</t>
  </si>
  <si>
    <t>ORD202755</t>
  </si>
  <si>
    <t>ORD200653</t>
  </si>
  <si>
    <t>CUST101029</t>
  </si>
  <si>
    <t>ORD201998</t>
  </si>
  <si>
    <t>ORD202109</t>
  </si>
  <si>
    <t>CUST100502</t>
  </si>
  <si>
    <t>ORD201381</t>
  </si>
  <si>
    <t>ORD201459</t>
  </si>
  <si>
    <t>ORD201490</t>
  </si>
  <si>
    <t>CUST100966</t>
  </si>
  <si>
    <t>ORD201656</t>
  </si>
  <si>
    <t>ORD201991</t>
  </si>
  <si>
    <t>ORD202850</t>
  </si>
  <si>
    <t>ORD202166</t>
  </si>
  <si>
    <t>ORD200322</t>
  </si>
  <si>
    <t>ORD200048</t>
  </si>
  <si>
    <t>ORD202257</t>
  </si>
  <si>
    <t>ORD203118</t>
  </si>
  <si>
    <t>ORD200563</t>
  </si>
  <si>
    <t>ORD200838</t>
  </si>
  <si>
    <t>CUST100186</t>
  </si>
  <si>
    <t>ORD201689</t>
  </si>
  <si>
    <t>CUST100561</t>
  </si>
  <si>
    <t>ORD201319</t>
  </si>
  <si>
    <t>ORD201943</t>
  </si>
  <si>
    <t>ORD202794</t>
  </si>
  <si>
    <t>CUST100733</t>
  </si>
  <si>
    <t>ORD200529</t>
  </si>
  <si>
    <t>ORD200931</t>
  </si>
  <si>
    <t>ORD201113</t>
  </si>
  <si>
    <t>CUST100375</t>
  </si>
  <si>
    <t>ORD202372</t>
  </si>
  <si>
    <t>CUST100940</t>
  </si>
  <si>
    <t>ORD202392</t>
  </si>
  <si>
    <t>ORD200138</t>
  </si>
  <si>
    <t>ORD200367</t>
  </si>
  <si>
    <t>ORD200627</t>
  </si>
  <si>
    <t>ORD202483</t>
  </si>
  <si>
    <t>CUST100113</t>
  </si>
  <si>
    <t>ORD202623</t>
  </si>
  <si>
    <t>ORD200407</t>
  </si>
  <si>
    <t>ORD202469</t>
  </si>
  <si>
    <t>ORD200150</t>
  </si>
  <si>
    <t>ORD200966</t>
  </si>
  <si>
    <t>ORD201324</t>
  </si>
  <si>
    <t>ORD202963</t>
  </si>
  <si>
    <t>CUST100480</t>
  </si>
  <si>
    <t>ORD201660</t>
  </si>
  <si>
    <t>ORD200455</t>
  </si>
  <si>
    <t>ORD202356</t>
  </si>
  <si>
    <t>ORD202975</t>
  </si>
  <si>
    <t>ORD200017</t>
  </si>
  <si>
    <t>ORD201027</t>
  </si>
  <si>
    <t>ORD201278</t>
  </si>
  <si>
    <t>ORD201599</t>
  </si>
  <si>
    <t>ORD203053</t>
  </si>
  <si>
    <t>ORD200134</t>
  </si>
  <si>
    <t>ORD201615</t>
  </si>
  <si>
    <t>ORD200940</t>
  </si>
  <si>
    <t>ORD203082</t>
  </si>
  <si>
    <t>CUST101023</t>
  </si>
  <si>
    <t>ORD201430</t>
  </si>
  <si>
    <t>ORD203013</t>
  </si>
  <si>
    <t>ORD200705</t>
  </si>
  <si>
    <t>ORD201017</t>
  </si>
  <si>
    <t>ORD200695</t>
  </si>
  <si>
    <t>ORD202965</t>
  </si>
  <si>
    <t>ORD200002</t>
  </si>
  <si>
    <t>ORD201727</t>
  </si>
  <si>
    <t>ORD202918</t>
  </si>
  <si>
    <t>ORD200779</t>
  </si>
  <si>
    <t>ORD202175</t>
  </si>
  <si>
    <t>ORD200356</t>
  </si>
  <si>
    <t>ORD201586</t>
  </si>
  <si>
    <t>ORD202348</t>
  </si>
  <si>
    <t>CUST100811</t>
  </si>
  <si>
    <t>ORD200341</t>
  </si>
  <si>
    <t>ORD201572</t>
  </si>
  <si>
    <t>ORD201742</t>
  </si>
  <si>
    <t>ORD201147</t>
  </si>
  <si>
    <t>ORD202905</t>
  </si>
  <si>
    <t>ORD201292</t>
  </si>
  <si>
    <t>ORD201913</t>
  </si>
  <si>
    <t>ORD201234</t>
  </si>
  <si>
    <t>ORD201170</t>
  </si>
  <si>
    <t>ORD200783</t>
  </si>
  <si>
    <t>ORD202234</t>
  </si>
  <si>
    <t>ORD202867</t>
  </si>
  <si>
    <t>ORD200493</t>
  </si>
  <si>
    <t>ORD202618</t>
  </si>
  <si>
    <t>ORD202948</t>
  </si>
  <si>
    <t>ORD202631</t>
  </si>
  <si>
    <t>CUST101025</t>
  </si>
  <si>
    <t>ORD200063</t>
  </si>
  <si>
    <t>ORD201958</t>
  </si>
  <si>
    <t>ORD200514</t>
  </si>
  <si>
    <t>ORD201571</t>
  </si>
  <si>
    <t>ORD200568</t>
  </si>
  <si>
    <t>ORD201794</t>
  </si>
  <si>
    <t>ORD200558</t>
  </si>
  <si>
    <t>ORD202298</t>
  </si>
  <si>
    <t>ORD201667</t>
  </si>
  <si>
    <t>ORD202063</t>
  </si>
  <si>
    <t>ORD202643</t>
  </si>
  <si>
    <t>ORD201548</t>
  </si>
  <si>
    <t>CUST100538</t>
  </si>
  <si>
    <t>ORD201590</t>
  </si>
  <si>
    <t>ORD200442</t>
  </si>
  <si>
    <t>CUST100609</t>
  </si>
  <si>
    <t>ORD202309</t>
  </si>
  <si>
    <t>ORD202964</t>
  </si>
  <si>
    <t>ORD202084</t>
  </si>
  <si>
    <t>ORD202851</t>
  </si>
  <si>
    <t>CUST100516</t>
  </si>
  <si>
    <t>ORD200127</t>
  </si>
  <si>
    <t>ORD200143</t>
  </si>
  <si>
    <t>ORD200264</t>
  </si>
  <si>
    <t>ORD200733</t>
  </si>
  <si>
    <t>ORD201078</t>
  </si>
  <si>
    <t>ORD201946</t>
  </si>
  <si>
    <t>ORD200366</t>
  </si>
  <si>
    <t>ORD202981</t>
  </si>
  <si>
    <t>ORD200155</t>
  </si>
  <si>
    <t>ORD201769</t>
  </si>
  <si>
    <t>CUST100922</t>
  </si>
  <si>
    <t>ORD200560</t>
  </si>
  <si>
    <t>ORD202892</t>
  </si>
  <si>
    <t>CUST100825</t>
  </si>
  <si>
    <t>ORD201902</t>
  </si>
  <si>
    <t>ORD201206</t>
  </si>
  <si>
    <t>ORD200924</t>
  </si>
  <si>
    <t>ORD201119</t>
  </si>
  <si>
    <t>ORD201515</t>
  </si>
  <si>
    <t>ORD201448</t>
  </si>
  <si>
    <t>ORD202157</t>
  </si>
  <si>
    <t>ORD202636</t>
  </si>
  <si>
    <t>ORD201629</t>
  </si>
  <si>
    <t>ORD202898</t>
  </si>
  <si>
    <t>ORD202314</t>
  </si>
  <si>
    <t>ORD201122</t>
  </si>
  <si>
    <t>ORD201522</t>
  </si>
  <si>
    <t>CUST100591</t>
  </si>
  <si>
    <t>ORD201924</t>
  </si>
  <si>
    <t>ORD202198</t>
  </si>
  <si>
    <t>CUST100155</t>
  </si>
  <si>
    <t>ORD200645</t>
  </si>
  <si>
    <t>ORD201073</t>
  </si>
  <si>
    <t>ORD201102</t>
  </si>
  <si>
    <t>ORD200602</t>
  </si>
  <si>
    <t>ORD200610</t>
  </si>
  <si>
    <t>ORD200222</t>
  </si>
  <si>
    <t>ORD200989</t>
  </si>
  <si>
    <t>ORD203073</t>
  </si>
  <si>
    <t>ORD201285</t>
  </si>
  <si>
    <t>ORD202340</t>
  </si>
  <si>
    <t>ORD200690</t>
  </si>
  <si>
    <t>CUST100833</t>
  </si>
  <si>
    <t>ORD200970</t>
  </si>
  <si>
    <t>ORD200642</t>
  </si>
  <si>
    <t>ORD202454</t>
  </si>
  <si>
    <t>ORD201231</t>
  </si>
  <si>
    <t>ORD201287</t>
  </si>
  <si>
    <t>ORD202658</t>
  </si>
  <si>
    <t>ORD202889</t>
  </si>
  <si>
    <t>ORD201171</t>
  </si>
  <si>
    <t>CUST100454</t>
  </si>
  <si>
    <t>ORD201957</t>
  </si>
  <si>
    <t>ORD202661</t>
  </si>
  <si>
    <t>ORD201685</t>
  </si>
  <si>
    <t>ORD200344</t>
  </si>
  <si>
    <t>ORD202568</t>
  </si>
  <si>
    <t>ORD202592</t>
  </si>
  <si>
    <t>CUST100690</t>
  </si>
  <si>
    <t>ORD200824</t>
  </si>
  <si>
    <t>ORD202724</t>
  </si>
  <si>
    <t>CUST100950</t>
  </si>
  <si>
    <t>ORD200430</t>
  </si>
  <si>
    <t>CUST100564</t>
  </si>
  <si>
    <t>ORD201831</t>
  </si>
  <si>
    <t>CUST100779</t>
  </si>
  <si>
    <t>ORD202012</t>
  </si>
  <si>
    <t>ORD202516</t>
  </si>
  <si>
    <t>ORD200633</t>
  </si>
  <si>
    <t>ORD201712</t>
  </si>
  <si>
    <t>ORD200932</t>
  </si>
  <si>
    <t>ORD202006</t>
  </si>
  <si>
    <t>ORD200614</t>
  </si>
  <si>
    <t>ORD201838</t>
  </si>
  <si>
    <t>ORD200952</t>
  </si>
  <si>
    <t>ORD201093</t>
  </si>
  <si>
    <t>CUST100187</t>
  </si>
  <si>
    <t>ORD202907</t>
  </si>
  <si>
    <t>ORD200038</t>
  </si>
  <si>
    <t>CUST100501</t>
  </si>
  <si>
    <t>ORD201112</t>
  </si>
  <si>
    <t>ORD200212</t>
  </si>
  <si>
    <t>ORD200847</t>
  </si>
  <si>
    <t>ORD202957</t>
  </si>
  <si>
    <t>ORD200253</t>
  </si>
  <si>
    <t>ORD200297</t>
  </si>
  <si>
    <t>ORD200600</t>
  </si>
  <si>
    <t>ORD202664</t>
  </si>
  <si>
    <t>ORD200062</t>
  </si>
  <si>
    <t>ORD201257</t>
  </si>
  <si>
    <t>ORD201378</t>
  </si>
  <si>
    <t>ORD202607</t>
  </si>
  <si>
    <t>ORD202859</t>
  </si>
  <si>
    <t>ORD200068</t>
  </si>
  <si>
    <t>ORD200089</t>
  </si>
  <si>
    <t>ORD202979</t>
  </si>
  <si>
    <t>ORD202248</t>
  </si>
  <si>
    <t>ORD202599</t>
  </si>
  <si>
    <t>ORD201596</t>
  </si>
  <si>
    <t>ORD200571</t>
  </si>
  <si>
    <t>CUST101048</t>
  </si>
  <si>
    <t>ORD200508</t>
  </si>
  <si>
    <t>CUST100659</t>
  </si>
  <si>
    <t>ORD202577</t>
  </si>
  <si>
    <t>ORD201039</t>
  </si>
  <si>
    <t>ORD202953</t>
  </si>
  <si>
    <t>ORD201084</t>
  </si>
  <si>
    <t>ORD202728</t>
  </si>
  <si>
    <t>ORD202544</t>
  </si>
  <si>
    <t>ORD203147</t>
  </si>
  <si>
    <t>ORD200975</t>
  </si>
  <si>
    <t>ORD200956</t>
  </si>
  <si>
    <t>CUST100446</t>
  </si>
  <si>
    <t>ORD200179</t>
  </si>
  <si>
    <t>ORD200047</t>
  </si>
  <si>
    <t>ORD202744</t>
  </si>
  <si>
    <t>ORD200817</t>
  </si>
  <si>
    <t>ORD201201</t>
  </si>
  <si>
    <t>ORD202877</t>
  </si>
  <si>
    <t>ORD200935</t>
  </si>
  <si>
    <t>ORD201901</t>
  </si>
  <si>
    <t>ORD201787</t>
  </si>
  <si>
    <t>ORD203055</t>
  </si>
  <si>
    <t>ORD201397</t>
  </si>
  <si>
    <t>ORD201169</t>
  </si>
  <si>
    <t>CUST100313</t>
  </si>
  <si>
    <t>ORD201551</t>
  </si>
  <si>
    <t>ORD202097</t>
  </si>
  <si>
    <t>ORD200597</t>
  </si>
  <si>
    <t>ORD201976</t>
  </si>
  <si>
    <t>ORD202695</t>
  </si>
  <si>
    <t>ORD200317</t>
  </si>
  <si>
    <t>ORD200472</t>
  </si>
  <si>
    <t>ORD202411</t>
  </si>
  <si>
    <t>ORD202718</t>
  </si>
  <si>
    <t>ORD202402</t>
  </si>
  <si>
    <t>CUST100116</t>
  </si>
  <si>
    <t>ORD203075</t>
  </si>
  <si>
    <t>ORD201059</t>
  </si>
  <si>
    <t>ORD202179</t>
  </si>
  <si>
    <t>ORD202741</t>
  </si>
  <si>
    <t>ORD200178</t>
  </si>
  <si>
    <t>ORD200230</t>
  </si>
  <si>
    <t>ORD201476</t>
  </si>
  <si>
    <t>ORD200659</t>
  </si>
  <si>
    <t>CUST100979</t>
  </si>
  <si>
    <t>ORD200840</t>
  </si>
  <si>
    <t>ORD201882</t>
  </si>
  <si>
    <t>ORD202285</t>
  </si>
  <si>
    <t>ORD200305</t>
  </si>
  <si>
    <t>ORD201638</t>
  </si>
  <si>
    <t>ORD202677</t>
  </si>
  <si>
    <t>ORD202733</t>
  </si>
  <si>
    <t>ORD202354</t>
  </si>
  <si>
    <t>ORD202845</t>
  </si>
  <si>
    <t>ORD200182</t>
  </si>
  <si>
    <t>ORD203038</t>
  </si>
  <si>
    <t>ORD200543</t>
  </si>
  <si>
    <t>ORD200991</t>
  </si>
  <si>
    <t>ORD201508</t>
  </si>
  <si>
    <t>ORD202242</t>
  </si>
  <si>
    <t>ORD202449</t>
  </si>
  <si>
    <t>ORD202149</t>
  </si>
  <si>
    <t>ORD200509</t>
  </si>
  <si>
    <t>ORD202427</t>
  </si>
  <si>
    <t>ORD200020</t>
  </si>
  <si>
    <t>ORD200877</t>
  </si>
  <si>
    <t>ORD200181</t>
  </si>
  <si>
    <t>CUST100290</t>
  </si>
  <si>
    <t>ORD201363</t>
  </si>
  <si>
    <t>ORD201923</t>
  </si>
  <si>
    <t>ORD202282</t>
  </si>
  <si>
    <t>ORD202923</t>
  </si>
  <si>
    <t>ORD200552</t>
  </si>
  <si>
    <t>ORD201062</t>
  </si>
  <si>
    <t>ORD202083</t>
  </si>
  <si>
    <t>ORD202191</t>
  </si>
  <si>
    <t>ORD202259</t>
  </si>
  <si>
    <t>ORD201925</t>
  </si>
  <si>
    <t>ORD200421</t>
  </si>
  <si>
    <t>ORD202408</t>
  </si>
  <si>
    <t>CUST100318</t>
  </si>
  <si>
    <t>ORD202464</t>
  </si>
  <si>
    <t>ORD201812</t>
  </si>
  <si>
    <t>ORD200697</t>
  </si>
  <si>
    <t>ORD200280</t>
  </si>
  <si>
    <t>ORD202126</t>
  </si>
  <si>
    <t>ORD201154</t>
  </si>
  <si>
    <t>ORD201298</t>
  </si>
  <si>
    <t>ORD201947</t>
  </si>
  <si>
    <t>ORD201152</t>
  </si>
  <si>
    <t>ORD201239</t>
  </si>
  <si>
    <t>ORD202776</t>
  </si>
  <si>
    <t>ORD202912</t>
  </si>
  <si>
    <t>ORD203066</t>
  </si>
  <si>
    <t>ORD201816</t>
  </si>
  <si>
    <t>ORD202685</t>
  </si>
  <si>
    <t>CUST100738</t>
  </si>
  <si>
    <t>ORD200922</t>
  </si>
  <si>
    <t>CUST100095</t>
  </si>
  <si>
    <t>ORD203003</t>
  </si>
  <si>
    <t>ORD202130</t>
  </si>
  <si>
    <t>ORD202742</t>
  </si>
  <si>
    <t>ORD201421</t>
  </si>
  <si>
    <t>ORD201549</t>
  </si>
  <si>
    <t>ORD202598</t>
  </si>
  <si>
    <t>ORD200046</t>
  </si>
  <si>
    <t>CUST101034</t>
  </si>
  <si>
    <t>ORD200434</t>
  </si>
  <si>
    <t>ORD200781</t>
  </si>
  <si>
    <t>ORD200819</t>
  </si>
  <si>
    <t>ORD202079</t>
  </si>
  <si>
    <t>ORD200156</t>
  </si>
  <si>
    <t>ORD201662</t>
  </si>
  <si>
    <t>ORD202694</t>
  </si>
  <si>
    <t>CUST100752</t>
  </si>
  <si>
    <t>ORD202720</t>
  </si>
  <si>
    <t>ORD201623</t>
  </si>
  <si>
    <t>ORD201435</t>
  </si>
  <si>
    <t>ORD203009</t>
  </si>
  <si>
    <t>ORD203037</t>
  </si>
  <si>
    <t>ORD201334</t>
  </si>
  <si>
    <t>ORD201673</t>
  </si>
  <si>
    <t>ORD202331</t>
  </si>
  <si>
    <t>ORD201495</t>
  </si>
  <si>
    <t>ORD202359</t>
  </si>
  <si>
    <t>ORD202735</t>
  </si>
  <si>
    <t>ORD200533</t>
  </si>
  <si>
    <t>ORD202295</t>
  </si>
  <si>
    <t>ORD200607</t>
  </si>
  <si>
    <t>ORD201202</t>
  </si>
  <si>
    <t>ORD200828</t>
  </si>
  <si>
    <t>ORD202628</t>
  </si>
  <si>
    <t>ORD200167</t>
  </si>
  <si>
    <t>ORD200900</t>
  </si>
  <si>
    <t>ORD203033</t>
  </si>
  <si>
    <t>ORD201187</t>
  </si>
  <si>
    <t>ORD201897</t>
  </si>
  <si>
    <t>ORD200789</t>
  </si>
  <si>
    <t>ORD200906</t>
  </si>
  <si>
    <t>CUST100529</t>
  </si>
  <si>
    <t>ORD201130</t>
  </si>
  <si>
    <t>ORD202423</t>
  </si>
  <si>
    <t>ORD200265</t>
  </si>
  <si>
    <t>CUST100071</t>
  </si>
  <si>
    <t>ORD202397</t>
  </si>
  <si>
    <t>ORD201108</t>
  </si>
  <si>
    <t>ORD201635</t>
  </si>
  <si>
    <t>ORD202538</t>
  </si>
  <si>
    <t>ORD203062</t>
  </si>
  <si>
    <t>ORD200794</t>
  </si>
  <si>
    <t>ORD201453</t>
  </si>
  <si>
    <t>ORD202438</t>
  </si>
  <si>
    <t>CUST100469</t>
  </si>
  <si>
    <t>ORD202899</t>
  </si>
  <si>
    <t>ORD200348</t>
  </si>
  <si>
    <t>ORD201693</t>
  </si>
  <si>
    <t>ORD200469</t>
  </si>
  <si>
    <t>ORD202258</t>
  </si>
  <si>
    <t>ORD201579</t>
  </si>
  <si>
    <t>ORD201922</t>
  </si>
  <si>
    <t>ORD203151</t>
  </si>
  <si>
    <t>ORD201777</t>
  </si>
  <si>
    <t>ORD202123</t>
  </si>
  <si>
    <t>ORD201088</t>
  </si>
  <si>
    <t>ORD201556</t>
  </si>
  <si>
    <t>CUST100240</t>
  </si>
  <si>
    <t>ORD201745</t>
  </si>
  <si>
    <t>CUST100970</t>
  </si>
  <si>
    <t>ORD200084</t>
  </si>
  <si>
    <t>CUST100932</t>
  </si>
  <si>
    <t>ORD200314</t>
  </si>
  <si>
    <t>ORD201482</t>
  </si>
  <si>
    <t>ORD201263</t>
  </si>
  <si>
    <t>ORD203058</t>
  </si>
  <si>
    <t>ORD201217</t>
  </si>
  <si>
    <t>ORD201471</t>
  </si>
  <si>
    <t>ORD201728</t>
  </si>
  <si>
    <t>ORD200188</t>
  </si>
  <si>
    <t>ORD200763</t>
  </si>
  <si>
    <t>ORD202115</t>
  </si>
  <si>
    <t>ORD203014</t>
  </si>
  <si>
    <t>ORD203083</t>
  </si>
  <si>
    <t>ORD203148</t>
  </si>
  <si>
    <t>ORD200969</t>
  </si>
  <si>
    <t>ORD201071</t>
  </si>
  <si>
    <t>ORD202750</t>
  </si>
  <si>
    <t>ORD201111</t>
  </si>
  <si>
    <t>ORD202562</t>
  </si>
  <si>
    <t>ORD200463</t>
  </si>
  <si>
    <t>ORD201134</t>
  </si>
  <si>
    <t>ORD202874</t>
  </si>
  <si>
    <t>ORD201622</t>
  </si>
  <si>
    <t>ORD202066</t>
  </si>
  <si>
    <t>ORD200117</t>
  </si>
  <si>
    <t>ORD200470</t>
  </si>
  <si>
    <t>ORD200807</t>
  </si>
  <si>
    <t>ORD202486</t>
  </si>
  <si>
    <t>ORD200064</t>
  </si>
  <si>
    <t>ORD200441</t>
  </si>
  <si>
    <t>ORD200643</t>
  </si>
  <si>
    <t>ORD200053</t>
  </si>
  <si>
    <t>CUST100946</t>
  </si>
  <si>
    <t>ORD201995</t>
  </si>
  <si>
    <t>CUST100838</t>
  </si>
  <si>
    <t>ORD202266</t>
  </si>
  <si>
    <t>ORD200526</t>
  </si>
  <si>
    <t>ORD202648</t>
  </si>
  <si>
    <t>ORD203067</t>
  </si>
  <si>
    <t>ORD201807</t>
  </si>
  <si>
    <t>ORD201348</t>
  </si>
  <si>
    <t>ORD201582</t>
  </si>
  <si>
    <t>ORD201824</t>
  </si>
  <si>
    <t>ORD200793</t>
  </si>
  <si>
    <t>ORD201573</t>
  </si>
  <si>
    <t>ORD202595</t>
  </si>
  <si>
    <t>ORD200080</t>
  </si>
  <si>
    <t>ORD201603</t>
  </si>
  <si>
    <t>ORD202984</t>
  </si>
  <si>
    <t>ORD200118</t>
  </si>
  <si>
    <t>ORD201232</t>
  </si>
  <si>
    <t>ORD201746</t>
  </si>
  <si>
    <t>ORD202571</t>
  </si>
  <si>
    <t>ORD201191</t>
  </si>
  <si>
    <t>ORD202738</t>
  </si>
  <si>
    <t>ORD200251</t>
  </si>
  <si>
    <t>ORD201390</t>
  </si>
  <si>
    <t>ORD203044</t>
  </si>
  <si>
    <t>CUST101016</t>
  </si>
  <si>
    <t>ORD202121</t>
  </si>
  <si>
    <t>CUST100612</t>
  </si>
  <si>
    <t>ORD202159</t>
  </si>
  <si>
    <t>CUST100281</t>
  </si>
  <si>
    <t>ORD200247</t>
  </si>
  <si>
    <t>ORD201680</t>
  </si>
  <si>
    <t>ORD202192</t>
  </si>
  <si>
    <t>ORD202082</t>
  </si>
  <si>
    <t>ORD200411</t>
  </si>
  <si>
    <t>ORD201207</t>
  </si>
  <si>
    <t>CUST100303</t>
  </si>
  <si>
    <t>ORD201441</t>
  </si>
  <si>
    <t>ORD202796</t>
  </si>
  <si>
    <t>CUST100655</t>
  </si>
  <si>
    <t>ORD202933</t>
  </si>
  <si>
    <t>ORD200323</t>
  </si>
  <si>
    <t>ORD200708</t>
  </si>
  <si>
    <t>ORD202684</t>
  </si>
  <si>
    <t>ORD201631</t>
  </si>
  <si>
    <t>ORD201945</t>
  </si>
  <si>
    <t>ORD202655</t>
  </si>
  <si>
    <t>ORD200865</t>
  </si>
  <si>
    <t>ORD201865</t>
  </si>
  <si>
    <t>CUST100250</t>
  </si>
  <si>
    <t>ORD202920</t>
  </si>
  <si>
    <t>ORD201962</t>
  </si>
  <si>
    <t>ORD202563</t>
  </si>
  <si>
    <t>ORD202626</t>
  </si>
  <si>
    <t>ORD202949</t>
  </si>
  <si>
    <t>ORD200668</t>
  </si>
  <si>
    <t>ORD202107</t>
  </si>
  <si>
    <t>ORD202383</t>
  </si>
  <si>
    <t>ORD203100</t>
  </si>
  <si>
    <t>ORD201497</t>
  </si>
  <si>
    <t>ORD201157</t>
  </si>
  <si>
    <t>ORD201833</t>
  </si>
  <si>
    <t>ORD200283</t>
  </si>
  <si>
    <t>ORD200649</t>
  </si>
  <si>
    <t>ORD200913</t>
  </si>
  <si>
    <t>ORD200926</t>
  </si>
  <si>
    <t>CUST100746</t>
  </si>
  <si>
    <t>ORD201498</t>
  </si>
  <si>
    <t>CUST100827</t>
  </si>
  <si>
    <t>ORD202812</t>
  </si>
  <si>
    <t>ORD202958</t>
  </si>
  <si>
    <t>ORD202982</t>
  </si>
  <si>
    <t>CUST100098</t>
  </si>
  <si>
    <t>ORD201118</t>
  </si>
  <si>
    <t>ORD201543</t>
  </si>
  <si>
    <t>ORD202455</t>
  </si>
  <si>
    <t>ORD202289</t>
  </si>
  <si>
    <t>ORD202587</t>
  </si>
  <si>
    <t>ORD203018</t>
  </si>
  <si>
    <t>ORD203095</t>
  </si>
  <si>
    <t>ORD200784</t>
  </si>
  <si>
    <t>ORD202036</t>
  </si>
  <si>
    <t>CUST100343</t>
  </si>
  <si>
    <t>ORD202324</t>
  </si>
  <si>
    <t>ORD201127</t>
  </si>
  <si>
    <t>ORD202362</t>
  </si>
  <si>
    <t>ORD200674</t>
  </si>
  <si>
    <t>ORD202861</t>
  </si>
  <si>
    <t>CUST100618</t>
  </si>
  <si>
    <t>ORD200083</t>
  </si>
  <si>
    <t>ORD202536</t>
  </si>
  <si>
    <t>ORD201137</t>
  </si>
  <si>
    <t>ORD202190</t>
  </si>
  <si>
    <t>ORD202731</t>
  </si>
  <si>
    <t>ORD201253</t>
  </si>
  <si>
    <t>ORD200368</t>
  </si>
  <si>
    <t>CUST101006</t>
  </si>
  <si>
    <t>ORD200719</t>
  </si>
  <si>
    <t>ORD202106</t>
  </si>
  <si>
    <t>ORD200775</t>
  </si>
  <si>
    <t>ORD201167</t>
  </si>
  <si>
    <t>ORD201423</t>
  </si>
  <si>
    <t>ORD202305</t>
  </si>
  <si>
    <t>CUST100929</t>
  </si>
  <si>
    <t>ORD202545</t>
  </si>
  <si>
    <t>CUST100068</t>
  </si>
  <si>
    <t>ORD200864</t>
  </si>
  <si>
    <t>ORD202096</t>
  </si>
  <si>
    <t>ORD202527</t>
  </si>
  <si>
    <t>ORD200973</t>
  </si>
  <si>
    <t>ORD202604</t>
  </si>
  <si>
    <t>ORD201090</t>
  </si>
  <si>
    <t>CUST100956</t>
  </si>
  <si>
    <t>ORD201075</t>
  </si>
  <si>
    <t>ORD202137</t>
  </si>
  <si>
    <t>ORD202543</t>
  </si>
  <si>
    <t>ORD200542</t>
  </si>
  <si>
    <t>ORD201501</t>
  </si>
  <si>
    <t>ORD202235</t>
  </si>
  <si>
    <t>ORD202541</t>
  </si>
  <si>
    <t>ORD202995</t>
  </si>
  <si>
    <t>ORD200723</t>
  </si>
  <si>
    <t>ORD202428</t>
  </si>
  <si>
    <t>ORD200008</t>
  </si>
  <si>
    <t>ORD200722</t>
  </si>
  <si>
    <t>ORD202131</t>
  </si>
  <si>
    <t>ORD202730</t>
  </si>
  <si>
    <t>ORD200500</t>
  </si>
  <si>
    <t>ORD201213</t>
  </si>
  <si>
    <t>ORD202168</t>
  </si>
  <si>
    <t>ORD200042</t>
  </si>
  <si>
    <t>ORD200726</t>
  </si>
  <si>
    <t>ORD201023</t>
  </si>
  <si>
    <t>ORD200036</t>
  </si>
  <si>
    <t>ORD201636</t>
  </si>
  <si>
    <t>ORD201879</t>
  </si>
  <si>
    <t>CUST100532</t>
  </si>
  <si>
    <t>ORD200604</t>
  </si>
  <si>
    <t>ORD201038</t>
  </si>
  <si>
    <t>ORD203109</t>
  </si>
  <si>
    <t>ORD201275</t>
  </si>
  <si>
    <t>ORD203004</t>
  </si>
  <si>
    <t>ORD200716</t>
  </si>
  <si>
    <t>ORD201909</t>
  </si>
  <si>
    <t>ORD202291</t>
  </si>
  <si>
    <t>ORD201798</t>
  </si>
  <si>
    <t>CUST100554</t>
  </si>
  <si>
    <t>ORD202879</t>
  </si>
  <si>
    <t>ORD200426</t>
  </si>
  <si>
    <t>ORD200861</t>
  </si>
  <si>
    <t>ORD202804</t>
  </si>
  <si>
    <t>ORD201209</t>
  </si>
  <si>
    <t>ORD202279</t>
  </si>
  <si>
    <t>ORD200146</t>
  </si>
  <si>
    <t>ORD202887</t>
  </si>
  <si>
    <t>ORD200546</t>
  </si>
  <si>
    <t>ORD200284</t>
  </si>
  <si>
    <t>ORD200171</t>
  </si>
  <si>
    <t>ORD200636</t>
  </si>
  <si>
    <t>ORD200673</t>
  </si>
  <si>
    <t>ORD200701</t>
  </si>
  <si>
    <t>ORD202815</t>
  </si>
  <si>
    <t>ORD201032</t>
  </si>
  <si>
    <t>ORD201674</t>
  </si>
  <si>
    <t>ORD200667</t>
  </si>
  <si>
    <t>ORD201871</t>
  </si>
  <si>
    <t>ORD201477</t>
  </si>
  <si>
    <t>ORD202027</t>
  </si>
  <si>
    <t>ORD200478</t>
  </si>
  <si>
    <t>ORD200342</t>
  </si>
  <si>
    <t>ORD202508</t>
  </si>
  <si>
    <t>ORD200919</t>
  </si>
  <si>
    <t>ORD201247</t>
  </si>
  <si>
    <t>ORD202416</t>
  </si>
  <si>
    <t>ORD202128</t>
  </si>
  <si>
    <t>ORD201364</t>
  </si>
  <si>
    <t>ORD200494</t>
  </si>
  <si>
    <t>ORD200116</t>
  </si>
  <si>
    <t>ORD200454</t>
  </si>
  <si>
    <t>ORD200967</t>
  </si>
  <si>
    <t>ORD202916</t>
  </si>
  <si>
    <t>ORD200352</t>
  </si>
  <si>
    <t>ORD202756</t>
  </si>
  <si>
    <t>ORD201432</t>
  </si>
  <si>
    <t>ORD202369</t>
  </si>
  <si>
    <t>ORD200239</t>
  </si>
  <si>
    <t>ORD200859</t>
  </si>
  <si>
    <t>ORD202831</t>
  </si>
  <si>
    <t>ORD202439</t>
  </si>
  <si>
    <t>ORD202499</t>
  </si>
  <si>
    <t>ORD200339</t>
  </si>
  <si>
    <t>ORD200436</t>
  </si>
  <si>
    <t>ORD203034</t>
  </si>
  <si>
    <t>ORD200108</t>
  </si>
  <si>
    <t>ORD200656</t>
  </si>
  <si>
    <t>ORD200141</t>
  </si>
  <si>
    <t>ORD200848</t>
  </si>
  <si>
    <t>ORD201759</t>
  </si>
  <si>
    <t>ORD201470</t>
  </si>
  <si>
    <t>ORD201578</t>
  </si>
  <si>
    <t>ORD200076</t>
  </si>
  <si>
    <t>ORD200595</t>
  </si>
  <si>
    <t>ORD200686</t>
  </si>
  <si>
    <t>ORD201229</t>
  </si>
  <si>
    <t>ORD202974</t>
  </si>
  <si>
    <t>ORD200999</t>
  </si>
  <si>
    <t>ORD201855</t>
  </si>
  <si>
    <t>CUST101022</t>
  </si>
  <si>
    <t>ORD202418</t>
  </si>
  <si>
    <t>ORD203002</t>
  </si>
  <si>
    <t>ORD200758</t>
  </si>
  <si>
    <t>ORD201625</t>
  </si>
  <si>
    <t>ORD201809</t>
  </si>
  <si>
    <t>ORD202534</t>
  </si>
  <si>
    <t>ORD201984</t>
  </si>
  <si>
    <t>ORD201688</t>
  </si>
  <si>
    <t>ORD201259</t>
  </si>
  <si>
    <t>ORD201960</t>
  </si>
  <si>
    <t>ORD201994</t>
  </si>
  <si>
    <t>ORD201966</t>
  </si>
  <si>
    <t>ORD200290</t>
  </si>
  <si>
    <t>ORD200714</t>
  </si>
  <si>
    <t>ORD201885</t>
  </si>
  <si>
    <t>ORD202717</t>
  </si>
  <si>
    <t>ORD203093</t>
  </si>
  <si>
    <t>ORD202203</t>
  </si>
  <si>
    <t>ORD202218</t>
  </si>
  <si>
    <t>ORD203145</t>
  </si>
  <si>
    <t>ORD200268</t>
  </si>
  <si>
    <t>ORD200424</t>
  </si>
  <si>
    <t>CUST100729</t>
  </si>
  <si>
    <t>ORD203030</t>
  </si>
  <si>
    <t>ORD201964</t>
  </si>
  <si>
    <t>ORD203104</t>
  </si>
  <si>
    <t>ORD200270</t>
  </si>
  <si>
    <t>ORD202214</t>
  </si>
  <si>
    <t>ORD200321</t>
  </si>
  <si>
    <t>ORD200090</t>
  </si>
  <si>
    <t>ORD203032</t>
  </si>
  <si>
    <t>ORD200202</t>
  </si>
  <si>
    <t>ORD202342</t>
  </si>
  <si>
    <t>ORD202239</t>
  </si>
  <si>
    <t>ORD202444</t>
  </si>
  <si>
    <t>ORD202389</t>
  </si>
  <si>
    <t>ORD203078</t>
  </si>
  <si>
    <t>ORD201320</t>
  </si>
  <si>
    <t>ORD202062</t>
  </si>
  <si>
    <t>ORD200512</t>
  </si>
  <si>
    <t>ORD201107</t>
  </si>
  <si>
    <t>ORD201021</t>
  </si>
  <si>
    <t>ORD202110</t>
  </si>
  <si>
    <t>ORD202904</t>
  </si>
  <si>
    <t>ORD202994</t>
  </si>
  <si>
    <t>ORD200754</t>
  </si>
  <si>
    <t>ORD200849</t>
  </si>
  <si>
    <t>ORD201254</t>
  </si>
  <si>
    <t>ORD201850</t>
  </si>
  <si>
    <t>ORD201455</t>
  </si>
  <si>
    <t>ORD201691</t>
  </si>
  <si>
    <t>CUST100847</t>
  </si>
  <si>
    <t>ORD200771</t>
  </si>
  <si>
    <t>ORD201197</t>
  </si>
  <si>
    <t>ORD201919</t>
  </si>
  <si>
    <t>ORD202265</t>
  </si>
  <si>
    <t>ORD202770</t>
  </si>
  <si>
    <t>ORD200243</t>
  </si>
  <si>
    <t>CUST100263</t>
  </si>
  <si>
    <t>ORD201767</t>
  </si>
  <si>
    <t>ORD201083</t>
  </si>
  <si>
    <t>ORD201516</t>
  </si>
  <si>
    <t>ORD201793</t>
  </si>
  <si>
    <t>ORD202188</t>
  </si>
  <si>
    <t>ORD201114</t>
  </si>
  <si>
    <t>ORD200223</t>
  </si>
  <si>
    <t>ORD201018</t>
  </si>
  <si>
    <t>ORD202671</t>
  </si>
  <si>
    <t>ORD200185</t>
  </si>
  <si>
    <t>ORD203107</t>
  </si>
  <si>
    <t>CUST100296</t>
  </si>
  <si>
    <t>ORD202336</t>
  </si>
  <si>
    <t>ORD202500</t>
  </si>
  <si>
    <t>ORD201354</t>
  </si>
  <si>
    <t>ORD200232</t>
  </si>
  <si>
    <t>ORD200707</t>
  </si>
  <si>
    <t>ORD201310</t>
  </si>
  <si>
    <t>ORD201486</t>
  </si>
  <si>
    <t>ORD200399</t>
  </si>
  <si>
    <t>ORD202533</t>
  </si>
  <si>
    <t>ORD202843</t>
  </si>
  <si>
    <t>ORD201300</t>
  </si>
  <si>
    <t>ORD202581</t>
  </si>
  <si>
    <t>ORD201080</t>
  </si>
  <si>
    <t>ORD201493</t>
  </si>
  <si>
    <t>ORD200985</t>
  </si>
  <si>
    <t>CUST100648</t>
  </si>
  <si>
    <t>ORD201010</t>
  </si>
  <si>
    <t>ORD202606</t>
  </si>
  <si>
    <t>ORD201096</t>
  </si>
  <si>
    <t>ORD202104</t>
  </si>
  <si>
    <t>ORD200370</t>
  </si>
  <si>
    <t>ORD202848</t>
  </si>
  <si>
    <t>ORD202091</t>
  </si>
  <si>
    <t>ORD201804</t>
  </si>
  <si>
    <t>ORD202777</t>
  </si>
  <si>
    <t>ORD200249</t>
  </si>
  <si>
    <t>ORD200738</t>
  </si>
  <si>
    <t>ORD201979</t>
  </si>
  <si>
    <t>ORD202041</t>
  </si>
  <si>
    <t>ORD201026</t>
  </si>
  <si>
    <t>ORD201277</t>
  </si>
  <si>
    <t>ORD201768</t>
  </si>
  <si>
    <t>ORD201274</t>
  </si>
  <si>
    <t>ORD201624</t>
  </si>
  <si>
    <t>CUST100906</t>
  </si>
  <si>
    <t>ORD201426</t>
  </si>
  <si>
    <t>ORD202251</t>
  </si>
  <si>
    <t>ORD200963</t>
  </si>
  <si>
    <t>ORD202426</t>
  </si>
  <si>
    <t>ORD201290</t>
  </si>
  <si>
    <t>ORD202275</t>
  </si>
  <si>
    <t>ORD200691</t>
  </si>
  <si>
    <t>ORD200699</t>
  </si>
  <si>
    <t>ORD201651</t>
  </si>
  <si>
    <t>ORD201659</t>
  </si>
  <si>
    <t>ORD201868</t>
  </si>
  <si>
    <t>ORD200041</t>
  </si>
  <si>
    <t>ORD201591</t>
  </si>
  <si>
    <t>ORD203028</t>
  </si>
  <si>
    <t>ORD201369</t>
  </si>
  <si>
    <t>CUST100958</t>
  </si>
  <si>
    <t>ORD200035</t>
  </si>
  <si>
    <t>ORD202890</t>
  </si>
  <si>
    <t>ORD200114</t>
  </si>
  <si>
    <t>ORD201268</t>
  </si>
  <si>
    <t>ORD202350</t>
  </si>
  <si>
    <t>ORD202749</t>
  </si>
  <si>
    <t>ORD200075</t>
  </si>
  <si>
    <t>ORD201121</t>
  </si>
  <si>
    <t>ORD202390</t>
  </si>
  <si>
    <t>ORD200589</t>
  </si>
  <si>
    <t>ORD200871</t>
  </si>
  <si>
    <t>ORD200638</t>
  </si>
  <si>
    <t>ORD202511</t>
  </si>
  <si>
    <t>ORD202934</t>
  </si>
  <si>
    <t>ORD200039</t>
  </si>
  <si>
    <t>ORD200332</t>
  </si>
  <si>
    <t>ORD201249</t>
  </si>
  <si>
    <t>ORD201005</t>
  </si>
  <si>
    <t>CUST100774</t>
  </si>
  <si>
    <t>ORD201554</t>
  </si>
  <si>
    <t>ORD201708</t>
  </si>
  <si>
    <t>ORD202856</t>
  </si>
  <si>
    <t>ORD201198</t>
  </si>
  <si>
    <t>ORD202147</t>
  </si>
  <si>
    <t>ORD201665</t>
  </si>
  <si>
    <t>ORD202646</t>
  </si>
  <si>
    <t>CUST101012</t>
  </si>
  <si>
    <t>ORD201072</t>
  </si>
  <si>
    <t>ORD201796</t>
  </si>
  <si>
    <t>ORD200184</t>
  </si>
  <si>
    <t>ORD200244</t>
  </si>
  <si>
    <t>ORD201961</t>
  </si>
  <si>
    <t>CUST100258</t>
  </si>
  <si>
    <t>ORD202459</t>
  </si>
  <si>
    <t>ORD200523</t>
  </si>
  <si>
    <t>ORD202453</t>
  </si>
  <si>
    <t>ORD201387</t>
  </si>
  <si>
    <t>ORD201106</t>
  </si>
  <si>
    <t>ORD202046</t>
  </si>
  <si>
    <t>ORD202049</t>
  </si>
  <si>
    <t>ORD202140</t>
  </si>
  <si>
    <t>ORD202524</t>
  </si>
  <si>
    <t>ORD202819</t>
  </si>
  <si>
    <t>CUST100730</t>
  </si>
  <si>
    <t>ORD202854</t>
  </si>
  <si>
    <t>ORD200760</t>
  </si>
  <si>
    <t>CUST100718</t>
  </si>
  <si>
    <t>ORD201813</t>
  </si>
  <si>
    <t>CUST101039</t>
  </si>
  <si>
    <t>ORD202090</t>
  </si>
  <si>
    <t>ORD200741</t>
  </si>
  <si>
    <t>ORD202937</t>
  </si>
  <si>
    <t>ORD202601</t>
  </si>
  <si>
    <t>ORD202465</t>
  </si>
  <si>
    <t>ORD202154</t>
  </si>
  <si>
    <t>ORD202781</t>
  </si>
  <si>
    <t>ORD202836</t>
  </si>
  <si>
    <t>ORD200158</t>
  </si>
  <si>
    <t>ORD201749</t>
  </si>
  <si>
    <t>ORD202976</t>
  </si>
  <si>
    <t>ORD202704</t>
  </si>
  <si>
    <t>ORD201362</t>
  </si>
  <si>
    <t>ORD200236</t>
  </si>
  <si>
    <t>ORD202709</t>
  </si>
  <si>
    <t>CUST100570</t>
  </si>
  <si>
    <t>ORD200192</t>
  </si>
  <si>
    <t>ORD202696</t>
  </si>
  <si>
    <t>ORD200111</t>
  </si>
  <si>
    <t>ORD201185</t>
  </si>
  <si>
    <t>ORD201276</t>
  </si>
  <si>
    <t>ORD202231</t>
  </si>
  <si>
    <t>ORD201228</t>
  </si>
  <si>
    <t>ORD200224</t>
  </si>
  <si>
    <t>ORD200637</t>
  </si>
  <si>
    <t>ORD201523</t>
  </si>
  <si>
    <t>ORD201694</t>
  </si>
  <si>
    <t>ORD200712</t>
  </si>
  <si>
    <t>ORD201155</t>
  </si>
  <si>
    <t>ORD202033</t>
  </si>
  <si>
    <t>ORD200078</t>
  </si>
  <si>
    <t>ORD200736</t>
  </si>
  <si>
    <t>ORD200291</t>
  </si>
  <si>
    <t>ORD201233</t>
  </si>
  <si>
    <t>ORD201286</t>
  </si>
  <si>
    <t>ORD201340</t>
  </si>
  <si>
    <t>ORD202450</t>
  </si>
  <si>
    <t>ORD200852</t>
  </si>
  <si>
    <t>CUST100632</t>
  </si>
  <si>
    <t>ORD201079</t>
  </si>
  <si>
    <t>ORD200326</t>
  </si>
  <si>
    <t>ORD201012</t>
  </si>
  <si>
    <t>ORD201208</t>
  </si>
  <si>
    <t>ORD201328</t>
  </si>
  <si>
    <t>ORD202101</t>
  </si>
  <si>
    <t>CUST100943</t>
  </si>
  <si>
    <t>ORD201854</t>
  </si>
  <si>
    <t>ORD200518</t>
  </si>
  <si>
    <t>ORD201679</t>
  </si>
  <si>
    <t>ORD200137</t>
  </si>
  <si>
    <t>ORD200548</t>
  </si>
  <si>
    <t>ORD201537</t>
  </si>
  <si>
    <t>CUST101041</t>
  </si>
  <si>
    <t>ORD202015</t>
  </si>
  <si>
    <t>ORD202167</t>
  </si>
  <si>
    <t>ORD201178</t>
  </si>
  <si>
    <t>ORD202024</t>
  </si>
  <si>
    <t>ORD201780</t>
  </si>
  <si>
    <t>ORD202834</t>
  </si>
  <si>
    <t>ORD201123</t>
  </si>
  <si>
    <t>ORD201098</t>
  </si>
  <si>
    <t>ORD201915</t>
  </si>
  <si>
    <t>ORD200791</t>
  </si>
  <si>
    <t>ORD202371</t>
  </si>
  <si>
    <t>ORD202778</t>
  </si>
  <si>
    <t>CUST100163</t>
  </si>
  <si>
    <t>ORD200226</t>
  </si>
  <si>
    <t>ORD200796</t>
  </si>
  <si>
    <t>ORD202585</t>
  </si>
  <si>
    <t>ORD201698</t>
  </si>
  <si>
    <t>ORD202594</t>
  </si>
  <si>
    <t>ORD200486</t>
  </si>
  <si>
    <t>ORD201949</t>
  </si>
  <si>
    <t>ORD201395</t>
  </si>
  <si>
    <t>ORD202625</t>
  </si>
  <si>
    <t>ORD202886</t>
  </si>
  <si>
    <t>ORD200164</t>
  </si>
  <si>
    <t>ORD200671</t>
  </si>
  <si>
    <t>ORD201299</t>
  </si>
  <si>
    <t>ORD201792</t>
  </si>
  <si>
    <t>ORD202155</t>
  </si>
  <si>
    <t>CUST100849</t>
  </si>
  <si>
    <t>ORD202669</t>
  </si>
  <si>
    <t>ORD203015</t>
  </si>
  <si>
    <t>ORD200933</t>
  </si>
  <si>
    <t>ORD201407</t>
  </si>
  <si>
    <t>ORD202906</t>
  </si>
  <si>
    <t>ORD202512</t>
  </si>
  <si>
    <t>ORD202529</t>
  </si>
  <si>
    <t>ORD201326</t>
  </si>
  <si>
    <t>ORD200333</t>
  </si>
  <si>
    <t>ORD200458</t>
  </si>
  <si>
    <t>ORD200782</t>
  </si>
  <si>
    <t>ORD202481</t>
  </si>
  <si>
    <t>ORD200044</t>
  </si>
  <si>
    <t>ORD200557</t>
  </si>
  <si>
    <t>ORD202111</t>
  </si>
  <si>
    <t>ORD200383</t>
  </si>
  <si>
    <t>ORD202138</t>
  </si>
  <si>
    <t>ORD200027</t>
  </si>
  <si>
    <t>ORD202269</t>
  </si>
  <si>
    <t>ORD202367</t>
  </si>
  <si>
    <t>ORD202507</t>
  </si>
  <si>
    <t>ORD202686</t>
  </si>
  <si>
    <t>ORD201566</t>
  </si>
  <si>
    <t>ORD201859</t>
  </si>
  <si>
    <t>ORD202900</t>
  </si>
  <si>
    <t>ORD200096</t>
  </si>
  <si>
    <t>ORD201607</t>
  </si>
  <si>
    <t>ORD202513</t>
  </si>
  <si>
    <t>ORD203057</t>
  </si>
  <si>
    <t>ORD201262</t>
  </si>
  <si>
    <t>ORD201760</t>
  </si>
  <si>
    <t>ORD201828</t>
  </si>
  <si>
    <t>ORD202668</t>
  </si>
  <si>
    <t>ORD201417</t>
  </si>
  <si>
    <t>ORD203087</t>
  </si>
  <si>
    <t>ORD200235</t>
  </si>
  <si>
    <t>ORD202897</t>
  </si>
  <si>
    <t>ORD201977</t>
  </si>
  <si>
    <t>ORD200050</t>
  </si>
  <si>
    <t>ORD200082</t>
  </si>
  <si>
    <t>CUST100904</t>
  </si>
  <si>
    <t>ORD200145</t>
  </si>
  <si>
    <t>ORD201649</t>
  </si>
  <si>
    <t>ORD200766</t>
  </si>
  <si>
    <t>ORD202136</t>
  </si>
  <si>
    <t>ORD200942</t>
  </si>
  <si>
    <t>ORD201241</t>
  </si>
  <si>
    <t>ORD201148</t>
  </si>
  <si>
    <t>ORD203049</t>
  </si>
  <si>
    <t>ORD200025</t>
  </si>
  <si>
    <t>ORD200168</t>
  </si>
  <si>
    <t>ORD200338</t>
  </si>
  <si>
    <t>ORD201161</t>
  </si>
  <si>
    <t>ORD201339</t>
  </si>
  <si>
    <t>ORD202069</t>
  </si>
  <si>
    <t>ORD200713</t>
  </si>
  <si>
    <t>ORD201341</t>
  </si>
  <si>
    <t>ORD202228</t>
  </si>
  <si>
    <t>ORD201730</t>
  </si>
  <si>
    <t>ORD202884</t>
  </si>
  <si>
    <t>ORD200432</t>
  </si>
  <si>
    <t>ORD202335</t>
  </si>
  <si>
    <t>ORD203113</t>
  </si>
  <si>
    <t>ORD202034</t>
  </si>
  <si>
    <t>ORD200148</t>
  </si>
  <si>
    <t>ORD201153</t>
  </si>
  <si>
    <t>ORD201710</t>
  </si>
  <si>
    <t>ORD201908</t>
  </si>
  <si>
    <t>ORD200021</t>
  </si>
  <si>
    <t>ORD203152</t>
  </si>
  <si>
    <t>ORD201081</t>
  </si>
  <si>
    <t>CUST100975</t>
  </si>
  <si>
    <t>ORD202053</t>
  </si>
  <si>
    <t>ORD202768</t>
  </si>
  <si>
    <t>ORD201705</t>
  </si>
  <si>
    <t>ORD200681</t>
  </si>
  <si>
    <t>ORD203022</t>
  </si>
  <si>
    <t>ORD201466</t>
  </si>
  <si>
    <t>ORD202039</t>
  </si>
  <si>
    <t>ORD202196</t>
  </si>
  <si>
    <t>ORD200016</t>
  </si>
  <si>
    <t>ORD200362</t>
  </si>
  <si>
    <t>ORD202026</t>
  </si>
  <si>
    <t>ORD200022</t>
  </si>
  <si>
    <t>ORD201325</t>
  </si>
  <si>
    <t>ORD201764</t>
  </si>
  <si>
    <t>ORD203097</t>
  </si>
  <si>
    <t>ORD202050</t>
  </si>
  <si>
    <t>ORD202403</t>
  </si>
  <si>
    <t>CUST100639</t>
  </si>
  <si>
    <t>ORD200033</t>
  </si>
  <si>
    <t>ORD200246</t>
  </si>
  <si>
    <t>ORD200873</t>
  </si>
  <si>
    <t>CUST100209</t>
  </si>
  <si>
    <t>ORD200995</t>
  </si>
  <si>
    <t>ORD201840</t>
  </si>
  <si>
    <t>ORD203043</t>
  </si>
  <si>
    <t>ORD201389</t>
  </si>
  <si>
    <t>ORD203047</t>
  </si>
  <si>
    <t>ORD201789</t>
  </si>
  <si>
    <t>ORD201914</t>
  </si>
  <si>
    <t>ORD202713</t>
  </si>
  <si>
    <t>ORD200433</t>
  </si>
  <si>
    <t>ORD202992</t>
  </si>
  <si>
    <t>ORD200346</t>
  </si>
  <si>
    <t>ORD200611</t>
  </si>
  <si>
    <t>ORD201388</t>
  </si>
  <si>
    <t>ORD201469</t>
  </si>
  <si>
    <t>ORD201864</t>
  </si>
  <si>
    <t>ORD200269</t>
  </si>
  <si>
    <t>ORD200397</t>
  </si>
  <si>
    <t>ORD200810</t>
  </si>
  <si>
    <t>ORD201415</t>
  </si>
  <si>
    <t>ORD201700</t>
  </si>
  <si>
    <t>ORD201842</t>
  </si>
  <si>
    <t>ORD201940</t>
  </si>
  <si>
    <t>ORD202037</t>
  </si>
  <si>
    <t>ORD203115</t>
  </si>
  <si>
    <t>ORD203158</t>
  </si>
  <si>
    <t>ORD200151</t>
  </si>
  <si>
    <t>ORD200187</t>
  </si>
  <si>
    <t>ORD201164</t>
  </si>
  <si>
    <t>ORD201681</t>
  </si>
  <si>
    <t>ORD202878</t>
  </si>
  <si>
    <t>ORD201428</t>
  </si>
  <si>
    <t>ORD201226</t>
  </si>
  <si>
    <t>ORD201941</t>
  </si>
  <si>
    <t>ORD202740</t>
  </si>
  <si>
    <t>ORD200165</t>
  </si>
  <si>
    <t>ORD200384</t>
  </si>
  <si>
    <t>ORD200391</t>
  </si>
  <si>
    <t>ORD200732</t>
  </si>
  <si>
    <t>ORD200951</t>
  </si>
  <si>
    <t>ORD202954</t>
  </si>
  <si>
    <t>ORD200067</t>
  </si>
  <si>
    <t>ORD201357</t>
  </si>
  <si>
    <t>ORD201911</t>
  </si>
  <si>
    <t>ORD202346</t>
  </si>
  <si>
    <t>ORD201291</t>
  </si>
  <si>
    <t>ORD203153</t>
  </si>
  <si>
    <t>ORD200564</t>
  </si>
  <si>
    <t>ORD202550</t>
  </si>
  <si>
    <t>ORD202946</t>
  </si>
  <si>
    <t>ORD200085</t>
  </si>
  <si>
    <t>ORD200161</t>
  </si>
  <si>
    <t>ORD200183</t>
  </si>
  <si>
    <t>ORD201900</t>
  </si>
  <si>
    <t>ORD200293</t>
  </si>
  <si>
    <t>ORD202230</t>
  </si>
  <si>
    <t>ORD200630</t>
  </si>
  <si>
    <t>ORD202430</t>
  </si>
  <si>
    <t>ORD202996</t>
  </si>
  <si>
    <t>ORD200762</t>
  </si>
  <si>
    <t>ORD202124</t>
  </si>
  <si>
    <t>ORD202561</t>
  </si>
  <si>
    <t>ORD202911</t>
  </si>
  <si>
    <t>ORD200196</t>
  </si>
  <si>
    <t>ORD200958</t>
  </si>
  <si>
    <t>ORD201761</t>
  </si>
  <si>
    <t>ORD202281</t>
  </si>
  <si>
    <t>ORD202304</t>
  </si>
  <si>
    <t>ORD202482</t>
  </si>
  <si>
    <t>ORD202917</t>
  </si>
  <si>
    <t>ORD203117</t>
  </si>
  <si>
    <t>ORD201936</t>
  </si>
  <si>
    <t>ORD200539</t>
  </si>
  <si>
    <t>ORD200739</t>
  </si>
  <si>
    <t>ORD202075</t>
  </si>
  <si>
    <t>ORD203060</t>
  </si>
  <si>
    <t>ORD201723</t>
  </si>
  <si>
    <t>Row Labels</t>
  </si>
  <si>
    <t>Grand Total</t>
  </si>
  <si>
    <t>Sum of Revenue (INR)</t>
  </si>
  <si>
    <t>2018</t>
  </si>
  <si>
    <t>2019</t>
  </si>
  <si>
    <t>2020</t>
  </si>
  <si>
    <t>2021</t>
  </si>
  <si>
    <t>2022</t>
  </si>
  <si>
    <t>2023</t>
  </si>
  <si>
    <t>2024</t>
  </si>
  <si>
    <t>2025</t>
  </si>
  <si>
    <t>Sum of Units Sold</t>
  </si>
  <si>
    <t>Count of Order ID</t>
  </si>
  <si>
    <t>Average of Customer Rating</t>
  </si>
  <si>
    <t>Sum of Revenue (Lakh)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</si>
</sst>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0.0"/>
    <numFmt numFmtId="165" formatCode="&quot;₹&quot;0.00,&quot;K&quot;"/>
  </numFmts>
  <fonts count="11">
    <font>
      <sz val="11"/>
      <color theme="1"/>
      <name val="Inter"/>
      <family val="2"/>
      <scheme val="minor"/>
    </font>
    <font>
      <sz val="11"/>
      <color rgb="FF111827"/>
      <name val="Inter"/>
    </font>
    <font>
      <b/>
      <sz val="20"/>
      <color rgb="FFFFFFFF"/>
      <name val="Inter"/>
    </font>
    <font>
      <sz val="11"/>
      <color rgb="FF991B1B"/>
      <name val="Inter 18pt SemiBold"/>
    </font>
    <font>
      <sz val="11"/>
      <color rgb="FF166534"/>
      <name val="Inter 18pt SemiBold"/>
    </font>
    <font>
      <sz val="14"/>
      <color rgb="FF1E3A8A"/>
      <name val="Inter 18pt SemiBold"/>
    </font>
    <font>
      <sz val="11"/>
      <color rgb="FF1E3A8A"/>
      <name val="Inter 18pt SemiBold"/>
    </font>
    <font>
      <sz val="11"/>
      <color rgb="FF92400E"/>
      <name val="Inter 18pt SemiBold"/>
    </font>
    <font>
      <sz val="11"/>
      <color theme="1"/>
      <name val="Inter"/>
      <family val="2"/>
      <scheme val="minor"/>
    </font>
    <font>
      <sz val="11"/>
      <color rgb="FF64748B"/>
      <name val="Inter 18pt SemiBold"/>
    </font>
    <font>
      <sz val="18"/>
      <color rgb="FF1E40AF"/>
      <name val="Inter 18pt SemiBold"/>
    </font>
  </fonts>
  <fills count="10">
    <fill>
      <patternFill patternType="none"/>
    </fill>
    <fill>
      <patternFill patternType="gray125"/>
    </fill>
    <fill>
      <patternFill patternType="solid">
        <fgColor rgb="FFFFFFFF"/>
      </patternFill>
    </fill>
    <fill>
      <patternFill patternType="solid">
        <fgColor rgb="FFFEE2E2"/>
      </patternFill>
    </fill>
    <fill>
      <patternFill patternType="solid">
        <fgColor rgb="FFDBEAFE"/>
      </patternFill>
    </fill>
    <fill>
      <patternFill patternType="solid">
        <fgColor rgb="FFDCFCE7"/>
      </patternFill>
    </fill>
    <fill>
      <patternFill patternType="solid">
        <fgColor rgb="FF1E3A8A"/>
      </patternFill>
    </fill>
    <fill>
      <patternFill patternType="solid">
        <fgColor rgb="FFFEF3C7"/>
      </patternFill>
    </fill>
    <fill>
      <patternFill patternType="solid">
        <fgColor rgb="FFF8FAFC"/>
        <bgColor indexed="64"/>
      </patternFill>
    </fill>
    <fill>
      <patternFill patternType="solid">
        <fgColor theme="0"/>
        <bgColor indexed="64"/>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0">
    <xf numFmtId="0" fontId="0" fillId="0" borderId="0"/>
    <xf numFmtId="0" fontId="1" fillId="2" borderId="1">
      <alignment vertical="center"/>
    </xf>
    <xf numFmtId="0" fontId="3" fillId="3" borderId="1">
      <alignment horizontal="center" vertical="center"/>
    </xf>
    <xf numFmtId="0" fontId="5" fillId="4" borderId="1">
      <alignment horizontal="left" vertical="center"/>
    </xf>
    <xf numFmtId="0" fontId="4" fillId="5" borderId="1">
      <alignment horizontal="center" vertical="center"/>
    </xf>
    <xf numFmtId="0" fontId="6" fillId="4" borderId="1">
      <alignment horizontal="center" vertical="center"/>
    </xf>
    <xf numFmtId="0" fontId="2" fillId="6" borderId="0">
      <alignment horizontal="center" vertical="center"/>
    </xf>
    <xf numFmtId="0" fontId="7" fillId="7" borderId="1">
      <alignment horizontal="center" vertical="center"/>
    </xf>
    <xf numFmtId="0" fontId="1" fillId="8" borderId="1">
      <alignment vertical="center"/>
    </xf>
    <xf numFmtId="44" fontId="8" fillId="0" borderId="0" applyFont="0" applyFill="0" applyBorder="0" applyAlignment="0" applyProtection="0"/>
  </cellStyleXfs>
  <cellXfs count="12">
    <xf numFmtId="0" fontId="0" fillId="0" borderId="0" xfId="0"/>
    <xf numFmtId="14" fontId="0" fillId="0" borderId="0" xfId="0" applyNumberFormat="1"/>
    <xf numFmtId="0" fontId="6" fillId="4" borderId="1" xfId="5">
      <alignment horizontal="center" vertical="center"/>
    </xf>
    <xf numFmtId="44" fontId="0" fillId="0" borderId="0" xfId="9" applyFont="1"/>
    <xf numFmtId="0" fontId="0" fillId="0" borderId="0" xfId="0" pivotButton="1"/>
    <xf numFmtId="0" fontId="0" fillId="0" borderId="0" xfId="0" applyAlignment="1">
      <alignment horizontal="left"/>
    </xf>
    <xf numFmtId="44" fontId="0" fillId="0" borderId="0" xfId="0" applyNumberFormat="1"/>
    <xf numFmtId="0" fontId="0" fillId="8" borderId="0" xfId="0" applyFill="1"/>
    <xf numFmtId="0" fontId="9" fillId="9" borderId="0" xfId="0" applyFont="1" applyFill="1" applyAlignment="1">
      <alignment horizontal="left" vertical="center"/>
    </xf>
    <xf numFmtId="0" fontId="10" fillId="9" borderId="0" xfId="9" applyNumberFormat="1" applyFont="1" applyFill="1" applyBorder="1" applyAlignment="1">
      <alignment horizontal="left" vertical="center"/>
    </xf>
    <xf numFmtId="165" fontId="10" fillId="9" borderId="0" xfId="0" applyNumberFormat="1" applyFont="1" applyFill="1" applyAlignment="1">
      <alignment horizontal="left" vertical="center"/>
    </xf>
    <xf numFmtId="164" fontId="10" fillId="9" borderId="0" xfId="0" applyNumberFormat="1" applyFont="1" applyFill="1" applyAlignment="1">
      <alignment horizontal="left" vertical="center"/>
    </xf>
  </cellXfs>
  <cellStyles count="10">
    <cellStyle name="Alter Data - DA" xfId="8" xr:uid="{45B1E1C0-0CD7-41FE-9C89-CC00709F5129}"/>
    <cellStyle name="Currency" xfId="9" builtinId="4"/>
    <cellStyle name="Data - DA" xfId="1" xr:uid="{F08B94FF-516F-4B90-BCC8-F9E62C864C7D}"/>
    <cellStyle name="Error - DA" xfId="2" xr:uid="{F4853215-B8A9-4FA4-B07E-5AC3F68C8CC5}"/>
    <cellStyle name="Normal" xfId="0" builtinId="0" customBuiltin="1"/>
    <cellStyle name="Section - DA" xfId="3" xr:uid="{BF2BB15B-B485-47CA-889E-DF890E7E9CF2}"/>
    <cellStyle name="Success - DA" xfId="4" xr:uid="{0515DE26-7890-4ABE-9AD7-6DD3B791A27C}"/>
    <cellStyle name="Table Header - DA" xfId="5" xr:uid="{99B6A1E5-8B87-41FF-BA66-D139AE1D3CF9}"/>
    <cellStyle name="Title - DA" xfId="6" xr:uid="{ED2854EF-B1EB-4816-A1B3-DB9ACF26A372}"/>
    <cellStyle name="Warning - DA" xfId="7" xr:uid="{D9C80993-6EF5-4C2E-8704-8D99D83EEDBF}"/>
  </cellStyles>
  <dxfs count="6">
    <dxf>
      <numFmt numFmtId="19" formatCode="dd/mm/yyyy"/>
    </dxf>
    <dxf>
      <font>
        <sz val="12"/>
        <color rgb="FF111827"/>
        <name val="Inter 18pt SemiBold"/>
        <scheme val="none"/>
      </font>
      <fill>
        <patternFill patternType="none">
          <bgColor auto="1"/>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val="0"/>
        <i val="0"/>
        <strike val="0"/>
        <color rgb="FF111827"/>
      </font>
      <fill>
        <patternFill>
          <bgColor rgb="FFF8FAFC"/>
        </patternFill>
      </fill>
      <border>
        <left style="thin">
          <color rgb="FFE5E7EB"/>
        </left>
        <right style="thin">
          <color rgb="FFE5E7EB"/>
        </right>
        <top style="thin">
          <color rgb="FFE5E7EB"/>
        </top>
        <bottom style="thin">
          <color rgb="FFE5E7EB"/>
        </bottom>
        <vertical style="thin">
          <color rgb="FFE5E7EB"/>
        </vertical>
        <horizontal style="thin">
          <color rgb="FFE5E7EB"/>
        </horizontal>
      </border>
    </dxf>
    <dxf>
      <font>
        <b val="0"/>
        <i val="0"/>
        <strike val="0"/>
        <color rgb="FF111827"/>
      </font>
      <fill>
        <patternFill>
          <bgColor theme="0"/>
        </patternFill>
      </fill>
      <border>
        <left style="thin">
          <color rgb="FFE5E7EB"/>
        </left>
        <right style="thin">
          <color rgb="FFE5E7EB"/>
        </right>
        <top style="thin">
          <color rgb="FFE5E7EB"/>
        </top>
        <bottom style="thin">
          <color rgb="FFE5E7EB"/>
        </bottom>
        <vertical style="thin">
          <color rgb="FFE5E7EB"/>
        </vertical>
        <horizontal style="thin">
          <color rgb="FFE5E7EB"/>
        </horizontal>
      </border>
    </dxf>
    <dxf>
      <font>
        <b val="0"/>
        <i val="0"/>
        <strike val="0"/>
        <color rgb="FF1E3A8A"/>
      </font>
      <fill>
        <patternFill>
          <bgColor rgb="FFDBEAFE"/>
        </patternFill>
      </fill>
      <border>
        <left style="thin">
          <color rgb="FFE5E7EB"/>
        </left>
        <right style="thin">
          <color rgb="FFE5E7EB"/>
        </right>
        <top style="thin">
          <color rgb="FFE5E7EB"/>
        </top>
        <bottom style="thin">
          <color rgb="FFE5E7EB"/>
        </bottom>
        <vertical style="thin">
          <color rgb="FFE5E7EB"/>
        </vertical>
        <horizontal style="thin">
          <color rgb="FFE5E7EB"/>
        </horizontal>
      </border>
    </dxf>
  </dxfs>
  <tableStyles count="2" defaultTableStyle="Devansh Analytics Table" defaultPivotStyle="PivotStyleLight16">
    <tableStyle name="Devansh Analytics Table" pivot="0" count="3" xr9:uid="{3E9A2729-8D89-4F9C-83F7-1A983185E01F}">
      <tableStyleElement type="headerRow" dxfId="5"/>
      <tableStyleElement type="firstRowStripe" dxfId="4"/>
      <tableStyleElement type="secondRowStripe" dxfId="3"/>
    </tableStyle>
    <tableStyle name="SlicerStyleLight1 2" pivot="0" table="0" count="10" xr9:uid="{9FF761B2-50C5-4102-BFCE-D18A3BF82D92}">
      <tableStyleElement type="wholeTable" dxfId="2"/>
      <tableStyleElement type="headerRow" dxfId="1"/>
    </tableStyle>
  </tableStyles>
  <colors>
    <mruColors>
      <color rgb="FF1E40AF"/>
      <color rgb="FF123A8C"/>
      <color rgb="FFDBEAFE"/>
      <color rgb="FF0F172A"/>
      <color rgb="FFE2E8F0"/>
      <color rgb="FFCBD5E1"/>
      <color rgb="FFF8FAFC"/>
      <color rgb="FF64748B"/>
      <color rgb="FF475569"/>
      <color rgb="FF33415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val="0"/>
            <i val="0"/>
            <sz val="12"/>
            <color rgb="FF0F172A"/>
          </font>
          <fill>
            <patternFill patternType="solid">
              <fgColor theme="4" tint="0.59999389629810485"/>
              <bgColor rgb="FFDBEAF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[Indian_Footwear_Sales_2018_2025_Final_Verse(Part1).xlsx]Revenue_Trend!PivotTable2</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latin typeface="+mn-lt"/>
                <a:ea typeface="Inter 18pt ExtraBold" panose="02000503000000020004" pitchFamily="2" charset="0"/>
              </a:rPr>
              <a:t>Revenue Trend | 2018–2025</a:t>
            </a:r>
            <a:endParaRPr lang="en-US" sz="1600" b="1" baseline="0">
              <a:latin typeface="+mn-lt"/>
              <a:ea typeface="Inter 18pt ExtraBold" panose="02000503000000020004" pitchFamily="2"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1E40AF"/>
            </a:solidFill>
            <a:round/>
          </a:ln>
          <a:effectLst/>
        </c:spPr>
        <c:marker>
          <c:symbol val="circle"/>
          <c:size val="5"/>
          <c:spPr>
            <a:solidFill>
              <a:schemeClr val="accent1"/>
            </a:solidFill>
            <a:ln w="12700">
              <a:solidFill>
                <a:schemeClr val="bg1"/>
              </a:solidFill>
            </a:ln>
            <a:effectLst/>
          </c:spPr>
        </c:marker>
        <c:dLbl>
          <c:idx val="0"/>
          <c:numFmt formatCode="&quot;₹&quot;0.00,,&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172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Revenue_Trend!$B$3</c:f>
              <c:strCache>
                <c:ptCount val="1"/>
                <c:pt idx="0">
                  <c:v>Total</c:v>
                </c:pt>
              </c:strCache>
            </c:strRef>
          </c:tx>
          <c:spPr>
            <a:ln w="31750" cap="rnd">
              <a:solidFill>
                <a:srgbClr val="1E40AF"/>
              </a:solidFill>
              <a:round/>
            </a:ln>
            <a:effectLst/>
          </c:spPr>
          <c:marker>
            <c:symbol val="circle"/>
            <c:size val="5"/>
            <c:spPr>
              <a:solidFill>
                <a:schemeClr val="accent1"/>
              </a:solidFill>
              <a:ln w="12700">
                <a:solidFill>
                  <a:schemeClr val="bg1"/>
                </a:solidFill>
              </a:ln>
              <a:effectLst/>
            </c:spPr>
          </c:marker>
          <c:dLbls>
            <c:numFmt formatCode="&quot;₹&quot;0.00,,&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172A"/>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Revenue_Trend!$A$4:$A$12</c:f>
              <c:strCache>
                <c:ptCount val="8"/>
                <c:pt idx="0">
                  <c:v>2018</c:v>
                </c:pt>
                <c:pt idx="1">
                  <c:v>2019</c:v>
                </c:pt>
                <c:pt idx="2">
                  <c:v>2020</c:v>
                </c:pt>
                <c:pt idx="3">
                  <c:v>2021</c:v>
                </c:pt>
                <c:pt idx="4">
                  <c:v>2022</c:v>
                </c:pt>
                <c:pt idx="5">
                  <c:v>2023</c:v>
                </c:pt>
                <c:pt idx="6">
                  <c:v>2024</c:v>
                </c:pt>
                <c:pt idx="7">
                  <c:v>2025</c:v>
                </c:pt>
              </c:strCache>
            </c:strRef>
          </c:cat>
          <c:val>
            <c:numRef>
              <c:f>Revenue_Trend!$B$4:$B$12</c:f>
              <c:numCache>
                <c:formatCode>_("₹"* #,##0.00_);_("₹"* \(#,##0.00\);_("₹"* "-"??_);_(@_)</c:formatCode>
                <c:ptCount val="8"/>
                <c:pt idx="0">
                  <c:v>2538790</c:v>
                </c:pt>
                <c:pt idx="1">
                  <c:v>2109110</c:v>
                </c:pt>
                <c:pt idx="2">
                  <c:v>2776980</c:v>
                </c:pt>
                <c:pt idx="3">
                  <c:v>2823220</c:v>
                </c:pt>
                <c:pt idx="4">
                  <c:v>3312660</c:v>
                </c:pt>
                <c:pt idx="5">
                  <c:v>3500070</c:v>
                </c:pt>
                <c:pt idx="6">
                  <c:v>3489770</c:v>
                </c:pt>
                <c:pt idx="7">
                  <c:v>3542500</c:v>
                </c:pt>
              </c:numCache>
            </c:numRef>
          </c:val>
          <c:smooth val="0"/>
          <c:extLst>
            <c:ext xmlns:c16="http://schemas.microsoft.com/office/drawing/2014/chart" uri="{C3380CC4-5D6E-409C-BE32-E72D297353CC}">
              <c16:uniqueId val="{00000000-A9F2-4181-976E-492ABD59BDAF}"/>
            </c:ext>
          </c:extLst>
        </c:ser>
        <c:dLbls>
          <c:showLegendKey val="0"/>
          <c:showVal val="0"/>
          <c:showCatName val="0"/>
          <c:showSerName val="0"/>
          <c:showPercent val="0"/>
          <c:showBubbleSize val="0"/>
        </c:dLbls>
        <c:marker val="1"/>
        <c:smooth val="0"/>
        <c:axId val="823128224"/>
        <c:axId val="615205808"/>
      </c:lineChart>
      <c:catAx>
        <c:axId val="82312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615205808"/>
        <c:crosses val="autoZero"/>
        <c:auto val="1"/>
        <c:lblAlgn val="ctr"/>
        <c:lblOffset val="100"/>
        <c:noMultiLvlLbl val="0"/>
      </c:catAx>
      <c:valAx>
        <c:axId val="615205808"/>
        <c:scaling>
          <c:orientation val="minMax"/>
          <c:max val="4000000"/>
        </c:scaling>
        <c:delete val="0"/>
        <c:axPos val="l"/>
        <c:majorGridlines>
          <c:spPr>
            <a:ln w="9525" cap="flat" cmpd="sng" algn="ctr">
              <a:solidFill>
                <a:srgbClr val="E2E8F0">
                  <a:alpha val="90000"/>
                </a:srgb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823128224"/>
        <c:crosses val="autoZero"/>
        <c:crossBetween val="between"/>
        <c:majorUnit val="5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E40AF">
          <a:alpha val="4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[Indian_Footwear_Sales_2018_2025_Final_Verse(Part1).xlsx]Top_State!PivotTable3</c:name>
    <c:fmtId val="3"/>
  </c:pivotSource>
  <c:chart>
    <c:title>
      <c:tx>
        <c:rich>
          <a:bodyPr rot="0" spcFirstLastPara="1" vertOverflow="ellipsis" vert="horz" wrap="square" anchor="ctr" anchorCtr="1"/>
          <a:lstStyle/>
          <a:p>
            <a:pPr algn="ctr" rtl="0">
              <a:defRPr lang="en-IN" sz="1600" b="1" i="0" u="none" strike="noStrike" kern="1200" spc="0" baseline="0">
                <a:solidFill>
                  <a:srgbClr val="111827">
                    <a:lumMod val="65000"/>
                    <a:lumOff val="35000"/>
                  </a:srgbClr>
                </a:solidFill>
                <a:latin typeface="+mn-lt"/>
                <a:ea typeface="Inter 18pt ExtraBold" panose="02000503000000020004" pitchFamily="2" charset="0"/>
                <a:cs typeface="+mn-cs"/>
              </a:defRPr>
            </a:pPr>
            <a:r>
              <a:rPr lang="en-IN" sz="1600" b="1" i="0" u="none" strike="noStrike" kern="1200" spc="0" baseline="0">
                <a:solidFill>
                  <a:srgbClr val="111827">
                    <a:lumMod val="65000"/>
                    <a:lumOff val="35000"/>
                  </a:srgbClr>
                </a:solidFill>
                <a:latin typeface="+mn-lt"/>
                <a:ea typeface="Inter 18pt ExtraBold" panose="02000503000000020004" pitchFamily="2" charset="0"/>
                <a:cs typeface="+mn-cs"/>
              </a:rPr>
              <a:t>Top 5 States by Revenue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1E40AF"/>
          </a:solidFill>
          <a:ln>
            <a:noFill/>
          </a:ln>
          <a:effectLst/>
        </c:spPr>
        <c:marker>
          <c:symbol val="none"/>
        </c:marker>
        <c:dLbl>
          <c:idx val="0"/>
          <c:numFmt formatCode="&quot;₹&quot;0.00&quot;L&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E40AF"/>
          </a:solidFill>
          <a:ln>
            <a:noFill/>
          </a:ln>
          <a:effectLst/>
        </c:spPr>
        <c:marker>
          <c:symbol val="none"/>
        </c:marker>
        <c:dLbl>
          <c:idx val="0"/>
          <c:numFmt formatCode="&quot;₹&quot;0.00&quot;L&quot;" sourceLinked="0"/>
          <c:spPr>
            <a:noFill/>
            <a:ln>
              <a:noFill/>
            </a:ln>
            <a:effectLst/>
          </c:spPr>
          <c:txPr>
            <a:bodyPr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Top_State!$B$3</c:f>
              <c:strCache>
                <c:ptCount val="1"/>
                <c:pt idx="0">
                  <c:v>Total</c:v>
                </c:pt>
              </c:strCache>
            </c:strRef>
          </c:tx>
          <c:spPr>
            <a:solidFill>
              <a:srgbClr val="1E40AF"/>
            </a:solidFill>
            <a:ln>
              <a:noFill/>
            </a:ln>
            <a:effectLst/>
          </c:spPr>
          <c:invertIfNegative val="0"/>
          <c:dLbls>
            <c:numFmt formatCode="&quot;₹&quot;0.00&quot;L&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Top_State!$A$4:$A$9</c:f>
              <c:strCache>
                <c:ptCount val="5"/>
                <c:pt idx="0">
                  <c:v>West Bengal</c:v>
                </c:pt>
                <c:pt idx="1">
                  <c:v>Karnataka</c:v>
                </c:pt>
                <c:pt idx="2">
                  <c:v>Tamil Nadu</c:v>
                </c:pt>
                <c:pt idx="3">
                  <c:v>Telangana</c:v>
                </c:pt>
                <c:pt idx="4">
                  <c:v>Madhya Pradesh</c:v>
                </c:pt>
              </c:strCache>
            </c:strRef>
          </c:cat>
          <c:val>
            <c:numRef>
              <c:f>Top_State!$B$4:$B$9</c:f>
              <c:numCache>
                <c:formatCode>_("₹"* #,##0.00_);_("₹"* \(#,##0.00\);_("₹"* "-"??_);_(@_)</c:formatCode>
                <c:ptCount val="5"/>
                <c:pt idx="0">
                  <c:v>11.085000000000001</c:v>
                </c:pt>
                <c:pt idx="1">
                  <c:v>9.4343000000000004</c:v>
                </c:pt>
                <c:pt idx="2">
                  <c:v>9.3989999999999991</c:v>
                </c:pt>
                <c:pt idx="3">
                  <c:v>9.1624999999999996</c:v>
                </c:pt>
                <c:pt idx="4">
                  <c:v>8.7194000000000003</c:v>
                </c:pt>
              </c:numCache>
            </c:numRef>
          </c:val>
          <c:extLst>
            <c:ext xmlns:c16="http://schemas.microsoft.com/office/drawing/2014/chart" uri="{C3380CC4-5D6E-409C-BE32-E72D297353CC}">
              <c16:uniqueId val="{00000005-E8E5-498F-BFBB-4F1192E0B1A1}"/>
            </c:ext>
          </c:extLst>
        </c:ser>
        <c:dLbls>
          <c:dLblPos val="outEnd"/>
          <c:showLegendKey val="0"/>
          <c:showVal val="1"/>
          <c:showCatName val="0"/>
          <c:showSerName val="0"/>
          <c:showPercent val="0"/>
          <c:showBubbleSize val="0"/>
        </c:dLbls>
        <c:gapWidth val="182"/>
        <c:axId val="781172528"/>
        <c:axId val="615199088"/>
      </c:barChart>
      <c:catAx>
        <c:axId val="78117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rgbClr val="475569"/>
                </a:solidFill>
                <a:latin typeface="+mn-lt"/>
                <a:ea typeface="+mn-ea"/>
                <a:cs typeface="+mn-cs"/>
              </a:defRPr>
            </a:pPr>
            <a:endParaRPr lang="en-US"/>
          </a:p>
        </c:txPr>
        <c:crossAx val="615199088"/>
        <c:crosses val="autoZero"/>
        <c:auto val="1"/>
        <c:lblAlgn val="ctr"/>
        <c:lblOffset val="100"/>
        <c:noMultiLvlLbl val="0"/>
      </c:catAx>
      <c:valAx>
        <c:axId val="6151990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781172528"/>
        <c:crosses val="autoZero"/>
        <c:crossBetween val="between"/>
      </c:valAx>
    </c:plotArea>
    <c:plotVisOnly val="1"/>
    <c:dispBlanksAs val="gap"/>
    <c:showDLblsOverMax val="0"/>
    <c:extLst/>
  </c:chart>
  <c:spPr>
    <a:ln w="9525">
      <a:solidFill>
        <a:srgbClr val="475569">
          <a:alpha val="45000"/>
        </a:srgb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[Indian_Footwear_Sales_2018_2025_Final_Verse(Part1).xlsx]Top_Brand!PivotTable4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Inter 18pt" panose="02000503000000020004" pitchFamily="2" charset="0"/>
                <a:ea typeface="Inter 18pt" panose="02000503000000020004" pitchFamily="2" charset="0"/>
                <a:cs typeface="+mn-cs"/>
              </a:defRPr>
            </a:pPr>
            <a:r>
              <a:rPr lang="en-IN" sz="1400" b="1" i="0" u="none" strike="noStrike" baseline="0">
                <a:latin typeface="Inter 18pt" panose="02000503000000020004" pitchFamily="2" charset="0"/>
                <a:ea typeface="Inter 18pt" panose="02000503000000020004" pitchFamily="2" charset="0"/>
              </a:rPr>
              <a:t>Revenue by Brand</a:t>
            </a:r>
            <a:endParaRPr lang="en-US" b="1" baseline="0">
              <a:latin typeface="Inter 18pt" panose="02000503000000020004" pitchFamily="2" charset="0"/>
              <a:ea typeface="Inter 18pt" panose="02000503000000020004"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Inter 18pt" panose="02000503000000020004" pitchFamily="2" charset="0"/>
              <a:ea typeface="Inter 18pt" panose="02000503000000020004" pitchFamily="2"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40AF"/>
          </a:solidFill>
          <a:ln>
            <a:noFill/>
          </a:ln>
          <a:effectLst/>
        </c:spPr>
        <c:marker>
          <c:symbol val="none"/>
        </c:marker>
        <c:dLbl>
          <c:idx val="0"/>
          <c:numFmt formatCode="&quot;₹&quot;0.0,,&quot;L&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Top_Brand!$B$3</c:f>
              <c:strCache>
                <c:ptCount val="1"/>
                <c:pt idx="0">
                  <c:v>Total</c:v>
                </c:pt>
              </c:strCache>
            </c:strRef>
          </c:tx>
          <c:spPr>
            <a:solidFill>
              <a:srgbClr val="1E40AF"/>
            </a:solidFill>
            <a:ln>
              <a:noFill/>
            </a:ln>
            <a:effectLst/>
          </c:spPr>
          <c:invertIfNegative val="0"/>
          <c:dLbls>
            <c:numFmt formatCode="&quot;₹&quot;0.0,,&quot;L&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Top_Brand!$A$4:$A$10</c:f>
              <c:strCache>
                <c:ptCount val="6"/>
                <c:pt idx="0">
                  <c:v>Adidas</c:v>
                </c:pt>
                <c:pt idx="1">
                  <c:v>New Balance</c:v>
                </c:pt>
                <c:pt idx="2">
                  <c:v>ASICS</c:v>
                </c:pt>
                <c:pt idx="3">
                  <c:v>Nike</c:v>
                </c:pt>
                <c:pt idx="4">
                  <c:v>Reebok</c:v>
                </c:pt>
                <c:pt idx="5">
                  <c:v>Puma</c:v>
                </c:pt>
              </c:strCache>
            </c:strRef>
          </c:cat>
          <c:val>
            <c:numRef>
              <c:f>Top_Brand!$B$4:$B$10</c:f>
              <c:numCache>
                <c:formatCode>_("₹"* #,##0.00_);_("₹"* \(#,##0.00\);_("₹"* "-"??_);_(@_)</c:formatCode>
                <c:ptCount val="6"/>
                <c:pt idx="0">
                  <c:v>4607120</c:v>
                </c:pt>
                <c:pt idx="1">
                  <c:v>4330530</c:v>
                </c:pt>
                <c:pt idx="2">
                  <c:v>4228640</c:v>
                </c:pt>
                <c:pt idx="3">
                  <c:v>3787260</c:v>
                </c:pt>
                <c:pt idx="4">
                  <c:v>3579240</c:v>
                </c:pt>
                <c:pt idx="5">
                  <c:v>3560310</c:v>
                </c:pt>
              </c:numCache>
            </c:numRef>
          </c:val>
          <c:extLst>
            <c:ext xmlns:c16="http://schemas.microsoft.com/office/drawing/2014/chart" uri="{C3380CC4-5D6E-409C-BE32-E72D297353CC}">
              <c16:uniqueId val="{00000000-AEBD-4DA3-B387-F259076C0A5C}"/>
            </c:ext>
          </c:extLst>
        </c:ser>
        <c:dLbls>
          <c:dLblPos val="outEnd"/>
          <c:showLegendKey val="0"/>
          <c:showVal val="1"/>
          <c:showCatName val="0"/>
          <c:showSerName val="0"/>
          <c:showPercent val="0"/>
          <c:showBubbleSize val="0"/>
        </c:dLbls>
        <c:gapWidth val="219"/>
        <c:overlap val="-27"/>
        <c:axId val="781166496"/>
        <c:axId val="615141008"/>
      </c:barChart>
      <c:catAx>
        <c:axId val="78116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rgbClr val="475569"/>
                </a:solidFill>
                <a:latin typeface="+mn-lt"/>
                <a:ea typeface="+mn-ea"/>
                <a:cs typeface="+mn-cs"/>
              </a:defRPr>
            </a:pPr>
            <a:endParaRPr lang="en-US"/>
          </a:p>
        </c:txPr>
        <c:crossAx val="615141008"/>
        <c:crosses val="autoZero"/>
        <c:auto val="1"/>
        <c:lblAlgn val="ctr"/>
        <c:lblOffset val="100"/>
        <c:noMultiLvlLbl val="0"/>
      </c:catAx>
      <c:valAx>
        <c:axId val="615141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78116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75569">
          <a:alpha val="4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[Indian_Footwear_Sales_2018_2025_Final_Verse(Part1).xlsx]Top_Products!PivotTable5</c:name>
    <c:fmtId val="3"/>
  </c:pivotSource>
  <c:chart>
    <c:title>
      <c:tx>
        <c:rich>
          <a:bodyPr rot="0" spcFirstLastPara="1" vertOverflow="ellipsis" vert="horz" wrap="square" anchor="ctr" anchorCtr="1"/>
          <a:lstStyle/>
          <a:p>
            <a:pPr algn="ctr" rtl="0">
              <a:defRPr lang="en-IN" sz="1600" b="1" i="0" u="none" strike="noStrike" kern="1200" spc="0" baseline="0">
                <a:solidFill>
                  <a:srgbClr val="111827">
                    <a:lumMod val="65000"/>
                    <a:lumOff val="35000"/>
                  </a:srgbClr>
                </a:solidFill>
                <a:latin typeface="+mn-lt"/>
                <a:ea typeface="Inter 18pt ExtraBold" panose="02000503000000020004" pitchFamily="2" charset="0"/>
                <a:cs typeface="+mn-cs"/>
              </a:defRPr>
            </a:pPr>
            <a:r>
              <a:rPr lang="en-IN" sz="1600" b="1" i="0" u="none" strike="noStrike" kern="1200" spc="0" baseline="0">
                <a:solidFill>
                  <a:srgbClr val="111827">
                    <a:lumMod val="65000"/>
                    <a:lumOff val="35000"/>
                  </a:srgbClr>
                </a:solidFill>
                <a:latin typeface="+mn-lt"/>
                <a:ea typeface="Inter 18pt ExtraBold" panose="02000503000000020004" pitchFamily="2" charset="0"/>
                <a:cs typeface="+mn-cs"/>
              </a:rPr>
              <a:t>Top 5 Products by Revenue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E40AF"/>
          </a:solidFill>
          <a:ln>
            <a:noFill/>
          </a:ln>
          <a:effectLst/>
        </c:spPr>
        <c:marker>
          <c:symbol val="none"/>
        </c:marker>
        <c:dLbl>
          <c:idx val="0"/>
          <c:numFmt formatCode="&quot;₹&quot;0.00&quot;L&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Top_Products!$B$3</c:f>
              <c:strCache>
                <c:ptCount val="1"/>
                <c:pt idx="0">
                  <c:v>Total</c:v>
                </c:pt>
              </c:strCache>
            </c:strRef>
          </c:tx>
          <c:spPr>
            <a:solidFill>
              <a:srgbClr val="1E40AF"/>
            </a:solidFill>
            <a:ln>
              <a:noFill/>
            </a:ln>
            <a:effectLst/>
          </c:spPr>
          <c:invertIfNegative val="0"/>
          <c:dLbls>
            <c:numFmt formatCode="&quot;₹&quot;0.00&quot;L&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Top_Products!$A$4:$A$9</c:f>
              <c:strCache>
                <c:ptCount val="5"/>
                <c:pt idx="0">
                  <c:v>Adidas Adizero SL</c:v>
                </c:pt>
                <c:pt idx="1">
                  <c:v>ASICS Gel-Contend 8</c:v>
                </c:pt>
                <c:pt idx="2">
                  <c:v>ASICS Upcourt 5</c:v>
                </c:pt>
                <c:pt idx="3">
                  <c:v>New Balance Minimus TR</c:v>
                </c:pt>
                <c:pt idx="4">
                  <c:v>ASICS Gel-Kayano 30</c:v>
                </c:pt>
              </c:strCache>
            </c:strRef>
          </c:cat>
          <c:val>
            <c:numRef>
              <c:f>Top_Products!$B$4:$B$9</c:f>
              <c:numCache>
                <c:formatCode>_("₹"* #,##0.00_);_("₹"* \(#,##0.00\);_("₹"* "-"??_);_(@_)</c:formatCode>
                <c:ptCount val="5"/>
                <c:pt idx="0">
                  <c:v>8.6339000000000006</c:v>
                </c:pt>
                <c:pt idx="1">
                  <c:v>8.2258999999999993</c:v>
                </c:pt>
                <c:pt idx="2">
                  <c:v>8.1942000000000004</c:v>
                </c:pt>
                <c:pt idx="3">
                  <c:v>8.1504999999999992</c:v>
                </c:pt>
                <c:pt idx="4">
                  <c:v>7.8842999999999996</c:v>
                </c:pt>
              </c:numCache>
            </c:numRef>
          </c:val>
          <c:extLst>
            <c:ext xmlns:c16="http://schemas.microsoft.com/office/drawing/2014/chart" uri="{C3380CC4-5D6E-409C-BE32-E72D297353CC}">
              <c16:uniqueId val="{00000005-5C7C-4243-908A-D572DCAEED9B}"/>
            </c:ext>
          </c:extLst>
        </c:ser>
        <c:dLbls>
          <c:dLblPos val="outEnd"/>
          <c:showLegendKey val="0"/>
          <c:showVal val="1"/>
          <c:showCatName val="0"/>
          <c:showSerName val="0"/>
          <c:showPercent val="0"/>
          <c:showBubbleSize val="0"/>
        </c:dLbls>
        <c:gapWidth val="182"/>
        <c:axId val="773584864"/>
        <c:axId val="615195728"/>
      </c:barChart>
      <c:catAx>
        <c:axId val="77358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rgbClr val="475569"/>
                </a:solidFill>
                <a:latin typeface="+mn-lt"/>
                <a:ea typeface="+mn-ea"/>
                <a:cs typeface="+mn-cs"/>
              </a:defRPr>
            </a:pPr>
            <a:endParaRPr lang="en-US"/>
          </a:p>
        </c:txPr>
        <c:crossAx val="615195728"/>
        <c:crosses val="autoZero"/>
        <c:auto val="1"/>
        <c:lblAlgn val="ctr"/>
        <c:lblOffset val="100"/>
        <c:noMultiLvlLbl val="0"/>
      </c:catAx>
      <c:valAx>
        <c:axId val="6151957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75569"/>
                </a:solidFill>
                <a:latin typeface="+mn-lt"/>
                <a:ea typeface="+mn-ea"/>
                <a:cs typeface="+mn-cs"/>
              </a:defRPr>
            </a:pPr>
            <a:endParaRPr lang="en-US"/>
          </a:p>
        </c:txPr>
        <c:crossAx val="773584864"/>
        <c:crosses val="autoZero"/>
        <c:crossBetween val="between"/>
      </c:valAx>
    </c:plotArea>
    <c:plotVisOnly val="1"/>
    <c:dispBlanksAs val="gap"/>
    <c:showDLblsOverMax val="0"/>
    <c:extLst/>
  </c:chart>
  <c:spPr>
    <a:ln w="9525">
      <a:solidFill>
        <a:srgbClr val="64748B">
          <a:alpha val="45000"/>
        </a:srgb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[Indian_Footwear_Sales_2018_2025_Final_Verse(Part1).xlsx]Customer_Analysis!PivotTable6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Inter 18pt" panose="02000503000000020004" pitchFamily="2" charset="0"/>
                <a:ea typeface="Inter 18pt" panose="02000503000000020004" pitchFamily="2" charset="0"/>
              </a:rPr>
              <a:t>Revenue by Customer Type</a:t>
            </a:r>
            <a:endParaRPr lang="en-US" b="1" baseline="0">
              <a:latin typeface="Inter 18pt" panose="02000503000000020004" pitchFamily="2" charset="0"/>
              <a:ea typeface="Inter 18pt" panose="02000503000000020004"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1E40AF"/>
          </a:solidFill>
          <a:ln w="19050">
            <a:solidFill>
              <a:schemeClr val="lt1"/>
            </a:solidFill>
          </a:ln>
          <a:effectLst/>
        </c:spPr>
        <c:dLbl>
          <c:idx val="0"/>
          <c:layout>
            <c:manualLayout>
              <c:x val="9.9543316701118809E-2"/>
              <c:y val="-6.4194794011615E-2"/>
            </c:manualLayout>
          </c:layout>
          <c:spPr>
            <a:noFill/>
            <a:ln>
              <a:noFill/>
            </a:ln>
            <a:effectLst/>
          </c:spPr>
          <c:txPr>
            <a:bodyPr rot="0" spcFirstLastPara="1" vertOverflow="overflow" horzOverflow="overflow"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93C5FD"/>
          </a:solidFill>
          <a:ln w="19050">
            <a:solidFill>
              <a:schemeClr val="lt1"/>
            </a:solidFill>
          </a:ln>
          <a:effectLst/>
        </c:spPr>
        <c:dLbl>
          <c:idx val="0"/>
          <c:layout>
            <c:manualLayout>
              <c:x val="0.15604087482878085"/>
              <c:y val="5.5024109152812854E-2"/>
            </c:manualLayout>
          </c:layout>
          <c:spPr>
            <a:noFill/>
            <a:ln>
              <a:noFill/>
            </a:ln>
            <a:effectLst/>
          </c:spPr>
          <c:txPr>
            <a:bodyPr rot="0" spcFirstLastPara="1" vertOverflow="overflow" horzOverflow="overflow"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DBEAFE"/>
          </a:solidFill>
          <a:ln w="19050">
            <a:solidFill>
              <a:schemeClr val="lt1"/>
            </a:solidFill>
          </a:ln>
          <a:effectLst/>
        </c:spPr>
        <c:dLbl>
          <c:idx val="0"/>
          <c:layout>
            <c:manualLayout>
              <c:x val="-0.10492403652280091"/>
              <c:y val="-3.668273943520857E-2"/>
            </c:manualLayout>
          </c:layout>
          <c:spPr>
            <a:noFill/>
            <a:ln>
              <a:noFill/>
            </a:ln>
            <a:effectLst/>
          </c:spPr>
          <c:txPr>
            <a:bodyPr rot="0" spcFirstLastPara="1" vertOverflow="overflow" horzOverflow="overflow"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732972669756417"/>
          <c:y val="0.16942443120993467"/>
          <c:w val="0.44156326434290183"/>
          <c:h val="0.75258286562238808"/>
        </c:manualLayout>
      </c:layout>
      <c:doughnutChart>
        <c:varyColors val="1"/>
        <c:ser>
          <c:idx val="0"/>
          <c:order val="0"/>
          <c:tx>
            <c:strRef>
              <c:f>Customer_Analysis!$B$3</c:f>
              <c:strCache>
                <c:ptCount val="1"/>
                <c:pt idx="0">
                  <c:v>Total</c:v>
                </c:pt>
              </c:strCache>
            </c:strRef>
          </c:tx>
          <c:dPt>
            <c:idx val="0"/>
            <c:bubble3D val="0"/>
            <c:spPr>
              <a:solidFill>
                <a:srgbClr val="1E40AF"/>
              </a:solidFill>
              <a:ln w="19050">
                <a:solidFill>
                  <a:schemeClr val="lt1"/>
                </a:solidFill>
              </a:ln>
              <a:effectLst/>
            </c:spPr>
            <c:extLst>
              <c:ext xmlns:c16="http://schemas.microsoft.com/office/drawing/2014/chart" uri="{C3380CC4-5D6E-409C-BE32-E72D297353CC}">
                <c16:uniqueId val="{00000001-50B9-4320-84C0-6FDE1FF20C6C}"/>
              </c:ext>
            </c:extLst>
          </c:dPt>
          <c:dPt>
            <c:idx val="1"/>
            <c:bubble3D val="0"/>
            <c:spPr>
              <a:solidFill>
                <a:srgbClr val="93C5FD"/>
              </a:solidFill>
              <a:ln w="19050">
                <a:solidFill>
                  <a:schemeClr val="lt1"/>
                </a:solidFill>
              </a:ln>
              <a:effectLst/>
            </c:spPr>
            <c:extLst>
              <c:ext xmlns:c16="http://schemas.microsoft.com/office/drawing/2014/chart" uri="{C3380CC4-5D6E-409C-BE32-E72D297353CC}">
                <c16:uniqueId val="{00000003-50B9-4320-84C0-6FDE1FF20C6C}"/>
              </c:ext>
            </c:extLst>
          </c:dPt>
          <c:dPt>
            <c:idx val="2"/>
            <c:bubble3D val="0"/>
            <c:spPr>
              <a:solidFill>
                <a:srgbClr val="DBEAFE"/>
              </a:solidFill>
              <a:ln w="19050">
                <a:solidFill>
                  <a:schemeClr val="lt1"/>
                </a:solidFill>
              </a:ln>
              <a:effectLst/>
            </c:spPr>
            <c:extLst>
              <c:ext xmlns:c16="http://schemas.microsoft.com/office/drawing/2014/chart" uri="{C3380CC4-5D6E-409C-BE32-E72D297353CC}">
                <c16:uniqueId val="{00000005-50B9-4320-84C0-6FDE1FF20C6C}"/>
              </c:ext>
            </c:extLst>
          </c:dPt>
          <c:dLbls>
            <c:dLbl>
              <c:idx val="0"/>
              <c:layout>
                <c:manualLayout>
                  <c:x val="9.9543316701118809E-2"/>
                  <c:y val="-6.41947940116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0B9-4320-84C0-6FDE1FF20C6C}"/>
                </c:ext>
              </c:extLst>
            </c:dLbl>
            <c:dLbl>
              <c:idx val="1"/>
              <c:layout>
                <c:manualLayout>
                  <c:x val="0.15604087482878085"/>
                  <c:y val="5.50241091528128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0B9-4320-84C0-6FDE1FF20C6C}"/>
                </c:ext>
              </c:extLst>
            </c:dLbl>
            <c:dLbl>
              <c:idx val="2"/>
              <c:layout>
                <c:manualLayout>
                  <c:x val="-0.10492403652280091"/>
                  <c:y val="-3.6682739435208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0B9-4320-84C0-6FDE1FF20C6C}"/>
                </c:ext>
              </c:extLst>
            </c:dLbl>
            <c:spPr>
              <a:noFill/>
              <a:ln>
                <a:noFill/>
              </a:ln>
              <a:effectLst/>
            </c:spPr>
            <c:txPr>
              <a:bodyPr rot="0" spcFirstLastPara="1" vertOverflow="overflow" horzOverflow="overflow" vert="horz" wrap="square" lIns="38100" tIns="19050" rIns="38100" bIns="19050" anchor="ctr" anchorCtr="0">
                <a:spAutoFit/>
              </a:bodyPr>
              <a:lstStyle/>
              <a:p>
                <a:pPr algn="ctr">
                  <a:defRPr lang="en-US" sz="10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Customer_Analysis!$A$4:$A$7</c:f>
              <c:strCache>
                <c:ptCount val="3"/>
                <c:pt idx="0">
                  <c:v>Loyal Customer</c:v>
                </c:pt>
                <c:pt idx="1">
                  <c:v>New Customer</c:v>
                </c:pt>
                <c:pt idx="2">
                  <c:v>Repeat Customer</c:v>
                </c:pt>
              </c:strCache>
            </c:strRef>
          </c:cat>
          <c:val>
            <c:numRef>
              <c:f>Customer_Analysis!$B$4:$B$7</c:f>
              <c:numCache>
                <c:formatCode>_("₹"* #,##0.00_);_("₹"* \(#,##0.00\);_("₹"* "-"??_);_(@_)</c:formatCode>
                <c:ptCount val="3"/>
                <c:pt idx="0">
                  <c:v>5906170</c:v>
                </c:pt>
                <c:pt idx="1">
                  <c:v>7456970</c:v>
                </c:pt>
                <c:pt idx="2">
                  <c:v>10729960</c:v>
                </c:pt>
              </c:numCache>
            </c:numRef>
          </c:val>
          <c:extLst>
            <c:ext xmlns:c16="http://schemas.microsoft.com/office/drawing/2014/chart" uri="{C3380CC4-5D6E-409C-BE32-E72D297353CC}">
              <c16:uniqueId val="{00000006-50B9-4320-84C0-6FDE1FF20C6C}"/>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3415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75569">
          <a:alpha val="4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[Indian_Footwear_Sales_2018_2025_Final_Verse(Part1).xlsx]Revenue_Trend!PivotTable2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Inter 18pt SemiBold" panose="02000503000000020004" pitchFamily="2" charset="0"/>
              </a:rPr>
              <a:t>Total Revenue Year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Revenue_Trend!$B$3</c:f>
              <c:strCache>
                <c:ptCount val="1"/>
                <c:pt idx="0">
                  <c:v>Total</c:v>
                </c:pt>
              </c:strCache>
            </c:strRef>
          </c:tx>
          <c:spPr>
            <a:ln w="28575" cap="rnd">
              <a:solidFill>
                <a:schemeClr val="accent1"/>
              </a:solidFill>
              <a:round/>
            </a:ln>
            <a:effectLst/>
          </c:spPr>
          <c:marker>
            <c:symbol val="none"/>
          </c:marker>
          <c:cat>
            <c:strRef>
              <c:f>Revenue_Trend!$A$4:$A$12</c:f>
              <c:strCache>
                <c:ptCount val="8"/>
                <c:pt idx="0">
                  <c:v>2018</c:v>
                </c:pt>
                <c:pt idx="1">
                  <c:v>2019</c:v>
                </c:pt>
                <c:pt idx="2">
                  <c:v>2020</c:v>
                </c:pt>
                <c:pt idx="3">
                  <c:v>2021</c:v>
                </c:pt>
                <c:pt idx="4">
                  <c:v>2022</c:v>
                </c:pt>
                <c:pt idx="5">
                  <c:v>2023</c:v>
                </c:pt>
                <c:pt idx="6">
                  <c:v>2024</c:v>
                </c:pt>
                <c:pt idx="7">
                  <c:v>2025</c:v>
                </c:pt>
              </c:strCache>
            </c:strRef>
          </c:cat>
          <c:val>
            <c:numRef>
              <c:f>Revenue_Trend!$B$4:$B$12</c:f>
              <c:numCache>
                <c:formatCode>_("₹"* #,##0.00_);_("₹"* \(#,##0.00\);_("₹"* "-"??_);_(@_)</c:formatCode>
                <c:ptCount val="8"/>
                <c:pt idx="0">
                  <c:v>2538790</c:v>
                </c:pt>
                <c:pt idx="1">
                  <c:v>2109110</c:v>
                </c:pt>
                <c:pt idx="2">
                  <c:v>2776980</c:v>
                </c:pt>
                <c:pt idx="3">
                  <c:v>2823220</c:v>
                </c:pt>
                <c:pt idx="4">
                  <c:v>3312660</c:v>
                </c:pt>
                <c:pt idx="5">
                  <c:v>3500070</c:v>
                </c:pt>
                <c:pt idx="6">
                  <c:v>3489770</c:v>
                </c:pt>
                <c:pt idx="7">
                  <c:v>3542500</c:v>
                </c:pt>
              </c:numCache>
            </c:numRef>
          </c:val>
          <c:smooth val="0"/>
          <c:extLst>
            <c:ext xmlns:c16="http://schemas.microsoft.com/office/drawing/2014/chart" uri="{C3380CC4-5D6E-409C-BE32-E72D297353CC}">
              <c16:uniqueId val="{00000000-743F-4927-BE92-4658E6761741}"/>
            </c:ext>
          </c:extLst>
        </c:ser>
        <c:dLbls>
          <c:showLegendKey val="0"/>
          <c:showVal val="0"/>
          <c:showCatName val="0"/>
          <c:showSerName val="0"/>
          <c:showPercent val="0"/>
          <c:showBubbleSize val="0"/>
        </c:dLbls>
        <c:smooth val="0"/>
        <c:axId val="823128224"/>
        <c:axId val="615205808"/>
      </c:lineChart>
      <c:catAx>
        <c:axId val="82312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205808"/>
        <c:crosses val="autoZero"/>
        <c:auto val="1"/>
        <c:lblAlgn val="ctr"/>
        <c:lblOffset val="100"/>
        <c:noMultiLvlLbl val="0"/>
      </c:catAx>
      <c:valAx>
        <c:axId val="615205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12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[Indian_Footwear_Sales_2018_2025_Final_Verse(Part1).xlsx]Top_State!PivotTable3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Top_State!$B$3</c:f>
              <c:strCache>
                <c:ptCount val="1"/>
                <c:pt idx="0">
                  <c:v>Total</c:v>
                </c:pt>
              </c:strCache>
            </c:strRef>
          </c:tx>
          <c:spPr>
            <a:solidFill>
              <a:schemeClr val="accent1"/>
            </a:solidFill>
            <a:ln>
              <a:noFill/>
            </a:ln>
            <a:effectLst/>
          </c:spPr>
          <c:invertIfNegative val="0"/>
          <c:cat>
            <c:strRef>
              <c:f>Top_State!$A$4:$A$9</c:f>
              <c:strCache>
                <c:ptCount val="5"/>
                <c:pt idx="0">
                  <c:v>West Bengal</c:v>
                </c:pt>
                <c:pt idx="1">
                  <c:v>Karnataka</c:v>
                </c:pt>
                <c:pt idx="2">
                  <c:v>Tamil Nadu</c:v>
                </c:pt>
                <c:pt idx="3">
                  <c:v>Telangana</c:v>
                </c:pt>
                <c:pt idx="4">
                  <c:v>Madhya Pradesh</c:v>
                </c:pt>
              </c:strCache>
            </c:strRef>
          </c:cat>
          <c:val>
            <c:numRef>
              <c:f>Top_State!$B$4:$B$9</c:f>
              <c:numCache>
                <c:formatCode>_("₹"* #,##0.00_);_("₹"* \(#,##0.00\);_("₹"* "-"??_);_(@_)</c:formatCode>
                <c:ptCount val="5"/>
                <c:pt idx="0">
                  <c:v>11.085000000000001</c:v>
                </c:pt>
                <c:pt idx="1">
                  <c:v>9.4343000000000004</c:v>
                </c:pt>
                <c:pt idx="2">
                  <c:v>9.3989999999999991</c:v>
                </c:pt>
                <c:pt idx="3">
                  <c:v>9.1624999999999996</c:v>
                </c:pt>
                <c:pt idx="4">
                  <c:v>8.7194000000000003</c:v>
                </c:pt>
              </c:numCache>
            </c:numRef>
          </c:val>
          <c:extLst>
            <c:ext xmlns:c16="http://schemas.microsoft.com/office/drawing/2014/chart" uri="{C3380CC4-5D6E-409C-BE32-E72D297353CC}">
              <c16:uniqueId val="{00000000-9DF5-4518-9A47-392480DFE51D}"/>
            </c:ext>
          </c:extLst>
        </c:ser>
        <c:dLbls>
          <c:showLegendKey val="0"/>
          <c:showVal val="0"/>
          <c:showCatName val="0"/>
          <c:showSerName val="0"/>
          <c:showPercent val="0"/>
          <c:showBubbleSize val="0"/>
        </c:dLbls>
        <c:gapWidth val="182"/>
        <c:axId val="781172528"/>
        <c:axId val="615199088"/>
      </c:barChart>
      <c:catAx>
        <c:axId val="78117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199088"/>
        <c:crosses val="autoZero"/>
        <c:auto val="1"/>
        <c:lblAlgn val="ctr"/>
        <c:lblOffset val="100"/>
        <c:noMultiLvlLbl val="0"/>
      </c:catAx>
      <c:valAx>
        <c:axId val="61519908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7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[Indian_Footwear_Sales_2018_2025_Final_Verse(Part1).xlsx]Top_Brand!PivotTable4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Top_Brand!$B$3</c:f>
              <c:strCache>
                <c:ptCount val="1"/>
                <c:pt idx="0">
                  <c:v>Total</c:v>
                </c:pt>
              </c:strCache>
            </c:strRef>
          </c:tx>
          <c:spPr>
            <a:solidFill>
              <a:schemeClr val="accent1"/>
            </a:solidFill>
            <a:ln>
              <a:noFill/>
            </a:ln>
            <a:effectLst/>
          </c:spPr>
          <c:invertIfNegative val="0"/>
          <c:cat>
            <c:strRef>
              <c:f>Top_Brand!$A$4:$A$10</c:f>
              <c:strCache>
                <c:ptCount val="6"/>
                <c:pt idx="0">
                  <c:v>Adidas</c:v>
                </c:pt>
                <c:pt idx="1">
                  <c:v>New Balance</c:v>
                </c:pt>
                <c:pt idx="2">
                  <c:v>ASICS</c:v>
                </c:pt>
                <c:pt idx="3">
                  <c:v>Nike</c:v>
                </c:pt>
                <c:pt idx="4">
                  <c:v>Reebok</c:v>
                </c:pt>
                <c:pt idx="5">
                  <c:v>Puma</c:v>
                </c:pt>
              </c:strCache>
            </c:strRef>
          </c:cat>
          <c:val>
            <c:numRef>
              <c:f>Top_Brand!$B$4:$B$10</c:f>
              <c:numCache>
                <c:formatCode>_("₹"* #,##0.00_);_("₹"* \(#,##0.00\);_("₹"* "-"??_);_(@_)</c:formatCode>
                <c:ptCount val="6"/>
                <c:pt idx="0">
                  <c:v>4607120</c:v>
                </c:pt>
                <c:pt idx="1">
                  <c:v>4330530</c:v>
                </c:pt>
                <c:pt idx="2">
                  <c:v>4228640</c:v>
                </c:pt>
                <c:pt idx="3">
                  <c:v>3787260</c:v>
                </c:pt>
                <c:pt idx="4">
                  <c:v>3579240</c:v>
                </c:pt>
                <c:pt idx="5">
                  <c:v>3560310</c:v>
                </c:pt>
              </c:numCache>
            </c:numRef>
          </c:val>
          <c:extLst>
            <c:ext xmlns:c16="http://schemas.microsoft.com/office/drawing/2014/chart" uri="{C3380CC4-5D6E-409C-BE32-E72D297353CC}">
              <c16:uniqueId val="{00000000-4B26-4A3A-9848-4C4518F338A9}"/>
            </c:ext>
          </c:extLst>
        </c:ser>
        <c:dLbls>
          <c:showLegendKey val="0"/>
          <c:showVal val="0"/>
          <c:showCatName val="0"/>
          <c:showSerName val="0"/>
          <c:showPercent val="0"/>
          <c:showBubbleSize val="0"/>
        </c:dLbls>
        <c:gapWidth val="219"/>
        <c:overlap val="-27"/>
        <c:axId val="781166496"/>
        <c:axId val="615141008"/>
      </c:barChart>
      <c:catAx>
        <c:axId val="78116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141008"/>
        <c:crosses val="autoZero"/>
        <c:auto val="1"/>
        <c:lblAlgn val="ctr"/>
        <c:lblOffset val="100"/>
        <c:noMultiLvlLbl val="0"/>
      </c:catAx>
      <c:valAx>
        <c:axId val="6151410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6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[Indian_Footwear_Sales_2018_2025_Final_Verse(Part1).xlsx]Top_Products!PivotTable5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Top_Products!$B$3</c:f>
              <c:strCache>
                <c:ptCount val="1"/>
                <c:pt idx="0">
                  <c:v>Total</c:v>
                </c:pt>
              </c:strCache>
            </c:strRef>
          </c:tx>
          <c:spPr>
            <a:solidFill>
              <a:schemeClr val="accent1"/>
            </a:solidFill>
            <a:ln>
              <a:noFill/>
            </a:ln>
            <a:effectLst/>
          </c:spPr>
          <c:invertIfNegative val="0"/>
          <c:dLbls>
            <c:numFmt formatCode="&quot;₹&quot;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Top_Products!$A$4:$A$9</c:f>
              <c:strCache>
                <c:ptCount val="5"/>
                <c:pt idx="0">
                  <c:v>Adidas Adizero SL</c:v>
                </c:pt>
                <c:pt idx="1">
                  <c:v>ASICS Gel-Contend 8</c:v>
                </c:pt>
                <c:pt idx="2">
                  <c:v>ASICS Upcourt 5</c:v>
                </c:pt>
                <c:pt idx="3">
                  <c:v>New Balance Minimus TR</c:v>
                </c:pt>
                <c:pt idx="4">
                  <c:v>ASICS Gel-Kayano 30</c:v>
                </c:pt>
              </c:strCache>
            </c:strRef>
          </c:cat>
          <c:val>
            <c:numRef>
              <c:f>Top_Products!$B$4:$B$9</c:f>
              <c:numCache>
                <c:formatCode>_("₹"* #,##0.00_);_("₹"* \(#,##0.00\);_("₹"* "-"??_);_(@_)</c:formatCode>
                <c:ptCount val="5"/>
                <c:pt idx="0">
                  <c:v>8.6339000000000006</c:v>
                </c:pt>
                <c:pt idx="1">
                  <c:v>8.2258999999999993</c:v>
                </c:pt>
                <c:pt idx="2">
                  <c:v>8.1942000000000004</c:v>
                </c:pt>
                <c:pt idx="3">
                  <c:v>8.1504999999999992</c:v>
                </c:pt>
                <c:pt idx="4">
                  <c:v>7.8842999999999996</c:v>
                </c:pt>
              </c:numCache>
            </c:numRef>
          </c:val>
          <c:extLst>
            <c:ext xmlns:c16="http://schemas.microsoft.com/office/drawing/2014/chart" uri="{C3380CC4-5D6E-409C-BE32-E72D297353CC}">
              <c16:uniqueId val="{00000000-3FCB-4280-A0A9-4E0342723CC9}"/>
            </c:ext>
          </c:extLst>
        </c:ser>
        <c:dLbls>
          <c:dLblPos val="outEnd"/>
          <c:showLegendKey val="0"/>
          <c:showVal val="1"/>
          <c:showCatName val="0"/>
          <c:showSerName val="0"/>
          <c:showPercent val="0"/>
          <c:showBubbleSize val="0"/>
        </c:dLbls>
        <c:gapWidth val="182"/>
        <c:axId val="773584864"/>
        <c:axId val="615195728"/>
      </c:barChart>
      <c:catAx>
        <c:axId val="77358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195728"/>
        <c:crosses val="autoZero"/>
        <c:auto val="1"/>
        <c:lblAlgn val="ctr"/>
        <c:lblOffset val="100"/>
        <c:noMultiLvlLbl val="0"/>
      </c:catAx>
      <c:valAx>
        <c:axId val="6151957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58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[Indian_Footwear_Sales_2018_2025_Final_Verse(Part1).xlsx]Customer_Analysis!PivotTable6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Customer_Analysis!$B$3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80-4B07-9FDC-152235BBA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80-4B07-9FDC-152235BBA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80-4B07-9FDC-152235BBA135}"/>
              </c:ext>
            </c:extLst>
          </c:dPt>
          <c:cat>
            <c:strRef>
              <c:f>Customer_Analysis!$A$4:$A$7</c:f>
              <c:strCache>
                <c:ptCount val="3"/>
                <c:pt idx="0">
                  <c:v>Loyal Customer</c:v>
                </c:pt>
                <c:pt idx="1">
                  <c:v>New Customer</c:v>
                </c:pt>
                <c:pt idx="2">
                  <c:v>Repeat Customer</c:v>
                </c:pt>
              </c:strCache>
            </c:strRef>
          </c:cat>
          <c:val>
            <c:numRef>
              <c:f>Customer_Analysis!$B$4:$B$7</c:f>
              <c:numCache>
                <c:formatCode>_("₹"* #,##0.00_);_("₹"* \(#,##0.00\);_("₹"* "-"??_);_(@_)</c:formatCode>
                <c:ptCount val="3"/>
                <c:pt idx="0">
                  <c:v>5906170</c:v>
                </c:pt>
                <c:pt idx="1">
                  <c:v>7456970</c:v>
                </c:pt>
                <c:pt idx="2">
                  <c:v>10729960</c:v>
                </c:pt>
              </c:numCache>
            </c:numRef>
          </c:val>
          <c:extLst>
            <c:ext xmlns:c16="http://schemas.microsoft.com/office/drawing/2014/chart" uri="{C3380CC4-5D6E-409C-BE32-E72D297353CC}">
              <c16:uniqueId val="{00000000-6F65-44A3-9665-C315DFCCE4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sv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1408539</xdr:colOff>
      <xdr:row>6</xdr:row>
      <xdr:rowOff>83127</xdr:rowOff>
    </xdr:from>
    <xdr:to>
      <xdr:col>6</xdr:col>
      <xdr:colOff>624567</xdr:colOff>
      <xdr:row>21</xdr:row>
      <xdr:rowOff>157742</xdr:rowOff>
    </xdr:to>
    <xdr:graphicFrame macro="">
      <xdr:nvGraphicFramePr>
        <xdr:cNvPr id="2" name="Chart 1">
          <a:extLst>
            <a:ext uri="{FF2B5EF4-FFF2-40B4-BE49-F238E27FC236}">
              <a16:creationId xmlns:a16="http://schemas.microsoft.com/office/drawing/2014/main" id="{DC098F2D-A055-4441-86A3-B07573F76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1404257</xdr:colOff>
      <xdr:row>22</xdr:row>
      <xdr:rowOff>92626</xdr:rowOff>
    </xdr:from>
    <xdr:to>
      <xdr:col>8</xdr:col>
      <xdr:colOff>587828</xdr:colOff>
      <xdr:row>38</xdr:row>
      <xdr:rowOff>35476</xdr:rowOff>
    </xdr:to>
    <xdr:graphicFrame macro="">
      <xdr:nvGraphicFramePr>
        <xdr:cNvPr id="3" name="Chart 2">
          <a:extLst>
            <a:ext uri="{FF2B5EF4-FFF2-40B4-BE49-F238E27FC236}">
              <a16:creationId xmlns:a16="http://schemas.microsoft.com/office/drawing/2014/main" id="{D20ECC61-4A3E-46B4-895F-DC231B522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51706</xdr:colOff>
      <xdr:row>22</xdr:row>
      <xdr:rowOff>93888</xdr:rowOff>
    </xdr:from>
    <xdr:to>
      <xdr:col>17</xdr:col>
      <xdr:colOff>555171</xdr:colOff>
      <xdr:row>38</xdr:row>
      <xdr:rowOff>32657</xdr:rowOff>
    </xdr:to>
    <xdr:graphicFrame macro="">
      <xdr:nvGraphicFramePr>
        <xdr:cNvPr id="4" name="Chart 3">
          <a:extLst>
            <a:ext uri="{FF2B5EF4-FFF2-40B4-BE49-F238E27FC236}">
              <a16:creationId xmlns:a16="http://schemas.microsoft.com/office/drawing/2014/main" id="{6EE84218-81F3-4EB2-AA30-517F27C29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696188</xdr:colOff>
      <xdr:row>6</xdr:row>
      <xdr:rowOff>88818</xdr:rowOff>
    </xdr:from>
    <xdr:to>
      <xdr:col>12</xdr:col>
      <xdr:colOff>293914</xdr:colOff>
      <xdr:row>21</xdr:row>
      <xdr:rowOff>166008</xdr:rowOff>
    </xdr:to>
    <xdr:graphicFrame macro="">
      <xdr:nvGraphicFramePr>
        <xdr:cNvPr id="5" name="Chart 4">
          <a:extLst>
            <a:ext uri="{FF2B5EF4-FFF2-40B4-BE49-F238E27FC236}">
              <a16:creationId xmlns:a16="http://schemas.microsoft.com/office/drawing/2014/main" id="{8A11309B-85E5-4BFE-B79F-0441DC322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402770</xdr:colOff>
      <xdr:row>6</xdr:row>
      <xdr:rowOff>85725</xdr:rowOff>
    </xdr:from>
    <xdr:to>
      <xdr:col>17</xdr:col>
      <xdr:colOff>533399</xdr:colOff>
      <xdr:row>21</xdr:row>
      <xdr:rowOff>166009</xdr:rowOff>
    </xdr:to>
    <xdr:graphicFrame macro="">
      <xdr:nvGraphicFramePr>
        <xdr:cNvPr id="6" name="Chart 5">
          <a:extLst>
            <a:ext uri="{FF2B5EF4-FFF2-40B4-BE49-F238E27FC236}">
              <a16:creationId xmlns:a16="http://schemas.microsoft.com/office/drawing/2014/main" id="{368B545B-7DD6-44CF-8251-A89ADB8B0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21772</xdr:colOff>
      <xdr:row>2</xdr:row>
      <xdr:rowOff>141513</xdr:rowOff>
    </xdr:from>
    <xdr:to>
      <xdr:col>1</xdr:col>
      <xdr:colOff>1295399</xdr:colOff>
      <xdr:row>10</xdr:row>
      <xdr:rowOff>10887</xdr:rowOff>
    </xdr:to>
    <mc:AlternateContent xmlns:mc="http://schemas.openxmlformats.org/markup-compatibility/2006" xmlns:a14="http://schemas.microsoft.com/office/drawing/2010/main">
      <mc:Choice Requires="a14">
        <xdr:graphicFrame macro="">
          <xdr:nvGraphicFramePr>
            <xdr:cNvPr id="11" name="Years (Order Date)">
              <a:extLst>
                <a:ext uri="{FF2B5EF4-FFF2-40B4-BE49-F238E27FC236}">
                  <a16:creationId xmlns:a16="http://schemas.microsoft.com/office/drawing/2014/main" id="{461D4BAD-9592-4DE4-909A-E92C0BEB1E8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1772" y="1099456"/>
              <a:ext cx="1948541" cy="1491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21772</xdr:colOff>
      <xdr:row>10</xdr:row>
      <xdr:rowOff>163292</xdr:rowOff>
    </xdr:from>
    <xdr:to>
      <xdr:col>1</xdr:col>
      <xdr:colOff>1306285</xdr:colOff>
      <xdr:row>18</xdr:row>
      <xdr:rowOff>21776</xdr:rowOff>
    </xdr:to>
    <mc:AlternateContent xmlns:mc="http://schemas.openxmlformats.org/markup-compatibility/2006" xmlns:a14="http://schemas.microsoft.com/office/drawing/2010/main">
      <mc:Choice Requires="a14">
        <xdr:graphicFrame macro="">
          <xdr:nvGraphicFramePr>
            <xdr:cNvPr id="16" name="Brand">
              <a:extLst>
                <a:ext uri="{FF2B5EF4-FFF2-40B4-BE49-F238E27FC236}">
                  <a16:creationId xmlns:a16="http://schemas.microsoft.com/office/drawing/2014/main" id="{59133B6F-5563-4B4B-8879-2B74483ED38B}"/>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1772" y="2743206"/>
              <a:ext cx="1959427" cy="1251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21773</xdr:colOff>
      <xdr:row>19</xdr:row>
      <xdr:rowOff>65316</xdr:rowOff>
    </xdr:from>
    <xdr:to>
      <xdr:col>1</xdr:col>
      <xdr:colOff>1284515</xdr:colOff>
      <xdr:row>26</xdr:row>
      <xdr:rowOff>76201</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1ED80A16-2895-4677-B064-BF8D60FA4A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773" y="4212773"/>
              <a:ext cx="1937656" cy="1230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32657</xdr:colOff>
      <xdr:row>27</xdr:row>
      <xdr:rowOff>65311</xdr:rowOff>
    </xdr:from>
    <xdr:to>
      <xdr:col>1</xdr:col>
      <xdr:colOff>1284514</xdr:colOff>
      <xdr:row>34</xdr:row>
      <xdr:rowOff>54429</xdr:rowOff>
    </xdr:to>
    <mc:AlternateContent xmlns:mc="http://schemas.openxmlformats.org/markup-compatibility/2006" xmlns:a14="http://schemas.microsoft.com/office/drawing/2010/main">
      <mc:Choice Requires="a14">
        <xdr:graphicFrame macro="">
          <xdr:nvGraphicFramePr>
            <xdr:cNvPr id="18" name="Sales Channel">
              <a:extLst>
                <a:ext uri="{FF2B5EF4-FFF2-40B4-BE49-F238E27FC236}">
                  <a16:creationId xmlns:a16="http://schemas.microsoft.com/office/drawing/2014/main" id="{641FC5E9-3432-4C41-B73B-EBE98E3C174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32657" y="5606140"/>
              <a:ext cx="1926771" cy="1208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217715</xdr:colOff>
      <xdr:row>2</xdr:row>
      <xdr:rowOff>65315</xdr:rowOff>
    </xdr:from>
    <xdr:to>
      <xdr:col>4</xdr:col>
      <xdr:colOff>294968</xdr:colOff>
      <xdr:row>6</xdr:row>
      <xdr:rowOff>10886</xdr:rowOff>
    </xdr:to>
    <xdr:sp macro="" textlink="">
      <xdr:nvSpPr>
        <xdr:cNvPr id="8" name="Rectangle: Rounded Corners 7">
          <a:extLst>
            <a:ext uri="{FF2B5EF4-FFF2-40B4-BE49-F238E27FC236}">
              <a16:creationId xmlns:a16="http://schemas.microsoft.com/office/drawing/2014/main" id="{0D1C0828-47BB-D454-9ABC-620AD7DFD2D5}"/>
            </a:ext>
          </a:extLst>
        </xdr:cNvPr>
        <xdr:cNvSpPr/>
      </xdr:nvSpPr>
      <xdr:spPr>
        <a:xfrm>
          <a:off x="2318658" y="1023258"/>
          <a:ext cx="2482996" cy="870857"/>
        </a:xfrm>
        <a:prstGeom prst="roundRect">
          <a:avLst/>
        </a:prstGeom>
        <a:solidFill>
          <a:schemeClr val="bg1"/>
        </a:solidFill>
        <a:ln>
          <a:solidFill>
            <a:srgbClr val="E2E8F0"/>
          </a:solidFill>
        </a:ln>
        <a:effectLst>
          <a:outerShdw blurRad="50800" dist="50800" dir="2700000" sx="95000" sy="95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endParaRPr lang="en-US" sz="1100">
            <a:solidFill>
              <a:srgbClr val="FF0000"/>
            </a:solidFill>
          </a:endParaRPr>
        </a:p>
      </xdr:txBody>
    </xdr:sp>
    <xdr:clientData/>
  </xdr:twoCellAnchor>
  <xdr:twoCellAnchor>
    <xdr:from>
      <xdr:col>4</xdr:col>
      <xdr:colOff>760911</xdr:colOff>
      <xdr:row>2</xdr:row>
      <xdr:rowOff>54430</xdr:rowOff>
    </xdr:from>
    <xdr:to>
      <xdr:col>6</xdr:col>
      <xdr:colOff>577646</xdr:colOff>
      <xdr:row>6</xdr:row>
      <xdr:rowOff>1</xdr:rowOff>
    </xdr:to>
    <xdr:sp macro="" textlink="">
      <xdr:nvSpPr>
        <xdr:cNvPr id="19" name="Rectangle: Rounded Corners 18">
          <a:extLst>
            <a:ext uri="{FF2B5EF4-FFF2-40B4-BE49-F238E27FC236}">
              <a16:creationId xmlns:a16="http://schemas.microsoft.com/office/drawing/2014/main" id="{805F8B58-9DEE-74BF-04FB-E648084FBF0B}"/>
            </a:ext>
          </a:extLst>
        </xdr:cNvPr>
        <xdr:cNvSpPr/>
      </xdr:nvSpPr>
      <xdr:spPr>
        <a:xfrm>
          <a:off x="5271459" y="767269"/>
          <a:ext cx="2520606" cy="867345"/>
        </a:xfrm>
        <a:prstGeom prst="roundRect">
          <a:avLst/>
        </a:prstGeom>
        <a:solidFill>
          <a:schemeClr val="bg1"/>
        </a:solidFill>
        <a:ln>
          <a:solidFill>
            <a:srgbClr val="E2E8F0"/>
          </a:solidFill>
        </a:ln>
        <a:effectLst>
          <a:outerShdw blurRad="50800" dist="50800" dir="2700000" sx="95000" sy="95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rgbClr val="0F172A"/>
            </a:solidFill>
            <a:latin typeface="+mn-lt"/>
            <a:ea typeface="+mn-ea"/>
            <a:cs typeface="+mn-cs"/>
          </a:endParaRPr>
        </a:p>
      </xdr:txBody>
    </xdr:sp>
    <xdr:clientData/>
  </xdr:twoCellAnchor>
  <xdr:twoCellAnchor>
    <xdr:from>
      <xdr:col>6</xdr:col>
      <xdr:colOff>1042084</xdr:colOff>
      <xdr:row>2</xdr:row>
      <xdr:rowOff>65316</xdr:rowOff>
    </xdr:from>
    <xdr:to>
      <xdr:col>9</xdr:col>
      <xdr:colOff>375383</xdr:colOff>
      <xdr:row>6</xdr:row>
      <xdr:rowOff>10887</xdr:rowOff>
    </xdr:to>
    <xdr:sp macro="" textlink="">
      <xdr:nvSpPr>
        <xdr:cNvPr id="20" name="Rectangle: Rounded Corners 19">
          <a:extLst>
            <a:ext uri="{FF2B5EF4-FFF2-40B4-BE49-F238E27FC236}">
              <a16:creationId xmlns:a16="http://schemas.microsoft.com/office/drawing/2014/main" id="{FCE194D1-2160-5D86-6D72-9251563DBEAF}"/>
            </a:ext>
          </a:extLst>
        </xdr:cNvPr>
        <xdr:cNvSpPr/>
      </xdr:nvSpPr>
      <xdr:spPr>
        <a:xfrm>
          <a:off x="8259313" y="1023259"/>
          <a:ext cx="2511927" cy="870857"/>
        </a:xfrm>
        <a:prstGeom prst="roundRect">
          <a:avLst/>
        </a:prstGeom>
        <a:solidFill>
          <a:schemeClr val="bg1"/>
        </a:solidFill>
        <a:ln>
          <a:solidFill>
            <a:srgbClr val="E2E8F0"/>
          </a:solidFill>
        </a:ln>
        <a:effectLst>
          <a:outerShdw blurRad="50800" dist="50800" dir="2700000" sx="95000" sy="95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rgbClr val="0F172A"/>
            </a:solidFill>
            <a:latin typeface="+mn-lt"/>
            <a:ea typeface="+mn-ea"/>
            <a:cs typeface="+mn-cs"/>
          </a:endParaRPr>
        </a:p>
      </xdr:txBody>
    </xdr:sp>
    <xdr:clientData/>
  </xdr:twoCellAnchor>
  <xdr:twoCellAnchor>
    <xdr:from>
      <xdr:col>10</xdr:col>
      <xdr:colOff>220980</xdr:colOff>
      <xdr:row>2</xdr:row>
      <xdr:rowOff>54430</xdr:rowOff>
    </xdr:from>
    <xdr:to>
      <xdr:col>13</xdr:col>
      <xdr:colOff>467032</xdr:colOff>
      <xdr:row>6</xdr:row>
      <xdr:rowOff>1</xdr:rowOff>
    </xdr:to>
    <xdr:sp macro="" textlink="">
      <xdr:nvSpPr>
        <xdr:cNvPr id="21" name="Rectangle: Rounded Corners 20">
          <a:extLst>
            <a:ext uri="{FF2B5EF4-FFF2-40B4-BE49-F238E27FC236}">
              <a16:creationId xmlns:a16="http://schemas.microsoft.com/office/drawing/2014/main" id="{94220DF2-A422-9698-3059-1932B575F667}"/>
            </a:ext>
          </a:extLst>
        </xdr:cNvPr>
        <xdr:cNvSpPr/>
      </xdr:nvSpPr>
      <xdr:spPr>
        <a:xfrm>
          <a:off x="11294561" y="767269"/>
          <a:ext cx="2851600" cy="867345"/>
        </a:xfrm>
        <a:prstGeom prst="roundRect">
          <a:avLst/>
        </a:prstGeom>
        <a:solidFill>
          <a:schemeClr val="bg1"/>
        </a:solidFill>
        <a:ln>
          <a:solidFill>
            <a:srgbClr val="E2E8F0"/>
          </a:solidFill>
        </a:ln>
        <a:effectLst>
          <a:outerShdw blurRad="50800" dist="50800" dir="2700000" sx="95000" sy="95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rgbClr val="0F172A"/>
            </a:solidFill>
            <a:latin typeface="+mn-lt"/>
            <a:ea typeface="+mn-ea"/>
            <a:cs typeface="+mn-cs"/>
          </a:endParaRPr>
        </a:p>
      </xdr:txBody>
    </xdr:sp>
    <xdr:clientData/>
  </xdr:twoCellAnchor>
  <xdr:twoCellAnchor editAs="oneCell">
    <xdr:from>
      <xdr:col>2</xdr:col>
      <xdr:colOff>351566</xdr:colOff>
      <xdr:row>3</xdr:row>
      <xdr:rowOff>31890</xdr:rowOff>
    </xdr:from>
    <xdr:to>
      <xdr:col>2</xdr:col>
      <xdr:colOff>902715</xdr:colOff>
      <xdr:row>4</xdr:row>
      <xdr:rowOff>348827</xdr:rowOff>
    </xdr:to>
    <xdr:pic>
      <xdr:nvPicPr>
        <xdr:cNvPr id="29" name="Graphic 28" descr="Coins with solid fill">
          <a:extLst>
            <a:ext uri="{FF2B5EF4-FFF2-40B4-BE49-F238E27FC236}">
              <a16:creationId xmlns:a16="http://schemas.microsoft.com/office/drawing/2014/main" id="{6AC3E9C1-F94B-D627-23A0-8FE8E415B93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53211" y="916793"/>
          <a:ext cx="551149" cy="538164"/>
        </a:xfrm>
        <a:prstGeom prst="rect">
          <a:avLst/>
        </a:prstGeom>
      </xdr:spPr>
    </xdr:pic>
    <xdr:clientData/>
  </xdr:twoCellAnchor>
  <xdr:twoCellAnchor editAs="oneCell">
    <xdr:from>
      <xdr:col>10</xdr:col>
      <xdr:colOff>283066</xdr:colOff>
      <xdr:row>2</xdr:row>
      <xdr:rowOff>149450</xdr:rowOff>
    </xdr:from>
    <xdr:to>
      <xdr:col>10</xdr:col>
      <xdr:colOff>942043</xdr:colOff>
      <xdr:row>5</xdr:row>
      <xdr:rowOff>35723</xdr:rowOff>
    </xdr:to>
    <xdr:pic>
      <xdr:nvPicPr>
        <xdr:cNvPr id="33" name="Graphic 32" descr="Employee badge with solid fill">
          <a:extLst>
            <a:ext uri="{FF2B5EF4-FFF2-40B4-BE49-F238E27FC236}">
              <a16:creationId xmlns:a16="http://schemas.microsoft.com/office/drawing/2014/main" id="{12F1B238-0C91-0E99-D9C5-4EC88B16608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356647" y="862289"/>
          <a:ext cx="658977" cy="635981"/>
        </a:xfrm>
        <a:prstGeom prst="rect">
          <a:avLst/>
        </a:prstGeom>
      </xdr:spPr>
    </xdr:pic>
    <xdr:clientData/>
  </xdr:twoCellAnchor>
  <xdr:twoCellAnchor editAs="oneCell">
    <xdr:from>
      <xdr:col>4</xdr:col>
      <xdr:colOff>902303</xdr:colOff>
      <xdr:row>3</xdr:row>
      <xdr:rowOff>12759</xdr:rowOff>
    </xdr:from>
    <xdr:to>
      <xdr:col>5</xdr:col>
      <xdr:colOff>536475</xdr:colOff>
      <xdr:row>4</xdr:row>
      <xdr:rowOff>334493</xdr:rowOff>
    </xdr:to>
    <xdr:pic>
      <xdr:nvPicPr>
        <xdr:cNvPr id="35" name="Graphic 34" descr="Shopping cart with solid fill">
          <a:extLst>
            <a:ext uri="{FF2B5EF4-FFF2-40B4-BE49-F238E27FC236}">
              <a16:creationId xmlns:a16="http://schemas.microsoft.com/office/drawing/2014/main" id="{C69973EF-046A-3065-F6E1-142F83A8995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412851" y="897662"/>
          <a:ext cx="555947" cy="542961"/>
        </a:xfrm>
        <a:prstGeom prst="rect">
          <a:avLst/>
        </a:prstGeom>
      </xdr:spPr>
    </xdr:pic>
    <xdr:clientData/>
  </xdr:twoCellAnchor>
  <xdr:twoCellAnchor editAs="oneCell">
    <xdr:from>
      <xdr:col>6</xdr:col>
      <xdr:colOff>1297174</xdr:colOff>
      <xdr:row>2</xdr:row>
      <xdr:rowOff>162898</xdr:rowOff>
    </xdr:from>
    <xdr:to>
      <xdr:col>7</xdr:col>
      <xdr:colOff>120161</xdr:colOff>
      <xdr:row>5</xdr:row>
      <xdr:rowOff>51084</xdr:rowOff>
    </xdr:to>
    <xdr:pic>
      <xdr:nvPicPr>
        <xdr:cNvPr id="38" name="Picture 37">
          <a:extLst>
            <a:ext uri="{FF2B5EF4-FFF2-40B4-BE49-F238E27FC236}">
              <a16:creationId xmlns:a16="http://schemas.microsoft.com/office/drawing/2014/main" id="{4F86C5D8-25AE-4B5D-91D5-BDAD9DDB6C43}"/>
            </a:ext>
          </a:extLst>
        </xdr:cNvPr>
        <xdr:cNvPicPr>
          <a:picLocks noChangeAspect="1"/>
        </xdr:cNvPicPr>
      </xdr:nvPicPr>
      <xdr:blipFill>
        <a:blip xmlns:r="http://schemas.openxmlformats.org/officeDocument/2006/relationships" r:embed="rId12"/>
        <a:stretch>
          <a:fillRect/>
        </a:stretch>
      </xdr:blipFill>
      <xdr:spPr>
        <a:xfrm>
          <a:off x="8514403" y="1120841"/>
          <a:ext cx="651787" cy="639300"/>
        </a:xfrm>
        <a:prstGeom prst="rect">
          <a:avLst/>
        </a:prstGeom>
      </xdr:spPr>
    </xdr:pic>
    <xdr:clientData/>
  </xdr:twoCellAnchor>
  <xdr:twoCellAnchor>
    <xdr:from>
      <xdr:col>13</xdr:col>
      <xdr:colOff>868679</xdr:colOff>
      <xdr:row>2</xdr:row>
      <xdr:rowOff>69670</xdr:rowOff>
    </xdr:from>
    <xdr:to>
      <xdr:col>16</xdr:col>
      <xdr:colOff>651387</xdr:colOff>
      <xdr:row>6</xdr:row>
      <xdr:rowOff>15241</xdr:rowOff>
    </xdr:to>
    <xdr:sp macro="" textlink="">
      <xdr:nvSpPr>
        <xdr:cNvPr id="42" name="Rectangle: Rounded Corners 41">
          <a:extLst>
            <a:ext uri="{FF2B5EF4-FFF2-40B4-BE49-F238E27FC236}">
              <a16:creationId xmlns:a16="http://schemas.microsoft.com/office/drawing/2014/main" id="{85AFF872-0ACE-9DB8-72A4-2C7DE1A6EDA1}"/>
            </a:ext>
          </a:extLst>
        </xdr:cNvPr>
        <xdr:cNvSpPr/>
      </xdr:nvSpPr>
      <xdr:spPr>
        <a:xfrm>
          <a:off x="14547808" y="782509"/>
          <a:ext cx="2916740" cy="867345"/>
        </a:xfrm>
        <a:prstGeom prst="roundRect">
          <a:avLst/>
        </a:prstGeom>
        <a:solidFill>
          <a:schemeClr val="bg1"/>
        </a:solidFill>
        <a:ln>
          <a:solidFill>
            <a:srgbClr val="E2E8F0"/>
          </a:solidFill>
        </a:ln>
        <a:effectLst>
          <a:outerShdw blurRad="50800" dist="50800" dir="2700000" sx="95000" sy="95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rgbClr val="0F172A"/>
            </a:solidFill>
            <a:latin typeface="+mn-lt"/>
            <a:ea typeface="+mn-ea"/>
            <a:cs typeface="+mn-cs"/>
          </a:endParaRPr>
        </a:p>
      </xdr:txBody>
    </xdr:sp>
    <xdr:clientData/>
  </xdr:twoCellAnchor>
  <xdr:twoCellAnchor editAs="oneCell">
    <xdr:from>
      <xdr:col>13</xdr:col>
      <xdr:colOff>927136</xdr:colOff>
      <xdr:row>2</xdr:row>
      <xdr:rowOff>164467</xdr:rowOff>
    </xdr:from>
    <xdr:to>
      <xdr:col>13</xdr:col>
      <xdr:colOff>1588131</xdr:colOff>
      <xdr:row>5</xdr:row>
      <xdr:rowOff>55644</xdr:rowOff>
    </xdr:to>
    <xdr:pic>
      <xdr:nvPicPr>
        <xdr:cNvPr id="45" name="Graphic 44" descr="Stars with solid fill">
          <a:extLst>
            <a:ext uri="{FF2B5EF4-FFF2-40B4-BE49-F238E27FC236}">
              <a16:creationId xmlns:a16="http://schemas.microsoft.com/office/drawing/2014/main" id="{7221D9A0-BEF2-9911-1104-C0E43DDAE21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606265" y="877306"/>
          <a:ext cx="660995" cy="640885"/>
        </a:xfrm>
        <a:prstGeom prst="rect">
          <a:avLst/>
        </a:prstGeom>
      </xdr:spPr>
    </xdr:pic>
    <xdr:clientData/>
  </xdr:twoCellAnchor>
  <xdr:twoCellAnchor>
    <xdr:from>
      <xdr:col>2</xdr:col>
      <xdr:colOff>1068047</xdr:colOff>
      <xdr:row>2</xdr:row>
      <xdr:rowOff>147483</xdr:rowOff>
    </xdr:from>
    <xdr:to>
      <xdr:col>4</xdr:col>
      <xdr:colOff>221226</xdr:colOff>
      <xdr:row>4</xdr:row>
      <xdr:rowOff>48682</xdr:rowOff>
    </xdr:to>
    <xdr:sp macro="" textlink="">
      <xdr:nvSpPr>
        <xdr:cNvPr id="47" name="TextBox 46">
          <a:extLst>
            <a:ext uri="{FF2B5EF4-FFF2-40B4-BE49-F238E27FC236}">
              <a16:creationId xmlns:a16="http://schemas.microsoft.com/office/drawing/2014/main" id="{20A3A2A0-23EC-AD95-64C9-D621C1B44FC4}"/>
            </a:ext>
          </a:extLst>
        </xdr:cNvPr>
        <xdr:cNvSpPr txBox="1"/>
      </xdr:nvSpPr>
      <xdr:spPr>
        <a:xfrm>
          <a:off x="3169692" y="860322"/>
          <a:ext cx="1562082" cy="294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rgbClr val="0F172A"/>
              </a:solidFill>
              <a:latin typeface="Inter 18pt Medium" panose="02000503000000020004" pitchFamily="2" charset="0"/>
              <a:ea typeface="Inter 18pt Medium" panose="02000503000000020004" pitchFamily="2" charset="0"/>
            </a:rPr>
            <a:t>TOTAL REVENUE</a:t>
          </a:r>
        </a:p>
      </xdr:txBody>
    </xdr:sp>
    <xdr:clientData/>
  </xdr:twoCellAnchor>
  <xdr:twoCellAnchor>
    <xdr:from>
      <xdr:col>2</xdr:col>
      <xdr:colOff>1070122</xdr:colOff>
      <xdr:row>4</xdr:row>
      <xdr:rowOff>36871</xdr:rowOff>
    </xdr:from>
    <xdr:to>
      <xdr:col>4</xdr:col>
      <xdr:colOff>147484</xdr:colOff>
      <xdr:row>5</xdr:row>
      <xdr:rowOff>46406</xdr:rowOff>
    </xdr:to>
    <xdr:sp macro="" textlink="KPI!A8">
      <xdr:nvSpPr>
        <xdr:cNvPr id="48" name="TextBox 47">
          <a:extLst>
            <a:ext uri="{FF2B5EF4-FFF2-40B4-BE49-F238E27FC236}">
              <a16:creationId xmlns:a16="http://schemas.microsoft.com/office/drawing/2014/main" id="{8E708C49-7C75-4601-89E1-12455C35B86F}"/>
            </a:ext>
          </a:extLst>
        </xdr:cNvPr>
        <xdr:cNvSpPr txBox="1"/>
      </xdr:nvSpPr>
      <xdr:spPr>
        <a:xfrm>
          <a:off x="3171767" y="1143000"/>
          <a:ext cx="1486265" cy="365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D006F7-2E46-4126-BAC3-73D0A5CB5F86}" type="TxLink">
            <a:rPr lang="en-US" sz="2800" b="1" i="0" u="none" strike="noStrike">
              <a:solidFill>
                <a:srgbClr val="0070C0"/>
              </a:solidFill>
              <a:latin typeface="Inter"/>
            </a:rPr>
            <a:pPr algn="ctr"/>
            <a:t>₹2.41 Cr</a:t>
          </a:fld>
          <a:endParaRPr lang="en-IN" sz="2800" b="1">
            <a:solidFill>
              <a:srgbClr val="0070C0"/>
            </a:solidFill>
          </a:endParaRPr>
        </a:p>
      </xdr:txBody>
    </xdr:sp>
    <xdr:clientData/>
  </xdr:twoCellAnchor>
  <xdr:twoCellAnchor>
    <xdr:from>
      <xdr:col>5</xdr:col>
      <xdr:colOff>700197</xdr:colOff>
      <xdr:row>2</xdr:row>
      <xdr:rowOff>110611</xdr:rowOff>
    </xdr:from>
    <xdr:to>
      <xdr:col>6</xdr:col>
      <xdr:colOff>378192</xdr:colOff>
      <xdr:row>4</xdr:row>
      <xdr:rowOff>56388</xdr:rowOff>
    </xdr:to>
    <xdr:sp macro="" textlink="">
      <xdr:nvSpPr>
        <xdr:cNvPr id="53" name="TextBox 52">
          <a:extLst>
            <a:ext uri="{FF2B5EF4-FFF2-40B4-BE49-F238E27FC236}">
              <a16:creationId xmlns:a16="http://schemas.microsoft.com/office/drawing/2014/main" id="{1AA66E86-8AEB-6AAB-94A3-5E5C4036917C}"/>
            </a:ext>
          </a:extLst>
        </xdr:cNvPr>
        <xdr:cNvSpPr txBox="1"/>
      </xdr:nvSpPr>
      <xdr:spPr>
        <a:xfrm>
          <a:off x="6132168" y="818182"/>
          <a:ext cx="1463253" cy="33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rgbClr val="0F172A"/>
              </a:solidFill>
              <a:latin typeface="Inter 18pt Medium" panose="02000503000000020004" pitchFamily="2" charset="0"/>
              <a:ea typeface="Inter 18pt Medium" panose="02000503000000020004" pitchFamily="2" charset="0"/>
              <a:cs typeface="+mn-cs"/>
            </a:rPr>
            <a:t>TOTAL</a:t>
          </a:r>
          <a:r>
            <a:rPr lang="en-IN" sz="1100">
              <a:solidFill>
                <a:srgbClr val="0F172A"/>
              </a:solidFill>
              <a:effectLst/>
              <a:latin typeface="+mn-lt"/>
              <a:ea typeface="+mn-ea"/>
              <a:cs typeface="+mn-cs"/>
            </a:rPr>
            <a:t> </a:t>
          </a:r>
          <a:r>
            <a:rPr lang="en-IN" sz="1100">
              <a:solidFill>
                <a:srgbClr val="0F172A"/>
              </a:solidFill>
              <a:latin typeface="Inter 18pt Medium" panose="02000503000000020004" pitchFamily="2" charset="0"/>
              <a:ea typeface="Inter 18pt Medium" panose="02000503000000020004" pitchFamily="2" charset="0"/>
              <a:cs typeface="+mn-cs"/>
            </a:rPr>
            <a:t>ORDERS</a:t>
          </a:r>
        </a:p>
      </xdr:txBody>
    </xdr:sp>
    <xdr:clientData/>
  </xdr:twoCellAnchor>
  <xdr:twoCellAnchor>
    <xdr:from>
      <xdr:col>7</xdr:col>
      <xdr:colOff>194643</xdr:colOff>
      <xdr:row>2</xdr:row>
      <xdr:rowOff>61451</xdr:rowOff>
    </xdr:from>
    <xdr:to>
      <xdr:col>9</xdr:col>
      <xdr:colOff>92705</xdr:colOff>
      <xdr:row>4</xdr:row>
      <xdr:rowOff>67670</xdr:rowOff>
    </xdr:to>
    <xdr:sp macro="" textlink="">
      <xdr:nvSpPr>
        <xdr:cNvPr id="54" name="TextBox 53">
          <a:extLst>
            <a:ext uri="{FF2B5EF4-FFF2-40B4-BE49-F238E27FC236}">
              <a16:creationId xmlns:a16="http://schemas.microsoft.com/office/drawing/2014/main" id="{F2C4CED2-0A16-7CB1-3625-CFA7560F2659}"/>
            </a:ext>
          </a:extLst>
        </xdr:cNvPr>
        <xdr:cNvSpPr txBox="1"/>
      </xdr:nvSpPr>
      <xdr:spPr>
        <a:xfrm>
          <a:off x="9240672" y="1019394"/>
          <a:ext cx="1247890" cy="398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rgbClr val="0F172A"/>
              </a:solidFill>
              <a:latin typeface="Inter 18pt Medium" panose="02000503000000020004" pitchFamily="2" charset="0"/>
              <a:ea typeface="Inter 18pt Medium" panose="02000503000000020004" pitchFamily="2" charset="0"/>
              <a:cs typeface="+mn-cs"/>
            </a:rPr>
            <a:t>UNITS SOLD</a:t>
          </a:r>
        </a:p>
      </xdr:txBody>
    </xdr:sp>
    <xdr:clientData/>
  </xdr:twoCellAnchor>
  <xdr:twoCellAnchor>
    <xdr:from>
      <xdr:col>10</xdr:col>
      <xdr:colOff>928713</xdr:colOff>
      <xdr:row>3</xdr:row>
      <xdr:rowOff>2</xdr:rowOff>
    </xdr:from>
    <xdr:to>
      <xdr:col>13</xdr:col>
      <xdr:colOff>479322</xdr:colOff>
      <xdr:row>4</xdr:row>
      <xdr:rowOff>24582</xdr:rowOff>
    </xdr:to>
    <xdr:sp macro="" textlink="">
      <xdr:nvSpPr>
        <xdr:cNvPr id="55" name="TextBox 54">
          <a:extLst>
            <a:ext uri="{FF2B5EF4-FFF2-40B4-BE49-F238E27FC236}">
              <a16:creationId xmlns:a16="http://schemas.microsoft.com/office/drawing/2014/main" id="{A64E7D13-E90E-FA87-7645-906C7AF5D440}"/>
            </a:ext>
          </a:extLst>
        </xdr:cNvPr>
        <xdr:cNvSpPr txBox="1"/>
      </xdr:nvSpPr>
      <xdr:spPr>
        <a:xfrm>
          <a:off x="12002294" y="884905"/>
          <a:ext cx="2156157" cy="245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rgbClr val="0F172A"/>
              </a:solidFill>
              <a:latin typeface="Inter 18pt Medium" panose="02000503000000020004" pitchFamily="2" charset="0"/>
              <a:ea typeface="Inter 18pt Medium" panose="02000503000000020004" pitchFamily="2" charset="0"/>
              <a:cs typeface="+mn-cs"/>
            </a:rPr>
            <a:t>AVERAGE</a:t>
          </a:r>
          <a:r>
            <a:rPr lang="en-IN" sz="1100" baseline="0">
              <a:solidFill>
                <a:srgbClr val="0F172A"/>
              </a:solidFill>
              <a:latin typeface="Inter 18pt Medium" panose="02000503000000020004" pitchFamily="2" charset="0"/>
              <a:ea typeface="Inter 18pt Medium" panose="02000503000000020004" pitchFamily="2" charset="0"/>
              <a:cs typeface="+mn-cs"/>
            </a:rPr>
            <a:t> ORDER VALUE</a:t>
          </a:r>
          <a:endParaRPr lang="en-IN" sz="1100">
            <a:solidFill>
              <a:srgbClr val="0F172A"/>
            </a:solidFill>
            <a:latin typeface="Inter 18pt Medium" panose="02000503000000020004" pitchFamily="2" charset="0"/>
            <a:ea typeface="Inter 18pt Medium" panose="02000503000000020004" pitchFamily="2" charset="0"/>
            <a:cs typeface="+mn-cs"/>
          </a:endParaRPr>
        </a:p>
      </xdr:txBody>
    </xdr:sp>
    <xdr:clientData/>
  </xdr:twoCellAnchor>
  <xdr:twoCellAnchor>
    <xdr:from>
      <xdr:col>13</xdr:col>
      <xdr:colOff>1589790</xdr:colOff>
      <xdr:row>2</xdr:row>
      <xdr:rowOff>91671</xdr:rowOff>
    </xdr:from>
    <xdr:to>
      <xdr:col>16</xdr:col>
      <xdr:colOff>663678</xdr:colOff>
      <xdr:row>4</xdr:row>
      <xdr:rowOff>179584</xdr:rowOff>
    </xdr:to>
    <xdr:sp macro="" textlink="">
      <xdr:nvSpPr>
        <xdr:cNvPr id="56" name="TextBox 55">
          <a:extLst>
            <a:ext uri="{FF2B5EF4-FFF2-40B4-BE49-F238E27FC236}">
              <a16:creationId xmlns:a16="http://schemas.microsoft.com/office/drawing/2014/main" id="{FAD91D89-8158-6FA4-4107-85F0E0CDE9DE}"/>
            </a:ext>
          </a:extLst>
        </xdr:cNvPr>
        <xdr:cNvSpPr txBox="1"/>
      </xdr:nvSpPr>
      <xdr:spPr>
        <a:xfrm>
          <a:off x="15268919" y="804510"/>
          <a:ext cx="2207920" cy="481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rgbClr val="0F172A"/>
              </a:solidFill>
              <a:latin typeface="Inter 18pt Medium" panose="02000503000000020004" pitchFamily="2" charset="0"/>
              <a:ea typeface="Inter 18pt Medium" panose="02000503000000020004" pitchFamily="2" charset="0"/>
              <a:cs typeface="+mn-cs"/>
            </a:rPr>
            <a:t>AVG CUSTOMER RATING</a:t>
          </a:r>
        </a:p>
      </xdr:txBody>
    </xdr:sp>
    <xdr:clientData/>
  </xdr:twoCellAnchor>
  <xdr:twoCellAnchor>
    <xdr:from>
      <xdr:col>5</xdr:col>
      <xdr:colOff>791931</xdr:colOff>
      <xdr:row>4</xdr:row>
      <xdr:rowOff>72338</xdr:rowOff>
    </xdr:from>
    <xdr:to>
      <xdr:col>6</xdr:col>
      <xdr:colOff>233517</xdr:colOff>
      <xdr:row>4</xdr:row>
      <xdr:rowOff>354870</xdr:rowOff>
    </xdr:to>
    <xdr:sp macro="" textlink="KPI!B6">
      <xdr:nvSpPr>
        <xdr:cNvPr id="57" name="TextBox 56">
          <a:extLst>
            <a:ext uri="{FF2B5EF4-FFF2-40B4-BE49-F238E27FC236}">
              <a16:creationId xmlns:a16="http://schemas.microsoft.com/office/drawing/2014/main" id="{77212909-80A2-404C-98EA-79B4FCF23520}"/>
            </a:ext>
          </a:extLst>
        </xdr:cNvPr>
        <xdr:cNvSpPr txBox="1"/>
      </xdr:nvSpPr>
      <xdr:spPr>
        <a:xfrm>
          <a:off x="6223902" y="1171795"/>
          <a:ext cx="1226844" cy="282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3DCB8318-4A10-476F-8D11-2C82B379574A}" type="TxLink">
            <a:rPr lang="en-US" sz="2800" b="1" i="0" u="none" strike="noStrike">
              <a:solidFill>
                <a:srgbClr val="0070C0"/>
              </a:solidFill>
              <a:latin typeface="Inter"/>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3163</a:t>
          </a:fld>
          <a:endParaRPr lang="en-IN" sz="2800" b="1" i="0" u="none" strike="noStrike">
            <a:solidFill>
              <a:srgbClr val="0070C0"/>
            </a:solidFill>
            <a:latin typeface="Inter"/>
            <a:ea typeface="+mn-ea"/>
            <a:cs typeface="+mn-cs"/>
          </a:endParaRPr>
        </a:p>
      </xdr:txBody>
    </xdr:sp>
    <xdr:clientData/>
  </xdr:twoCellAnchor>
  <xdr:twoCellAnchor>
    <xdr:from>
      <xdr:col>7</xdr:col>
      <xdr:colOff>226452</xdr:colOff>
      <xdr:row>4</xdr:row>
      <xdr:rowOff>88637</xdr:rowOff>
    </xdr:from>
    <xdr:to>
      <xdr:col>9</xdr:col>
      <xdr:colOff>20161</xdr:colOff>
      <xdr:row>4</xdr:row>
      <xdr:rowOff>346444</xdr:rowOff>
    </xdr:to>
    <xdr:sp macro="" textlink="KPI!C6">
      <xdr:nvSpPr>
        <xdr:cNvPr id="58" name="TextBox 57">
          <a:extLst>
            <a:ext uri="{FF2B5EF4-FFF2-40B4-BE49-F238E27FC236}">
              <a16:creationId xmlns:a16="http://schemas.microsoft.com/office/drawing/2014/main" id="{A9C3DA90-2479-4CEF-875F-928C2C551546}"/>
            </a:ext>
          </a:extLst>
        </xdr:cNvPr>
        <xdr:cNvSpPr txBox="1"/>
      </xdr:nvSpPr>
      <xdr:spPr>
        <a:xfrm>
          <a:off x="9272481" y="1438466"/>
          <a:ext cx="1143537" cy="257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C61CFD26-A364-4CA4-AC34-CF0B07EC03D3}" type="TxLink">
            <a:rPr lang="en-US" sz="2800" b="1" i="0" u="none" strike="noStrike">
              <a:solidFill>
                <a:srgbClr val="0070C0"/>
              </a:solidFill>
              <a:latin typeface="Inter"/>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4373</a:t>
          </a:fld>
          <a:endParaRPr lang="en-IN" sz="2800" b="1" i="0" u="none" strike="noStrike">
            <a:solidFill>
              <a:srgbClr val="0070C0"/>
            </a:solidFill>
            <a:latin typeface="Inter"/>
            <a:ea typeface="+mn-ea"/>
            <a:cs typeface="+mn-cs"/>
          </a:endParaRPr>
        </a:p>
      </xdr:txBody>
    </xdr:sp>
    <xdr:clientData/>
  </xdr:twoCellAnchor>
  <xdr:twoCellAnchor>
    <xdr:from>
      <xdr:col>10</xdr:col>
      <xdr:colOff>1216308</xdr:colOff>
      <xdr:row>4</xdr:row>
      <xdr:rowOff>86033</xdr:rowOff>
    </xdr:from>
    <xdr:to>
      <xdr:col>12</xdr:col>
      <xdr:colOff>639097</xdr:colOff>
      <xdr:row>5</xdr:row>
      <xdr:rowOff>35861</xdr:rowOff>
    </xdr:to>
    <xdr:sp macro="" textlink="KPI!C10">
      <xdr:nvSpPr>
        <xdr:cNvPr id="59" name="TextBox 58">
          <a:extLst>
            <a:ext uri="{FF2B5EF4-FFF2-40B4-BE49-F238E27FC236}">
              <a16:creationId xmlns:a16="http://schemas.microsoft.com/office/drawing/2014/main" id="{582D0F51-532B-46D9-A854-0DEC5F8B570C}"/>
            </a:ext>
          </a:extLst>
        </xdr:cNvPr>
        <xdr:cNvSpPr txBox="1"/>
      </xdr:nvSpPr>
      <xdr:spPr>
        <a:xfrm>
          <a:off x="12289889" y="1192162"/>
          <a:ext cx="1352369" cy="306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65B52E8E-D846-414D-B956-A61CE710C431}" type="TxLink">
            <a:rPr lang="en-US" sz="2800" b="1" i="0" u="none" strike="noStrike">
              <a:solidFill>
                <a:srgbClr val="0070C0"/>
              </a:solidFill>
              <a:latin typeface="Inter"/>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₹7.62K</a:t>
          </a:fld>
          <a:endParaRPr lang="en-IN" sz="2800" b="1" i="0" u="none" strike="noStrike">
            <a:solidFill>
              <a:srgbClr val="0070C0"/>
            </a:solidFill>
            <a:latin typeface="Inter"/>
            <a:ea typeface="+mn-ea"/>
            <a:cs typeface="+mn-cs"/>
          </a:endParaRPr>
        </a:p>
      </xdr:txBody>
    </xdr:sp>
    <xdr:clientData/>
  </xdr:twoCellAnchor>
  <xdr:twoCellAnchor>
    <xdr:from>
      <xdr:col>14</xdr:col>
      <xdr:colOff>280942</xdr:colOff>
      <xdr:row>4</xdr:row>
      <xdr:rowOff>98323</xdr:rowOff>
    </xdr:from>
    <xdr:to>
      <xdr:col>16</xdr:col>
      <xdr:colOff>66122</xdr:colOff>
      <xdr:row>5</xdr:row>
      <xdr:rowOff>41500</xdr:rowOff>
    </xdr:to>
    <xdr:sp macro="" textlink="KPI!D8">
      <xdr:nvSpPr>
        <xdr:cNvPr id="60" name="TextBox 59">
          <a:extLst>
            <a:ext uri="{FF2B5EF4-FFF2-40B4-BE49-F238E27FC236}">
              <a16:creationId xmlns:a16="http://schemas.microsoft.com/office/drawing/2014/main" id="{66137705-FE85-4AB4-99AF-4367B14A85B3}"/>
            </a:ext>
          </a:extLst>
        </xdr:cNvPr>
        <xdr:cNvSpPr txBox="1"/>
      </xdr:nvSpPr>
      <xdr:spPr>
        <a:xfrm>
          <a:off x="15742168" y="1204452"/>
          <a:ext cx="1137115" cy="299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5670CECE-63A4-449B-A8E0-DE8BC07B9E14}" type="TxLink">
            <a:rPr lang="en-US" sz="2800" b="1" i="0" u="none" strike="noStrike">
              <a:solidFill>
                <a:srgbClr val="0070C0"/>
              </a:solidFill>
              <a:latin typeface="Inter"/>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4.1</a:t>
          </a:fld>
          <a:endParaRPr lang="en-IN" sz="2800" b="1" i="0" u="none" strike="noStrike">
            <a:solidFill>
              <a:srgbClr val="0070C0"/>
            </a:solidFill>
            <a:latin typeface="Inter"/>
            <a:ea typeface="+mn-ea"/>
            <a:cs typeface="+mn-cs"/>
          </a:endParaRPr>
        </a:p>
      </xdr:txBody>
    </xdr:sp>
    <xdr:clientData/>
  </xdr:twoCellAnchor>
  <xdr:twoCellAnchor>
    <xdr:from>
      <xdr:col>0</xdr:col>
      <xdr:colOff>32657</xdr:colOff>
      <xdr:row>0</xdr:row>
      <xdr:rowOff>10885</xdr:rowOff>
    </xdr:from>
    <xdr:to>
      <xdr:col>20</xdr:col>
      <xdr:colOff>348343</xdr:colOff>
      <xdr:row>1</xdr:row>
      <xdr:rowOff>304799</xdr:rowOff>
    </xdr:to>
    <xdr:sp macro="" textlink="">
      <xdr:nvSpPr>
        <xdr:cNvPr id="61" name="Rectangle: Rounded Corners 60">
          <a:extLst>
            <a:ext uri="{FF2B5EF4-FFF2-40B4-BE49-F238E27FC236}">
              <a16:creationId xmlns:a16="http://schemas.microsoft.com/office/drawing/2014/main" id="{884B1DA2-1893-0068-5561-754B1661060F}"/>
            </a:ext>
          </a:extLst>
        </xdr:cNvPr>
        <xdr:cNvSpPr/>
      </xdr:nvSpPr>
      <xdr:spPr>
        <a:xfrm>
          <a:off x="32657" y="10885"/>
          <a:ext cx="20280086" cy="914400"/>
        </a:xfrm>
        <a:prstGeom prst="roundRect">
          <a:avLst/>
        </a:prstGeom>
        <a:solidFill>
          <a:srgbClr val="123A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653142</xdr:colOff>
      <xdr:row>0</xdr:row>
      <xdr:rowOff>65314</xdr:rowOff>
    </xdr:from>
    <xdr:to>
      <xdr:col>6</xdr:col>
      <xdr:colOff>1262742</xdr:colOff>
      <xdr:row>0</xdr:row>
      <xdr:rowOff>533399</xdr:rowOff>
    </xdr:to>
    <xdr:sp macro="" textlink="">
      <xdr:nvSpPr>
        <xdr:cNvPr id="62" name="TextBox 61">
          <a:extLst>
            <a:ext uri="{FF2B5EF4-FFF2-40B4-BE49-F238E27FC236}">
              <a16:creationId xmlns:a16="http://schemas.microsoft.com/office/drawing/2014/main" id="{D6E86BF8-1E8F-6899-BF87-F2DC41A85305}"/>
            </a:ext>
          </a:extLst>
        </xdr:cNvPr>
        <xdr:cNvSpPr txBox="1"/>
      </xdr:nvSpPr>
      <xdr:spPr>
        <a:xfrm>
          <a:off x="1328056" y="65314"/>
          <a:ext cx="7151915" cy="468085"/>
        </a:xfrm>
        <a:prstGeom prst="rect">
          <a:avLst/>
        </a:prstGeom>
        <a:solidFill>
          <a:srgbClr val="123A8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200" b="1">
              <a:solidFill>
                <a:schemeClr val="bg1"/>
              </a:solidFill>
            </a:rPr>
            <a:t>INDIA SPORTS FOOTWEAR E-COMMERCE</a:t>
          </a:r>
        </a:p>
      </xdr:txBody>
    </xdr:sp>
    <xdr:clientData/>
  </xdr:twoCellAnchor>
  <xdr:twoCellAnchor>
    <xdr:from>
      <xdr:col>1</xdr:col>
      <xdr:colOff>653139</xdr:colOff>
      <xdr:row>0</xdr:row>
      <xdr:rowOff>522516</xdr:rowOff>
    </xdr:from>
    <xdr:to>
      <xdr:col>4</xdr:col>
      <xdr:colOff>598710</xdr:colOff>
      <xdr:row>1</xdr:row>
      <xdr:rowOff>272144</xdr:rowOff>
    </xdr:to>
    <xdr:sp macro="" textlink="">
      <xdr:nvSpPr>
        <xdr:cNvPr id="63" name="TextBox 62">
          <a:extLst>
            <a:ext uri="{FF2B5EF4-FFF2-40B4-BE49-F238E27FC236}">
              <a16:creationId xmlns:a16="http://schemas.microsoft.com/office/drawing/2014/main" id="{75633EF0-CEA7-89F5-4C5A-FE2C71C1F522}"/>
            </a:ext>
          </a:extLst>
        </xdr:cNvPr>
        <xdr:cNvSpPr txBox="1"/>
      </xdr:nvSpPr>
      <xdr:spPr>
        <a:xfrm>
          <a:off x="1328053" y="522516"/>
          <a:ext cx="3777343" cy="370114"/>
        </a:xfrm>
        <a:prstGeom prst="rect">
          <a:avLst/>
        </a:prstGeom>
        <a:solidFill>
          <a:srgbClr val="123A8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a:solidFill>
                <a:srgbClr val="DBEAFE"/>
              </a:solidFill>
              <a:latin typeface="Inter 18pt Medium" panose="02000503000000020004" pitchFamily="2" charset="0"/>
              <a:ea typeface="Inter 18pt Medium" panose="02000503000000020004" pitchFamily="2" charset="0"/>
            </a:rPr>
            <a:t>Performance Overview | 2018 – 2025</a:t>
          </a:r>
        </a:p>
      </xdr:txBody>
    </xdr:sp>
    <xdr:clientData/>
  </xdr:twoCellAnchor>
  <xdr:twoCellAnchor>
    <xdr:from>
      <xdr:col>16</xdr:col>
      <xdr:colOff>664029</xdr:colOff>
      <xdr:row>0</xdr:row>
      <xdr:rowOff>293914</xdr:rowOff>
    </xdr:from>
    <xdr:to>
      <xdr:col>20</xdr:col>
      <xdr:colOff>0</xdr:colOff>
      <xdr:row>1</xdr:row>
      <xdr:rowOff>65314</xdr:rowOff>
    </xdr:to>
    <xdr:sp macro="" textlink="">
      <xdr:nvSpPr>
        <xdr:cNvPr id="1025" name="TextBox 1024">
          <a:extLst>
            <a:ext uri="{FF2B5EF4-FFF2-40B4-BE49-F238E27FC236}">
              <a16:creationId xmlns:a16="http://schemas.microsoft.com/office/drawing/2014/main" id="{9025E913-7A07-E7D4-B9C8-508135064E05}"/>
            </a:ext>
          </a:extLst>
        </xdr:cNvPr>
        <xdr:cNvSpPr txBox="1"/>
      </xdr:nvSpPr>
      <xdr:spPr>
        <a:xfrm>
          <a:off x="17471572" y="293914"/>
          <a:ext cx="2492828" cy="391886"/>
        </a:xfrm>
        <a:prstGeom prst="rect">
          <a:avLst/>
        </a:prstGeom>
        <a:solidFill>
          <a:srgbClr val="123A8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800">
              <a:solidFill>
                <a:schemeClr val="bg1"/>
              </a:solidFill>
              <a:latin typeface="Inter 18pt SemiBold" panose="02000503000000020004" pitchFamily="2" charset="0"/>
              <a:ea typeface="Inter 18pt SemiBold" panose="02000503000000020004" pitchFamily="2" charset="0"/>
            </a:rPr>
            <a:t>INDIA | 2018 – 2025</a:t>
          </a:r>
        </a:p>
      </xdr:txBody>
    </xdr:sp>
    <xdr:clientData/>
  </xdr:twoCellAnchor>
  <xdr:twoCellAnchor editAs="oneCell">
    <xdr:from>
      <xdr:col>0</xdr:col>
      <xdr:colOff>315686</xdr:colOff>
      <xdr:row>0</xdr:row>
      <xdr:rowOff>43542</xdr:rowOff>
    </xdr:from>
    <xdr:to>
      <xdr:col>1</xdr:col>
      <xdr:colOff>555172</xdr:colOff>
      <xdr:row>1</xdr:row>
      <xdr:rowOff>293913</xdr:rowOff>
    </xdr:to>
    <xdr:pic>
      <xdr:nvPicPr>
        <xdr:cNvPr id="1028" name="Graphic 1027" descr="Run with solid fill">
          <a:extLst>
            <a:ext uri="{FF2B5EF4-FFF2-40B4-BE49-F238E27FC236}">
              <a16:creationId xmlns:a16="http://schemas.microsoft.com/office/drawing/2014/main" id="{484EC5C4-F270-EE4C-EBFA-5C4AED54E3F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15686" y="43542"/>
          <a:ext cx="914400" cy="870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560070</xdr:colOff>
      <xdr:row>6</xdr:row>
      <xdr:rowOff>95250</xdr:rowOff>
    </xdr:from>
    <xdr:to>
      <xdr:col>9</xdr:col>
      <xdr:colOff>438150</xdr:colOff>
      <xdr:row>22</xdr:row>
      <xdr:rowOff>34290</xdr:rowOff>
    </xdr:to>
    <xdr:graphicFrame macro="">
      <xdr:nvGraphicFramePr>
        <xdr:cNvPr id="2" name="Chart 1">
          <a:extLst>
            <a:ext uri="{FF2B5EF4-FFF2-40B4-BE49-F238E27FC236}">
              <a16:creationId xmlns:a16="http://schemas.microsoft.com/office/drawing/2014/main" id="{A42FC319-4CE2-8E81-F645-F231210F2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643890</xdr:colOff>
      <xdr:row>1</xdr:row>
      <xdr:rowOff>156210</xdr:rowOff>
    </xdr:from>
    <xdr:to>
      <xdr:col>9</xdr:col>
      <xdr:colOff>521970</xdr:colOff>
      <xdr:row>17</xdr:row>
      <xdr:rowOff>95250</xdr:rowOff>
    </xdr:to>
    <xdr:graphicFrame macro="">
      <xdr:nvGraphicFramePr>
        <xdr:cNvPr id="2" name="Chart 1">
          <a:extLst>
            <a:ext uri="{FF2B5EF4-FFF2-40B4-BE49-F238E27FC236}">
              <a16:creationId xmlns:a16="http://schemas.microsoft.com/office/drawing/2014/main" id="{B4ED3A96-899D-A239-BBD2-FE227D53C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560070</xdr:colOff>
      <xdr:row>6</xdr:row>
      <xdr:rowOff>72390</xdr:rowOff>
    </xdr:from>
    <xdr:to>
      <xdr:col>9</xdr:col>
      <xdr:colOff>438150</xdr:colOff>
      <xdr:row>22</xdr:row>
      <xdr:rowOff>11430</xdr:rowOff>
    </xdr:to>
    <xdr:graphicFrame macro="">
      <xdr:nvGraphicFramePr>
        <xdr:cNvPr id="2" name="Chart 1">
          <a:extLst>
            <a:ext uri="{FF2B5EF4-FFF2-40B4-BE49-F238E27FC236}">
              <a16:creationId xmlns:a16="http://schemas.microsoft.com/office/drawing/2014/main" id="{F5F9E2DB-A529-AED1-C203-04CF02DD0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289335</xdr:colOff>
      <xdr:row>1</xdr:row>
      <xdr:rowOff>140970</xdr:rowOff>
    </xdr:from>
    <xdr:to>
      <xdr:col>14</xdr:col>
      <xdr:colOff>475129</xdr:colOff>
      <xdr:row>17</xdr:row>
      <xdr:rowOff>80010</xdr:rowOff>
    </xdr:to>
    <xdr:graphicFrame macro="">
      <xdr:nvGraphicFramePr>
        <xdr:cNvPr id="2" name="Chart 1">
          <a:extLst>
            <a:ext uri="{FF2B5EF4-FFF2-40B4-BE49-F238E27FC236}">
              <a16:creationId xmlns:a16="http://schemas.microsoft.com/office/drawing/2014/main" id="{56E2A0DC-B570-9EEA-5EB5-592E1F020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26670</xdr:colOff>
      <xdr:row>1</xdr:row>
      <xdr:rowOff>118110</xdr:rowOff>
    </xdr:from>
    <xdr:to>
      <xdr:col>9</xdr:col>
      <xdr:colOff>575310</xdr:colOff>
      <xdr:row>17</xdr:row>
      <xdr:rowOff>57150</xdr:rowOff>
    </xdr:to>
    <xdr:graphicFrame macro="">
      <xdr:nvGraphicFramePr>
        <xdr:cNvPr id="2" name="Chart 1">
          <a:extLst>
            <a:ext uri="{FF2B5EF4-FFF2-40B4-BE49-F238E27FC236}">
              <a16:creationId xmlns:a16="http://schemas.microsoft.com/office/drawing/2014/main" id="{C36B698F-D6A9-D786-190F-B44DBE583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sh Gupta" refreshedDate="46257.02680983796" createdVersion="8" refreshedVersion="8" minRefreshableVersion="3" recordCount="3163" xr:uid="{744AFFE2-B554-43F8-A6B1-AC89B077332B}">
  <cacheSource type="worksheet">
    <worksheetSource name="Table1"/>
  </cacheSource>
  <cacheFields count="28">
    <cacheField name="Order ID" numFmtId="0">
      <sharedItems/>
    </cacheField>
    <cacheField name="Customer ID" numFmtId="0">
      <sharedItems/>
    </cacheField>
    <cacheField name="Gender" numFmtId="0">
      <sharedItems/>
    </cacheField>
    <cacheField name="Age Group" numFmtId="0">
      <sharedItems/>
    </cacheField>
    <cacheField name="Order Date" numFmtId="14">
      <sharedItems containsSemiMixedTypes="0" containsNonDate="0" containsDate="1" containsString="0" minDate="2018-01-01T00:00:00" maxDate="2025-12-29T00:00:00" count="1805">
        <d v="2018-01-01T00:00:00"/>
        <d v="2018-01-06T00:00:00"/>
        <d v="2018-01-09T00:00:00"/>
        <d v="2018-01-10T00:00:00"/>
        <d v="2018-01-11T00:00:00"/>
        <d v="2018-01-12T00:00:00"/>
        <d v="2018-01-16T00:00:00"/>
        <d v="2018-01-17T00:00:00"/>
        <d v="2018-01-20T00:00:00"/>
        <d v="2018-01-21T00:00:00"/>
        <d v="2018-01-25T00:00:00"/>
        <d v="2018-02-01T00:00:00"/>
        <d v="2018-02-03T00:00:00"/>
        <d v="2018-02-04T00:00:00"/>
        <d v="2018-02-06T00:00:00"/>
        <d v="2018-02-08T00:00:00"/>
        <d v="2018-02-12T00:00:00"/>
        <d v="2018-02-13T00:00:00"/>
        <d v="2018-02-14T00:00:00"/>
        <d v="2018-02-16T00:00:00"/>
        <d v="2018-02-19T00:00:00"/>
        <d v="2018-02-22T00:00:00"/>
        <d v="2018-02-23T00:00:00"/>
        <d v="2018-02-25T00:00:00"/>
        <d v="2018-02-28T00:00:00"/>
        <d v="2018-03-02T00:00:00"/>
        <d v="2018-03-05T00:00:00"/>
        <d v="2018-03-06T00:00:00"/>
        <d v="2018-03-09T00:00:00"/>
        <d v="2018-03-10T00:00:00"/>
        <d v="2018-03-11T00:00:00"/>
        <d v="2018-03-12T00:00:00"/>
        <d v="2018-03-13T00:00:00"/>
        <d v="2018-03-14T00:00:00"/>
        <d v="2018-03-15T00:00:00"/>
        <d v="2018-03-17T00:00:00"/>
        <d v="2018-03-22T00:00:00"/>
        <d v="2018-03-24T00:00:00"/>
        <d v="2018-03-25T00:00:00"/>
        <d v="2018-03-28T00:00:00"/>
        <d v="2018-04-02T00:00:00"/>
        <d v="2018-04-05T00:00:00"/>
        <d v="2018-04-06T00:00:00"/>
        <d v="2018-04-08T00:00:00"/>
        <d v="2018-04-09T00:00:00"/>
        <d v="2018-04-12T00:00:00"/>
        <d v="2018-04-13T00:00:00"/>
        <d v="2018-04-14T00:00:00"/>
        <d v="2018-04-15T00:00:00"/>
        <d v="2018-04-16T00:00:00"/>
        <d v="2018-04-19T00:00:00"/>
        <d v="2018-04-20T00:00:00"/>
        <d v="2018-04-21T00:00:00"/>
        <d v="2018-04-24T00:00:00"/>
        <d v="2018-04-26T00:00:00"/>
        <d v="2018-04-27T00:00:00"/>
        <d v="2018-05-03T00:00:00"/>
        <d v="2018-05-04T00:00:00"/>
        <d v="2018-05-05T00:00:00"/>
        <d v="2018-05-06T00:00:00"/>
        <d v="2018-05-07T00:00:00"/>
        <d v="2018-05-08T00:00:00"/>
        <d v="2018-05-12T00:00:00"/>
        <d v="2018-05-13T00:00:00"/>
        <d v="2018-05-15T00:00:00"/>
        <d v="2018-05-17T00:00:00"/>
        <d v="2018-05-18T00:00:00"/>
        <d v="2018-05-19T00:00:00"/>
        <d v="2018-05-20T00:00:00"/>
        <d v="2018-05-21T00:00:00"/>
        <d v="2018-05-23T00:00:00"/>
        <d v="2018-05-26T00:00:00"/>
        <d v="2018-05-27T00:00:00"/>
        <d v="2018-06-03T00:00:00"/>
        <d v="2018-06-07T00:00:00"/>
        <d v="2018-06-08T00:00:00"/>
        <d v="2018-06-09T00:00:00"/>
        <d v="2018-06-11T00:00:00"/>
        <d v="2018-06-13T00:00:00"/>
        <d v="2018-06-14T00:00:00"/>
        <d v="2018-06-15T00:00:00"/>
        <d v="2018-06-16T00:00:00"/>
        <d v="2018-06-20T00:00:00"/>
        <d v="2018-06-21T00:00:00"/>
        <d v="2018-06-22T00:00:00"/>
        <d v="2018-06-23T00:00:00"/>
        <d v="2018-06-24T00:00:00"/>
        <d v="2018-06-25T00:00:00"/>
        <d v="2018-06-26T00:00:00"/>
        <d v="2018-06-27T00:00:00"/>
        <d v="2018-07-01T00:00:00"/>
        <d v="2018-07-03T00:00:00"/>
        <d v="2018-07-04T00:00:00"/>
        <d v="2018-07-05T00:00:00"/>
        <d v="2018-07-09T00:00:00"/>
        <d v="2018-07-10T00:00:00"/>
        <d v="2018-07-11T00:00:00"/>
        <d v="2018-07-14T00:00:00"/>
        <d v="2018-07-16T00:00:00"/>
        <d v="2018-07-17T00:00:00"/>
        <d v="2018-07-22T00:00:00"/>
        <d v="2018-07-26T00:00:00"/>
        <d v="2018-07-28T00:00:00"/>
        <d v="2018-08-01T00:00:00"/>
        <d v="2018-08-02T00:00:00"/>
        <d v="2018-08-04T00:00:00"/>
        <d v="2018-08-05T00:00:00"/>
        <d v="2018-08-09T00:00:00"/>
        <d v="2018-08-10T00:00:00"/>
        <d v="2018-08-11T00:00:00"/>
        <d v="2018-08-12T00:00:00"/>
        <d v="2018-08-16T00:00:00"/>
        <d v="2018-08-18T00:00:00"/>
        <d v="2018-08-19T00:00:00"/>
        <d v="2018-08-21T00:00:00"/>
        <d v="2018-08-22T00:00:00"/>
        <d v="2018-08-24T00:00:00"/>
        <d v="2018-08-25T00:00:00"/>
        <d v="2018-08-26T00:00:00"/>
        <d v="2018-09-02T00:00:00"/>
        <d v="2018-09-03T00:00:00"/>
        <d v="2018-09-04T00:00:00"/>
        <d v="2018-09-05T00:00:00"/>
        <d v="2018-09-07T00:00:00"/>
        <d v="2018-09-08T00:00:00"/>
        <d v="2018-09-09T00:00:00"/>
        <d v="2018-09-10T00:00:00"/>
        <d v="2018-09-11T00:00:00"/>
        <d v="2018-09-12T00:00:00"/>
        <d v="2018-09-15T00:00:00"/>
        <d v="2018-09-16T00:00:00"/>
        <d v="2018-09-18T00:00:00"/>
        <d v="2018-09-19T00:00:00"/>
        <d v="2018-09-20T00:00:00"/>
        <d v="2018-09-22T00:00:00"/>
        <d v="2018-09-25T00:00:00"/>
        <d v="2018-09-27T00:00:00"/>
        <d v="2018-10-01T00:00:00"/>
        <d v="2018-10-02T00:00:00"/>
        <d v="2018-10-04T00:00:00"/>
        <d v="2018-10-05T00:00:00"/>
        <d v="2018-10-07T00:00:00"/>
        <d v="2018-10-09T00:00:00"/>
        <d v="2018-10-13T00:00:00"/>
        <d v="2018-10-15T00:00:00"/>
        <d v="2018-10-16T00:00:00"/>
        <d v="2018-10-17T00:00:00"/>
        <d v="2018-10-19T00:00:00"/>
        <d v="2018-10-20T00:00:00"/>
        <d v="2018-10-22T00:00:00"/>
        <d v="2018-10-23T00:00:00"/>
        <d v="2018-10-24T00:00:00"/>
        <d v="2018-10-25T00:00:00"/>
        <d v="2018-10-27T00:00:00"/>
        <d v="2018-10-28T00:00:00"/>
        <d v="2018-11-01T00:00:00"/>
        <d v="2018-11-02T00:00:00"/>
        <d v="2018-11-03T00:00:00"/>
        <d v="2018-11-05T00:00:00"/>
        <d v="2018-11-06T00:00:00"/>
        <d v="2018-11-08T00:00:00"/>
        <d v="2018-11-09T00:00:00"/>
        <d v="2018-11-10T00:00:00"/>
        <d v="2018-11-12T00:00:00"/>
        <d v="2018-11-13T00:00:00"/>
        <d v="2018-11-14T00:00:00"/>
        <d v="2018-11-15T00:00:00"/>
        <d v="2018-11-16T00:00:00"/>
        <d v="2018-11-17T00:00:00"/>
        <d v="2018-11-18T00:00:00"/>
        <d v="2018-11-19T00:00:00"/>
        <d v="2018-11-20T00:00:00"/>
        <d v="2018-11-21T00:00:00"/>
        <d v="2018-11-23T00:00:00"/>
        <d v="2018-11-24T00:00:00"/>
        <d v="2018-11-25T00:00:00"/>
        <d v="2018-11-26T00:00:00"/>
        <d v="2018-11-27T00:00:00"/>
        <d v="2018-11-28T00:00:00"/>
        <d v="2018-12-01T00:00:00"/>
        <d v="2018-12-02T00:00:00"/>
        <d v="2018-12-03T00:00:00"/>
        <d v="2018-12-04T00:00:00"/>
        <d v="2018-12-05T00:00:00"/>
        <d v="2018-12-07T00:00:00"/>
        <d v="2018-12-08T00:00:00"/>
        <d v="2018-12-10T00:00:00"/>
        <d v="2018-12-11T00:00:00"/>
        <d v="2018-12-12T00:00:00"/>
        <d v="2018-12-14T00:00:00"/>
        <d v="2018-12-15T00:00:00"/>
        <d v="2018-12-17T00:00:00"/>
        <d v="2018-12-19T00:00:00"/>
        <d v="2018-12-20T00:00:00"/>
        <d v="2018-12-21T00:00:00"/>
        <d v="2018-12-23T00:00:00"/>
        <d v="2018-12-25T00:00:00"/>
        <d v="2018-12-26T00:00:00"/>
        <d v="2018-12-28T00:00:00"/>
        <d v="2019-01-02T00:00:00"/>
        <d v="2019-01-05T00:00:00"/>
        <d v="2019-01-06T00:00:00"/>
        <d v="2019-01-07T00:00:00"/>
        <d v="2019-01-08T00:00:00"/>
        <d v="2019-01-12T00:00:00"/>
        <d v="2019-01-14T00:00:00"/>
        <d v="2019-01-20T00:00:00"/>
        <d v="2019-01-21T00:00:00"/>
        <d v="2019-01-25T00:00:00"/>
        <d v="2019-01-28T00:00:00"/>
        <d v="2019-02-01T00:00:00"/>
        <d v="2019-02-02T00:00:00"/>
        <d v="2019-02-07T00:00:00"/>
        <d v="2019-02-08T00:00:00"/>
        <d v="2019-02-11T00:00:00"/>
        <d v="2019-02-12T00:00:00"/>
        <d v="2019-02-16T00:00:00"/>
        <d v="2019-02-20T00:00:00"/>
        <d v="2019-02-21T00:00:00"/>
        <d v="2019-02-23T00:00:00"/>
        <d v="2019-02-28T00:00:00"/>
        <d v="2019-03-03T00:00:00"/>
        <d v="2019-03-04T00:00:00"/>
        <d v="2019-03-05T00:00:00"/>
        <d v="2019-03-06T00:00:00"/>
        <d v="2019-03-08T00:00:00"/>
        <d v="2019-03-09T00:00:00"/>
        <d v="2019-03-11T00:00:00"/>
        <d v="2019-03-16T00:00:00"/>
        <d v="2019-03-19T00:00:00"/>
        <d v="2019-03-20T00:00:00"/>
        <d v="2019-03-21T00:00:00"/>
        <d v="2019-03-22T00:00:00"/>
        <d v="2019-03-24T00:00:00"/>
        <d v="2019-03-26T00:00:00"/>
        <d v="2019-03-27T00:00:00"/>
        <d v="2019-03-28T00:00:00"/>
        <d v="2019-04-01T00:00:00"/>
        <d v="2019-04-03T00:00:00"/>
        <d v="2019-04-04T00:00:00"/>
        <d v="2019-04-06T00:00:00"/>
        <d v="2019-04-09T00:00:00"/>
        <d v="2019-04-11T00:00:00"/>
        <d v="2019-04-12T00:00:00"/>
        <d v="2019-04-14T00:00:00"/>
        <d v="2019-04-15T00:00:00"/>
        <d v="2019-04-16T00:00:00"/>
        <d v="2019-04-18T00:00:00"/>
        <d v="2019-04-21T00:00:00"/>
        <d v="2019-04-23T00:00:00"/>
        <d v="2019-04-24T00:00:00"/>
        <d v="2019-04-28T00:00:00"/>
        <d v="2019-05-07T00:00:00"/>
        <d v="2019-05-08T00:00:00"/>
        <d v="2019-05-09T00:00:00"/>
        <d v="2019-05-15T00:00:00"/>
        <d v="2019-05-16T00:00:00"/>
        <d v="2019-05-21T00:00:00"/>
        <d v="2019-05-22T00:00:00"/>
        <d v="2019-05-23T00:00:00"/>
        <d v="2019-05-25T00:00:00"/>
        <d v="2019-05-26T00:00:00"/>
        <d v="2019-05-28T00:00:00"/>
        <d v="2019-06-01T00:00:00"/>
        <d v="2019-06-03T00:00:00"/>
        <d v="2019-06-04T00:00:00"/>
        <d v="2019-06-05T00:00:00"/>
        <d v="2019-06-08T00:00:00"/>
        <d v="2019-06-12T00:00:00"/>
        <d v="2019-06-14T00:00:00"/>
        <d v="2019-06-16T00:00:00"/>
        <d v="2019-06-18T00:00:00"/>
        <d v="2019-06-19T00:00:00"/>
        <d v="2019-06-20T00:00:00"/>
        <d v="2019-06-22T00:00:00"/>
        <d v="2019-06-23T00:00:00"/>
        <d v="2019-06-24T00:00:00"/>
        <d v="2019-07-01T00:00:00"/>
        <d v="2019-07-02T00:00:00"/>
        <d v="2019-07-06T00:00:00"/>
        <d v="2019-07-07T00:00:00"/>
        <d v="2019-07-08T00:00:00"/>
        <d v="2019-07-09T00:00:00"/>
        <d v="2019-07-10T00:00:00"/>
        <d v="2019-07-11T00:00:00"/>
        <d v="2019-07-12T00:00:00"/>
        <d v="2019-07-14T00:00:00"/>
        <d v="2019-07-15T00:00:00"/>
        <d v="2019-07-18T00:00:00"/>
        <d v="2019-07-20T00:00:00"/>
        <d v="2019-07-23T00:00:00"/>
        <d v="2019-07-24T00:00:00"/>
        <d v="2019-07-25T00:00:00"/>
        <d v="2019-07-28T00:00:00"/>
        <d v="2019-08-06T00:00:00"/>
        <d v="2019-08-07T00:00:00"/>
        <d v="2019-08-08T00:00:00"/>
        <d v="2019-08-09T00:00:00"/>
        <d v="2019-08-10T00:00:00"/>
        <d v="2019-08-12T00:00:00"/>
        <d v="2019-08-13T00:00:00"/>
        <d v="2019-08-14T00:00:00"/>
        <d v="2019-08-15T00:00:00"/>
        <d v="2019-08-16T00:00:00"/>
        <d v="2019-08-17T00:00:00"/>
        <d v="2019-08-19T00:00:00"/>
        <d v="2019-08-20T00:00:00"/>
        <d v="2019-08-21T00:00:00"/>
        <d v="2019-08-23T00:00:00"/>
        <d v="2019-08-25T00:00:00"/>
        <d v="2019-08-26T00:00:00"/>
        <d v="2019-08-27T00:00:00"/>
        <d v="2019-09-03T00:00:00"/>
        <d v="2019-09-04T00:00:00"/>
        <d v="2019-09-10T00:00:00"/>
        <d v="2019-09-11T00:00:00"/>
        <d v="2019-09-13T00:00:00"/>
        <d v="2019-09-14T00:00:00"/>
        <d v="2019-09-15T00:00:00"/>
        <d v="2019-09-16T00:00:00"/>
        <d v="2019-09-18T00:00:00"/>
        <d v="2019-09-20T00:00:00"/>
        <d v="2019-09-22T00:00:00"/>
        <d v="2019-09-23T00:00:00"/>
        <d v="2019-09-24T00:00:00"/>
        <d v="2019-09-27T00:00:00"/>
        <d v="2019-09-28T00:00:00"/>
        <d v="2019-10-01T00:00:00"/>
        <d v="2019-10-02T00:00:00"/>
        <d v="2019-10-03T00:00:00"/>
        <d v="2019-10-05T00:00:00"/>
        <d v="2019-10-06T00:00:00"/>
        <d v="2019-10-07T00:00:00"/>
        <d v="2019-10-09T00:00:00"/>
        <d v="2019-10-10T00:00:00"/>
        <d v="2019-10-11T00:00:00"/>
        <d v="2019-10-12T00:00:00"/>
        <d v="2019-10-13T00:00:00"/>
        <d v="2019-10-15T00:00:00"/>
        <d v="2019-10-16T00:00:00"/>
        <d v="2019-10-18T00:00:00"/>
        <d v="2019-10-19T00:00:00"/>
        <d v="2019-10-20T00:00:00"/>
        <d v="2019-10-22T00:00:00"/>
        <d v="2019-10-25T00:00:00"/>
        <d v="2019-10-26T00:00:00"/>
        <d v="2019-10-27T00:00:00"/>
        <d v="2019-10-28T00:00:00"/>
        <d v="2019-11-01T00:00:00"/>
        <d v="2019-11-02T00:00:00"/>
        <d v="2019-11-03T00:00:00"/>
        <d v="2019-11-05T00:00:00"/>
        <d v="2019-11-06T00:00:00"/>
        <d v="2019-11-08T00:00:00"/>
        <d v="2019-11-09T00:00:00"/>
        <d v="2019-11-11T00:00:00"/>
        <d v="2019-11-12T00:00:00"/>
        <d v="2019-11-13T00:00:00"/>
        <d v="2019-11-16T00:00:00"/>
        <d v="2019-11-17T00:00:00"/>
        <d v="2019-11-19T00:00:00"/>
        <d v="2019-11-21T00:00:00"/>
        <d v="2019-11-22T00:00:00"/>
        <d v="2019-11-24T00:00:00"/>
        <d v="2019-11-26T00:00:00"/>
        <d v="2019-11-27T00:00:00"/>
        <d v="2019-11-28T00:00:00"/>
        <d v="2019-12-01T00:00:00"/>
        <d v="2019-12-02T00:00:00"/>
        <d v="2019-12-04T00:00:00"/>
        <d v="2019-12-05T00:00:00"/>
        <d v="2019-12-06T00:00:00"/>
        <d v="2019-12-07T00:00:00"/>
        <d v="2019-12-08T00:00:00"/>
        <d v="2019-12-09T00:00:00"/>
        <d v="2019-12-11T00:00:00"/>
        <d v="2019-12-12T00:00:00"/>
        <d v="2019-12-13T00:00:00"/>
        <d v="2019-12-15T00:00:00"/>
        <d v="2019-12-16T00:00:00"/>
        <d v="2019-12-17T00:00:00"/>
        <d v="2019-12-18T00:00:00"/>
        <d v="2019-12-19T00:00:00"/>
        <d v="2019-12-20T00:00:00"/>
        <d v="2019-12-22T00:00:00"/>
        <d v="2019-12-23T00:00:00"/>
        <d v="2019-12-24T00:00:00"/>
        <d v="2019-12-25T00:00:00"/>
        <d v="2019-12-26T00:00:00"/>
        <d v="2019-12-27T00:00:00"/>
        <d v="2019-12-28T00:00:00"/>
        <d v="2020-01-01T00:00:00"/>
        <d v="2020-01-02T00:00:00"/>
        <d v="2020-01-04T00:00:00"/>
        <d v="2020-01-05T00:00:00"/>
        <d v="2020-01-08T00:00:00"/>
        <d v="2020-01-11T00:00:00"/>
        <d v="2020-01-13T00:00:00"/>
        <d v="2020-01-14T00:00:00"/>
        <d v="2020-01-17T00:00:00"/>
        <d v="2020-01-19T00:00:00"/>
        <d v="2020-01-20T00:00:00"/>
        <d v="2020-01-23T00:00:00"/>
        <d v="2020-01-24T00:00:00"/>
        <d v="2020-01-25T00:00:00"/>
        <d v="2020-01-26T00:00:00"/>
        <d v="2020-01-28T00:00:00"/>
        <d v="2020-02-02T00:00:00"/>
        <d v="2020-02-03T00:00:00"/>
        <d v="2020-02-04T00:00:00"/>
        <d v="2020-02-06T00:00:00"/>
        <d v="2020-02-08T00:00:00"/>
        <d v="2020-02-09T00:00:00"/>
        <d v="2020-02-10T00:00:00"/>
        <d v="2020-02-12T00:00:00"/>
        <d v="2020-02-14T00:00:00"/>
        <d v="2020-02-15T00:00:00"/>
        <d v="2020-02-16T00:00:00"/>
        <d v="2020-02-17T00:00:00"/>
        <d v="2020-02-19T00:00:00"/>
        <d v="2020-02-20T00:00:00"/>
        <d v="2020-02-23T00:00:00"/>
        <d v="2020-02-24T00:00:00"/>
        <d v="2020-02-27T00:00:00"/>
        <d v="2020-03-01T00:00:00"/>
        <d v="2020-03-08T00:00:00"/>
        <d v="2020-03-11T00:00:00"/>
        <d v="2020-03-13T00:00:00"/>
        <d v="2020-03-15T00:00:00"/>
        <d v="2020-03-17T00:00:00"/>
        <d v="2020-03-19T00:00:00"/>
        <d v="2020-03-20T00:00:00"/>
        <d v="2020-03-21T00:00:00"/>
        <d v="2020-03-22T00:00:00"/>
        <d v="2020-03-24T00:00:00"/>
        <d v="2020-03-25T00:00:00"/>
        <d v="2020-03-28T00:00:00"/>
        <d v="2020-04-06T00:00:00"/>
        <d v="2020-04-07T00:00:00"/>
        <d v="2020-04-09T00:00:00"/>
        <d v="2020-04-10T00:00:00"/>
        <d v="2020-04-13T00:00:00"/>
        <d v="2020-04-16T00:00:00"/>
        <d v="2020-04-18T00:00:00"/>
        <d v="2020-04-19T00:00:00"/>
        <d v="2020-04-20T00:00:00"/>
        <d v="2020-04-21T00:00:00"/>
        <d v="2020-04-24T00:00:00"/>
        <d v="2020-04-25T00:00:00"/>
        <d v="2020-04-27T00:00:00"/>
        <d v="2020-05-03T00:00:00"/>
        <d v="2020-05-05T00:00:00"/>
        <d v="2020-05-06T00:00:00"/>
        <d v="2020-05-08T00:00:00"/>
        <d v="2020-05-09T00:00:00"/>
        <d v="2020-05-10T00:00:00"/>
        <d v="2020-05-14T00:00:00"/>
        <d v="2020-05-15T00:00:00"/>
        <d v="2020-05-17T00:00:00"/>
        <d v="2020-05-20T00:00:00"/>
        <d v="2020-05-22T00:00:00"/>
        <d v="2020-05-28T00:00:00"/>
        <d v="2020-06-02T00:00:00"/>
        <d v="2020-06-03T00:00:00"/>
        <d v="2020-06-04T00:00:00"/>
        <d v="2020-06-06T00:00:00"/>
        <d v="2020-06-07T00:00:00"/>
        <d v="2020-06-12T00:00:00"/>
        <d v="2020-06-13T00:00:00"/>
        <d v="2020-06-14T00:00:00"/>
        <d v="2020-06-16T00:00:00"/>
        <d v="2020-06-17T00:00:00"/>
        <d v="2020-06-18T00:00:00"/>
        <d v="2020-06-19T00:00:00"/>
        <d v="2020-06-20T00:00:00"/>
        <d v="2020-06-22T00:00:00"/>
        <d v="2020-06-24T00:00:00"/>
        <d v="2020-06-25T00:00:00"/>
        <d v="2020-06-26T00:00:00"/>
        <d v="2020-06-28T00:00:00"/>
        <d v="2020-07-03T00:00:00"/>
        <d v="2020-07-04T00:00:00"/>
        <d v="2020-07-06T00:00:00"/>
        <d v="2020-07-07T00:00:00"/>
        <d v="2020-07-08T00:00:00"/>
        <d v="2020-07-10T00:00:00"/>
        <d v="2020-07-12T00:00:00"/>
        <d v="2020-07-14T00:00:00"/>
        <d v="2020-07-15T00:00:00"/>
        <d v="2020-07-20T00:00:00"/>
        <d v="2020-07-21T00:00:00"/>
        <d v="2020-07-22T00:00:00"/>
        <d v="2020-07-23T00:00:00"/>
        <d v="2020-07-25T00:00:00"/>
        <d v="2020-07-28T00:00:00"/>
        <d v="2020-08-03T00:00:00"/>
        <d v="2020-08-04T00:00:00"/>
        <d v="2020-08-05T00:00:00"/>
        <d v="2020-08-08T00:00:00"/>
        <d v="2020-08-09T00:00:00"/>
        <d v="2020-08-11T00:00:00"/>
        <d v="2020-08-13T00:00:00"/>
        <d v="2020-08-14T00:00:00"/>
        <d v="2020-08-15T00:00:00"/>
        <d v="2020-08-18T00:00:00"/>
        <d v="2020-08-19T00:00:00"/>
        <d v="2020-08-21T00:00:00"/>
        <d v="2020-08-22T00:00:00"/>
        <d v="2020-08-23T00:00:00"/>
        <d v="2020-08-25T00:00:00"/>
        <d v="2020-09-02T00:00:00"/>
        <d v="2020-09-04T00:00:00"/>
        <d v="2020-09-05T00:00:00"/>
        <d v="2020-09-08T00:00:00"/>
        <d v="2020-09-09T00:00:00"/>
        <d v="2020-09-10T00:00:00"/>
        <d v="2020-09-11T00:00:00"/>
        <d v="2020-09-12T00:00:00"/>
        <d v="2020-09-13T00:00:00"/>
        <d v="2020-09-14T00:00:00"/>
        <d v="2020-09-15T00:00:00"/>
        <d v="2020-09-16T00:00:00"/>
        <d v="2020-09-17T00:00:00"/>
        <d v="2020-09-18T00:00:00"/>
        <d v="2020-09-19T00:00:00"/>
        <d v="2020-09-22T00:00:00"/>
        <d v="2020-09-23T00:00:00"/>
        <d v="2020-09-24T00:00:00"/>
        <d v="2020-09-25T00:00:00"/>
        <d v="2020-09-27T00:00:00"/>
        <d v="2020-10-01T00:00:00"/>
        <d v="2020-10-02T00:00:00"/>
        <d v="2020-10-04T00:00:00"/>
        <d v="2020-10-05T00:00:00"/>
        <d v="2020-10-06T00:00:00"/>
        <d v="2020-10-07T00:00:00"/>
        <d v="2020-10-09T00:00:00"/>
        <d v="2020-10-10T00:00:00"/>
        <d v="2020-10-11T00:00:00"/>
        <d v="2020-10-12T00:00:00"/>
        <d v="2020-10-13T00:00:00"/>
        <d v="2020-10-14T00:00:00"/>
        <d v="2020-10-18T00:00:00"/>
        <d v="2020-10-19T00:00:00"/>
        <d v="2020-10-20T00:00:00"/>
        <d v="2020-10-21T00:00:00"/>
        <d v="2020-10-22T00:00:00"/>
        <d v="2020-10-23T00:00:00"/>
        <d v="2020-10-24T00:00:00"/>
        <d v="2020-10-26T00:00:00"/>
        <d v="2020-10-27T00:00:00"/>
        <d v="2020-10-28T00:00:00"/>
        <d v="2020-11-02T00:00:00"/>
        <d v="2020-11-03T00:00:00"/>
        <d v="2020-11-04T00:00:00"/>
        <d v="2020-11-06T00:00:00"/>
        <d v="2020-11-08T00:00:00"/>
        <d v="2020-11-09T00:00:00"/>
        <d v="2020-11-10T00:00:00"/>
        <d v="2020-11-12T00:00:00"/>
        <d v="2020-11-13T00:00:00"/>
        <d v="2020-11-14T00:00:00"/>
        <d v="2020-11-15T00:00:00"/>
        <d v="2020-11-16T00:00:00"/>
        <d v="2020-11-17T00:00:00"/>
        <d v="2020-11-18T00:00:00"/>
        <d v="2020-11-20T00:00:00"/>
        <d v="2020-11-21T00:00:00"/>
        <d v="2020-11-22T00:00:00"/>
        <d v="2020-11-23T00:00:00"/>
        <d v="2020-11-24T00:00:00"/>
        <d v="2020-11-26T00:00:00"/>
        <d v="2020-11-27T00:00:00"/>
        <d v="2020-11-28T00:00:00"/>
        <d v="2020-12-01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1-01-01T00:00:00"/>
        <d v="2021-01-02T00:00:00"/>
        <d v="2021-01-04T00:00:00"/>
        <d v="2021-01-05T00:00:00"/>
        <d v="2021-01-06T00:00:00"/>
        <d v="2021-01-07T00:00:00"/>
        <d v="2021-01-08T00:00:00"/>
        <d v="2021-01-10T00:00:00"/>
        <d v="2021-01-15T00:00:00"/>
        <d v="2021-01-19T00:00:00"/>
        <d v="2021-01-20T00:00:00"/>
        <d v="2021-01-24T00:00:00"/>
        <d v="2021-01-25T00:00:00"/>
        <d v="2021-01-26T00:00:00"/>
        <d v="2021-01-27T00:00:00"/>
        <d v="2021-01-28T00:00:00"/>
        <d v="2021-02-01T00:00:00"/>
        <d v="2021-02-06T00:00:00"/>
        <d v="2021-02-07T00:00:00"/>
        <d v="2021-02-08T00:00:00"/>
        <d v="2021-02-09T00:00:00"/>
        <d v="2021-02-11T00:00:00"/>
        <d v="2021-02-12T00:00:00"/>
        <d v="2021-02-13T00:00:00"/>
        <d v="2021-02-16T00:00:00"/>
        <d v="2021-02-17T00:00:00"/>
        <d v="2021-02-19T00:00:00"/>
        <d v="2021-02-25T00:00:00"/>
        <d v="2021-02-27T00:00:00"/>
        <d v="2021-03-01T00:00:00"/>
        <d v="2021-03-02T00:00:00"/>
        <d v="2021-03-03T00:00:00"/>
        <d v="2021-03-04T00:00:00"/>
        <d v="2021-03-05T00:00:00"/>
        <d v="2021-03-06T00:00:00"/>
        <d v="2021-03-08T00:00:00"/>
        <d v="2021-03-10T00:00:00"/>
        <d v="2021-03-13T00:00:00"/>
        <d v="2021-03-14T00:00:00"/>
        <d v="2021-03-15T00:00:00"/>
        <d v="2021-03-18T00:00:00"/>
        <d v="2021-03-21T00:00:00"/>
        <d v="2021-03-24T00:00:00"/>
        <d v="2021-03-25T00:00:00"/>
        <d v="2021-03-26T00:00:00"/>
        <d v="2021-03-28T00:00:00"/>
        <d v="2021-04-01T00:00:00"/>
        <d v="2021-04-03T00:00:00"/>
        <d v="2021-04-05T00:00:00"/>
        <d v="2021-04-09T00:00:00"/>
        <d v="2021-04-10T00:00:00"/>
        <d v="2021-04-12T00:00:00"/>
        <d v="2021-04-13T00:00:00"/>
        <d v="2021-04-14T00:00:00"/>
        <d v="2021-04-15T00:00:00"/>
        <d v="2021-04-16T00:00:00"/>
        <d v="2021-04-17T00:00:00"/>
        <d v="2021-04-19T00:00:00"/>
        <d v="2021-04-20T00:00:00"/>
        <d v="2021-04-23T00:00:00"/>
        <d v="2021-04-24T00:00:00"/>
        <d v="2021-04-25T00:00:00"/>
        <d v="2021-04-26T00:00:00"/>
        <d v="2021-04-27T00:00:00"/>
        <d v="2021-04-28T00:00:00"/>
        <d v="2021-05-01T00:00:00"/>
        <d v="2021-05-02T00:00:00"/>
        <d v="2021-05-03T00:00:00"/>
        <d v="2021-05-04T00:00:00"/>
        <d v="2021-05-05T00:00:00"/>
        <d v="2021-05-06T00:00:00"/>
        <d v="2021-05-07T00:00:00"/>
        <d v="2021-05-08T00:00:00"/>
        <d v="2021-05-09T00:00:00"/>
        <d v="2021-05-11T00:00:00"/>
        <d v="2021-05-13T00:00:00"/>
        <d v="2021-05-14T00:00:00"/>
        <d v="2021-05-17T00:00:00"/>
        <d v="2021-05-18T00:00:00"/>
        <d v="2021-05-21T00:00:00"/>
        <d v="2021-05-22T00:00:00"/>
        <d v="2021-05-24T00:00:00"/>
        <d v="2021-05-25T00:00:00"/>
        <d v="2021-05-26T00:00:00"/>
        <d v="2021-06-01T00:00:00"/>
        <d v="2021-06-02T00:00:00"/>
        <d v="2021-06-03T00:00:00"/>
        <d v="2021-06-04T00:00:00"/>
        <d v="2021-06-05T00:00:00"/>
        <d v="2021-06-06T00:00:00"/>
        <d v="2021-06-07T00:00:00"/>
        <d v="2021-06-09T00:00:00"/>
        <d v="2021-06-10T00:00:00"/>
        <d v="2021-06-11T00:00:00"/>
        <d v="2021-06-12T00:00:00"/>
        <d v="2021-06-14T00:00:00"/>
        <d v="2021-06-17T00:00:00"/>
        <d v="2021-06-19T00:00:00"/>
        <d v="2021-06-20T00:00:00"/>
        <d v="2021-06-22T00:00:00"/>
        <d v="2021-06-23T00:00:00"/>
        <d v="2021-06-25T00:00:00"/>
        <d v="2021-06-28T00:00:00"/>
        <d v="2021-07-01T00:00:00"/>
        <d v="2021-07-02T00:00:00"/>
        <d v="2021-07-04T00:00:00"/>
        <d v="2021-07-05T00:00:00"/>
        <d v="2021-07-06T00:00:00"/>
        <d v="2021-07-09T00:00:00"/>
        <d v="2021-07-11T00:00:00"/>
        <d v="2021-07-12T00:00:00"/>
        <d v="2021-07-13T00:00:00"/>
        <d v="2021-07-14T00:00:00"/>
        <d v="2021-07-17T00:00:00"/>
        <d v="2021-07-18T00:00:00"/>
        <d v="2021-07-19T00:00:00"/>
        <d v="2021-07-20T00:00:00"/>
        <d v="2021-07-23T00:00:00"/>
        <d v="2021-07-25T00:00:00"/>
        <d v="2021-07-26T00:00:00"/>
        <d v="2021-07-27T00:00:00"/>
        <d v="2021-07-28T00:00:00"/>
        <d v="2021-08-01T00:00:00"/>
        <d v="2021-08-02T00:00:00"/>
        <d v="2021-08-03T00:00:00"/>
        <d v="2021-08-06T00:00:00"/>
        <d v="2021-08-07T00:00:00"/>
        <d v="2021-08-10T00:00:00"/>
        <d v="2021-08-11T00:00:00"/>
        <d v="2021-08-13T00:00:00"/>
        <d v="2021-08-14T00:00:00"/>
        <d v="2021-08-16T00:00:00"/>
        <d v="2021-08-21T00:00:00"/>
        <d v="2021-08-22T00:00:00"/>
        <d v="2021-08-23T00:00:00"/>
        <d v="2021-08-24T00:00:00"/>
        <d v="2021-08-25T00:00:00"/>
        <d v="2021-08-28T00:00:00"/>
        <d v="2021-09-01T00:00:00"/>
        <d v="2021-09-02T00:00:00"/>
        <d v="2021-09-03T00:00:00"/>
        <d v="2021-09-04T00:00:00"/>
        <d v="2021-09-05T00:00:00"/>
        <d v="2021-09-06T00:00:00"/>
        <d v="2021-09-07T00:00:00"/>
        <d v="2021-09-08T00:00:00"/>
        <d v="2021-09-11T00:00:00"/>
        <d v="2021-09-12T00:00:00"/>
        <d v="2021-09-13T00:00:00"/>
        <d v="2021-09-18T00:00:00"/>
        <d v="2021-09-19T00:00:00"/>
        <d v="2021-09-20T00:00:00"/>
        <d v="2021-09-21T00:00:00"/>
        <d v="2021-09-22T00:00:00"/>
        <d v="2021-09-24T00:00:00"/>
        <d v="2021-09-25T00:00:00"/>
        <d v="2021-09-26T00:00:00"/>
        <d v="2021-09-28T00:00:00"/>
        <d v="2021-10-03T00:00:00"/>
        <d v="2021-10-04T00:00:00"/>
        <d v="2021-10-05T00:00:00"/>
        <d v="2021-10-08T00:00:00"/>
        <d v="2021-10-10T00:00:00"/>
        <d v="2021-10-11T00:00:00"/>
        <d v="2021-10-12T00:00:00"/>
        <d v="2021-10-13T00:00:00"/>
        <d v="2021-10-14T00:00:00"/>
        <d v="2021-10-18T00:00:00"/>
        <d v="2021-10-19T00:00:00"/>
        <d v="2021-10-20T00:00:00"/>
        <d v="2021-10-21T00:00:00"/>
        <d v="2021-10-22T00:00:00"/>
        <d v="2021-10-23T00:00:00"/>
        <d v="2021-10-24T00:00:00"/>
        <d v="2021-10-25T00:00:00"/>
        <d v="2021-10-27T00:00:00"/>
        <d v="2021-11-01T00:00:00"/>
        <d v="2021-11-02T00:00:00"/>
        <d v="2021-11-03T00:00:00"/>
        <d v="2021-11-04T00:00:00"/>
        <d v="2021-11-05T00:00:00"/>
        <d v="2021-11-08T00:00:00"/>
        <d v="2021-11-10T00:00:00"/>
        <d v="2021-11-11T00:00:00"/>
        <d v="2021-11-12T00:00:00"/>
        <d v="2021-11-13T00:00:00"/>
        <d v="2021-11-14T00:00:00"/>
        <d v="2021-11-15T00:00:00"/>
        <d v="2021-11-16T00:00:00"/>
        <d v="2021-11-18T00:00:00"/>
        <d v="2021-11-19T00:00:00"/>
        <d v="2021-11-20T00:00:00"/>
        <d v="2021-11-22T00:00:00"/>
        <d v="2021-11-23T00:00:00"/>
        <d v="2021-11-24T00:00:00"/>
        <d v="2021-11-26T00:00:00"/>
        <d v="2021-11-27T00:00:00"/>
        <d v="2021-11-28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3T00:00:00"/>
        <d v="2021-12-24T00:00:00"/>
        <d v="2021-12-25T00:00:00"/>
        <d v="2021-12-26T00:00:00"/>
        <d v="2021-12-27T00:00:00"/>
        <d v="2021-12-28T00:00:00"/>
        <d v="2022-01-01T00:00:00"/>
        <d v="2022-01-05T00:00:00"/>
        <d v="2022-01-09T00:00:00"/>
        <d v="2022-01-10T00:00:00"/>
        <d v="2022-01-12T00:00:00"/>
        <d v="2022-01-15T00:00:00"/>
        <d v="2022-01-17T00:00:00"/>
        <d v="2022-01-18T00:00:00"/>
        <d v="2022-01-20T00:00:00"/>
        <d v="2022-01-22T00:00:00"/>
        <d v="2022-01-23T00:00:00"/>
        <d v="2022-01-24T00:00:00"/>
        <d v="2022-01-25T00:00:00"/>
        <d v="2022-01-27T00:00:00"/>
        <d v="2022-01-28T00:00:00"/>
        <d v="2022-02-03T00:00:00"/>
        <d v="2022-02-04T00:00:00"/>
        <d v="2022-02-06T00:00:00"/>
        <d v="2022-02-07T00:00:00"/>
        <d v="2022-02-08T00:00:00"/>
        <d v="2022-02-09T00:00:00"/>
        <d v="2022-02-11T00:00:00"/>
        <d v="2022-02-12T00:00:00"/>
        <d v="2022-02-14T00:00:00"/>
        <d v="2022-02-15T00:00:00"/>
        <d v="2022-02-16T00:00:00"/>
        <d v="2022-02-18T00:00:00"/>
        <d v="2022-02-19T00:00:00"/>
        <d v="2022-02-20T00:00:00"/>
        <d v="2022-02-25T00:00:00"/>
        <d v="2022-02-26T00:00:00"/>
        <d v="2022-03-02T00:00:00"/>
        <d v="2022-03-03T00:00:00"/>
        <d v="2022-03-05T00:00:00"/>
        <d v="2022-03-09T00:00:00"/>
        <d v="2022-03-10T00:00:00"/>
        <d v="2022-03-11T00:00:00"/>
        <d v="2022-03-12T00:00:00"/>
        <d v="2022-03-13T00:00:00"/>
        <d v="2022-03-16T00:00:00"/>
        <d v="2022-03-17T00:00:00"/>
        <d v="2022-03-18T00:00:00"/>
        <d v="2022-03-20T00:00:00"/>
        <d v="2022-03-23T00:00:00"/>
        <d v="2022-03-25T00:00:00"/>
        <d v="2022-03-27T00:00:00"/>
        <d v="2022-03-28T00:00:00"/>
        <d v="2022-04-01T00:00:00"/>
        <d v="2022-04-02T00:00:00"/>
        <d v="2022-04-07T00:00:00"/>
        <d v="2022-04-08T00:00:00"/>
        <d v="2022-04-13T00:00:00"/>
        <d v="2022-04-15T00:00:00"/>
        <d v="2022-04-16T00:00:00"/>
        <d v="2022-04-17T00:00:00"/>
        <d v="2022-04-18T00:00:00"/>
        <d v="2022-04-20T00:00:00"/>
        <d v="2022-04-21T00:00:00"/>
        <d v="2022-04-22T00:00:00"/>
        <d v="2022-04-23T00:00:00"/>
        <d v="2022-04-24T00:00:00"/>
        <d v="2022-04-25T00:00:00"/>
        <d v="2022-04-26T00:00:00"/>
        <d v="2022-04-28T00:00:00"/>
        <d v="2022-05-01T00:00:00"/>
        <d v="2022-05-02T00:00:00"/>
        <d v="2022-05-03T00:00:00"/>
        <d v="2022-05-04T00:00:00"/>
        <d v="2022-05-05T00:00:00"/>
        <d v="2022-05-06T00:00:00"/>
        <d v="2022-05-07T00:00:00"/>
        <d v="2022-05-08T00:00:00"/>
        <d v="2022-05-09T00:00:00"/>
        <d v="2022-05-10T00:00:00"/>
        <d v="2022-05-11T00:00:00"/>
        <d v="2022-05-13T00:00:00"/>
        <d v="2022-05-14T00:00:00"/>
        <d v="2022-05-16T00:00:00"/>
        <d v="2022-05-17T00:00:00"/>
        <d v="2022-05-18T00:00:00"/>
        <d v="2022-05-19T00:00:00"/>
        <d v="2022-05-21T00:00:00"/>
        <d v="2022-05-23T00:00:00"/>
        <d v="2022-05-24T00:00:00"/>
        <d v="2022-05-26T00:00:00"/>
        <d v="2022-05-27T00:00:00"/>
        <d v="2022-06-02T00:00:00"/>
        <d v="2022-06-04T00:00:00"/>
        <d v="2022-06-05T00:00:00"/>
        <d v="2022-06-06T00:00:00"/>
        <d v="2022-06-08T00:00:00"/>
        <d v="2022-06-09T00:00:00"/>
        <d v="2022-06-10T00:00:00"/>
        <d v="2022-06-11T00:00:00"/>
        <d v="2022-06-14T00:00:00"/>
        <d v="2022-06-15T00:00:00"/>
        <d v="2022-06-16T00:00:00"/>
        <d v="2022-06-20T00:00:00"/>
        <d v="2022-06-23T00:00:00"/>
        <d v="2022-06-24T00:00:00"/>
        <d v="2022-06-25T00:00:00"/>
        <d v="2022-06-26T00:00:00"/>
        <d v="2022-06-27T00:00:00"/>
        <d v="2022-06-28T00:00:00"/>
        <d v="2022-07-01T00:00:00"/>
        <d v="2022-07-05T00:00:00"/>
        <d v="2022-07-07T00:00:00"/>
        <d v="2022-07-08T00:00:00"/>
        <d v="2022-07-10T00:00:00"/>
        <d v="2022-07-13T00:00:00"/>
        <d v="2022-07-14T00:00:00"/>
        <d v="2022-07-15T00:00:00"/>
        <d v="2022-07-16T00:00:00"/>
        <d v="2022-07-17T00:00:00"/>
        <d v="2022-07-18T00:00:00"/>
        <d v="2022-07-19T00:00:00"/>
        <d v="2022-07-20T00:00:00"/>
        <d v="2022-07-22T00:00:00"/>
        <d v="2022-07-24T00:00:00"/>
        <d v="2022-07-27T00:00:00"/>
        <d v="2022-08-05T00:00:00"/>
        <d v="2022-08-06T00:00:00"/>
        <d v="2022-08-07T00:00:00"/>
        <d v="2022-08-08T00:00:00"/>
        <d v="2022-08-09T00:00:00"/>
        <d v="2022-08-10T00:00:00"/>
        <d v="2022-08-11T00:00:00"/>
        <d v="2022-08-12T00:00:00"/>
        <d v="2022-08-16T00:00:00"/>
        <d v="2022-08-17T00:00:00"/>
        <d v="2022-08-18T00:00:00"/>
        <d v="2022-08-19T00:00:00"/>
        <d v="2022-08-20T00:00:00"/>
        <d v="2022-08-21T00:00:00"/>
        <d v="2022-08-24T00:00:00"/>
        <d v="2022-08-25T00:00:00"/>
        <d v="2022-08-27T00:00:00"/>
        <d v="2022-09-02T00:00:00"/>
        <d v="2022-09-03T00:00:00"/>
        <d v="2022-09-04T00:00:00"/>
        <d v="2022-09-05T00:00:00"/>
        <d v="2022-09-06T00:00:00"/>
        <d v="2022-09-08T00:00:00"/>
        <d v="2022-09-10T00:00:00"/>
        <d v="2022-09-11T00:00:00"/>
        <d v="2022-09-12T00:00:00"/>
        <d v="2022-09-13T00:00:00"/>
        <d v="2022-09-14T00:00:00"/>
        <d v="2022-09-16T00:00:00"/>
        <d v="2022-09-17T00:00:00"/>
        <d v="2022-09-19T00:00:00"/>
        <d v="2022-09-20T00:00:00"/>
        <d v="2022-09-23T00:00:00"/>
        <d v="2022-09-26T00:00:00"/>
        <d v="2022-09-28T00:00:00"/>
        <d v="2022-10-01T00:00:00"/>
        <d v="2022-10-02T00:00:00"/>
        <d v="2022-10-03T00:00:00"/>
        <d v="2022-10-04T00:00:00"/>
        <d v="2022-10-05T00:00:00"/>
        <d v="2022-10-07T00:00:00"/>
        <d v="2022-10-08T00:00:00"/>
        <d v="2022-10-09T00:00:00"/>
        <d v="2022-10-11T00:00:00"/>
        <d v="2022-10-12T00:00:00"/>
        <d v="2022-10-13T00:00:00"/>
        <d v="2022-10-14T00:00:00"/>
        <d v="2022-10-15T00:00:00"/>
        <d v="2022-10-16T00:00:00"/>
        <d v="2022-10-17T00:00:00"/>
        <d v="2022-10-19T00:00:00"/>
        <d v="2022-10-21T00:00:00"/>
        <d v="2022-10-22T00:00:00"/>
        <d v="2022-10-23T00:00:00"/>
        <d v="2022-10-24T00:00:00"/>
        <d v="2022-10-27T00:00:00"/>
        <d v="2022-11-01T00:00:00"/>
        <d v="2022-11-02T00:00:00"/>
        <d v="2022-11-04T00:00:00"/>
        <d v="2022-11-05T00:00:00"/>
        <d v="2022-11-06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2-01T00:00:00"/>
        <d v="2022-12-02T00:00:00"/>
        <d v="2022-12-03T00:00:00"/>
        <d v="2022-12-04T00:00:00"/>
        <d v="2022-12-05T00:00:00"/>
        <d v="2022-12-06T00:00:00"/>
        <d v="2022-12-07T00:00:00"/>
        <d v="2022-12-08T00:00:00"/>
        <d v="2022-12-09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3-01-01T00:00:00"/>
        <d v="2023-01-02T00:00:00"/>
        <d v="2023-01-03T00:00:00"/>
        <d v="2023-01-04T00:00:00"/>
        <d v="2023-01-06T00:00:00"/>
        <d v="2023-01-07T00:00:00"/>
        <d v="2023-01-09T00:00:00"/>
        <d v="2023-01-10T00:00:00"/>
        <d v="2023-01-13T00:00:00"/>
        <d v="2023-01-14T00:00:00"/>
        <d v="2023-01-15T00:00:00"/>
        <d v="2023-01-20T00:00:00"/>
        <d v="2023-01-21T00:00:00"/>
        <d v="2023-01-22T00:00:00"/>
        <d v="2023-01-23T00:00:00"/>
        <d v="2023-01-24T00:00:00"/>
        <d v="2023-01-25T00:00:00"/>
        <d v="2023-01-26T00:00:00"/>
        <d v="2023-01-27T00:00:00"/>
        <d v="2023-01-28T00:00:00"/>
        <d v="2023-02-01T00:00:00"/>
        <d v="2023-02-07T00:00:00"/>
        <d v="2023-02-08T00:00:00"/>
        <d v="2023-02-10T00:00:00"/>
        <d v="2023-02-11T00:00:00"/>
        <d v="2023-02-12T00:00:00"/>
        <d v="2023-02-14T00:00:00"/>
        <d v="2023-02-15T00:00:00"/>
        <d v="2023-02-18T00:00:00"/>
        <d v="2023-02-19T00:00:00"/>
        <d v="2023-02-21T00:00:00"/>
        <d v="2023-02-22T00:00:00"/>
        <d v="2023-02-24T00:00:00"/>
        <d v="2023-02-25T00:00:00"/>
        <d v="2023-02-26T00:00:00"/>
        <d v="2023-02-28T00:00:00"/>
        <d v="2023-03-01T00:00:00"/>
        <d v="2023-03-02T00:00:00"/>
        <d v="2023-03-04T00:00:00"/>
        <d v="2023-03-06T00:00:00"/>
        <d v="2023-03-07T00:00:00"/>
        <d v="2023-03-08T00:00:00"/>
        <d v="2023-03-09T00:00:00"/>
        <d v="2023-03-10T00:00:00"/>
        <d v="2023-03-11T00:00:00"/>
        <d v="2023-03-15T00:00:00"/>
        <d v="2023-03-17T00:00:00"/>
        <d v="2023-03-19T00:00:00"/>
        <d v="2023-03-20T00:00:00"/>
        <d v="2023-03-21T00:00:00"/>
        <d v="2023-03-22T00:00:00"/>
        <d v="2023-03-23T00:00:00"/>
        <d v="2023-03-24T00:00:00"/>
        <d v="2023-03-26T00:00:00"/>
        <d v="2023-03-28T00:00:00"/>
        <d v="2023-04-05T00:00:00"/>
        <d v="2023-04-07T00:00:00"/>
        <d v="2023-04-10T00:00:00"/>
        <d v="2023-04-11T00:00:00"/>
        <d v="2023-04-12T00:00:00"/>
        <d v="2023-04-14T00:00:00"/>
        <d v="2023-04-15T00:00:00"/>
        <d v="2023-04-17T00:00:00"/>
        <d v="2023-04-18T00:00:00"/>
        <d v="2023-04-19T00:00:00"/>
        <d v="2023-04-20T00:00:00"/>
        <d v="2023-04-21T00:00:00"/>
        <d v="2023-04-22T00:00:00"/>
        <d v="2023-04-23T00:00:00"/>
        <d v="2023-04-24T00:00:00"/>
        <d v="2023-04-26T00:00:00"/>
        <d v="2023-04-27T00:00:00"/>
        <d v="2023-04-28T00:00:00"/>
        <d v="2023-05-01T00:00:00"/>
        <d v="2023-05-02T00:00:00"/>
        <d v="2023-05-04T00:00:00"/>
        <d v="2023-05-05T00:00:00"/>
        <d v="2023-05-07T00:00:00"/>
        <d v="2023-05-09T00:00:00"/>
        <d v="2023-05-11T00:00:00"/>
        <d v="2023-05-13T00:00:00"/>
        <d v="2023-05-14T00:00:00"/>
        <d v="2023-05-15T00:00:00"/>
        <d v="2023-05-16T00:00:00"/>
        <d v="2023-05-17T00:00:00"/>
        <d v="2023-05-18T00:00:00"/>
        <d v="2023-05-19T00:00:00"/>
        <d v="2023-05-20T00:00:00"/>
        <d v="2023-05-23T00:00:00"/>
        <d v="2023-05-24T00:00:00"/>
        <d v="2023-05-25T00:00:00"/>
        <d v="2023-05-26T00:00:00"/>
        <d v="2023-05-28T00:00:00"/>
        <d v="2023-06-01T00:00:00"/>
        <d v="2023-06-02T00:00:00"/>
        <d v="2023-06-03T00:00:00"/>
        <d v="2023-06-04T00:00:00"/>
        <d v="2023-06-06T00:00:00"/>
        <d v="2023-06-09T00:00:00"/>
        <d v="2023-06-11T00:00:00"/>
        <d v="2023-06-12T00:00:00"/>
        <d v="2023-06-16T00:00:00"/>
        <d v="2023-06-20T00:00:00"/>
        <d v="2023-06-21T00:00:00"/>
        <d v="2023-06-22T00:00:00"/>
        <d v="2023-06-23T00:00:00"/>
        <d v="2023-06-24T00:00:00"/>
        <d v="2023-06-25T00:00:00"/>
        <d v="2023-06-26T00:00:00"/>
        <d v="2023-06-27T00:00:00"/>
        <d v="2023-06-28T00:00:00"/>
        <d v="2023-07-01T00:00:00"/>
        <d v="2023-07-02T00:00:00"/>
        <d v="2023-07-03T00:00:00"/>
        <d v="2023-07-05T00:00:00"/>
        <d v="2023-07-06T00:00:00"/>
        <d v="2023-07-08T00:00:00"/>
        <d v="2023-07-11T00:00:00"/>
        <d v="2023-07-12T00:00:00"/>
        <d v="2023-07-13T00:00:00"/>
        <d v="2023-07-16T00:00:00"/>
        <d v="2023-07-17T00:00:00"/>
        <d v="2023-07-20T00:00:00"/>
        <d v="2023-07-21T00:00:00"/>
        <d v="2023-07-22T00:00:00"/>
        <d v="2023-07-23T00:00:00"/>
        <d v="2023-07-25T00:00:00"/>
        <d v="2023-07-26T00:00:00"/>
        <d v="2023-07-27T00:00:00"/>
        <d v="2023-07-28T00:00:00"/>
        <d v="2023-08-02T00:00:00"/>
        <d v="2023-08-03T00:00:00"/>
        <d v="2023-08-04T00:00:00"/>
        <d v="2023-08-05T00:00:00"/>
        <d v="2023-08-06T00:00:00"/>
        <d v="2023-08-08T00:00:00"/>
        <d v="2023-08-10T00:00:00"/>
        <d v="2023-08-12T00:00:00"/>
        <d v="2023-08-13T00:00:00"/>
        <d v="2023-08-14T00:00:00"/>
        <d v="2023-08-15T00:00:00"/>
        <d v="2023-08-16T00:00:00"/>
        <d v="2023-08-17T00:00:00"/>
        <d v="2023-08-18T00:00:00"/>
        <d v="2023-08-19T00:00:00"/>
        <d v="2023-08-20T00:00:00"/>
        <d v="2023-08-21T00:00:00"/>
        <d v="2023-08-23T00:00:00"/>
        <d v="2023-08-24T00:00:00"/>
        <d v="2023-08-25T00:00:00"/>
        <d v="2023-08-26T00:00:00"/>
        <d v="2023-08-27T00:00:00"/>
        <d v="2023-09-02T00:00:00"/>
        <d v="2023-09-03T00:00:00"/>
        <d v="2023-09-04T00:00:00"/>
        <d v="2023-09-08T00:00:00"/>
        <d v="2023-09-09T00:00:00"/>
        <d v="2023-09-10T00:00:00"/>
        <d v="2023-09-12T00:00:00"/>
        <d v="2023-09-13T00:00:00"/>
        <d v="2023-09-14T00:00:00"/>
        <d v="2023-09-16T00:00:00"/>
        <d v="2023-09-18T00:00:00"/>
        <d v="2023-09-19T00:00:00"/>
        <d v="2023-09-20T00:00:00"/>
        <d v="2023-09-21T00:00:00"/>
        <d v="2023-09-22T00:00:00"/>
        <d v="2023-09-23T00:00:00"/>
        <d v="2023-09-24T00:00:00"/>
        <d v="2023-09-26T00:00:00"/>
        <d v="2023-09-27T00:00:00"/>
        <d v="2023-10-01T00:00:00"/>
        <d v="2023-10-02T00:00:00"/>
        <d v="2023-10-03T00:00:00"/>
        <d v="2023-10-04T00:00:00"/>
        <d v="2023-10-05T00:00:00"/>
        <d v="2023-10-06T00:00:00"/>
        <d v="2023-10-07T00:00:00"/>
        <d v="2023-10-08T00:00:00"/>
        <d v="2023-10-10T00:00:00"/>
        <d v="2023-10-12T00:00:00"/>
        <d v="2023-10-13T00:00:00"/>
        <d v="2023-10-14T00:00:00"/>
        <d v="2023-10-15T00:00:00"/>
        <d v="2023-10-16T00:00:00"/>
        <d v="2023-10-18T00:00:00"/>
        <d v="2023-10-19T00:00:00"/>
        <d v="2023-10-20T00:00:00"/>
        <d v="2023-10-21T00:00:00"/>
        <d v="2023-10-22T00:00:00"/>
        <d v="2023-10-23T00:00:00"/>
        <d v="2023-10-24T00:00:00"/>
        <d v="2023-10-25T00:00:00"/>
        <d v="2023-10-27T00:00:00"/>
        <d v="2023-10-28T00:00:00"/>
        <d v="2023-11-01T00:00:00"/>
        <d v="2023-11-02T00:00:00"/>
        <d v="2023-11-03T00:00:00"/>
        <d v="2023-11-04T00:00:00"/>
        <d v="2023-11-05T00:00:00"/>
        <d v="2023-11-06T00:00:00"/>
        <d v="2023-11-07T00:00:00"/>
        <d v="2023-11-08T00:00:00"/>
        <d v="2023-11-09T00:00:00"/>
        <d v="2023-11-10T00:00:00"/>
        <d v="2023-11-13T00:00:00"/>
        <d v="2023-11-15T00:00:00"/>
        <d v="2023-11-16T00:00:00"/>
        <d v="2023-11-17T00:00:00"/>
        <d v="2023-11-18T00:00:00"/>
        <d v="2023-11-19T00:00:00"/>
        <d v="2023-11-21T00:00:00"/>
        <d v="2023-11-22T00:00:00"/>
        <d v="2023-11-23T00:00:00"/>
        <d v="2023-11-24T00:00:00"/>
        <d v="2023-11-25T00:00:00"/>
        <d v="2023-11-26T00:00:00"/>
        <d v="2023-11-27T00:00:00"/>
        <d v="2023-11-28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4-01-01T00:00:00"/>
        <d v="2024-01-02T00:00:00"/>
        <d v="2024-01-03T00:00:00"/>
        <d v="2024-01-04T00:00:00"/>
        <d v="2024-01-05T00:00:00"/>
        <d v="2024-01-06T00:00:00"/>
        <d v="2024-01-08T00:00:00"/>
        <d v="2024-01-09T00:00:00"/>
        <d v="2024-01-10T00:00:00"/>
        <d v="2024-01-11T00:00:00"/>
        <d v="2024-01-13T00:00:00"/>
        <d v="2024-01-14T00:00:00"/>
        <d v="2024-01-15T00:00:00"/>
        <d v="2024-01-16T00:00:00"/>
        <d v="2024-01-18T00:00:00"/>
        <d v="2024-01-20T00:00:00"/>
        <d v="2024-01-22T00:00:00"/>
        <d v="2024-01-23T00:00:00"/>
        <d v="2024-01-24T00:00:00"/>
        <d v="2024-01-26T00:00:00"/>
        <d v="2024-01-27T00:00:00"/>
        <d v="2024-01-28T00:00:00"/>
        <d v="2024-02-05T00:00:00"/>
        <d v="2024-02-06T00:00:00"/>
        <d v="2024-02-09T00:00:00"/>
        <d v="2024-02-10T00:00:00"/>
        <d v="2024-02-11T00:00:00"/>
        <d v="2024-02-12T00:00:00"/>
        <d v="2024-02-15T00:00:00"/>
        <d v="2024-02-16T00:00:00"/>
        <d v="2024-02-17T00:00:00"/>
        <d v="2024-02-18T00:00:00"/>
        <d v="2024-02-20T00:00:00"/>
        <d v="2024-02-21T00:00:00"/>
        <d v="2024-02-23T00:00:00"/>
        <d v="2024-02-24T00:00:00"/>
        <d v="2024-02-26T00:00:00"/>
        <d v="2024-02-27T00:00:00"/>
        <d v="2024-03-01T00:00:00"/>
        <d v="2024-03-02T00:00:00"/>
        <d v="2024-03-03T00:00:00"/>
        <d v="2024-03-06T00:00:00"/>
        <d v="2024-03-07T00:00:00"/>
        <d v="2024-03-12T00:00:00"/>
        <d v="2024-03-13T00:00:00"/>
        <d v="2024-03-14T00:00:00"/>
        <d v="2024-03-15T00:00:00"/>
        <d v="2024-03-16T00:00:00"/>
        <d v="2024-03-17T00:00:00"/>
        <d v="2024-03-19T00:00:00"/>
        <d v="2024-03-20T00:00:00"/>
        <d v="2024-03-21T00:00:00"/>
        <d v="2024-03-22T00:00:00"/>
        <d v="2024-03-25T00:00:00"/>
        <d v="2024-03-26T00:00:00"/>
        <d v="2024-03-27T00:00:00"/>
        <d v="2024-04-01T00:00:00"/>
        <d v="2024-04-02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2T00:00:00"/>
        <d v="2024-04-25T00:00:00"/>
        <d v="2024-04-26T00:00:00"/>
        <d v="2024-04-27T00:00:00"/>
        <d v="2024-05-01T00:00:00"/>
        <d v="2024-05-02T00:00:00"/>
        <d v="2024-05-03T00:00:00"/>
        <d v="2024-05-04T00:00:00"/>
        <d v="2024-05-07T00:00:00"/>
        <d v="2024-05-08T00:00:00"/>
        <d v="2024-05-10T00:00:00"/>
        <d v="2024-05-11T00:00:00"/>
        <d v="2024-05-12T00:00:00"/>
        <d v="2024-05-13T00:00:00"/>
        <d v="2024-05-15T00:00:00"/>
        <d v="2024-05-16T00:00:00"/>
        <d v="2024-05-17T00:00:00"/>
        <d v="2024-05-18T00:00:00"/>
        <d v="2024-05-19T00:00:00"/>
        <d v="2024-05-20T00:00:00"/>
        <d v="2024-05-21T00:00:00"/>
        <d v="2024-05-22T00:00:00"/>
        <d v="2024-05-23T00:00:00"/>
        <d v="2024-05-24T00:00:00"/>
        <d v="2024-05-25T00:00:00"/>
        <d v="2024-05-26T00:00:00"/>
        <d v="2024-05-28T00:00:00"/>
        <d v="2024-06-01T00:00:00"/>
        <d v="2024-06-02T00:00:00"/>
        <d v="2024-06-04T00:00:00"/>
        <d v="2024-06-06T00:00:00"/>
        <d v="2024-06-07T00:00:00"/>
        <d v="2024-06-08T00:00:00"/>
        <d v="2024-06-09T00:00:00"/>
        <d v="2024-06-12T00:00:00"/>
        <d v="2024-06-13T00:00:00"/>
        <d v="2024-06-14T00:00:00"/>
        <d v="2024-06-15T00:00:00"/>
        <d v="2024-06-17T00:00:00"/>
        <d v="2024-06-18T00:00:00"/>
        <d v="2024-06-19T00:00:00"/>
        <d v="2024-06-22T00:00:00"/>
        <d v="2024-06-23T00:00:00"/>
        <d v="2024-06-25T00:00:00"/>
        <d v="2024-06-27T00:00:00"/>
        <d v="2024-07-01T00:00:00"/>
        <d v="2024-07-02T00:00:00"/>
        <d v="2024-07-03T00:00:00"/>
        <d v="2024-07-04T00:00:00"/>
        <d v="2024-07-07T00:00:00"/>
        <d v="2024-07-08T00:00:00"/>
        <d v="2024-07-10T00:00:00"/>
        <d v="2024-07-11T00:00:00"/>
        <d v="2024-07-12T00:00:00"/>
        <d v="2024-07-13T00:00:00"/>
        <d v="2024-07-15T00:00:00"/>
        <d v="2024-07-16T00:00:00"/>
        <d v="2024-07-19T00:00:00"/>
        <d v="2024-07-20T00:00:00"/>
        <d v="2024-07-22T00:00:00"/>
        <d v="2024-07-23T00:00:00"/>
        <d v="2024-07-24T00:00:00"/>
        <d v="2024-07-25T00:00:00"/>
        <d v="2024-07-26T00:00:00"/>
        <d v="2024-07-27T00:00:00"/>
        <d v="2024-07-28T00:00:00"/>
        <d v="2024-08-02T00:00:00"/>
        <d v="2024-08-03T00:00:00"/>
        <d v="2024-08-06T00:00:00"/>
        <d v="2024-08-07T00:00:00"/>
        <d v="2024-08-08T00:00:00"/>
        <d v="2024-08-10T00:00:00"/>
        <d v="2024-08-13T00:00:00"/>
        <d v="2024-08-14T00:00:00"/>
        <d v="2024-08-15T00:00:00"/>
        <d v="2024-08-18T00:00:00"/>
        <d v="2024-08-20T00:00:00"/>
        <d v="2024-08-22T00:00:00"/>
        <d v="2024-08-23T00:00:00"/>
        <d v="2024-08-24T00:00:00"/>
        <d v="2024-08-26T00:00:00"/>
        <d v="2024-08-27T00:00:00"/>
        <d v="2024-08-28T00:00:00"/>
        <d v="2024-09-02T00:00:00"/>
        <d v="2024-09-03T00:00:00"/>
        <d v="2024-09-04T00:00:00"/>
        <d v="2024-09-05T00:00:00"/>
        <d v="2024-09-07T00:00:00"/>
        <d v="2024-09-08T00:00:00"/>
        <d v="2024-09-09T00:00:00"/>
        <d v="2024-09-11T00:00:00"/>
        <d v="2024-09-12T00:00:00"/>
        <d v="2024-09-17T00:00:00"/>
        <d v="2024-09-19T00:00:00"/>
        <d v="2024-09-20T00:00:00"/>
        <d v="2024-09-21T00:00:00"/>
        <d v="2024-09-22T00:00:00"/>
        <d v="2024-09-24T00:00:00"/>
        <d v="2024-09-27T00:00:00"/>
        <d v="2024-09-28T00:00:00"/>
        <d v="2024-10-01T00:00:00"/>
        <d v="2024-10-02T00:00:00"/>
        <d v="2024-10-03T00:00:00"/>
        <d v="2024-10-04T00:00:00"/>
        <d v="2024-10-05T00:00:00"/>
        <d v="2024-10-07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1-01T00:00:00"/>
        <d v="2024-11-02T00:00:00"/>
        <d v="2024-11-03T00:00:00"/>
        <d v="2024-11-05T00:00:00"/>
        <d v="2024-11-06T00:00:00"/>
        <d v="2024-11-07T00:00:00"/>
        <d v="2024-11-08T00:00:00"/>
        <d v="2024-11-09T00:00:00"/>
        <d v="2024-11-10T00:00:00"/>
        <d v="2024-11-11T00:00:00"/>
        <d v="2024-11-14T00:00:00"/>
        <d v="2024-11-15T00:00:00"/>
        <d v="2024-11-16T00:00:00"/>
        <d v="2024-11-18T00:00:00"/>
        <d v="2024-11-19T00:00:00"/>
        <d v="2024-11-20T00:00:00"/>
        <d v="2024-11-21T00:00:00"/>
        <d v="2024-11-22T00:00:00"/>
        <d v="2024-11-23T00:00:00"/>
        <d v="2024-11-24T00:00:00"/>
        <d v="2024-11-26T00:00:00"/>
        <d v="2024-11-28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5-01-01T00:00:00"/>
        <d v="2025-01-03T00:00:00"/>
        <d v="2025-01-04T00:00:00"/>
        <d v="2025-01-05T00:00:00"/>
        <d v="2025-01-07T00:00:00"/>
        <d v="2025-01-11T00:00:00"/>
        <d v="2025-01-14T00:00:00"/>
        <d v="2025-01-16T00:00:00"/>
        <d v="2025-01-20T00:00:00"/>
        <d v="2025-01-21T00:00:00"/>
        <d v="2025-01-22T00:00:00"/>
        <d v="2025-01-23T00:00:00"/>
        <d v="2025-01-24T00:00:00"/>
        <d v="2025-01-25T00:00:00"/>
        <d v="2025-01-26T00:00:00"/>
        <d v="2025-01-27T00:00:00"/>
        <d v="2025-01-28T00:00:00"/>
        <d v="2025-02-02T00:00:00"/>
        <d v="2025-02-03T00:00:00"/>
        <d v="2025-02-04T00:00:00"/>
        <d v="2025-02-05T00:00:00"/>
        <d v="2025-02-07T00:00:00"/>
        <d v="2025-02-09T00:00:00"/>
        <d v="2025-02-10T00:00:00"/>
        <d v="2025-02-13T00:00:00"/>
        <d v="2025-02-14T00:00:00"/>
        <d v="2025-02-15T00:00:00"/>
        <d v="2025-02-16T00:00:00"/>
        <d v="2025-02-20T00:00:00"/>
        <d v="2025-02-21T00:00:00"/>
        <d v="2025-02-22T00:00:00"/>
        <d v="2025-02-23T00:00:00"/>
        <d v="2025-02-24T00:00:00"/>
        <d v="2025-02-25T00:00:00"/>
        <d v="2025-02-26T00:00:00"/>
        <d v="2025-02-27T00:00:00"/>
        <d v="2025-02-28T00:00:00"/>
        <d v="2025-03-02T00:00:00"/>
        <d v="2025-03-03T00:00:00"/>
        <d v="2025-03-04T00:00:00"/>
        <d v="2025-03-06T00:00:00"/>
        <d v="2025-03-08T00:00:00"/>
        <d v="2025-03-09T00:00:00"/>
        <d v="2025-03-10T00:00:00"/>
        <d v="2025-03-11T00:00:00"/>
        <d v="2025-03-12T00:00:00"/>
        <d v="2025-03-13T00:00:00"/>
        <d v="2025-03-14T00:00:00"/>
        <d v="2025-03-15T00:00:00"/>
        <d v="2025-03-18T00:00:00"/>
        <d v="2025-03-19T00:00:00"/>
        <d v="2025-03-22T00:00:00"/>
        <d v="2025-03-23T00:00:00"/>
        <d v="2025-03-24T00:00:00"/>
        <d v="2025-03-25T00:00:00"/>
        <d v="2025-03-28T00:00:00"/>
        <d v="2025-04-01T00:00:00"/>
        <d v="2025-04-02T00:00:00"/>
        <d v="2025-04-04T00:00:00"/>
        <d v="2025-04-05T00:00:00"/>
        <d v="2025-04-06T00:00:00"/>
        <d v="2025-04-07T00:00:00"/>
        <d v="2025-04-10T00:00:00"/>
        <d v="2025-04-11T00:00:00"/>
        <d v="2025-04-12T00:00:00"/>
        <d v="2025-04-13T00:00:00"/>
        <d v="2025-04-14T00:00:00"/>
        <d v="2025-04-15T00:00:00"/>
        <d v="2025-04-16T00:00:00"/>
        <d v="2025-04-17T00:00:00"/>
        <d v="2025-04-18T00:00:00"/>
        <d v="2025-04-19T00:00:00"/>
        <d v="2025-04-21T00:00:00"/>
        <d v="2025-04-22T00:00:00"/>
        <d v="2025-04-24T00:00:00"/>
        <d v="2025-04-26T00:00:00"/>
        <d v="2025-04-27T00:00:00"/>
        <d v="2025-05-01T00:00:00"/>
        <d v="2025-05-02T00:00:00"/>
        <d v="2025-05-04T00:00:00"/>
        <d v="2025-05-06T00:00:00"/>
        <d v="2025-05-07T00:00:00"/>
        <d v="2025-05-10T00:00:00"/>
        <d v="2025-05-11T00:00:00"/>
        <d v="2025-05-12T00:00:00"/>
        <d v="2025-05-15T00:00:00"/>
        <d v="2025-05-17T00:00:00"/>
        <d v="2025-05-18T00:00:00"/>
        <d v="2025-05-20T00:00:00"/>
        <d v="2025-05-21T00:00:00"/>
        <d v="2025-05-22T00:00:00"/>
        <d v="2025-05-23T00:00:00"/>
        <d v="2025-05-24T00:00:00"/>
        <d v="2025-05-26T00:00:00"/>
        <d v="2025-05-27T00:00:00"/>
        <d v="2025-05-28T00:00:00"/>
        <d v="2025-06-01T00:00:00"/>
        <d v="2025-06-03T00:00:00"/>
        <d v="2025-06-04T00:00:00"/>
        <d v="2025-06-05T00:00:00"/>
        <d v="2025-06-07T00:00:00"/>
        <d v="2025-06-08T00:00:00"/>
        <d v="2025-06-09T00:00:00"/>
        <d v="2025-06-11T00:00:00"/>
        <d v="2025-06-12T00:00:00"/>
        <d v="2025-06-14T00:00:00"/>
        <d v="2025-06-16T00:00:00"/>
        <d v="2025-06-17T00:00:00"/>
        <d v="2025-06-20T00:00:00"/>
        <d v="2025-06-24T00:00:00"/>
        <d v="2025-06-25T00:00:00"/>
        <d v="2025-06-26T00:00:00"/>
        <d v="2025-06-27T00:00:00"/>
        <d v="2025-07-01T00:00:00"/>
        <d v="2025-07-02T00:00:00"/>
        <d v="2025-07-03T00:00:00"/>
        <d v="2025-07-05T00:00:00"/>
        <d v="2025-07-06T00:00:00"/>
        <d v="2025-07-07T00:00:00"/>
        <d v="2025-07-09T00:00:00"/>
        <d v="2025-07-10T00:00:00"/>
        <d v="2025-07-11T00:00:00"/>
        <d v="2025-07-13T00:00:00"/>
        <d v="2025-07-14T00:00:00"/>
        <d v="2025-07-16T00:00:00"/>
        <d v="2025-07-18T00:00:00"/>
        <d v="2025-07-19T00:00:00"/>
        <d v="2025-07-20T00:00:00"/>
        <d v="2025-07-21T00:00:00"/>
        <d v="2025-07-22T00:00:00"/>
        <d v="2025-07-23T00:00:00"/>
        <d v="2025-07-24T00:00:00"/>
        <d v="2025-07-27T00:00:00"/>
        <d v="2025-08-01T00:00:00"/>
        <d v="2025-08-05T00:00:00"/>
        <d v="2025-08-06T00:00:00"/>
        <d v="2025-08-07T00:00:00"/>
        <d v="2025-08-08T00:00:00"/>
        <d v="2025-08-09T00:00:00"/>
        <d v="2025-08-10T00:00:00"/>
        <d v="2025-08-11T00:00:00"/>
        <d v="2025-08-12T00:00:00"/>
        <d v="2025-08-14T00:00:00"/>
        <d v="2025-08-16T00:00:00"/>
        <d v="2025-08-18T00:00:00"/>
        <d v="2025-08-21T00:00:00"/>
        <d v="2025-08-22T00:00:00"/>
        <d v="2025-08-23T00:00:00"/>
        <d v="2025-08-24T00:00:00"/>
        <d v="2025-08-25T00:00:00"/>
        <d v="2025-08-26T00:00:00"/>
        <d v="2025-08-27T00:00:00"/>
        <d v="2025-08-28T00:00:00"/>
        <d v="2025-09-01T00:00:00"/>
        <d v="2025-09-02T00:00:00"/>
        <d v="2025-09-03T00:00:00"/>
        <d v="2025-09-04T00:00:00"/>
        <d v="2025-09-07T00:00:00"/>
        <d v="2025-09-08T00:00:00"/>
        <d v="2025-09-09T00:00:00"/>
        <d v="2025-09-10T00:00:00"/>
        <d v="2025-09-11T00:00:00"/>
        <d v="2025-09-12T00:00:00"/>
        <d v="2025-09-14T00:00:00"/>
        <d v="2025-09-15T00:00:00"/>
        <d v="2025-09-16T00:00:00"/>
        <d v="2025-09-18T00:00:00"/>
        <d v="2025-09-19T00:00:00"/>
        <d v="2025-09-20T00:00:00"/>
        <d v="2025-09-21T00:00:00"/>
        <d v="2025-09-22T00:00:00"/>
        <d v="2025-09-25T00:00:00"/>
        <d v="2025-09-26T00:00:00"/>
        <d v="2025-09-27T00:00:00"/>
        <d v="2025-09-28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8T00:00:00"/>
        <d v="2025-10-19T00:00:00"/>
        <d v="2025-10-20T00:00:00"/>
        <d v="2025-10-21T00:00:00"/>
        <d v="2025-10-22T00:00:00"/>
        <d v="2025-10-23T00:00:00"/>
        <d v="2025-10-24T00:00:00"/>
        <d v="2025-10-25T00:00:00"/>
        <d v="2025-10-26T00:00:00"/>
        <d v="2025-10-27T00:00:00"/>
        <d v="2025-10-28T00:00:00"/>
        <d v="2025-11-02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7T00:00:00"/>
        <d v="2025-11-28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4T00:00:00"/>
        <d v="2025-12-25T00:00:00"/>
        <d v="2025-12-26T00:00:00"/>
        <d v="2025-12-27T00:00:00"/>
        <d v="2025-12-28T00:00:00"/>
      </sharedItems>
      <fieldGroup par="26"/>
    </cacheField>
    <cacheField name="Brand" numFmtId="0">
      <sharedItems count="6">
        <s v="Adidas"/>
        <s v="Nike"/>
        <s v="Reebok"/>
        <s v="Puma"/>
        <s v="ASICS"/>
        <s v="New Balance"/>
      </sharedItems>
    </cacheField>
    <cacheField name="Product Name" numFmtId="0">
      <sharedItems count="36">
        <s v="Adidas Own The Game 3"/>
        <s v="Nike Air Max SC"/>
        <s v="Adidas Adizero SL"/>
        <s v="Reebok Floatride Energy 5"/>
        <s v="Reebok Energen Plus 2"/>
        <s v="Puma Softride Enzo NXT"/>
        <s v="ASICS Gel-Contend 8"/>
        <s v="New Balance 574 Core"/>
        <s v="Adidas Dropset 2"/>
        <s v="ASICS Japan S"/>
        <s v="Nike Metcon 8"/>
        <s v="Puma PWRFrame TR 3"/>
        <s v="Nike MC Trainer 2"/>
        <s v="Adidas Duramo SL 2"/>
        <s v="New Balance Minimus TR"/>
        <s v="New Balance Dynasoft TRNR"/>
        <s v="Puma Court Rider Chaos"/>
        <s v="ASICS Gel-Fit Sana 5"/>
        <s v="Nike Revolution 7"/>
        <s v="Adidas Rapidmove"/>
        <s v="Nike Pegasus 40"/>
        <s v="New Balance 880 v13"/>
        <s v="ASICS Upcourt 5"/>
        <s v="Reebok BB 4000 II"/>
        <s v="Reebok Flexagon Energy TR"/>
        <s v="Reebok Nano X3"/>
        <s v="ASICS Gel-Quantum 180"/>
        <s v="New Balance TWO WXY v4"/>
        <s v="Puma Caven 2.0"/>
        <s v="ASICS Gel-Kayano 30"/>
        <s v="New Balance Fresh Foam Arishi v4"/>
        <s v="Adidas Grand Court 2.0"/>
        <s v="Reebok Club C 85"/>
        <s v="Nike Giannis Immortality 3"/>
        <s v="Puma Fuse 2.0"/>
        <s v="Puma Velocity Nitro 2"/>
      </sharedItems>
    </cacheField>
    <cacheField name="Category" numFmtId="0">
      <sharedItems count="5">
        <s v="Basketball"/>
        <s v="Lifestyle"/>
        <s v="Running"/>
        <s v="Training"/>
        <s v="Gym"/>
      </sharedItems>
    </cacheField>
    <cacheField name="Size" numFmtId="0">
      <sharedItems containsSemiMixedTypes="0" containsString="0" containsNumber="1" containsInteger="1" minValue="6" maxValue="12"/>
    </cacheField>
    <cacheField name="Color" numFmtId="0">
      <sharedItems/>
    </cacheField>
    <cacheField name="Units Sold" numFmtId="0">
      <sharedItems containsSemiMixedTypes="0" containsString="0" containsNumber="1" containsInteger="1" minValue="1" maxValue="4"/>
    </cacheField>
    <cacheField name="MRP (INR)" numFmtId="44">
      <sharedItems containsSemiMixedTypes="0" containsString="0" containsNumber="1" containsInteger="1" minValue="2799" maxValue="10199"/>
    </cacheField>
    <cacheField name="Discount (%)" numFmtId="0">
      <sharedItems containsSemiMixedTypes="0" containsString="0" containsNumber="1" containsInteger="1" minValue="0" maxValue="40"/>
    </cacheField>
    <cacheField name="Sold Price (INR)" numFmtId="44">
      <sharedItems containsSemiMixedTypes="0" containsString="0" containsNumber="1" containsInteger="1" minValue="1920" maxValue="9900"/>
    </cacheField>
    <cacheField name="Revenue (INR)" numFmtId="44">
      <sharedItems containsSemiMixedTypes="0" containsString="0" containsNumber="1" containsInteger="1" minValue="1920" maxValue="36840"/>
    </cacheField>
    <cacheField name="Payment Method" numFmtId="0">
      <sharedItems/>
    </cacheField>
    <cacheField name="Sales Channel" numFmtId="0">
      <sharedItems count="3">
        <s v="Retail Store"/>
        <s v="Online Store"/>
        <s v="Marketplace"/>
      </sharedItems>
    </cacheField>
    <cacheField name="Country" numFmtId="0">
      <sharedItems/>
    </cacheField>
    <cacheField name="State" numFmtId="0">
      <sharedItems count="36">
        <s v="Assam"/>
        <s v="Goa"/>
        <s v="Haryana"/>
        <s v="Rajasthan"/>
        <s v="Sikkim"/>
        <s v="Manipur"/>
        <s v="Uttar Pradesh"/>
        <s v="Madhya Pradesh"/>
        <s v="Telangana"/>
        <s v="Bihar"/>
        <s v="Dadra and Nagar Haveli and Daman and Diu"/>
        <s v="Lakshadweep"/>
        <s v="Andaman and Nicobar Islands"/>
        <s v="Arunachal Pradesh"/>
        <s v="Punjab"/>
        <s v="Delhi"/>
        <s v="Gujarat"/>
        <s v="Puducherry"/>
        <s v="Chhattisgarh"/>
        <s v="Meghalaya"/>
        <s v="Himachal Pradesh"/>
        <s v="Nagaland"/>
        <s v="Tripura"/>
        <s v="Uttarakhand"/>
        <s v="Karnataka"/>
        <s v="Jammu and Kashmir"/>
        <s v="Kerala"/>
        <s v="Odisha"/>
        <s v="Ladakh"/>
        <s v="Andhra Pradesh"/>
        <s v="Chandigarh"/>
        <s v="Tamil Nadu"/>
        <s v="Jharkhand"/>
        <s v="Maharashtra"/>
        <s v="West Bengal"/>
        <s v="Mizoram"/>
      </sharedItems>
    </cacheField>
    <cacheField name="City" numFmtId="0">
      <sharedItems/>
    </cacheField>
    <cacheField name="Customer Profile" numFmtId="0">
      <sharedItems/>
    </cacheField>
    <cacheField name="Customer Type" numFmtId="0">
      <sharedItems count="3">
        <s v="New Customer"/>
        <s v="Repeat Customer"/>
        <s v="Loyal Customer"/>
      </sharedItems>
    </cacheField>
    <cacheField name="Customer Rating" numFmtId="0">
      <sharedItems containsSemiMixedTypes="0" containsString="0" containsNumber="1" minValue="2" maxValue="5"/>
    </cacheField>
    <cacheField name="Order Status" numFmtId="0">
      <sharedItems/>
    </cacheField>
    <cacheField name="Delivery Type" numFmtId="0">
      <sharedItems/>
    </cacheField>
    <cacheField name="Delivery Days" numFmtId="0">
      <sharedItems containsSemiMixedTypes="0" containsString="0" containsNumber="1" containsInteger="1" minValue="1" maxValue="7"/>
    </cacheField>
    <cacheField name="Years (Order Date)" numFmtId="0" databaseField="0">
      <fieldGroup base="4">
        <rangePr groupBy="years" startDate="2018-01-01T00:00:00" endDate="2025-12-29T00:00:00"/>
        <groupItems count="10">
          <s v="&lt;01-01-2018"/>
          <s v="2018"/>
          <s v="2019"/>
          <s v="2020"/>
          <s v="2021"/>
          <s v="2022"/>
          <s v="2023"/>
          <s v="2024"/>
          <s v="2025"/>
          <s v="&gt;29-12-2025"/>
        </groupItems>
      </fieldGroup>
    </cacheField>
    <cacheField name="Revenue (Lakh)" numFmtId="0" formula="'Revenue (INR)'/100000" databaseField="0"/>
  </cacheFields>
  <extLst>
    <ext xmlns:x14="http://schemas.microsoft.com/office/spreadsheetml/2009/9/main" uri="{725AE2AE-9491-48be-B2B4-4EB974FC3084}">
      <x14:pivotCacheDefinition pivotCacheId="888618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3">
  <r>
    <s v="ORD201314"/>
    <s v="CUST100981"/>
    <s v="Men"/>
    <s v="35-44"/>
    <x v="0"/>
    <x v="0"/>
    <x v="0"/>
    <x v="0"/>
    <n v="9"/>
    <s v="Grey"/>
    <n v="1"/>
    <n v="8599"/>
    <n v="20"/>
    <n v="6880"/>
    <n v="6880"/>
    <s v="Debit/Credit Card"/>
    <x v="0"/>
    <s v="India"/>
    <x v="0"/>
    <s v="Guwahati"/>
    <s v="Lifestyle Shopper"/>
    <x v="0"/>
    <n v="3.2"/>
    <s v="Delivered"/>
    <s v="Standard"/>
    <n v="2"/>
  </r>
  <r>
    <s v="ORD202440"/>
    <s v="CUST100006"/>
    <s v="Women"/>
    <s v="25-34"/>
    <x v="1"/>
    <x v="1"/>
    <x v="1"/>
    <x v="1"/>
    <n v="10"/>
    <s v="Grey"/>
    <n v="1"/>
    <n v="7199"/>
    <n v="15"/>
    <n v="6120"/>
    <n v="6120"/>
    <s v="Net Banking"/>
    <x v="1"/>
    <s v="India"/>
    <x v="1"/>
    <s v="Panaji"/>
    <s v="Performance Seeker"/>
    <x v="0"/>
    <n v="3.9"/>
    <s v="Delivered"/>
    <s v="Express"/>
    <n v="2"/>
  </r>
  <r>
    <s v="ORD200998"/>
    <s v="CUST100064"/>
    <s v="Men"/>
    <s v="25-34"/>
    <x v="2"/>
    <x v="0"/>
    <x v="2"/>
    <x v="2"/>
    <n v="8"/>
    <s v="Grey"/>
    <n v="1"/>
    <n v="7299"/>
    <n v="10"/>
    <n v="6570"/>
    <n v="6570"/>
    <s v="Debit/Credit Card"/>
    <x v="1"/>
    <s v="India"/>
    <x v="1"/>
    <s v="Margao"/>
    <s v="Value Shopper"/>
    <x v="0"/>
    <n v="3.8"/>
    <s v="Returned"/>
    <s v="Standard"/>
    <n v="1"/>
  </r>
  <r>
    <s v="ORD201054"/>
    <s v="CUST100414"/>
    <s v="Men"/>
    <s v="25-34"/>
    <x v="3"/>
    <x v="2"/>
    <x v="3"/>
    <x v="2"/>
    <n v="11"/>
    <s v="Blue"/>
    <n v="1"/>
    <n v="5399"/>
    <n v="10"/>
    <n v="4860"/>
    <n v="4860"/>
    <s v="Net Banking"/>
    <x v="1"/>
    <s v="India"/>
    <x v="2"/>
    <s v="Gurugram"/>
    <s v="Value Shopper"/>
    <x v="0"/>
    <n v="4.2"/>
    <s v="Delivered"/>
    <s v="Standard"/>
    <n v="3"/>
  </r>
  <r>
    <s v="ORD200583"/>
    <s v="CUST100183"/>
    <s v="Women"/>
    <s v="25-34"/>
    <x v="4"/>
    <x v="2"/>
    <x v="4"/>
    <x v="2"/>
    <n v="11"/>
    <s v="White"/>
    <n v="1"/>
    <n v="7299"/>
    <n v="15"/>
    <n v="6200"/>
    <n v="6200"/>
    <s v="UPI"/>
    <x v="1"/>
    <s v="India"/>
    <x v="3"/>
    <s v="Jaipur"/>
    <s v="Value Shopper"/>
    <x v="0"/>
    <n v="5"/>
    <s v="Delivered"/>
    <s v="Standard"/>
    <n v="6"/>
  </r>
  <r>
    <s v="ORD201479"/>
    <s v="CUST100982"/>
    <s v="Women"/>
    <s v="25-34"/>
    <x v="4"/>
    <x v="3"/>
    <x v="5"/>
    <x v="2"/>
    <n v="9"/>
    <s v="Grey"/>
    <n v="3"/>
    <n v="7599"/>
    <n v="30"/>
    <n v="5320"/>
    <n v="15960"/>
    <s v="Cash on Delivery"/>
    <x v="2"/>
    <s v="India"/>
    <x v="1"/>
    <s v="Vasco da Gama"/>
    <s v="Performance Seeker"/>
    <x v="0"/>
    <n v="3.7"/>
    <s v="Delivered"/>
    <s v="Express"/>
    <n v="3"/>
  </r>
  <r>
    <s v="ORD202484"/>
    <s v="CUST100284"/>
    <s v="Women"/>
    <s v="25-34"/>
    <x v="4"/>
    <x v="4"/>
    <x v="6"/>
    <x v="2"/>
    <n v="8"/>
    <s v="Red"/>
    <n v="1"/>
    <n v="5499"/>
    <n v="25"/>
    <n v="4120"/>
    <n v="4120"/>
    <s v="Cash on Delivery"/>
    <x v="2"/>
    <s v="India"/>
    <x v="4"/>
    <s v="Gangtok"/>
    <s v="Premium Shopper"/>
    <x v="0"/>
    <n v="4.0999999999999996"/>
    <s v="Delivered"/>
    <s v="Express"/>
    <n v="2"/>
  </r>
  <r>
    <s v="ORD201347"/>
    <s v="CUST100357"/>
    <s v="Unisex"/>
    <s v="45-54"/>
    <x v="5"/>
    <x v="5"/>
    <x v="7"/>
    <x v="1"/>
    <n v="12"/>
    <s v="Black"/>
    <n v="1"/>
    <n v="7699"/>
    <n v="10"/>
    <n v="6930"/>
    <n v="6930"/>
    <s v="Debit/Credit Card"/>
    <x v="1"/>
    <s v="India"/>
    <x v="5"/>
    <s v="Imphal"/>
    <s v="Performance Seeker"/>
    <x v="0"/>
    <n v="3"/>
    <s v="Delivered"/>
    <s v="Standard"/>
    <n v="6"/>
  </r>
  <r>
    <s v="ORD202690"/>
    <s v="CUST100389"/>
    <s v="Men"/>
    <s v="18-24"/>
    <x v="6"/>
    <x v="5"/>
    <x v="7"/>
    <x v="1"/>
    <n v="7"/>
    <s v="Black"/>
    <n v="1"/>
    <n v="7199"/>
    <n v="15"/>
    <n v="6120"/>
    <n v="6120"/>
    <s v="Debit/Credit Card"/>
    <x v="0"/>
    <s v="India"/>
    <x v="6"/>
    <s v="Lucknow"/>
    <s v="Lifestyle Shopper"/>
    <x v="0"/>
    <n v="4.3"/>
    <s v="Cancelled"/>
    <s v="Express"/>
    <n v="2"/>
  </r>
  <r>
    <s v="ORD200939"/>
    <s v="CUST100565"/>
    <s v="Men"/>
    <s v="55+"/>
    <x v="7"/>
    <x v="0"/>
    <x v="8"/>
    <x v="3"/>
    <n v="8"/>
    <s v="White"/>
    <n v="1"/>
    <n v="8099"/>
    <n v="25"/>
    <n v="6070"/>
    <n v="6070"/>
    <s v="Debit/Credit Card"/>
    <x v="0"/>
    <s v="India"/>
    <x v="7"/>
    <s v="Indore"/>
    <s v="Performance Seeker"/>
    <x v="0"/>
    <n v="4.0999999999999996"/>
    <s v="Delivered"/>
    <s v="Standard"/>
    <n v="3"/>
  </r>
  <r>
    <s v="ORD202042"/>
    <s v="CUST100503"/>
    <s v="Women"/>
    <s v="55+"/>
    <x v="8"/>
    <x v="4"/>
    <x v="9"/>
    <x v="1"/>
    <n v="11"/>
    <s v="Black"/>
    <n v="1"/>
    <n v="8199"/>
    <n v="10"/>
    <n v="7380"/>
    <n v="7380"/>
    <s v="Net Banking"/>
    <x v="2"/>
    <s v="India"/>
    <x v="8"/>
    <s v="Hyderabad"/>
    <s v="Performance Seeker"/>
    <x v="0"/>
    <n v="5"/>
    <s v="Returned"/>
    <s v="Express"/>
    <n v="1"/>
  </r>
  <r>
    <s v="ORD202088"/>
    <s v="CUST100017"/>
    <s v="Women"/>
    <s v="45-54"/>
    <x v="9"/>
    <x v="1"/>
    <x v="10"/>
    <x v="3"/>
    <n v="10"/>
    <s v="Red"/>
    <n v="2"/>
    <n v="9399"/>
    <n v="15"/>
    <n v="7990"/>
    <n v="15980"/>
    <s v="UPI"/>
    <x v="1"/>
    <s v="India"/>
    <x v="9"/>
    <s v="Patna"/>
    <s v="Comfort Shopper"/>
    <x v="0"/>
    <n v="3.9"/>
    <s v="Delivered"/>
    <s v="Express"/>
    <n v="4"/>
  </r>
  <r>
    <s v="ORD202791"/>
    <s v="CUST100448"/>
    <s v="Women"/>
    <s v="25-34"/>
    <x v="9"/>
    <x v="3"/>
    <x v="11"/>
    <x v="4"/>
    <n v="10"/>
    <s v="Black"/>
    <n v="1"/>
    <n v="3699"/>
    <n v="25"/>
    <n v="2770"/>
    <n v="2770"/>
    <s v="Net Banking"/>
    <x v="2"/>
    <s v="India"/>
    <x v="10"/>
    <s v="Daman"/>
    <s v="Performance Seeker"/>
    <x v="0"/>
    <n v="5"/>
    <s v="Delivered"/>
    <s v="Standard"/>
    <n v="3"/>
  </r>
  <r>
    <s v="ORD200831"/>
    <s v="CUST100208"/>
    <s v="Men"/>
    <s v="45-54"/>
    <x v="10"/>
    <x v="3"/>
    <x v="5"/>
    <x v="2"/>
    <n v="10"/>
    <s v="White"/>
    <n v="1"/>
    <n v="7799"/>
    <n v="15"/>
    <n v="6630"/>
    <n v="6630"/>
    <s v="Cash on Delivery"/>
    <x v="0"/>
    <s v="India"/>
    <x v="7"/>
    <s v="Bhopal"/>
    <s v="Value Shopper"/>
    <x v="0"/>
    <n v="5"/>
    <s v="Delivered"/>
    <s v="Standard"/>
    <n v="3"/>
  </r>
  <r>
    <s v="ORD201983"/>
    <s v="CUST100647"/>
    <s v="Men"/>
    <s v="18-24"/>
    <x v="10"/>
    <x v="0"/>
    <x v="0"/>
    <x v="0"/>
    <n v="11"/>
    <s v="Red"/>
    <n v="3"/>
    <n v="7999"/>
    <n v="20"/>
    <n v="6400"/>
    <n v="19200"/>
    <s v="Cash on Delivery"/>
    <x v="1"/>
    <s v="India"/>
    <x v="11"/>
    <s v="Kavaratti"/>
    <s v="Value Shopper"/>
    <x v="0"/>
    <n v="3.7"/>
    <s v="Delivered"/>
    <s v="Express"/>
    <n v="2"/>
  </r>
  <r>
    <s v="ORD200541"/>
    <s v="CUST100778"/>
    <s v="Men"/>
    <s v="25-34"/>
    <x v="11"/>
    <x v="1"/>
    <x v="12"/>
    <x v="4"/>
    <n v="10"/>
    <s v="Grey"/>
    <n v="1"/>
    <n v="3799"/>
    <n v="5"/>
    <n v="3610"/>
    <n v="3610"/>
    <s v="Net Banking"/>
    <x v="0"/>
    <s v="India"/>
    <x v="12"/>
    <s v="Port Blair"/>
    <s v="Premium Shopper"/>
    <x v="0"/>
    <n v="3.4"/>
    <s v="Delivered"/>
    <s v="Standard"/>
    <n v="4"/>
  </r>
  <r>
    <s v="ORD202591"/>
    <s v="CUST100651"/>
    <s v="Unisex"/>
    <s v="18-24"/>
    <x v="12"/>
    <x v="0"/>
    <x v="13"/>
    <x v="2"/>
    <n v="10"/>
    <s v="White"/>
    <n v="1"/>
    <n v="4699"/>
    <n v="15"/>
    <n v="3990"/>
    <n v="3990"/>
    <s v="Debit/Credit Card"/>
    <x v="2"/>
    <s v="India"/>
    <x v="10"/>
    <s v="Diu"/>
    <s v="Value Shopper"/>
    <x v="0"/>
    <n v="4.2"/>
    <s v="Returned"/>
    <s v="Same Day"/>
    <n v="1"/>
  </r>
  <r>
    <s v="ORD202908"/>
    <s v="CUST100162"/>
    <s v="Women"/>
    <s v="35-44"/>
    <x v="12"/>
    <x v="0"/>
    <x v="8"/>
    <x v="3"/>
    <n v="9"/>
    <s v="Green"/>
    <n v="1"/>
    <n v="5199"/>
    <n v="20"/>
    <n v="4160"/>
    <n v="4160"/>
    <s v="Debit/Credit Card"/>
    <x v="1"/>
    <s v="India"/>
    <x v="13"/>
    <s v="Itanagar"/>
    <s v="Comfort Shopper"/>
    <x v="0"/>
    <n v="4.8"/>
    <s v="Delivered"/>
    <s v="Standard"/>
    <n v="4"/>
  </r>
  <r>
    <s v="ORD201323"/>
    <s v="CUST100013"/>
    <s v="Women"/>
    <s v="18-24"/>
    <x v="13"/>
    <x v="5"/>
    <x v="14"/>
    <x v="3"/>
    <n v="11"/>
    <s v="Grey"/>
    <n v="1"/>
    <n v="9599"/>
    <n v="15"/>
    <n v="8160"/>
    <n v="8160"/>
    <s v="UPI"/>
    <x v="2"/>
    <s v="India"/>
    <x v="14"/>
    <s v="Ludhiana"/>
    <s v="Lifestyle Shopper"/>
    <x v="0"/>
    <n v="4.7"/>
    <s v="Delivered"/>
    <s v="Standard"/>
    <n v="3"/>
  </r>
  <r>
    <s v="ORD202227"/>
    <s v="CUST100201"/>
    <s v="Men"/>
    <s v="55+"/>
    <x v="14"/>
    <x v="0"/>
    <x v="13"/>
    <x v="2"/>
    <n v="9"/>
    <s v="Red"/>
    <n v="2"/>
    <n v="7599"/>
    <n v="40"/>
    <n v="4560"/>
    <n v="9120"/>
    <s v="UPI"/>
    <x v="1"/>
    <s v="India"/>
    <x v="15"/>
    <s v="New Delhi"/>
    <s v="Value Shopper"/>
    <x v="0"/>
    <n v="5"/>
    <s v="Cancelled"/>
    <s v="Express"/>
    <n v="2"/>
  </r>
  <r>
    <s v="ORD200228"/>
    <s v="CUST100402"/>
    <s v="Women"/>
    <s v="25-34"/>
    <x v="15"/>
    <x v="0"/>
    <x v="13"/>
    <x v="2"/>
    <n v="7"/>
    <s v="White"/>
    <n v="2"/>
    <n v="5299"/>
    <n v="10"/>
    <n v="4770"/>
    <n v="9540"/>
    <s v="Net Banking"/>
    <x v="1"/>
    <s v="India"/>
    <x v="16"/>
    <s v="Ahmedabad"/>
    <s v="Comfort Shopper"/>
    <x v="0"/>
    <n v="4"/>
    <s v="Delivered"/>
    <s v="Standard"/>
    <n v="4"/>
  </r>
  <r>
    <s v="ORD201658"/>
    <s v="CUST100528"/>
    <s v="Women"/>
    <s v="45-54"/>
    <x v="15"/>
    <x v="1"/>
    <x v="12"/>
    <x v="4"/>
    <n v="9"/>
    <s v="Grey"/>
    <n v="1"/>
    <n v="6099"/>
    <n v="10"/>
    <n v="5490"/>
    <n v="5490"/>
    <s v="Debit/Credit Card"/>
    <x v="0"/>
    <s v="India"/>
    <x v="17"/>
    <s v="Puducherry"/>
    <s v="Premium Shopper"/>
    <x v="0"/>
    <n v="3.6"/>
    <s v="Delivered"/>
    <s v="Standard"/>
    <n v="3"/>
  </r>
  <r>
    <s v="ORD202891"/>
    <s v="CUST100087"/>
    <s v="Men"/>
    <s v="25-34"/>
    <x v="16"/>
    <x v="5"/>
    <x v="15"/>
    <x v="4"/>
    <n v="10"/>
    <s v="Red"/>
    <n v="1"/>
    <n v="8199"/>
    <n v="10"/>
    <n v="7380"/>
    <n v="7380"/>
    <s v="Debit/Credit Card"/>
    <x v="1"/>
    <s v="India"/>
    <x v="15"/>
    <s v="Delhi"/>
    <s v="Lifestyle Shopper"/>
    <x v="0"/>
    <n v="4.7"/>
    <s v="Cancelled"/>
    <s v="Standard"/>
    <n v="4"/>
  </r>
  <r>
    <s v="ORD201895"/>
    <s v="CUST100275"/>
    <s v="Men"/>
    <s v="18-24"/>
    <x v="17"/>
    <x v="3"/>
    <x v="16"/>
    <x v="0"/>
    <n v="8"/>
    <s v="Blue"/>
    <n v="2"/>
    <n v="4899"/>
    <n v="15"/>
    <n v="4160"/>
    <n v="8320"/>
    <s v="Debit/Credit Card"/>
    <x v="1"/>
    <s v="India"/>
    <x v="18"/>
    <s v="Raipur"/>
    <s v="Lifestyle Shopper"/>
    <x v="0"/>
    <n v="3.5"/>
    <s v="Delivered"/>
    <s v="Express"/>
    <n v="2"/>
  </r>
  <r>
    <s v="ORD200229"/>
    <s v="CUST100279"/>
    <s v="Women"/>
    <s v="25-34"/>
    <x v="18"/>
    <x v="1"/>
    <x v="10"/>
    <x v="3"/>
    <n v="8"/>
    <s v="Black"/>
    <n v="1"/>
    <n v="6099"/>
    <n v="30"/>
    <n v="4270"/>
    <n v="4270"/>
    <s v="Debit/Credit Card"/>
    <x v="1"/>
    <s v="India"/>
    <x v="6"/>
    <s v="Noida"/>
    <s v="Lifestyle Shopper"/>
    <x v="0"/>
    <n v="3"/>
    <s v="Delivered"/>
    <s v="Standard"/>
    <n v="5"/>
  </r>
  <r>
    <s v="ORD203092"/>
    <s v="CUST100898"/>
    <s v="Women"/>
    <s v="45-54"/>
    <x v="18"/>
    <x v="2"/>
    <x v="3"/>
    <x v="2"/>
    <n v="7"/>
    <s v="Blue"/>
    <n v="1"/>
    <n v="5299"/>
    <n v="40"/>
    <n v="3180"/>
    <n v="3180"/>
    <s v="Debit/Credit Card"/>
    <x v="2"/>
    <s v="India"/>
    <x v="19"/>
    <s v="Shillong"/>
    <s v="Premium Shopper"/>
    <x v="0"/>
    <n v="3.2"/>
    <s v="Delivered"/>
    <s v="Standard"/>
    <n v="3"/>
  </r>
  <r>
    <s v="ORD201089"/>
    <s v="CUST100434"/>
    <s v="Men"/>
    <s v="25-34"/>
    <x v="19"/>
    <x v="2"/>
    <x v="4"/>
    <x v="2"/>
    <n v="9"/>
    <s v="Black"/>
    <n v="3"/>
    <n v="7799"/>
    <n v="10"/>
    <n v="7020"/>
    <n v="21060"/>
    <s v="Cash on Delivery"/>
    <x v="0"/>
    <s v="India"/>
    <x v="20"/>
    <s v="Shimla"/>
    <s v="Comfort Shopper"/>
    <x v="0"/>
    <n v="3.3"/>
    <s v="Delivered"/>
    <s v="Standard"/>
    <n v="7"/>
  </r>
  <r>
    <s v="ORD202775"/>
    <s v="CUST100796"/>
    <s v="Men"/>
    <s v="35-44"/>
    <x v="20"/>
    <x v="4"/>
    <x v="17"/>
    <x v="4"/>
    <n v="9"/>
    <s v="Red"/>
    <n v="1"/>
    <n v="3899"/>
    <n v="20"/>
    <n v="3120"/>
    <n v="3120"/>
    <s v="UPI"/>
    <x v="1"/>
    <s v="India"/>
    <x v="21"/>
    <s v="Kohima"/>
    <s v="Performance Seeker"/>
    <x v="0"/>
    <n v="4.9000000000000004"/>
    <s v="Cancelled"/>
    <s v="Standard"/>
    <n v="3"/>
  </r>
  <r>
    <s v="ORD201465"/>
    <s v="CUST100295"/>
    <s v="Women"/>
    <s v="55+"/>
    <x v="21"/>
    <x v="4"/>
    <x v="17"/>
    <x v="4"/>
    <n v="9"/>
    <s v="Grey"/>
    <n v="1"/>
    <n v="4099"/>
    <n v="5"/>
    <n v="3890"/>
    <n v="3890"/>
    <s v="UPI"/>
    <x v="1"/>
    <s v="India"/>
    <x v="22"/>
    <s v="Agartala"/>
    <s v="Lifestyle Shopper"/>
    <x v="0"/>
    <n v="5"/>
    <s v="Cancelled"/>
    <s v="Standard"/>
    <n v="7"/>
  </r>
  <r>
    <s v="ORD202407"/>
    <s v="CUST100672"/>
    <s v="Women"/>
    <s v="25-34"/>
    <x v="22"/>
    <x v="1"/>
    <x v="18"/>
    <x v="2"/>
    <n v="9"/>
    <s v="Grey"/>
    <n v="2"/>
    <n v="9199"/>
    <n v="10"/>
    <n v="8280"/>
    <n v="16560"/>
    <s v="Cash on Delivery"/>
    <x v="1"/>
    <s v="India"/>
    <x v="23"/>
    <s v="Dehradun"/>
    <s v="Performance Seeker"/>
    <x v="0"/>
    <n v="4.2"/>
    <s v="Delivered"/>
    <s v="Express"/>
    <n v="3"/>
  </r>
  <r>
    <s v="ORD201271"/>
    <s v="CUST100004"/>
    <s v="Women"/>
    <s v="18-24"/>
    <x v="23"/>
    <x v="1"/>
    <x v="18"/>
    <x v="2"/>
    <n v="12"/>
    <s v="White"/>
    <n v="3"/>
    <n v="5699"/>
    <n v="10"/>
    <n v="5130"/>
    <n v="15390"/>
    <s v="Cash on Delivery"/>
    <x v="1"/>
    <s v="India"/>
    <x v="23"/>
    <s v="Haridwar"/>
    <s v="Performance Seeker"/>
    <x v="0"/>
    <n v="4.8"/>
    <s v="Cancelled"/>
    <s v="Standard"/>
    <n v="4"/>
  </r>
  <r>
    <s v="ORD203123"/>
    <s v="CUST100481"/>
    <s v="Women"/>
    <s v="25-34"/>
    <x v="23"/>
    <x v="1"/>
    <x v="1"/>
    <x v="1"/>
    <n v="9"/>
    <s v="Black"/>
    <n v="1"/>
    <n v="5499"/>
    <n v="0"/>
    <n v="5500"/>
    <n v="5500"/>
    <s v="UPI"/>
    <x v="0"/>
    <s v="India"/>
    <x v="2"/>
    <s v="Faridabad"/>
    <s v="Premium Shopper"/>
    <x v="0"/>
    <n v="3.5"/>
    <s v="Delivered"/>
    <s v="Standard"/>
    <n v="1"/>
  </r>
  <r>
    <s v="ORD201158"/>
    <s v="CUST100669"/>
    <s v="Unisex"/>
    <s v="45-54"/>
    <x v="24"/>
    <x v="5"/>
    <x v="14"/>
    <x v="3"/>
    <n v="7"/>
    <s v="Black"/>
    <n v="2"/>
    <n v="9599"/>
    <n v="0"/>
    <n v="9600"/>
    <n v="19200"/>
    <s v="Cash on Delivery"/>
    <x v="2"/>
    <s v="India"/>
    <x v="24"/>
    <s v="Bengaluru"/>
    <s v="Value Shopper"/>
    <x v="0"/>
    <n v="3.5"/>
    <s v="Delivered"/>
    <s v="Standard"/>
    <n v="4"/>
  </r>
  <r>
    <s v="ORD200336"/>
    <s v="CUST100106"/>
    <s v="Women"/>
    <s v="25-34"/>
    <x v="25"/>
    <x v="0"/>
    <x v="19"/>
    <x v="4"/>
    <n v="9"/>
    <s v="Blue"/>
    <n v="4"/>
    <n v="4899"/>
    <n v="25"/>
    <n v="3670"/>
    <n v="14680"/>
    <s v="Debit/Credit Card"/>
    <x v="1"/>
    <s v="India"/>
    <x v="22"/>
    <s v="Udaipur"/>
    <s v="Performance Seeker"/>
    <x v="0"/>
    <n v="3"/>
    <s v="Delivered"/>
    <s v="Express"/>
    <n v="4"/>
  </r>
  <r>
    <s v="ORD201713"/>
    <s v="CUST100515"/>
    <s v="Women"/>
    <s v="55+"/>
    <x v="26"/>
    <x v="1"/>
    <x v="20"/>
    <x v="2"/>
    <n v="10"/>
    <s v="Black"/>
    <n v="1"/>
    <n v="6099"/>
    <n v="15"/>
    <n v="5180"/>
    <n v="5180"/>
    <s v="UPI"/>
    <x v="1"/>
    <s v="India"/>
    <x v="23"/>
    <s v="Haldwani"/>
    <s v="Value Shopper"/>
    <x v="0"/>
    <n v="4.5999999999999996"/>
    <s v="Cancelled"/>
    <s v="Express"/>
    <n v="3"/>
  </r>
  <r>
    <s v="ORD201474"/>
    <s v="CUST100390"/>
    <s v="Men"/>
    <s v="35-44"/>
    <x v="27"/>
    <x v="1"/>
    <x v="20"/>
    <x v="2"/>
    <n v="9"/>
    <s v="Green"/>
    <n v="1"/>
    <n v="9699"/>
    <n v="15"/>
    <n v="8240"/>
    <n v="8240"/>
    <s v="Cash on Delivery"/>
    <x v="1"/>
    <s v="India"/>
    <x v="20"/>
    <s v="Dharamshala"/>
    <s v="Comfort Shopper"/>
    <x v="0"/>
    <n v="4.2"/>
    <s v="Delivered"/>
    <s v="Standard"/>
    <n v="3"/>
  </r>
  <r>
    <s v="ORD202991"/>
    <s v="CUST100582"/>
    <s v="Women"/>
    <s v="35-44"/>
    <x v="27"/>
    <x v="0"/>
    <x v="8"/>
    <x v="3"/>
    <n v="10"/>
    <s v="Black"/>
    <n v="1"/>
    <n v="5199"/>
    <n v="10"/>
    <n v="4680"/>
    <n v="4680"/>
    <s v="Debit/Credit Card"/>
    <x v="0"/>
    <s v="India"/>
    <x v="11"/>
    <s v="Agatti"/>
    <s v="Performance Seeker"/>
    <x v="0"/>
    <n v="3.9"/>
    <s v="Delivered"/>
    <s v="Standard"/>
    <n v="5"/>
  </r>
  <r>
    <s v="ORD200496"/>
    <s v="CUST100350"/>
    <s v="Women"/>
    <s v="55+"/>
    <x v="28"/>
    <x v="5"/>
    <x v="21"/>
    <x v="2"/>
    <n v="10"/>
    <s v="Grey"/>
    <n v="1"/>
    <n v="7399"/>
    <n v="10"/>
    <n v="6660"/>
    <n v="6660"/>
    <s v="Cash on Delivery"/>
    <x v="1"/>
    <s v="India"/>
    <x v="5"/>
    <s v="Thoubal"/>
    <s v="Comfort Shopper"/>
    <x v="0"/>
    <n v="4.0999999999999996"/>
    <s v="Delivered"/>
    <s v="Express"/>
    <n v="3"/>
  </r>
  <r>
    <s v="ORD202216"/>
    <s v="CUST100919"/>
    <s v="Women"/>
    <s v="18-24"/>
    <x v="29"/>
    <x v="0"/>
    <x v="13"/>
    <x v="2"/>
    <n v="8"/>
    <s v="Grey"/>
    <n v="1"/>
    <n v="7699"/>
    <n v="20"/>
    <n v="6160"/>
    <n v="6160"/>
    <s v="Debit/Credit Card"/>
    <x v="1"/>
    <s v="India"/>
    <x v="23"/>
    <s v="Rishikesh"/>
    <s v="Premium Shopper"/>
    <x v="0"/>
    <n v="4.4000000000000004"/>
    <s v="Delivered"/>
    <s v="Express"/>
    <n v="2"/>
  </r>
  <r>
    <s v="ORD200396"/>
    <s v="CUST100065"/>
    <s v="Men"/>
    <s v="25-34"/>
    <x v="30"/>
    <x v="4"/>
    <x v="17"/>
    <x v="4"/>
    <n v="10"/>
    <s v="Red"/>
    <n v="1"/>
    <n v="4399"/>
    <n v="10"/>
    <n v="3960"/>
    <n v="3960"/>
    <s v="UPI"/>
    <x v="2"/>
    <s v="India"/>
    <x v="1"/>
    <s v="Mapusa"/>
    <s v="Lifestyle Shopper"/>
    <x v="0"/>
    <n v="5"/>
    <s v="Delivered"/>
    <s v="Standard"/>
    <n v="2"/>
  </r>
  <r>
    <s v="ORD201260"/>
    <s v="CUST100433"/>
    <s v="Women"/>
    <s v="25-34"/>
    <x v="31"/>
    <x v="0"/>
    <x v="19"/>
    <x v="4"/>
    <n v="10"/>
    <s v="Black"/>
    <n v="1"/>
    <n v="8199"/>
    <n v="30"/>
    <n v="5740"/>
    <n v="5740"/>
    <s v="Cash on Delivery"/>
    <x v="0"/>
    <s v="India"/>
    <x v="25"/>
    <s v="Srinagar"/>
    <s v="Lifestyle Shopper"/>
    <x v="0"/>
    <n v="4.9000000000000004"/>
    <s v="Delivered"/>
    <s v="Standard"/>
    <n v="7"/>
  </r>
  <r>
    <s v="ORD201329"/>
    <s v="CUST100793"/>
    <s v="Women"/>
    <s v="45-54"/>
    <x v="32"/>
    <x v="4"/>
    <x v="22"/>
    <x v="0"/>
    <n v="10"/>
    <s v="Black"/>
    <n v="1"/>
    <n v="7599"/>
    <n v="10"/>
    <n v="6840"/>
    <n v="6840"/>
    <s v="Debit/Credit Card"/>
    <x v="1"/>
    <s v="India"/>
    <x v="26"/>
    <s v="Thiruvananthapuram"/>
    <s v="Value Shopper"/>
    <x v="0"/>
    <n v="3.1"/>
    <s v="Cancelled"/>
    <s v="Standard"/>
    <n v="3"/>
  </r>
  <r>
    <s v="ORD202004"/>
    <s v="CUST100518"/>
    <s v="Men"/>
    <s v="25-34"/>
    <x v="33"/>
    <x v="1"/>
    <x v="1"/>
    <x v="1"/>
    <n v="9"/>
    <s v="Green"/>
    <n v="1"/>
    <n v="7299"/>
    <n v="20"/>
    <n v="5840"/>
    <n v="5840"/>
    <s v="Debit/Credit Card"/>
    <x v="1"/>
    <s v="India"/>
    <x v="15"/>
    <s v="Dwarka"/>
    <s v="Lifestyle Shopper"/>
    <x v="0"/>
    <n v="4.5999999999999996"/>
    <s v="Returned"/>
    <s v="Standard"/>
    <n v="3"/>
  </r>
  <r>
    <s v="ORD202021"/>
    <s v="CUST100136"/>
    <s v="Women"/>
    <s v="25-34"/>
    <x v="34"/>
    <x v="1"/>
    <x v="12"/>
    <x v="4"/>
    <n v="7"/>
    <s v="Blue"/>
    <n v="1"/>
    <n v="8399"/>
    <n v="20"/>
    <n v="6720"/>
    <n v="6720"/>
    <s v="Net Banking"/>
    <x v="2"/>
    <s v="India"/>
    <x v="7"/>
    <s v="Jabalpur"/>
    <s v="Performance Seeker"/>
    <x v="0"/>
    <n v="4.5999999999999996"/>
    <s v="Delivered"/>
    <s v="Standard"/>
    <n v="5"/>
  </r>
  <r>
    <s v="ORD200799"/>
    <s v="CUST100836"/>
    <s v="Men"/>
    <s v="45-54"/>
    <x v="35"/>
    <x v="1"/>
    <x v="18"/>
    <x v="2"/>
    <n v="11"/>
    <s v="Red"/>
    <n v="1"/>
    <n v="8999"/>
    <n v="10"/>
    <n v="8100"/>
    <n v="8100"/>
    <s v="Net Banking"/>
    <x v="1"/>
    <s v="India"/>
    <x v="8"/>
    <s v="Warangal"/>
    <s v="Comfort Shopper"/>
    <x v="0"/>
    <n v="4.4000000000000004"/>
    <s v="Delivered"/>
    <s v="Same Day"/>
    <n v="1"/>
  </r>
  <r>
    <s v="ORD201589"/>
    <s v="CUST100888"/>
    <s v="Women"/>
    <s v="25-34"/>
    <x v="35"/>
    <x v="2"/>
    <x v="23"/>
    <x v="0"/>
    <n v="11"/>
    <s v="Red"/>
    <n v="2"/>
    <n v="7199"/>
    <n v="0"/>
    <n v="7200"/>
    <n v="14400"/>
    <s v="Cash on Delivery"/>
    <x v="1"/>
    <s v="India"/>
    <x v="14"/>
    <s v="Amritsar"/>
    <s v="Performance Seeker"/>
    <x v="0"/>
    <n v="4.5"/>
    <s v="Delivered"/>
    <s v="Express"/>
    <n v="2"/>
  </r>
  <r>
    <s v="ORD202087"/>
    <s v="CUST100694"/>
    <s v="Men"/>
    <s v="45-54"/>
    <x v="35"/>
    <x v="1"/>
    <x v="10"/>
    <x v="3"/>
    <n v="7"/>
    <s v="Green"/>
    <n v="1"/>
    <n v="6299"/>
    <n v="35"/>
    <n v="4090"/>
    <n v="4090"/>
    <s v="Net Banking"/>
    <x v="1"/>
    <s v="India"/>
    <x v="25"/>
    <s v="Jammu"/>
    <s v="Comfort Shopper"/>
    <x v="0"/>
    <n v="3.7"/>
    <s v="Delivered"/>
    <s v="Same Day"/>
    <n v="1"/>
  </r>
  <r>
    <s v="ORD202139"/>
    <s v="CUST100326"/>
    <s v="Men"/>
    <s v="25-34"/>
    <x v="35"/>
    <x v="2"/>
    <x v="23"/>
    <x v="0"/>
    <n v="9"/>
    <s v="Blue"/>
    <n v="2"/>
    <n v="8599"/>
    <n v="20"/>
    <n v="6880"/>
    <n v="13760"/>
    <s v="UPI"/>
    <x v="1"/>
    <s v="India"/>
    <x v="23"/>
    <s v="Dehradun"/>
    <s v="Lifestyle Shopper"/>
    <x v="0"/>
    <n v="4.8"/>
    <s v="Delivered"/>
    <s v="Standard"/>
    <n v="5"/>
  </r>
  <r>
    <s v="ORD200402"/>
    <s v="CUST100337"/>
    <s v="Men"/>
    <s v="55+"/>
    <x v="36"/>
    <x v="1"/>
    <x v="20"/>
    <x v="2"/>
    <n v="9"/>
    <s v="Black"/>
    <n v="1"/>
    <n v="5599"/>
    <n v="30"/>
    <n v="3920"/>
    <n v="3920"/>
    <s v="UPI"/>
    <x v="2"/>
    <s v="India"/>
    <x v="7"/>
    <s v="Gwalior"/>
    <s v="Comfort Shopper"/>
    <x v="0"/>
    <n v="4.5999999999999996"/>
    <s v="Delivered"/>
    <s v="Standard"/>
    <n v="5"/>
  </r>
  <r>
    <s v="ORD201519"/>
    <s v="CUST100081"/>
    <s v="Men"/>
    <s v="18-24"/>
    <x v="36"/>
    <x v="2"/>
    <x v="24"/>
    <x v="4"/>
    <n v="9"/>
    <s v="Grey"/>
    <n v="1"/>
    <n v="3099"/>
    <n v="10"/>
    <n v="2790"/>
    <n v="2790"/>
    <s v="Debit/Credit Card"/>
    <x v="0"/>
    <s v="India"/>
    <x v="27"/>
    <s v="Bhubaneswar"/>
    <s v="Value Shopper"/>
    <x v="0"/>
    <n v="4.5999999999999996"/>
    <s v="Delivered"/>
    <s v="Express"/>
    <n v="2"/>
  </r>
  <r>
    <s v="ORD201687"/>
    <s v="CUST100890"/>
    <s v="Women"/>
    <s v="55+"/>
    <x v="36"/>
    <x v="4"/>
    <x v="9"/>
    <x v="1"/>
    <n v="7"/>
    <s v="Blue"/>
    <n v="1"/>
    <n v="5899"/>
    <n v="20"/>
    <n v="4720"/>
    <n v="4720"/>
    <s v="Debit/Credit Card"/>
    <x v="2"/>
    <s v="India"/>
    <x v="26"/>
    <s v="Kochi"/>
    <s v="Comfort Shopper"/>
    <x v="0"/>
    <n v="5"/>
    <s v="Delivered"/>
    <s v="Express"/>
    <n v="1"/>
  </r>
  <r>
    <s v="ORD200787"/>
    <s v="CUST100019"/>
    <s v="Men"/>
    <s v="35-44"/>
    <x v="37"/>
    <x v="3"/>
    <x v="5"/>
    <x v="2"/>
    <n v="10"/>
    <s v="Red"/>
    <n v="3"/>
    <n v="5899"/>
    <n v="20"/>
    <n v="4720"/>
    <n v="14160"/>
    <s v="Net Banking"/>
    <x v="2"/>
    <s v="India"/>
    <x v="26"/>
    <s v="Kozhikode"/>
    <s v="Lifestyle Shopper"/>
    <x v="0"/>
    <n v="4.7"/>
    <s v="Delivered"/>
    <s v="Express"/>
    <n v="2"/>
  </r>
  <r>
    <s v="ORD202580"/>
    <s v="CUST100165"/>
    <s v="Unisex"/>
    <s v="35-44"/>
    <x v="37"/>
    <x v="2"/>
    <x v="25"/>
    <x v="3"/>
    <n v="7"/>
    <s v="Blue"/>
    <n v="2"/>
    <n v="6699"/>
    <n v="10"/>
    <n v="6030"/>
    <n v="12060"/>
    <s v="UPI"/>
    <x v="2"/>
    <s v="India"/>
    <x v="1"/>
    <s v="Margao"/>
    <s v="Lifestyle Shopper"/>
    <x v="0"/>
    <n v="5"/>
    <s v="Delivered"/>
    <s v="Standard"/>
    <n v="5"/>
  </r>
  <r>
    <s v="ORD200379"/>
    <s v="CUST100498"/>
    <s v="Men"/>
    <s v="25-34"/>
    <x v="38"/>
    <x v="5"/>
    <x v="15"/>
    <x v="4"/>
    <n v="9"/>
    <s v="Blue"/>
    <n v="1"/>
    <n v="5999"/>
    <n v="0"/>
    <n v="6000"/>
    <n v="6000"/>
    <s v="Cash on Delivery"/>
    <x v="2"/>
    <s v="India"/>
    <x v="10"/>
    <s v="Silvassa"/>
    <s v="Premium Shopper"/>
    <x v="0"/>
    <n v="4.5"/>
    <s v="Delivered"/>
    <s v="Same Day"/>
    <n v="1"/>
  </r>
  <r>
    <s v="ORD201097"/>
    <s v="CUST100022"/>
    <s v="Unisex"/>
    <s v="25-34"/>
    <x v="38"/>
    <x v="4"/>
    <x v="26"/>
    <x v="3"/>
    <n v="8"/>
    <s v="Blue"/>
    <n v="2"/>
    <n v="7299"/>
    <n v="35"/>
    <n v="4740"/>
    <n v="9480"/>
    <s v="Debit/Credit Card"/>
    <x v="0"/>
    <s v="India"/>
    <x v="28"/>
    <s v="Leh"/>
    <s v="Performance Seeker"/>
    <x v="0"/>
    <n v="4.7"/>
    <s v="Delivered"/>
    <s v="Standard"/>
    <n v="1"/>
  </r>
  <r>
    <s v="ORD201065"/>
    <s v="CUST100011"/>
    <s v="Women"/>
    <s v="25-34"/>
    <x v="39"/>
    <x v="5"/>
    <x v="27"/>
    <x v="0"/>
    <n v="10"/>
    <s v="Grey"/>
    <n v="1"/>
    <n v="8599"/>
    <n v="10"/>
    <n v="7740"/>
    <n v="7740"/>
    <s v="Debit/Credit Card"/>
    <x v="1"/>
    <s v="India"/>
    <x v="6"/>
    <s v="Kanpur"/>
    <s v="Premium Shopper"/>
    <x v="0"/>
    <n v="3.4"/>
    <s v="Delivered"/>
    <s v="Standard"/>
    <n v="2"/>
  </r>
  <r>
    <s v="ORD201852"/>
    <s v="CUST100084"/>
    <s v="Men"/>
    <s v="25-34"/>
    <x v="39"/>
    <x v="0"/>
    <x v="19"/>
    <x v="4"/>
    <n v="10"/>
    <s v="Black"/>
    <n v="2"/>
    <n v="4399"/>
    <n v="40"/>
    <n v="2640"/>
    <n v="5280"/>
    <s v="Net Banking"/>
    <x v="0"/>
    <s v="India"/>
    <x v="12"/>
    <s v="Diglipur"/>
    <s v="Lifestyle Shopper"/>
    <x v="0"/>
    <n v="4.0999999999999996"/>
    <s v="Delivered"/>
    <s v="Standard"/>
    <n v="4"/>
  </r>
  <r>
    <s v="ORD201848"/>
    <s v="CUST100578"/>
    <s v="Men"/>
    <s v="45-54"/>
    <x v="40"/>
    <x v="1"/>
    <x v="1"/>
    <x v="1"/>
    <n v="12"/>
    <s v="Blue"/>
    <n v="1"/>
    <n v="7899"/>
    <n v="15"/>
    <n v="6710"/>
    <n v="6710"/>
    <s v="Debit/Credit Card"/>
    <x v="2"/>
    <s v="India"/>
    <x v="29"/>
    <s v="Visakhapatnam"/>
    <s v="Lifestyle Shopper"/>
    <x v="0"/>
    <n v="4.0999999999999996"/>
    <s v="Delivered"/>
    <s v="Standard"/>
    <n v="2"/>
  </r>
  <r>
    <s v="ORD202244"/>
    <s v="CUST100093"/>
    <s v="Men"/>
    <s v="18-24"/>
    <x v="41"/>
    <x v="3"/>
    <x v="28"/>
    <x v="1"/>
    <n v="11"/>
    <s v="White"/>
    <n v="1"/>
    <n v="7599"/>
    <n v="25"/>
    <n v="5700"/>
    <n v="5700"/>
    <s v="Net Banking"/>
    <x v="1"/>
    <s v="India"/>
    <x v="23"/>
    <s v="Dehradun"/>
    <s v="Value Shopper"/>
    <x v="0"/>
    <n v="4.4000000000000004"/>
    <s v="Delivered"/>
    <s v="Standard"/>
    <n v="1"/>
  </r>
  <r>
    <s v="ORD200742"/>
    <s v="CUST100040"/>
    <s v="Men"/>
    <s v="25-34"/>
    <x v="42"/>
    <x v="0"/>
    <x v="19"/>
    <x v="4"/>
    <n v="7"/>
    <s v="Black"/>
    <n v="1"/>
    <n v="7799"/>
    <n v="15"/>
    <n v="6630"/>
    <n v="6630"/>
    <s v="Debit/Credit Card"/>
    <x v="1"/>
    <s v="India"/>
    <x v="9"/>
    <s v="Gaya"/>
    <s v="Premium Shopper"/>
    <x v="0"/>
    <n v="4.5999999999999996"/>
    <s v="Delivered"/>
    <s v="Same Day"/>
    <n v="1"/>
  </r>
  <r>
    <s v="ORD203054"/>
    <s v="CUST100328"/>
    <s v="Men"/>
    <s v="45-54"/>
    <x v="42"/>
    <x v="3"/>
    <x v="11"/>
    <x v="4"/>
    <n v="10"/>
    <s v="Green"/>
    <n v="1"/>
    <n v="5099"/>
    <n v="5"/>
    <n v="4840"/>
    <n v="4840"/>
    <s v="UPI"/>
    <x v="1"/>
    <s v="India"/>
    <x v="10"/>
    <s v="Diu"/>
    <s v="Comfort Shopper"/>
    <x v="0"/>
    <n v="3.5"/>
    <s v="Cancelled"/>
    <s v="Standard"/>
    <n v="1"/>
  </r>
  <r>
    <s v="ORD201235"/>
    <s v="CUST100615"/>
    <s v="Women"/>
    <s v="45-54"/>
    <x v="43"/>
    <x v="2"/>
    <x v="25"/>
    <x v="3"/>
    <n v="6"/>
    <s v="White"/>
    <n v="1"/>
    <n v="5199"/>
    <n v="10"/>
    <n v="4680"/>
    <n v="4680"/>
    <s v="Cash on Delivery"/>
    <x v="1"/>
    <s v="India"/>
    <x v="19"/>
    <s v="Tura"/>
    <s v="Performance Seeker"/>
    <x v="0"/>
    <n v="3.6"/>
    <s v="Delivered"/>
    <s v="Express"/>
    <n v="1"/>
  </r>
  <r>
    <s v="ORD200271"/>
    <s v="CUST100108"/>
    <s v="Unisex"/>
    <s v="18-24"/>
    <x v="44"/>
    <x v="4"/>
    <x v="29"/>
    <x v="2"/>
    <n v="8"/>
    <s v="Grey"/>
    <n v="1"/>
    <n v="8799"/>
    <n v="25"/>
    <n v="6600"/>
    <n v="6600"/>
    <s v="Cash on Delivery"/>
    <x v="1"/>
    <s v="India"/>
    <x v="1"/>
    <s v="Mapusa"/>
    <s v="Premium Shopper"/>
    <x v="0"/>
    <n v="4.4000000000000004"/>
    <s v="Delivered"/>
    <s v="Express"/>
    <n v="1"/>
  </r>
  <r>
    <s v="ORD202493"/>
    <s v="CUST100284"/>
    <s v="Women"/>
    <s v="35-44"/>
    <x v="44"/>
    <x v="2"/>
    <x v="3"/>
    <x v="2"/>
    <n v="6"/>
    <s v="Black"/>
    <n v="1"/>
    <n v="3599"/>
    <n v="30"/>
    <n v="2520"/>
    <n v="2520"/>
    <s v="Debit/Credit Card"/>
    <x v="0"/>
    <s v="India"/>
    <x v="16"/>
    <s v="Surat"/>
    <s v="Performance Seeker"/>
    <x v="1"/>
    <n v="3.7"/>
    <s v="Delivered"/>
    <s v="Standard"/>
    <n v="4"/>
  </r>
  <r>
    <s v="ORD200079"/>
    <s v="CUST100130"/>
    <s v="Unisex"/>
    <s v="35-44"/>
    <x v="45"/>
    <x v="2"/>
    <x v="3"/>
    <x v="2"/>
    <n v="8"/>
    <s v="Black"/>
    <n v="3"/>
    <n v="5399"/>
    <n v="25"/>
    <n v="4050"/>
    <n v="12150"/>
    <s v="UPI"/>
    <x v="1"/>
    <s v="India"/>
    <x v="3"/>
    <s v="Jodhpur"/>
    <s v="Lifestyle Shopper"/>
    <x v="0"/>
    <n v="4.3"/>
    <s v="Delivered"/>
    <s v="Standard"/>
    <n v="2"/>
  </r>
  <r>
    <s v="ORD202206"/>
    <s v="CUST100307"/>
    <s v="Women"/>
    <s v="18-24"/>
    <x v="46"/>
    <x v="5"/>
    <x v="15"/>
    <x v="4"/>
    <n v="10"/>
    <s v="White"/>
    <n v="2"/>
    <n v="5399"/>
    <n v="10"/>
    <n v="4860"/>
    <n v="9720"/>
    <s v="Cash on Delivery"/>
    <x v="1"/>
    <s v="India"/>
    <x v="26"/>
    <s v="Kozhikode"/>
    <s v="Value Shopper"/>
    <x v="0"/>
    <n v="2.9"/>
    <s v="Delivered"/>
    <s v="Standard"/>
    <n v="5"/>
  </r>
  <r>
    <s v="ORD201786"/>
    <s v="CUST100467"/>
    <s v="Women"/>
    <s v="35-44"/>
    <x v="47"/>
    <x v="5"/>
    <x v="30"/>
    <x v="2"/>
    <n v="7"/>
    <s v="Blue"/>
    <n v="1"/>
    <n v="7699"/>
    <n v="20"/>
    <n v="6160"/>
    <n v="6160"/>
    <s v="UPI"/>
    <x v="0"/>
    <s v="India"/>
    <x v="14"/>
    <s v="Jalandhar"/>
    <s v="Performance Seeker"/>
    <x v="0"/>
    <n v="3"/>
    <s v="Delivered"/>
    <s v="Express"/>
    <n v="3"/>
  </r>
  <r>
    <s v="ORD200992"/>
    <s v="CUST100275"/>
    <s v="Women"/>
    <s v="18-24"/>
    <x v="48"/>
    <x v="4"/>
    <x v="17"/>
    <x v="4"/>
    <n v="6"/>
    <s v="White"/>
    <n v="1"/>
    <n v="8299"/>
    <n v="25"/>
    <n v="6220"/>
    <n v="6220"/>
    <s v="UPI"/>
    <x v="1"/>
    <s v="India"/>
    <x v="14"/>
    <s v="Amritsar"/>
    <s v="Performance Seeker"/>
    <x v="1"/>
    <n v="3.7"/>
    <s v="Returned"/>
    <s v="Standard"/>
    <n v="4"/>
  </r>
  <r>
    <s v="ORD202855"/>
    <s v="CUST100138"/>
    <s v="Women"/>
    <s v="25-34"/>
    <x v="49"/>
    <x v="5"/>
    <x v="14"/>
    <x v="3"/>
    <n v="11"/>
    <s v="Black"/>
    <n v="2"/>
    <n v="9599"/>
    <n v="25"/>
    <n v="7200"/>
    <n v="14400"/>
    <s v="UPI"/>
    <x v="1"/>
    <s v="India"/>
    <x v="26"/>
    <s v="Thrissur"/>
    <s v="Premium Shopper"/>
    <x v="0"/>
    <n v="3.8"/>
    <s v="Delivered"/>
    <s v="Standard"/>
    <n v="3"/>
  </r>
  <r>
    <s v="ORD200093"/>
    <s v="CUST100182"/>
    <s v="Women"/>
    <s v="25-34"/>
    <x v="50"/>
    <x v="0"/>
    <x v="19"/>
    <x v="4"/>
    <n v="8"/>
    <s v="Grey"/>
    <n v="1"/>
    <n v="3699"/>
    <n v="20"/>
    <n v="2960"/>
    <n v="2960"/>
    <s v="Net Banking"/>
    <x v="0"/>
    <s v="India"/>
    <x v="7"/>
    <s v="Jabalpur"/>
    <s v="Premium Shopper"/>
    <x v="0"/>
    <n v="3.5"/>
    <s v="Delivered"/>
    <s v="Express"/>
    <n v="4"/>
  </r>
  <r>
    <s v="ORD200299"/>
    <s v="CUST100108"/>
    <s v="Men"/>
    <s v="45-54"/>
    <x v="51"/>
    <x v="0"/>
    <x v="19"/>
    <x v="4"/>
    <n v="7"/>
    <s v="Red"/>
    <n v="3"/>
    <n v="5299"/>
    <n v="15"/>
    <n v="4500"/>
    <n v="13500"/>
    <s v="Net Banking"/>
    <x v="0"/>
    <s v="India"/>
    <x v="21"/>
    <s v="Dimapur"/>
    <s v="Performance Seeker"/>
    <x v="1"/>
    <n v="5"/>
    <s v="Delivered"/>
    <s v="Express"/>
    <n v="2"/>
  </r>
  <r>
    <s v="ORD202360"/>
    <s v="CUST100846"/>
    <s v="Women"/>
    <s v="45-54"/>
    <x v="51"/>
    <x v="0"/>
    <x v="13"/>
    <x v="2"/>
    <n v="12"/>
    <s v="Black"/>
    <n v="1"/>
    <n v="7999"/>
    <n v="0"/>
    <n v="8000"/>
    <n v="8000"/>
    <s v="Debit/Credit Card"/>
    <x v="2"/>
    <s v="India"/>
    <x v="5"/>
    <s v="Churachandpur"/>
    <s v="Performance Seeker"/>
    <x v="0"/>
    <n v="4.0999999999999996"/>
    <s v="Delivered"/>
    <s v="Express"/>
    <n v="3"/>
  </r>
  <r>
    <s v="ORD202249"/>
    <s v="CUST101035"/>
    <s v="Women"/>
    <s v="25-34"/>
    <x v="52"/>
    <x v="2"/>
    <x v="23"/>
    <x v="0"/>
    <n v="9"/>
    <s v="White"/>
    <n v="1"/>
    <n v="6999"/>
    <n v="5"/>
    <n v="6650"/>
    <n v="6650"/>
    <s v="UPI"/>
    <x v="1"/>
    <s v="India"/>
    <x v="30"/>
    <s v="Chandigarh"/>
    <s v="Comfort Shopper"/>
    <x v="0"/>
    <n v="3.3"/>
    <s v="Delivered"/>
    <s v="Standard"/>
    <n v="2"/>
  </r>
  <r>
    <s v="ORD202840"/>
    <s v="CUST100166"/>
    <s v="Men"/>
    <s v="45-54"/>
    <x v="53"/>
    <x v="5"/>
    <x v="7"/>
    <x v="1"/>
    <n v="11"/>
    <s v="Grey"/>
    <n v="3"/>
    <n v="7999"/>
    <n v="10"/>
    <n v="7200"/>
    <n v="21600"/>
    <s v="Debit/Credit Card"/>
    <x v="1"/>
    <s v="India"/>
    <x v="20"/>
    <s v="Solan"/>
    <s v="Value Shopper"/>
    <x v="0"/>
    <n v="4.5"/>
    <s v="Delivered"/>
    <s v="Express"/>
    <n v="2"/>
  </r>
  <r>
    <s v="ORD200393"/>
    <s v="CUST100971"/>
    <s v="Men"/>
    <s v="25-34"/>
    <x v="54"/>
    <x v="0"/>
    <x v="8"/>
    <x v="3"/>
    <n v="10"/>
    <s v="Red"/>
    <n v="1"/>
    <n v="7099"/>
    <n v="15"/>
    <n v="6030"/>
    <n v="6030"/>
    <s v="Debit/Credit Card"/>
    <x v="1"/>
    <s v="India"/>
    <x v="15"/>
    <s v="Rohini"/>
    <s v="Comfort Shopper"/>
    <x v="0"/>
    <n v="3.6"/>
    <s v="Delivered"/>
    <s v="Express"/>
    <n v="2"/>
  </r>
  <r>
    <s v="ORD202504"/>
    <s v="CUST100709"/>
    <s v="Men"/>
    <s v="18-24"/>
    <x v="55"/>
    <x v="0"/>
    <x v="31"/>
    <x v="1"/>
    <n v="6"/>
    <s v="Grey"/>
    <n v="1"/>
    <n v="6899"/>
    <n v="15"/>
    <n v="5860"/>
    <n v="5860"/>
    <s v="UPI"/>
    <x v="1"/>
    <s v="India"/>
    <x v="16"/>
    <s v="Vadodara"/>
    <s v="Lifestyle Shopper"/>
    <x v="0"/>
    <n v="4.2"/>
    <s v="Delivered"/>
    <s v="Standard"/>
    <n v="3"/>
  </r>
  <r>
    <s v="ORD200051"/>
    <s v="CUST100036"/>
    <s v="Men"/>
    <s v="45-54"/>
    <x v="56"/>
    <x v="2"/>
    <x v="24"/>
    <x v="4"/>
    <n v="10"/>
    <s v="Blue"/>
    <n v="1"/>
    <n v="6299"/>
    <n v="20"/>
    <n v="5040"/>
    <n v="5040"/>
    <s v="Cash on Delivery"/>
    <x v="0"/>
    <s v="India"/>
    <x v="29"/>
    <s v="Vijayawada"/>
    <s v="Comfort Shopper"/>
    <x v="0"/>
    <n v="4.5"/>
    <s v="Delivered"/>
    <s v="Standard"/>
    <n v="6"/>
  </r>
  <r>
    <s v="ORD201177"/>
    <s v="CUST100646"/>
    <s v="Women"/>
    <s v="18-24"/>
    <x v="56"/>
    <x v="0"/>
    <x v="8"/>
    <x v="3"/>
    <n v="11"/>
    <s v="Blue"/>
    <n v="1"/>
    <n v="8399"/>
    <n v="30"/>
    <n v="5880"/>
    <n v="5880"/>
    <s v="Net Banking"/>
    <x v="1"/>
    <s v="India"/>
    <x v="31"/>
    <s v="Chennai"/>
    <s v="Performance Seeker"/>
    <x v="0"/>
    <n v="3.9"/>
    <s v="Delivered"/>
    <s v="Standard"/>
    <n v="4"/>
  </r>
  <r>
    <s v="ORD200634"/>
    <s v="CUST100636"/>
    <s v="Men"/>
    <s v="25-34"/>
    <x v="57"/>
    <x v="0"/>
    <x v="2"/>
    <x v="2"/>
    <n v="7"/>
    <s v="Green"/>
    <n v="1"/>
    <n v="8399"/>
    <n v="20"/>
    <n v="6720"/>
    <n v="6720"/>
    <s v="Debit/Credit Card"/>
    <x v="1"/>
    <s v="India"/>
    <x v="32"/>
    <s v="Ranchi"/>
    <s v="Comfort Shopper"/>
    <x v="0"/>
    <n v="3.3"/>
    <s v="Delivered"/>
    <s v="Express"/>
    <n v="1"/>
  </r>
  <r>
    <s v="ORD201406"/>
    <s v="CUST100111"/>
    <s v="Women"/>
    <s v="25-34"/>
    <x v="57"/>
    <x v="0"/>
    <x v="19"/>
    <x v="4"/>
    <n v="7"/>
    <s v="Blue"/>
    <n v="1"/>
    <n v="3599"/>
    <n v="20"/>
    <n v="2880"/>
    <n v="2880"/>
    <s v="Cash on Delivery"/>
    <x v="2"/>
    <s v="India"/>
    <x v="12"/>
    <s v="Mayabunder"/>
    <s v="Premium Shopper"/>
    <x v="0"/>
    <n v="3.2"/>
    <s v="Returned"/>
    <s v="Same Day"/>
    <n v="1"/>
  </r>
  <r>
    <s v="ORD200687"/>
    <s v="CUST100493"/>
    <s v="Women"/>
    <s v="45-54"/>
    <x v="58"/>
    <x v="2"/>
    <x v="32"/>
    <x v="1"/>
    <n v="7"/>
    <s v="Green"/>
    <n v="2"/>
    <n v="7499"/>
    <n v="5"/>
    <n v="7120"/>
    <n v="14240"/>
    <s v="Debit/Credit Card"/>
    <x v="2"/>
    <s v="India"/>
    <x v="28"/>
    <s v="Kargil"/>
    <s v="Value Shopper"/>
    <x v="0"/>
    <n v="4.2"/>
    <s v="Delivered"/>
    <s v="Standard"/>
    <n v="3"/>
  </r>
  <r>
    <s v="ORD202629"/>
    <s v="CUST100293"/>
    <s v="Men"/>
    <s v="18-24"/>
    <x v="59"/>
    <x v="1"/>
    <x v="10"/>
    <x v="3"/>
    <n v="9"/>
    <s v="White"/>
    <n v="1"/>
    <n v="7899"/>
    <n v="20"/>
    <n v="6320"/>
    <n v="6320"/>
    <s v="UPI"/>
    <x v="2"/>
    <s v="India"/>
    <x v="14"/>
    <s v="Patiala"/>
    <s v="Lifestyle Shopper"/>
    <x v="0"/>
    <n v="4.5999999999999996"/>
    <s v="Delivered"/>
    <s v="Standard"/>
    <n v="5"/>
  </r>
  <r>
    <s v="ORD201818"/>
    <s v="CUST100027"/>
    <s v="Women"/>
    <s v="18-24"/>
    <x v="60"/>
    <x v="5"/>
    <x v="30"/>
    <x v="2"/>
    <n v="10"/>
    <s v="Green"/>
    <n v="1"/>
    <n v="4999"/>
    <n v="10"/>
    <n v="4500"/>
    <n v="4500"/>
    <s v="Debit/Credit Card"/>
    <x v="1"/>
    <s v="India"/>
    <x v="9"/>
    <s v="Muzaffarpur"/>
    <s v="Value Shopper"/>
    <x v="0"/>
    <n v="3.7"/>
    <s v="Delivered"/>
    <s v="Standard"/>
    <n v="4"/>
  </r>
  <r>
    <s v="ORD202888"/>
    <s v="CUST100755"/>
    <s v="Women"/>
    <s v="45-54"/>
    <x v="60"/>
    <x v="4"/>
    <x v="26"/>
    <x v="3"/>
    <n v="8"/>
    <s v="Black"/>
    <n v="1"/>
    <n v="8199"/>
    <n v="15"/>
    <n v="6970"/>
    <n v="6970"/>
    <s v="UPI"/>
    <x v="1"/>
    <s v="India"/>
    <x v="12"/>
    <s v="Port Blair"/>
    <s v="Performance Seeker"/>
    <x v="0"/>
    <n v="5"/>
    <s v="Delivered"/>
    <s v="Same Day"/>
    <n v="2"/>
  </r>
  <r>
    <s v="ORD200318"/>
    <s v="CUST100228"/>
    <s v="Unisex"/>
    <s v="45-54"/>
    <x v="61"/>
    <x v="2"/>
    <x v="24"/>
    <x v="4"/>
    <n v="10"/>
    <s v="Green"/>
    <n v="1"/>
    <n v="4899"/>
    <n v="20"/>
    <n v="3920"/>
    <n v="3920"/>
    <s v="UPI"/>
    <x v="1"/>
    <s v="India"/>
    <x v="25"/>
    <s v="Anantnag"/>
    <s v="Value Shopper"/>
    <x v="0"/>
    <n v="4.7"/>
    <s v="Cancelled"/>
    <s v="Express"/>
    <n v="1"/>
  </r>
  <r>
    <s v="ORD201683"/>
    <s v="CUST100886"/>
    <s v="Women"/>
    <s v="18-24"/>
    <x v="61"/>
    <x v="4"/>
    <x v="26"/>
    <x v="3"/>
    <n v="7"/>
    <s v="Red"/>
    <n v="1"/>
    <n v="8399"/>
    <n v="10"/>
    <n v="7560"/>
    <n v="7560"/>
    <s v="UPI"/>
    <x v="2"/>
    <s v="India"/>
    <x v="15"/>
    <s v="Dwarka"/>
    <s v="Value Shopper"/>
    <x v="0"/>
    <n v="4.4000000000000004"/>
    <s v="Returned"/>
    <s v="Same Day"/>
    <n v="1"/>
  </r>
  <r>
    <s v="ORD202060"/>
    <s v="CUST100021"/>
    <s v="Men"/>
    <s v="25-34"/>
    <x v="61"/>
    <x v="1"/>
    <x v="12"/>
    <x v="4"/>
    <n v="7"/>
    <s v="Black"/>
    <n v="1"/>
    <n v="5799"/>
    <n v="10"/>
    <n v="5220"/>
    <n v="5220"/>
    <s v="UPI"/>
    <x v="0"/>
    <s v="India"/>
    <x v="9"/>
    <s v="Bhagalpur"/>
    <s v="Performance Seeker"/>
    <x v="0"/>
    <n v="4.8"/>
    <s v="Cancelled"/>
    <s v="Standard"/>
    <n v="1"/>
  </r>
  <r>
    <s v="ORD201194"/>
    <s v="CUST100326"/>
    <s v="Women"/>
    <s v="35-44"/>
    <x v="62"/>
    <x v="5"/>
    <x v="7"/>
    <x v="1"/>
    <n v="8"/>
    <s v="White"/>
    <n v="1"/>
    <n v="7299"/>
    <n v="15"/>
    <n v="6200"/>
    <n v="6200"/>
    <s v="Cash on Delivery"/>
    <x v="2"/>
    <s v="India"/>
    <x v="33"/>
    <s v="Mumbai"/>
    <s v="Comfort Shopper"/>
    <x v="1"/>
    <n v="3.9"/>
    <s v="Delivered"/>
    <s v="Express"/>
    <n v="3"/>
  </r>
  <r>
    <s v="ORD200996"/>
    <s v="CUST100048"/>
    <s v="Men"/>
    <s v="45-54"/>
    <x v="63"/>
    <x v="0"/>
    <x v="0"/>
    <x v="0"/>
    <n v="9"/>
    <s v="Black"/>
    <n v="1"/>
    <n v="4999"/>
    <n v="30"/>
    <n v="3500"/>
    <n v="3500"/>
    <s v="Cash on Delivery"/>
    <x v="1"/>
    <s v="India"/>
    <x v="25"/>
    <s v="Anantnag"/>
    <s v="Premium Shopper"/>
    <x v="0"/>
    <n v="5"/>
    <s v="Delivered"/>
    <s v="Express"/>
    <n v="3"/>
  </r>
  <r>
    <s v="ORD201774"/>
    <s v="CUST100397"/>
    <s v="Women"/>
    <s v="35-44"/>
    <x v="63"/>
    <x v="0"/>
    <x v="2"/>
    <x v="2"/>
    <n v="11"/>
    <s v="Blue"/>
    <n v="1"/>
    <n v="4499"/>
    <n v="25"/>
    <n v="3370"/>
    <n v="3370"/>
    <s v="Net Banking"/>
    <x v="1"/>
    <s v="India"/>
    <x v="29"/>
    <s v="Guntur"/>
    <s v="Value Shopper"/>
    <x v="0"/>
    <n v="4.7"/>
    <s v="Delivered"/>
    <s v="Express"/>
    <n v="3"/>
  </r>
  <r>
    <s v="ORD201035"/>
    <s v="CUST100112"/>
    <s v="Women"/>
    <s v="25-34"/>
    <x v="64"/>
    <x v="2"/>
    <x v="32"/>
    <x v="1"/>
    <n v="8"/>
    <s v="White"/>
    <n v="2"/>
    <n v="4299"/>
    <n v="15"/>
    <n v="3650"/>
    <n v="7300"/>
    <s v="Net Banking"/>
    <x v="1"/>
    <s v="India"/>
    <x v="26"/>
    <s v="Thiruvananthapuram"/>
    <s v="Comfort Shopper"/>
    <x v="0"/>
    <n v="2.5"/>
    <s v="Returned"/>
    <s v="Standard"/>
    <n v="4"/>
  </r>
  <r>
    <s v="ORD200524"/>
    <s v="CUST100888"/>
    <s v="Men"/>
    <s v="25-34"/>
    <x v="65"/>
    <x v="5"/>
    <x v="15"/>
    <x v="4"/>
    <n v="10"/>
    <s v="Grey"/>
    <n v="1"/>
    <n v="4899"/>
    <n v="20"/>
    <n v="3920"/>
    <n v="3920"/>
    <s v="UPI"/>
    <x v="1"/>
    <s v="India"/>
    <x v="30"/>
    <s v="Manimajra"/>
    <s v="Comfort Shopper"/>
    <x v="1"/>
    <n v="2.9"/>
    <s v="Cancelled"/>
    <s v="Standard"/>
    <n v="7"/>
  </r>
  <r>
    <s v="ORD201604"/>
    <s v="CUST100569"/>
    <s v="Women"/>
    <s v="25-34"/>
    <x v="65"/>
    <x v="5"/>
    <x v="7"/>
    <x v="1"/>
    <n v="11"/>
    <s v="Green"/>
    <n v="1"/>
    <n v="6099"/>
    <n v="25"/>
    <n v="4570"/>
    <n v="4570"/>
    <s v="Cash on Delivery"/>
    <x v="1"/>
    <s v="India"/>
    <x v="20"/>
    <s v="Mandi"/>
    <s v="Lifestyle Shopper"/>
    <x v="0"/>
    <n v="5"/>
    <s v="Delivered"/>
    <s v="Standard"/>
    <n v="4"/>
  </r>
  <r>
    <s v="ORD201953"/>
    <s v="CUST100517"/>
    <s v="Men"/>
    <s v="25-34"/>
    <x v="66"/>
    <x v="0"/>
    <x v="19"/>
    <x v="4"/>
    <n v="6"/>
    <s v="Green"/>
    <n v="1"/>
    <n v="5799"/>
    <n v="5"/>
    <n v="5510"/>
    <n v="5510"/>
    <s v="Cash on Delivery"/>
    <x v="1"/>
    <s v="India"/>
    <x v="2"/>
    <s v="Panipat"/>
    <s v="Performance Seeker"/>
    <x v="0"/>
    <n v="3.8"/>
    <s v="Cancelled"/>
    <s v="Standard"/>
    <n v="3"/>
  </r>
  <r>
    <s v="ORD202624"/>
    <s v="CUST100672"/>
    <s v="Men"/>
    <s v="25-34"/>
    <x v="67"/>
    <x v="1"/>
    <x v="33"/>
    <x v="0"/>
    <n v="7"/>
    <s v="Blue"/>
    <n v="3"/>
    <n v="9599"/>
    <n v="5"/>
    <n v="9120"/>
    <n v="27360"/>
    <s v="UPI"/>
    <x v="2"/>
    <s v="India"/>
    <x v="25"/>
    <s v="Srinagar"/>
    <s v="Lifestyle Shopper"/>
    <x v="1"/>
    <n v="4.4000000000000004"/>
    <s v="Returned"/>
    <s v="Express"/>
    <n v="2"/>
  </r>
  <r>
    <s v="ORD201878"/>
    <s v="CUST100876"/>
    <s v="Unisex"/>
    <s v="25-34"/>
    <x v="68"/>
    <x v="5"/>
    <x v="30"/>
    <x v="2"/>
    <n v="11"/>
    <s v="Blue"/>
    <n v="1"/>
    <n v="5899"/>
    <n v="0"/>
    <n v="5900"/>
    <n v="5900"/>
    <s v="Cash on Delivery"/>
    <x v="1"/>
    <s v="India"/>
    <x v="23"/>
    <s v="Rishikesh"/>
    <s v="Lifestyle Shopper"/>
    <x v="0"/>
    <n v="4.4000000000000004"/>
    <s v="Cancelled"/>
    <s v="Standard"/>
    <n v="2"/>
  </r>
  <r>
    <s v="ORD201744"/>
    <s v="CUST100220"/>
    <s v="Women"/>
    <s v="25-34"/>
    <x v="69"/>
    <x v="5"/>
    <x v="27"/>
    <x v="0"/>
    <n v="10"/>
    <s v="Black"/>
    <n v="1"/>
    <n v="9599"/>
    <n v="25"/>
    <n v="7200"/>
    <n v="7200"/>
    <s v="Cash on Delivery"/>
    <x v="1"/>
    <s v="India"/>
    <x v="7"/>
    <s v="Jabalpur"/>
    <s v="Performance Seeker"/>
    <x v="0"/>
    <n v="4.5999999999999996"/>
    <s v="Delivered"/>
    <s v="Standard"/>
    <n v="4"/>
  </r>
  <r>
    <s v="ORD202200"/>
    <s v="CUST100052"/>
    <s v="Men"/>
    <s v="45-54"/>
    <x v="70"/>
    <x v="4"/>
    <x v="26"/>
    <x v="3"/>
    <n v="9"/>
    <s v="Grey"/>
    <n v="1"/>
    <n v="8599"/>
    <n v="0"/>
    <n v="8600"/>
    <n v="8600"/>
    <s v="Net Banking"/>
    <x v="1"/>
    <s v="India"/>
    <x v="16"/>
    <s v="Rajkot"/>
    <s v="Comfort Shopper"/>
    <x v="0"/>
    <n v="4.3"/>
    <s v="Delivered"/>
    <s v="Standard"/>
    <n v="2"/>
  </r>
  <r>
    <s v="ORD203159"/>
    <s v="CUST100378"/>
    <s v="Women"/>
    <s v="25-34"/>
    <x v="70"/>
    <x v="0"/>
    <x v="31"/>
    <x v="1"/>
    <n v="7"/>
    <s v="Green"/>
    <n v="2"/>
    <n v="9199"/>
    <n v="20"/>
    <n v="7360"/>
    <n v="14720"/>
    <s v="Debit/Credit Card"/>
    <x v="0"/>
    <s v="India"/>
    <x v="24"/>
    <s v="Mysuru"/>
    <s v="Premium Shopper"/>
    <x v="0"/>
    <n v="3.9"/>
    <s v="Delivered"/>
    <s v="Standard"/>
    <n v="6"/>
  </r>
  <r>
    <s v="ORD201862"/>
    <s v="CUST100150"/>
    <s v="Women"/>
    <s v="25-34"/>
    <x v="71"/>
    <x v="4"/>
    <x v="22"/>
    <x v="0"/>
    <n v="7"/>
    <s v="Blue"/>
    <n v="1"/>
    <n v="8699"/>
    <n v="15"/>
    <n v="7390"/>
    <n v="7390"/>
    <s v="Debit/Credit Card"/>
    <x v="2"/>
    <s v="India"/>
    <x v="24"/>
    <s v="Mangaluru"/>
    <s v="Comfort Shopper"/>
    <x v="0"/>
    <n v="4.2"/>
    <s v="Delivered"/>
    <s v="Standard"/>
    <n v="5"/>
  </r>
  <r>
    <s v="ORD201752"/>
    <s v="CUST100029"/>
    <s v="Men"/>
    <s v="45-54"/>
    <x v="72"/>
    <x v="5"/>
    <x v="7"/>
    <x v="1"/>
    <n v="10"/>
    <s v="Red"/>
    <n v="1"/>
    <n v="6399"/>
    <n v="15"/>
    <n v="5440"/>
    <n v="5440"/>
    <s v="Debit/Credit Card"/>
    <x v="2"/>
    <s v="India"/>
    <x v="34"/>
    <s v="Kolkata"/>
    <s v="Lifestyle Shopper"/>
    <x v="0"/>
    <n v="3.6"/>
    <s v="Delivered"/>
    <s v="Same Day"/>
    <n v="2"/>
  </r>
  <r>
    <s v="ORD202044"/>
    <s v="CUST100793"/>
    <s v="Men"/>
    <s v="18-24"/>
    <x v="73"/>
    <x v="3"/>
    <x v="28"/>
    <x v="1"/>
    <n v="9"/>
    <s v="Black"/>
    <n v="1"/>
    <n v="7599"/>
    <n v="30"/>
    <n v="5320"/>
    <n v="5320"/>
    <s v="Debit/Credit Card"/>
    <x v="1"/>
    <s v="India"/>
    <x v="20"/>
    <s v="Solan"/>
    <s v="Performance Seeker"/>
    <x v="1"/>
    <n v="3.8"/>
    <s v="Delivered"/>
    <s v="Standard"/>
    <n v="7"/>
  </r>
  <r>
    <s v="ORD200727"/>
    <s v="CUST100553"/>
    <s v="Unisex"/>
    <s v="35-44"/>
    <x v="74"/>
    <x v="1"/>
    <x v="1"/>
    <x v="1"/>
    <n v="11"/>
    <s v="White"/>
    <n v="1"/>
    <n v="5199"/>
    <n v="5"/>
    <n v="4940"/>
    <n v="4940"/>
    <s v="Cash on Delivery"/>
    <x v="1"/>
    <s v="India"/>
    <x v="7"/>
    <s v="Jabalpur"/>
    <s v="Premium Shopper"/>
    <x v="0"/>
    <n v="4.5"/>
    <s v="Delivered"/>
    <s v="Express"/>
    <n v="2"/>
  </r>
  <r>
    <s v="ORD202055"/>
    <s v="CUST101011"/>
    <s v="Men"/>
    <s v="25-34"/>
    <x v="75"/>
    <x v="1"/>
    <x v="33"/>
    <x v="0"/>
    <n v="9"/>
    <s v="Blue"/>
    <n v="1"/>
    <n v="6599"/>
    <n v="20"/>
    <n v="5280"/>
    <n v="5280"/>
    <s v="UPI"/>
    <x v="0"/>
    <s v="India"/>
    <x v="4"/>
    <s v="Namchi"/>
    <s v="Performance Seeker"/>
    <x v="0"/>
    <n v="4.3"/>
    <s v="Delivered"/>
    <s v="Same Day"/>
    <n v="1"/>
  </r>
  <r>
    <s v="ORD202596"/>
    <s v="CUST100119"/>
    <s v="Men"/>
    <s v="18-24"/>
    <x v="75"/>
    <x v="2"/>
    <x v="24"/>
    <x v="4"/>
    <n v="8"/>
    <s v="White"/>
    <n v="2"/>
    <n v="8099"/>
    <n v="20"/>
    <n v="6480"/>
    <n v="12960"/>
    <s v="Debit/Credit Card"/>
    <x v="0"/>
    <s v="India"/>
    <x v="22"/>
    <s v="Dharmanagar"/>
    <s v="Value Shopper"/>
    <x v="0"/>
    <n v="3.8"/>
    <s v="Cancelled"/>
    <s v="Standard"/>
    <n v="3"/>
  </r>
  <r>
    <s v="ORD202682"/>
    <s v="CUST100951"/>
    <s v="Women"/>
    <s v="18-24"/>
    <x v="76"/>
    <x v="0"/>
    <x v="31"/>
    <x v="1"/>
    <n v="10"/>
    <s v="Black"/>
    <n v="1"/>
    <n v="6999"/>
    <n v="10"/>
    <n v="6300"/>
    <n v="6300"/>
    <s v="Net Banking"/>
    <x v="2"/>
    <s v="India"/>
    <x v="31"/>
    <s v="Coimbatore"/>
    <s v="Lifestyle Shopper"/>
    <x v="0"/>
    <n v="4.9000000000000004"/>
    <s v="Cancelled"/>
    <s v="Standard"/>
    <n v="6"/>
  </r>
  <r>
    <s v="ORD200805"/>
    <s v="CUST100346"/>
    <s v="Men"/>
    <s v="25-34"/>
    <x v="77"/>
    <x v="2"/>
    <x v="23"/>
    <x v="0"/>
    <n v="7"/>
    <s v="Blue"/>
    <n v="1"/>
    <n v="7399"/>
    <n v="15"/>
    <n v="6290"/>
    <n v="6290"/>
    <s v="UPI"/>
    <x v="1"/>
    <s v="India"/>
    <x v="31"/>
    <s v="Madurai"/>
    <s v="Premium Shopper"/>
    <x v="0"/>
    <n v="4.4000000000000004"/>
    <s v="Returned"/>
    <s v="Express"/>
    <n v="2"/>
  </r>
  <r>
    <s v="ORD201503"/>
    <s v="CUST100152"/>
    <s v="Women"/>
    <s v="18-24"/>
    <x v="77"/>
    <x v="4"/>
    <x v="26"/>
    <x v="3"/>
    <n v="10"/>
    <s v="Red"/>
    <n v="1"/>
    <n v="4499"/>
    <n v="15"/>
    <n v="3820"/>
    <n v="3820"/>
    <s v="Debit/Credit Card"/>
    <x v="0"/>
    <s v="India"/>
    <x v="18"/>
    <s v="Bhilai"/>
    <s v="Value Shopper"/>
    <x v="0"/>
    <n v="4.0999999999999996"/>
    <s v="Delivered"/>
    <s v="Standard"/>
    <n v="3"/>
  </r>
  <r>
    <s v="ORD202929"/>
    <s v="CUST100920"/>
    <s v="Women"/>
    <s v="35-44"/>
    <x v="77"/>
    <x v="3"/>
    <x v="11"/>
    <x v="4"/>
    <n v="7"/>
    <s v="Green"/>
    <n v="2"/>
    <n v="4299"/>
    <n v="20"/>
    <n v="3440"/>
    <n v="6880"/>
    <s v="Net Banking"/>
    <x v="2"/>
    <s v="India"/>
    <x v="25"/>
    <s v="Srinagar"/>
    <s v="Lifestyle Shopper"/>
    <x v="0"/>
    <n v="3.5"/>
    <s v="Returned"/>
    <s v="Same Day"/>
    <n v="1"/>
  </r>
  <r>
    <s v="ORD201954"/>
    <s v="CUST100014"/>
    <s v="Unisex"/>
    <s v="35-44"/>
    <x v="78"/>
    <x v="4"/>
    <x v="9"/>
    <x v="1"/>
    <n v="6"/>
    <s v="Red"/>
    <n v="1"/>
    <n v="5899"/>
    <n v="15"/>
    <n v="5010"/>
    <n v="5010"/>
    <s v="Net Banking"/>
    <x v="1"/>
    <s v="India"/>
    <x v="26"/>
    <s v="Kozhikode"/>
    <s v="Value Shopper"/>
    <x v="0"/>
    <n v="3.4"/>
    <s v="Delivered"/>
    <s v="Standard"/>
    <n v="4"/>
  </r>
  <r>
    <s v="ORD201338"/>
    <s v="CUST100973"/>
    <s v="Women"/>
    <s v="25-34"/>
    <x v="79"/>
    <x v="0"/>
    <x v="19"/>
    <x v="4"/>
    <n v="8"/>
    <s v="Blue"/>
    <n v="2"/>
    <n v="3799"/>
    <n v="0"/>
    <n v="3800"/>
    <n v="7600"/>
    <s v="Debit/Credit Card"/>
    <x v="1"/>
    <s v="India"/>
    <x v="33"/>
    <s v="Pune"/>
    <s v="Performance Seeker"/>
    <x v="0"/>
    <n v="4.5999999999999996"/>
    <s v="Delivered"/>
    <s v="Standard"/>
    <n v="4"/>
  </r>
  <r>
    <s v="ORD203068"/>
    <s v="CUST100100"/>
    <s v="Unisex"/>
    <s v="25-34"/>
    <x v="79"/>
    <x v="5"/>
    <x v="15"/>
    <x v="4"/>
    <n v="8"/>
    <s v="Grey"/>
    <n v="1"/>
    <n v="8199"/>
    <n v="15"/>
    <n v="6970"/>
    <n v="6970"/>
    <s v="Net Banking"/>
    <x v="1"/>
    <s v="India"/>
    <x v="29"/>
    <s v="Guntur"/>
    <s v="Lifestyle Shopper"/>
    <x v="0"/>
    <n v="4.8"/>
    <s v="Delivered"/>
    <s v="Express"/>
    <n v="3"/>
  </r>
  <r>
    <s v="ORD201184"/>
    <s v="CUST100859"/>
    <s v="Men"/>
    <s v="25-34"/>
    <x v="80"/>
    <x v="1"/>
    <x v="10"/>
    <x v="3"/>
    <n v="10"/>
    <s v="Black"/>
    <n v="1"/>
    <n v="8799"/>
    <n v="20"/>
    <n v="7040"/>
    <n v="7040"/>
    <s v="Debit/Credit Card"/>
    <x v="1"/>
    <s v="India"/>
    <x v="30"/>
    <s v="Burail"/>
    <s v="Lifestyle Shopper"/>
    <x v="0"/>
    <n v="4.2"/>
    <s v="Delivered"/>
    <s v="Same Day"/>
    <n v="1"/>
  </r>
  <r>
    <s v="ORD202478"/>
    <s v="CUST100219"/>
    <s v="Men"/>
    <s v="55+"/>
    <x v="81"/>
    <x v="2"/>
    <x v="4"/>
    <x v="2"/>
    <n v="9"/>
    <s v="Black"/>
    <n v="1"/>
    <n v="4499"/>
    <n v="20"/>
    <n v="3600"/>
    <n v="3600"/>
    <s v="Debit/Credit Card"/>
    <x v="1"/>
    <s v="India"/>
    <x v="13"/>
    <s v="Naharlagun"/>
    <s v="Performance Seeker"/>
    <x v="0"/>
    <n v="4.7"/>
    <s v="Delivered"/>
    <s v="Standard"/>
    <n v="6"/>
  </r>
  <r>
    <s v="ORD202297"/>
    <s v="CUST100466"/>
    <s v="Women"/>
    <s v="25-34"/>
    <x v="82"/>
    <x v="4"/>
    <x v="22"/>
    <x v="0"/>
    <n v="9"/>
    <s v="Black"/>
    <n v="1"/>
    <n v="6799"/>
    <n v="30"/>
    <n v="4760"/>
    <n v="4760"/>
    <s v="Net Banking"/>
    <x v="1"/>
    <s v="India"/>
    <x v="16"/>
    <s v="Rajkot"/>
    <s v="Comfort Shopper"/>
    <x v="0"/>
    <n v="4.7"/>
    <s v="Delivered"/>
    <s v="Express"/>
    <n v="3"/>
  </r>
  <r>
    <s v="ORD201557"/>
    <s v="CUST100052"/>
    <s v="Women"/>
    <s v="35-44"/>
    <x v="83"/>
    <x v="0"/>
    <x v="31"/>
    <x v="1"/>
    <n v="9"/>
    <s v="Black"/>
    <n v="1"/>
    <n v="8399"/>
    <n v="15"/>
    <n v="7140"/>
    <n v="7140"/>
    <s v="Cash on Delivery"/>
    <x v="1"/>
    <s v="India"/>
    <x v="23"/>
    <s v="Rishikesh"/>
    <s v="Comfort Shopper"/>
    <x v="1"/>
    <n v="4.4000000000000004"/>
    <s v="Delivered"/>
    <s v="Standard"/>
    <n v="3"/>
  </r>
  <r>
    <s v="ORD200077"/>
    <s v="CUST100188"/>
    <s v="Men"/>
    <s v="35-44"/>
    <x v="84"/>
    <x v="4"/>
    <x v="9"/>
    <x v="1"/>
    <n v="11"/>
    <s v="Grey"/>
    <n v="2"/>
    <n v="5299"/>
    <n v="10"/>
    <n v="4770"/>
    <n v="9540"/>
    <s v="Cash on Delivery"/>
    <x v="2"/>
    <s v="India"/>
    <x v="30"/>
    <s v="Burail"/>
    <s v="Lifestyle Shopper"/>
    <x v="0"/>
    <n v="2.5"/>
    <s v="Delivered"/>
    <s v="Standard"/>
    <n v="2"/>
  </r>
  <r>
    <s v="ORD201858"/>
    <s v="CUST100286"/>
    <s v="Women"/>
    <s v="45-54"/>
    <x v="84"/>
    <x v="4"/>
    <x v="9"/>
    <x v="1"/>
    <n v="9"/>
    <s v="Blue"/>
    <n v="1"/>
    <n v="5599"/>
    <n v="5"/>
    <n v="5320"/>
    <n v="5320"/>
    <s v="Debit/Credit Card"/>
    <x v="1"/>
    <s v="India"/>
    <x v="35"/>
    <s v="Aizawl"/>
    <s v="Lifestyle Shopper"/>
    <x v="0"/>
    <n v="4.7"/>
    <s v="Cancelled"/>
    <s v="Standard"/>
    <n v="4"/>
  </r>
  <r>
    <s v="ORD201135"/>
    <s v="CUST101008"/>
    <s v="Women"/>
    <s v="25-34"/>
    <x v="85"/>
    <x v="4"/>
    <x v="6"/>
    <x v="2"/>
    <n v="9"/>
    <s v="Black"/>
    <n v="1"/>
    <n v="8899"/>
    <n v="35"/>
    <n v="5780"/>
    <n v="5780"/>
    <s v="UPI"/>
    <x v="1"/>
    <s v="India"/>
    <x v="32"/>
    <s v="Jamshedpur"/>
    <s v="Performance Seeker"/>
    <x v="0"/>
    <n v="4.5"/>
    <s v="Delivered"/>
    <s v="Standard"/>
    <n v="3"/>
  </r>
  <r>
    <s v="ORD200147"/>
    <s v="CUST100443"/>
    <s v="Men"/>
    <s v="25-34"/>
    <x v="86"/>
    <x v="5"/>
    <x v="21"/>
    <x v="2"/>
    <n v="9"/>
    <s v="Green"/>
    <n v="1"/>
    <n v="7599"/>
    <n v="5"/>
    <n v="7220"/>
    <n v="7220"/>
    <s v="Debit/Credit Card"/>
    <x v="1"/>
    <s v="India"/>
    <x v="6"/>
    <s v="Noida"/>
    <s v="Performance Seeker"/>
    <x v="0"/>
    <n v="2.6"/>
    <s v="Cancelled"/>
    <s v="Express"/>
    <n v="3"/>
  </r>
  <r>
    <s v="ORD201836"/>
    <s v="CUST100322"/>
    <s v="Men"/>
    <s v="55+"/>
    <x v="87"/>
    <x v="5"/>
    <x v="30"/>
    <x v="2"/>
    <n v="7"/>
    <s v="Black"/>
    <n v="1"/>
    <n v="4799"/>
    <n v="0"/>
    <n v="4800"/>
    <n v="4800"/>
    <s v="UPI"/>
    <x v="2"/>
    <s v="India"/>
    <x v="15"/>
    <s v="Dwarka"/>
    <s v="Comfort Shopper"/>
    <x v="0"/>
    <n v="3.7"/>
    <s v="Delivered"/>
    <s v="Express"/>
    <n v="1"/>
  </r>
  <r>
    <s v="ORD201874"/>
    <s v="CUST100011"/>
    <s v="Unisex"/>
    <s v="25-34"/>
    <x v="87"/>
    <x v="3"/>
    <x v="16"/>
    <x v="0"/>
    <n v="9"/>
    <s v="Grey"/>
    <n v="1"/>
    <n v="3599"/>
    <n v="20"/>
    <n v="2880"/>
    <n v="2880"/>
    <s v="Cash on Delivery"/>
    <x v="1"/>
    <s v="India"/>
    <x v="22"/>
    <s v="Agartala"/>
    <s v="Performance Seeker"/>
    <x v="1"/>
    <n v="4.3"/>
    <s v="Delivered"/>
    <s v="Express"/>
    <n v="3"/>
  </r>
  <r>
    <s v="ORD202099"/>
    <s v="CUST100091"/>
    <s v="Unisex"/>
    <s v="25-34"/>
    <x v="88"/>
    <x v="4"/>
    <x v="29"/>
    <x v="2"/>
    <n v="8"/>
    <s v="Grey"/>
    <n v="4"/>
    <n v="7499"/>
    <n v="15"/>
    <n v="6370"/>
    <n v="25480"/>
    <s v="Debit/Credit Card"/>
    <x v="2"/>
    <s v="India"/>
    <x v="31"/>
    <s v="Coimbatore"/>
    <s v="Premium Shopper"/>
    <x v="0"/>
    <n v="4"/>
    <s v="Delivered"/>
    <s v="Express"/>
    <n v="3"/>
  </r>
  <r>
    <s v="ORD202935"/>
    <s v="CUST100972"/>
    <s v="Women"/>
    <s v="18-24"/>
    <x v="88"/>
    <x v="0"/>
    <x v="0"/>
    <x v="0"/>
    <n v="8"/>
    <s v="Red"/>
    <n v="2"/>
    <n v="9599"/>
    <n v="5"/>
    <n v="9120"/>
    <n v="18240"/>
    <s v="Net Banking"/>
    <x v="0"/>
    <s v="India"/>
    <x v="31"/>
    <s v="Coimbatore"/>
    <s v="Lifestyle Shopper"/>
    <x v="0"/>
    <n v="5"/>
    <s v="Delivered"/>
    <s v="Express"/>
    <n v="2"/>
  </r>
  <r>
    <s v="ORD202446"/>
    <s v="CUST100139"/>
    <s v="Men"/>
    <s v="35-44"/>
    <x v="89"/>
    <x v="4"/>
    <x v="29"/>
    <x v="2"/>
    <n v="11"/>
    <s v="Blue"/>
    <n v="1"/>
    <n v="6599"/>
    <n v="20"/>
    <n v="5280"/>
    <n v="5280"/>
    <s v="Debit/Credit Card"/>
    <x v="2"/>
    <s v="India"/>
    <x v="24"/>
    <s v="Mangaluru"/>
    <s v="Premium Shopper"/>
    <x v="0"/>
    <n v="3.8"/>
    <s v="Delivered"/>
    <s v="Express"/>
    <n v="2"/>
  </r>
  <r>
    <s v="ORD200752"/>
    <s v="CUST100314"/>
    <s v="Women"/>
    <s v="25-34"/>
    <x v="90"/>
    <x v="4"/>
    <x v="29"/>
    <x v="2"/>
    <n v="10"/>
    <s v="Black"/>
    <n v="1"/>
    <n v="9299"/>
    <n v="15"/>
    <n v="7900"/>
    <n v="7900"/>
    <s v="UPI"/>
    <x v="0"/>
    <s v="India"/>
    <x v="3"/>
    <s v="Udaipur"/>
    <s v="Performance Seeker"/>
    <x v="0"/>
    <n v="3.4"/>
    <s v="Delivered"/>
    <s v="Express"/>
    <n v="3"/>
  </r>
  <r>
    <s v="ORD200186"/>
    <s v="CUST100460"/>
    <s v="Unisex"/>
    <s v="35-44"/>
    <x v="91"/>
    <x v="3"/>
    <x v="34"/>
    <x v="3"/>
    <n v="9"/>
    <s v="Grey"/>
    <n v="1"/>
    <n v="7699"/>
    <n v="5"/>
    <n v="7310"/>
    <n v="7310"/>
    <s v="Cash on Delivery"/>
    <x v="1"/>
    <s v="India"/>
    <x v="33"/>
    <s v="Nagpur"/>
    <s v="Premium Shopper"/>
    <x v="0"/>
    <n v="5"/>
    <s v="Delivered"/>
    <s v="Express"/>
    <n v="3"/>
  </r>
  <r>
    <s v="ORD200740"/>
    <s v="CUST100687"/>
    <s v="Men"/>
    <s v="55+"/>
    <x v="91"/>
    <x v="1"/>
    <x v="18"/>
    <x v="2"/>
    <n v="9"/>
    <s v="Green"/>
    <n v="2"/>
    <n v="8399"/>
    <n v="20"/>
    <n v="6720"/>
    <n v="13440"/>
    <s v="Debit/Credit Card"/>
    <x v="2"/>
    <s v="India"/>
    <x v="0"/>
    <s v="Dibrugarh"/>
    <s v="Comfort Shopper"/>
    <x v="0"/>
    <n v="3.5"/>
    <s v="Delivered"/>
    <s v="Standard"/>
    <n v="5"/>
  </r>
  <r>
    <s v="ORD201424"/>
    <s v="CUST100933"/>
    <s v="Men"/>
    <s v="18-24"/>
    <x v="91"/>
    <x v="5"/>
    <x v="15"/>
    <x v="4"/>
    <n v="8"/>
    <s v="Grey"/>
    <n v="1"/>
    <n v="5699"/>
    <n v="15"/>
    <n v="4840"/>
    <n v="4840"/>
    <s v="UPI"/>
    <x v="0"/>
    <s v="India"/>
    <x v="23"/>
    <s v="Rishikesh"/>
    <s v="Premium Shopper"/>
    <x v="0"/>
    <n v="2.6"/>
    <s v="Delivered"/>
    <s v="Standard"/>
    <n v="3"/>
  </r>
  <r>
    <s v="ORD201703"/>
    <s v="CUST100560"/>
    <s v="Women"/>
    <s v="45-54"/>
    <x v="92"/>
    <x v="5"/>
    <x v="30"/>
    <x v="2"/>
    <n v="10"/>
    <s v="Blue"/>
    <n v="1"/>
    <n v="6099"/>
    <n v="10"/>
    <n v="5490"/>
    <n v="5490"/>
    <s v="Net Banking"/>
    <x v="1"/>
    <s v="India"/>
    <x v="22"/>
    <s v="Udaipur"/>
    <s v="Lifestyle Shopper"/>
    <x v="0"/>
    <n v="3.7"/>
    <s v="Delivered"/>
    <s v="Express"/>
    <n v="3"/>
  </r>
  <r>
    <s v="ORD203042"/>
    <s v="CUST100340"/>
    <s v="Men"/>
    <s v="18-24"/>
    <x v="92"/>
    <x v="3"/>
    <x v="16"/>
    <x v="0"/>
    <n v="8"/>
    <s v="Red"/>
    <n v="2"/>
    <n v="7999"/>
    <n v="0"/>
    <n v="8000"/>
    <n v="16000"/>
    <s v="Cash on Delivery"/>
    <x v="1"/>
    <s v="India"/>
    <x v="24"/>
    <s v="Mangaluru"/>
    <s v="Performance Seeker"/>
    <x v="0"/>
    <n v="4.5"/>
    <s v="Delivered"/>
    <s v="Express"/>
    <n v="2"/>
  </r>
  <r>
    <s v="ORD200516"/>
    <s v="CUST100952"/>
    <s v="Women"/>
    <s v="45-54"/>
    <x v="93"/>
    <x v="5"/>
    <x v="27"/>
    <x v="0"/>
    <n v="10"/>
    <s v="Blue"/>
    <n v="2"/>
    <n v="8899"/>
    <n v="10"/>
    <n v="8010"/>
    <n v="16020"/>
    <s v="Cash on Delivery"/>
    <x v="2"/>
    <s v="India"/>
    <x v="3"/>
    <s v="Udaipur"/>
    <s v="Performance Seeker"/>
    <x v="0"/>
    <n v="3.6"/>
    <s v="Delivered"/>
    <s v="Standard"/>
    <n v="7"/>
  </r>
  <r>
    <s v="ORD202018"/>
    <s v="CUST100850"/>
    <s v="Women"/>
    <s v="25-34"/>
    <x v="94"/>
    <x v="5"/>
    <x v="14"/>
    <x v="3"/>
    <n v="9"/>
    <s v="Blue"/>
    <n v="1"/>
    <n v="9199"/>
    <n v="5"/>
    <n v="8740"/>
    <n v="8740"/>
    <s v="Debit/Credit Card"/>
    <x v="1"/>
    <s v="India"/>
    <x v="18"/>
    <s v="Bilaspur"/>
    <s v="Value Shopper"/>
    <x v="0"/>
    <n v="4"/>
    <s v="Cancelled"/>
    <s v="Standard"/>
    <n v="7"/>
  </r>
  <r>
    <s v="ORD200868"/>
    <s v="CUST100663"/>
    <s v="Men"/>
    <s v="18-24"/>
    <x v="95"/>
    <x v="0"/>
    <x v="8"/>
    <x v="3"/>
    <n v="8"/>
    <s v="White"/>
    <n v="1"/>
    <n v="8899"/>
    <n v="15"/>
    <n v="7560"/>
    <n v="7560"/>
    <s v="Debit/Credit Card"/>
    <x v="2"/>
    <s v="India"/>
    <x v="25"/>
    <s v="Baramulla"/>
    <s v="Comfort Shopper"/>
    <x v="0"/>
    <n v="4.2"/>
    <s v="Cancelled"/>
    <s v="Standard"/>
    <n v="2"/>
  </r>
  <r>
    <s v="ORD201956"/>
    <s v="CUST100621"/>
    <s v="Women"/>
    <s v="25-34"/>
    <x v="95"/>
    <x v="1"/>
    <x v="10"/>
    <x v="3"/>
    <n v="8"/>
    <s v="Green"/>
    <n v="1"/>
    <n v="7199"/>
    <n v="10"/>
    <n v="6480"/>
    <n v="6480"/>
    <s v="UPI"/>
    <x v="2"/>
    <s v="India"/>
    <x v="33"/>
    <s v="Nagpur"/>
    <s v="Lifestyle Shopper"/>
    <x v="0"/>
    <n v="4.5"/>
    <s v="Delivered"/>
    <s v="Standard"/>
    <n v="6"/>
  </r>
  <r>
    <s v="ORD200061"/>
    <s v="CUST100342"/>
    <s v="Men"/>
    <s v="35-44"/>
    <x v="96"/>
    <x v="2"/>
    <x v="32"/>
    <x v="1"/>
    <n v="9"/>
    <s v="White"/>
    <n v="1"/>
    <n v="5999"/>
    <n v="15"/>
    <n v="5100"/>
    <n v="5100"/>
    <s v="UPI"/>
    <x v="1"/>
    <s v="India"/>
    <x v="19"/>
    <s v="Jowai"/>
    <s v="Value Shopper"/>
    <x v="0"/>
    <n v="4.9000000000000004"/>
    <s v="Delivered"/>
    <s v="Express"/>
    <n v="3"/>
  </r>
  <r>
    <s v="ORD202950"/>
    <s v="CUST100161"/>
    <s v="Unisex"/>
    <s v="25-34"/>
    <x v="97"/>
    <x v="2"/>
    <x v="3"/>
    <x v="2"/>
    <n v="9"/>
    <s v="White"/>
    <n v="1"/>
    <n v="5199"/>
    <n v="15"/>
    <n v="4420"/>
    <n v="4420"/>
    <s v="Cash on Delivery"/>
    <x v="0"/>
    <s v="India"/>
    <x v="13"/>
    <s v="Pasighat"/>
    <s v="Performance Seeker"/>
    <x v="0"/>
    <n v="4.8"/>
    <s v="Delivered"/>
    <s v="Express"/>
    <n v="3"/>
  </r>
  <r>
    <s v="ORD202092"/>
    <s v="CUST100344"/>
    <s v="Women"/>
    <s v="35-44"/>
    <x v="98"/>
    <x v="2"/>
    <x v="25"/>
    <x v="3"/>
    <n v="10"/>
    <s v="Black"/>
    <n v="2"/>
    <n v="6999"/>
    <n v="20"/>
    <n v="5600"/>
    <n v="11200"/>
    <s v="Debit/Credit Card"/>
    <x v="1"/>
    <s v="India"/>
    <x v="0"/>
    <s v="Silchar"/>
    <s v="Value Shopper"/>
    <x v="0"/>
    <n v="4.4000000000000004"/>
    <s v="Delivered"/>
    <s v="Express"/>
    <n v="2"/>
  </r>
  <r>
    <s v="ORD202339"/>
    <s v="CUST100256"/>
    <s v="Women"/>
    <s v="25-34"/>
    <x v="98"/>
    <x v="0"/>
    <x v="19"/>
    <x v="4"/>
    <n v="8"/>
    <s v="Black"/>
    <n v="1"/>
    <n v="6899"/>
    <n v="40"/>
    <n v="4140"/>
    <n v="4140"/>
    <s v="Debit/Credit Card"/>
    <x v="1"/>
    <s v="India"/>
    <x v="23"/>
    <s v="Dehradun"/>
    <s v="Premium Shopper"/>
    <x v="0"/>
    <n v="3.9"/>
    <s v="Delivered"/>
    <s v="Standard"/>
    <n v="3"/>
  </r>
  <r>
    <s v="ORD201463"/>
    <s v="CUST100872"/>
    <s v="Women"/>
    <s v="35-44"/>
    <x v="99"/>
    <x v="1"/>
    <x v="20"/>
    <x v="2"/>
    <n v="12"/>
    <s v="Green"/>
    <n v="1"/>
    <n v="5199"/>
    <n v="5"/>
    <n v="4940"/>
    <n v="4940"/>
    <s v="UPI"/>
    <x v="1"/>
    <s v="India"/>
    <x v="24"/>
    <s v="Mangaluru"/>
    <s v="Performance Seeker"/>
    <x v="0"/>
    <n v="4.4000000000000004"/>
    <s v="Delivered"/>
    <s v="Express"/>
    <n v="2"/>
  </r>
  <r>
    <s v="ORD200390"/>
    <s v="CUST100081"/>
    <s v="Men"/>
    <s v="25-34"/>
    <x v="100"/>
    <x v="1"/>
    <x v="1"/>
    <x v="1"/>
    <n v="9"/>
    <s v="Red"/>
    <n v="1"/>
    <n v="7799"/>
    <n v="5"/>
    <n v="7410"/>
    <n v="7410"/>
    <s v="Net Banking"/>
    <x v="1"/>
    <s v="India"/>
    <x v="4"/>
    <s v="Gyalshing"/>
    <s v="Value Shopper"/>
    <x v="1"/>
    <n v="3.5"/>
    <s v="Delivered"/>
    <s v="Standard"/>
    <n v="4"/>
  </r>
  <r>
    <s v="ORD202602"/>
    <s v="CUST100346"/>
    <s v="Women"/>
    <s v="35-44"/>
    <x v="100"/>
    <x v="3"/>
    <x v="35"/>
    <x v="2"/>
    <n v="7"/>
    <s v="Red"/>
    <n v="4"/>
    <n v="5399"/>
    <n v="30"/>
    <n v="3780"/>
    <n v="15120"/>
    <s v="Debit/Credit Card"/>
    <x v="0"/>
    <s v="India"/>
    <x v="31"/>
    <s v="Tiruchirappalli"/>
    <s v="Value Shopper"/>
    <x v="1"/>
    <n v="3.6"/>
    <s v="Delivered"/>
    <s v="Standard"/>
    <n v="1"/>
  </r>
  <r>
    <s v="ORD203000"/>
    <s v="CUST100763"/>
    <s v="Women"/>
    <s v="25-34"/>
    <x v="101"/>
    <x v="1"/>
    <x v="20"/>
    <x v="2"/>
    <n v="11"/>
    <s v="Black"/>
    <n v="2"/>
    <n v="7399"/>
    <n v="15"/>
    <n v="6290"/>
    <n v="12580"/>
    <s v="Cash on Delivery"/>
    <x v="1"/>
    <s v="India"/>
    <x v="21"/>
    <s v="Mokokchung"/>
    <s v="Premium Shopper"/>
    <x v="0"/>
    <n v="3.7"/>
    <s v="Returned"/>
    <s v="Standard"/>
    <n v="4"/>
  </r>
  <r>
    <s v="ORD200757"/>
    <s v="CUST100942"/>
    <s v="Men"/>
    <s v="25-34"/>
    <x v="102"/>
    <x v="0"/>
    <x v="8"/>
    <x v="3"/>
    <n v="12"/>
    <s v="Red"/>
    <n v="1"/>
    <n v="5799"/>
    <n v="10"/>
    <n v="5220"/>
    <n v="5220"/>
    <s v="Debit/Credit Card"/>
    <x v="2"/>
    <s v="India"/>
    <x v="31"/>
    <s v="Coimbatore"/>
    <s v="Comfort Shopper"/>
    <x v="0"/>
    <n v="4.0999999999999996"/>
    <s v="Delivered"/>
    <s v="Standard"/>
    <n v="5"/>
  </r>
  <r>
    <s v="ORD201883"/>
    <s v="CUST100228"/>
    <s v="Women"/>
    <s v="35-44"/>
    <x v="103"/>
    <x v="2"/>
    <x v="25"/>
    <x v="3"/>
    <n v="9"/>
    <s v="Black"/>
    <n v="1"/>
    <n v="7499"/>
    <n v="0"/>
    <n v="7500"/>
    <n v="7500"/>
    <s v="Debit/Credit Card"/>
    <x v="0"/>
    <s v="India"/>
    <x v="35"/>
    <s v="Lunglei"/>
    <s v="Premium Shopper"/>
    <x v="1"/>
    <n v="4.2"/>
    <s v="Returned"/>
    <s v="Standard"/>
    <n v="4"/>
  </r>
  <r>
    <s v="ORD202509"/>
    <s v="CUST100424"/>
    <s v="Unisex"/>
    <s v="25-34"/>
    <x v="103"/>
    <x v="2"/>
    <x v="24"/>
    <x v="4"/>
    <n v="7"/>
    <s v="White"/>
    <n v="1"/>
    <n v="3899"/>
    <n v="10"/>
    <n v="3510"/>
    <n v="3510"/>
    <s v="Cash on Delivery"/>
    <x v="2"/>
    <s v="India"/>
    <x v="30"/>
    <s v="Burail"/>
    <s v="Performance Seeker"/>
    <x v="0"/>
    <n v="3.6"/>
    <s v="Delivered"/>
    <s v="Express"/>
    <n v="2"/>
  </r>
  <r>
    <s v="ORD201404"/>
    <s v="CUST100175"/>
    <s v="Women"/>
    <s v="45-54"/>
    <x v="104"/>
    <x v="3"/>
    <x v="11"/>
    <x v="4"/>
    <n v="9"/>
    <s v="Black"/>
    <n v="2"/>
    <n v="6199"/>
    <n v="10"/>
    <n v="5580"/>
    <n v="11160"/>
    <s v="Cash on Delivery"/>
    <x v="1"/>
    <s v="India"/>
    <x v="24"/>
    <s v="Mysuru"/>
    <s v="Comfort Shopper"/>
    <x v="0"/>
    <n v="4.2"/>
    <s v="Delivered"/>
    <s v="Express"/>
    <n v="3"/>
  </r>
  <r>
    <s v="ORD201051"/>
    <s v="CUST100229"/>
    <s v="Women"/>
    <s v="18-24"/>
    <x v="105"/>
    <x v="4"/>
    <x v="26"/>
    <x v="3"/>
    <n v="9"/>
    <s v="Blue"/>
    <n v="1"/>
    <n v="4699"/>
    <n v="0"/>
    <n v="4700"/>
    <n v="4700"/>
    <s v="Cash on Delivery"/>
    <x v="1"/>
    <s v="India"/>
    <x v="17"/>
    <s v="Karaikal"/>
    <s v="Lifestyle Shopper"/>
    <x v="0"/>
    <n v="5"/>
    <s v="Delivered"/>
    <s v="Standard"/>
    <n v="2"/>
  </r>
  <r>
    <s v="ORD200140"/>
    <s v="CUST100707"/>
    <s v="Women"/>
    <s v="35-44"/>
    <x v="106"/>
    <x v="3"/>
    <x v="11"/>
    <x v="4"/>
    <n v="8"/>
    <s v="Green"/>
    <n v="2"/>
    <n v="6499"/>
    <n v="5"/>
    <n v="6170"/>
    <n v="12340"/>
    <s v="UPI"/>
    <x v="2"/>
    <s v="India"/>
    <x v="2"/>
    <s v="Gurugram"/>
    <s v="Performance Seeker"/>
    <x v="0"/>
    <n v="4.5"/>
    <s v="Delivered"/>
    <s v="Standard"/>
    <n v="6"/>
  </r>
  <r>
    <s v="ORD200320"/>
    <s v="CUST100928"/>
    <s v="Women"/>
    <s v="35-44"/>
    <x v="106"/>
    <x v="2"/>
    <x v="4"/>
    <x v="2"/>
    <n v="9"/>
    <s v="White"/>
    <n v="2"/>
    <n v="8299"/>
    <n v="20"/>
    <n v="6640"/>
    <n v="13280"/>
    <s v="Cash on Delivery"/>
    <x v="2"/>
    <s v="India"/>
    <x v="5"/>
    <s v="Imphal"/>
    <s v="Lifestyle Shopper"/>
    <x v="0"/>
    <n v="4.8"/>
    <s v="Delivered"/>
    <s v="Express"/>
    <n v="2"/>
  </r>
  <r>
    <s v="ORD200416"/>
    <s v="CUST100424"/>
    <s v="Men"/>
    <s v="45-54"/>
    <x v="106"/>
    <x v="4"/>
    <x v="6"/>
    <x v="2"/>
    <n v="11"/>
    <s v="Black"/>
    <n v="2"/>
    <n v="8599"/>
    <n v="5"/>
    <n v="8170"/>
    <n v="16340"/>
    <s v="Net Banking"/>
    <x v="1"/>
    <s v="India"/>
    <x v="22"/>
    <s v="Dharmanagar"/>
    <s v="Comfort Shopper"/>
    <x v="1"/>
    <n v="4.3"/>
    <s v="Delivered"/>
    <s v="Same Day"/>
    <n v="1"/>
  </r>
  <r>
    <s v="ORD201116"/>
    <s v="CUST100661"/>
    <s v="Women"/>
    <s v="18-24"/>
    <x v="106"/>
    <x v="0"/>
    <x v="2"/>
    <x v="2"/>
    <n v="7"/>
    <s v="Green"/>
    <n v="2"/>
    <n v="6099"/>
    <n v="15"/>
    <n v="5180"/>
    <n v="10360"/>
    <s v="Net Banking"/>
    <x v="0"/>
    <s v="India"/>
    <x v="10"/>
    <s v="Diu"/>
    <s v="Value Shopper"/>
    <x v="0"/>
    <n v="4.0999999999999996"/>
    <s v="Cancelled"/>
    <s v="Same Day"/>
    <n v="1"/>
  </r>
  <r>
    <s v="ORD200908"/>
    <s v="CUST100995"/>
    <s v="Women"/>
    <s v="18-24"/>
    <x v="107"/>
    <x v="0"/>
    <x v="0"/>
    <x v="0"/>
    <n v="9"/>
    <s v="Green"/>
    <n v="1"/>
    <n v="7699"/>
    <n v="10"/>
    <n v="6930"/>
    <n v="6930"/>
    <s v="UPI"/>
    <x v="2"/>
    <s v="India"/>
    <x v="1"/>
    <s v="Panaji"/>
    <s v="Performance Seeker"/>
    <x v="0"/>
    <n v="4.4000000000000004"/>
    <s v="Delivered"/>
    <s v="Standard"/>
    <n v="3"/>
  </r>
  <r>
    <s v="ORD202108"/>
    <s v="CUST100770"/>
    <s v="Men"/>
    <s v="35-44"/>
    <x v="107"/>
    <x v="2"/>
    <x v="25"/>
    <x v="3"/>
    <n v="9"/>
    <s v="Black"/>
    <n v="4"/>
    <n v="7999"/>
    <n v="25"/>
    <n v="6000"/>
    <n v="24000"/>
    <s v="Net Banking"/>
    <x v="1"/>
    <s v="India"/>
    <x v="8"/>
    <s v="Nizamabad"/>
    <s v="Performance Seeker"/>
    <x v="0"/>
    <n v="3.9"/>
    <s v="Delivered"/>
    <s v="Standard"/>
    <n v="3"/>
  </r>
  <r>
    <s v="ORD202832"/>
    <s v="CUST100054"/>
    <s v="Women"/>
    <s v="18-24"/>
    <x v="107"/>
    <x v="4"/>
    <x v="22"/>
    <x v="0"/>
    <n v="9"/>
    <s v="Blue"/>
    <n v="1"/>
    <n v="7399"/>
    <n v="10"/>
    <n v="6660"/>
    <n v="6660"/>
    <s v="Net Banking"/>
    <x v="2"/>
    <s v="India"/>
    <x v="8"/>
    <s v="Warangal"/>
    <s v="Performance Seeker"/>
    <x v="0"/>
    <n v="4"/>
    <s v="Cancelled"/>
    <s v="Standard"/>
    <n v="7"/>
  </r>
  <r>
    <s v="ORD202945"/>
    <s v="CUST100245"/>
    <s v="Men"/>
    <s v="45-54"/>
    <x v="107"/>
    <x v="5"/>
    <x v="27"/>
    <x v="0"/>
    <n v="8"/>
    <s v="Red"/>
    <n v="2"/>
    <n v="6799"/>
    <n v="15"/>
    <n v="5780"/>
    <n v="11560"/>
    <s v="Cash on Delivery"/>
    <x v="2"/>
    <s v="India"/>
    <x v="34"/>
    <s v="Siliguri"/>
    <s v="Value Shopper"/>
    <x v="0"/>
    <n v="3.5"/>
    <s v="Delivered"/>
    <s v="Standard"/>
    <n v="3"/>
  </r>
  <r>
    <s v="ORD200172"/>
    <s v="CUST100390"/>
    <s v="Men"/>
    <s v="55+"/>
    <x v="108"/>
    <x v="2"/>
    <x v="25"/>
    <x v="3"/>
    <n v="9"/>
    <s v="Black"/>
    <n v="1"/>
    <n v="5799"/>
    <n v="20"/>
    <n v="4640"/>
    <n v="4640"/>
    <s v="Net Banking"/>
    <x v="1"/>
    <s v="India"/>
    <x v="14"/>
    <s v="Ludhiana"/>
    <s v="Comfort Shopper"/>
    <x v="1"/>
    <n v="3.3"/>
    <s v="Delivered"/>
    <s v="Standard"/>
    <n v="1"/>
  </r>
  <r>
    <s v="ORD200414"/>
    <s v="CUST100470"/>
    <s v="Women"/>
    <s v="35-44"/>
    <x v="108"/>
    <x v="3"/>
    <x v="5"/>
    <x v="2"/>
    <n v="9"/>
    <s v="Blue"/>
    <n v="1"/>
    <n v="6999"/>
    <n v="30"/>
    <n v="4900"/>
    <n v="4900"/>
    <s v="Cash on Delivery"/>
    <x v="1"/>
    <s v="India"/>
    <x v="5"/>
    <s v="Thoubal"/>
    <s v="Value Shopper"/>
    <x v="0"/>
    <n v="3.7"/>
    <s v="Returned"/>
    <s v="Standard"/>
    <n v="6"/>
  </r>
  <r>
    <s v="ORD202666"/>
    <s v="CUST100089"/>
    <s v="Women"/>
    <s v="45-54"/>
    <x v="109"/>
    <x v="0"/>
    <x v="19"/>
    <x v="4"/>
    <n v="9"/>
    <s v="Black"/>
    <n v="2"/>
    <n v="8799"/>
    <n v="20"/>
    <n v="7040"/>
    <n v="14080"/>
    <s v="UPI"/>
    <x v="1"/>
    <s v="India"/>
    <x v="29"/>
    <s v="Visakhapatnam"/>
    <s v="Premium Shopper"/>
    <x v="0"/>
    <n v="4.3"/>
    <s v="Delivered"/>
    <s v="Express"/>
    <n v="3"/>
  </r>
  <r>
    <s v="ORD201076"/>
    <s v="CUST100391"/>
    <s v="Men"/>
    <s v="45-54"/>
    <x v="110"/>
    <x v="4"/>
    <x v="17"/>
    <x v="4"/>
    <n v="7"/>
    <s v="Blue"/>
    <n v="1"/>
    <n v="6299"/>
    <n v="25"/>
    <n v="4720"/>
    <n v="4720"/>
    <s v="Debit/Credit Card"/>
    <x v="0"/>
    <s v="India"/>
    <x v="17"/>
    <s v="Mahe"/>
    <s v="Performance Seeker"/>
    <x v="0"/>
    <n v="3"/>
    <s v="Delivered"/>
    <s v="Express"/>
    <n v="2"/>
  </r>
  <r>
    <s v="ORD201978"/>
    <s v="CUST100600"/>
    <s v="Women"/>
    <s v="35-44"/>
    <x v="111"/>
    <x v="0"/>
    <x v="13"/>
    <x v="2"/>
    <n v="11"/>
    <s v="Grey"/>
    <n v="1"/>
    <n v="7599"/>
    <n v="10"/>
    <n v="6840"/>
    <n v="6840"/>
    <s v="Debit/Credit Card"/>
    <x v="1"/>
    <s v="India"/>
    <x v="30"/>
    <s v="Manimajra"/>
    <s v="Premium Shopper"/>
    <x v="0"/>
    <n v="4.0999999999999996"/>
    <s v="Delivered"/>
    <s v="Express"/>
    <n v="3"/>
  </r>
  <r>
    <s v="ORD202753"/>
    <s v="CUST100044"/>
    <s v="Men"/>
    <s v="25-34"/>
    <x v="111"/>
    <x v="2"/>
    <x v="23"/>
    <x v="0"/>
    <n v="10"/>
    <s v="Grey"/>
    <n v="1"/>
    <n v="8199"/>
    <n v="40"/>
    <n v="4920"/>
    <n v="4920"/>
    <s v="Debit/Credit Card"/>
    <x v="0"/>
    <s v="India"/>
    <x v="31"/>
    <s v="Tiruchirappalli"/>
    <s v="Performance Seeker"/>
    <x v="0"/>
    <n v="4.3"/>
    <s v="Returned"/>
    <s v="Same Day"/>
    <n v="2"/>
  </r>
  <r>
    <s v="ORD201736"/>
    <s v="CUST100548"/>
    <s v="Men"/>
    <s v="25-34"/>
    <x v="112"/>
    <x v="4"/>
    <x v="9"/>
    <x v="1"/>
    <n v="10"/>
    <s v="White"/>
    <n v="2"/>
    <n v="4899"/>
    <n v="20"/>
    <n v="3920"/>
    <n v="7840"/>
    <s v="Cash on Delivery"/>
    <x v="1"/>
    <s v="India"/>
    <x v="26"/>
    <s v="Kochi"/>
    <s v="Premium Shopper"/>
    <x v="0"/>
    <n v="3.6"/>
    <s v="Cancelled"/>
    <s v="Express"/>
    <n v="2"/>
  </r>
  <r>
    <s v="ORD201446"/>
    <s v="CUST100320"/>
    <s v="Men"/>
    <s v="18-24"/>
    <x v="113"/>
    <x v="3"/>
    <x v="16"/>
    <x v="0"/>
    <n v="11"/>
    <s v="White"/>
    <n v="3"/>
    <n v="4399"/>
    <n v="25"/>
    <n v="3300"/>
    <n v="9900"/>
    <s v="UPI"/>
    <x v="1"/>
    <s v="India"/>
    <x v="29"/>
    <s v="Tirupati"/>
    <s v="Performance Seeker"/>
    <x v="0"/>
    <n v="3.6"/>
    <s v="Delivered"/>
    <s v="Standard"/>
    <n v="4"/>
  </r>
  <r>
    <s v="ORD200803"/>
    <s v="CUST100331"/>
    <s v="Men"/>
    <s v="25-34"/>
    <x v="114"/>
    <x v="2"/>
    <x v="24"/>
    <x v="4"/>
    <n v="12"/>
    <s v="Blue"/>
    <n v="1"/>
    <n v="3799"/>
    <n v="30"/>
    <n v="2660"/>
    <n v="2660"/>
    <s v="Debit/Credit Card"/>
    <x v="0"/>
    <s v="India"/>
    <x v="25"/>
    <s v="Baramulla"/>
    <s v="Comfort Shopper"/>
    <x v="0"/>
    <n v="3.2"/>
    <s v="Delivered"/>
    <s v="Standard"/>
    <n v="6"/>
  </r>
  <r>
    <s v="ORD201569"/>
    <s v="CUST100467"/>
    <s v="Women"/>
    <s v="45-54"/>
    <x v="114"/>
    <x v="3"/>
    <x v="34"/>
    <x v="3"/>
    <n v="7"/>
    <s v="White"/>
    <n v="1"/>
    <n v="8799"/>
    <n v="25"/>
    <n v="6600"/>
    <n v="6600"/>
    <s v="Cash on Delivery"/>
    <x v="1"/>
    <s v="India"/>
    <x v="29"/>
    <s v="Tirupati"/>
    <s v="Comfort Shopper"/>
    <x v="1"/>
    <n v="4.7"/>
    <s v="Delivered"/>
    <s v="Express"/>
    <n v="2"/>
  </r>
  <r>
    <s v="ORD203155"/>
    <s v="CUST100978"/>
    <s v="Men"/>
    <s v="35-44"/>
    <x v="114"/>
    <x v="4"/>
    <x v="9"/>
    <x v="1"/>
    <n v="6"/>
    <s v="Black"/>
    <n v="1"/>
    <n v="7199"/>
    <n v="5"/>
    <n v="6840"/>
    <n v="6840"/>
    <s v="Debit/Credit Card"/>
    <x v="2"/>
    <s v="India"/>
    <x v="21"/>
    <s v="Tuensang"/>
    <s v="Performance Seeker"/>
    <x v="0"/>
    <n v="4.7"/>
    <s v="Delivered"/>
    <s v="Standard"/>
    <n v="3"/>
  </r>
  <r>
    <s v="ORD200545"/>
    <s v="CUST100405"/>
    <s v="Men"/>
    <s v="25-34"/>
    <x v="115"/>
    <x v="3"/>
    <x v="16"/>
    <x v="0"/>
    <n v="11"/>
    <s v="White"/>
    <n v="1"/>
    <n v="4199"/>
    <n v="20"/>
    <n v="3360"/>
    <n v="3360"/>
    <s v="Debit/Credit Card"/>
    <x v="2"/>
    <s v="India"/>
    <x v="27"/>
    <s v="Cuttack"/>
    <s v="Value Shopper"/>
    <x v="0"/>
    <n v="3.8"/>
    <s v="Returned"/>
    <s v="Standard"/>
    <n v="4"/>
  </r>
  <r>
    <s v="ORD201382"/>
    <s v="CUST100596"/>
    <s v="Men"/>
    <s v="35-44"/>
    <x v="115"/>
    <x v="4"/>
    <x v="6"/>
    <x v="2"/>
    <n v="9"/>
    <s v="Blue"/>
    <n v="1"/>
    <n v="7199"/>
    <n v="10"/>
    <n v="6480"/>
    <n v="6480"/>
    <s v="Debit/Credit Card"/>
    <x v="2"/>
    <s v="India"/>
    <x v="18"/>
    <s v="Raipur"/>
    <s v="Premium Shopper"/>
    <x v="0"/>
    <n v="3.6"/>
    <s v="Delivered"/>
    <s v="Standard"/>
    <n v="4"/>
  </r>
  <r>
    <s v="ORD202326"/>
    <s v="CUST100196"/>
    <s v="Men"/>
    <s v="35-44"/>
    <x v="116"/>
    <x v="3"/>
    <x v="5"/>
    <x v="2"/>
    <n v="9"/>
    <s v="White"/>
    <n v="1"/>
    <n v="3599"/>
    <n v="20"/>
    <n v="2880"/>
    <n v="2880"/>
    <s v="Cash on Delivery"/>
    <x v="1"/>
    <s v="India"/>
    <x v="35"/>
    <s v="Champhai"/>
    <s v="Lifestyle Shopper"/>
    <x v="0"/>
    <n v="3.9"/>
    <s v="Cancelled"/>
    <s v="Express"/>
    <n v="2"/>
  </r>
  <r>
    <s v="ORD203081"/>
    <s v="CUST100927"/>
    <s v="Men"/>
    <s v="35-44"/>
    <x v="116"/>
    <x v="5"/>
    <x v="15"/>
    <x v="4"/>
    <n v="8"/>
    <s v="Black"/>
    <n v="3"/>
    <n v="9399"/>
    <n v="10"/>
    <n v="8460"/>
    <n v="25380"/>
    <s v="UPI"/>
    <x v="2"/>
    <s v="India"/>
    <x v="5"/>
    <s v="Churachandpur"/>
    <s v="Lifestyle Shopper"/>
    <x v="0"/>
    <n v="4.0999999999999996"/>
    <s v="Delivered"/>
    <s v="Express"/>
    <n v="2"/>
  </r>
  <r>
    <s v="ORD200923"/>
    <s v="CUST100083"/>
    <s v="Women"/>
    <s v="45-54"/>
    <x v="117"/>
    <x v="0"/>
    <x v="19"/>
    <x v="4"/>
    <n v="10"/>
    <s v="White"/>
    <n v="1"/>
    <n v="8299"/>
    <n v="35"/>
    <n v="5390"/>
    <n v="5390"/>
    <s v="Cash on Delivery"/>
    <x v="1"/>
    <s v="India"/>
    <x v="13"/>
    <s v="Itanagar"/>
    <s v="Comfort Shopper"/>
    <x v="0"/>
    <n v="3.7"/>
    <s v="Returned"/>
    <s v="Express"/>
    <n v="2"/>
  </r>
  <r>
    <s v="ORD201159"/>
    <s v="CUST100411"/>
    <s v="Women"/>
    <s v="35-44"/>
    <x v="118"/>
    <x v="3"/>
    <x v="28"/>
    <x v="1"/>
    <n v="9"/>
    <s v="White"/>
    <n v="1"/>
    <n v="4499"/>
    <n v="10"/>
    <n v="4050"/>
    <n v="4050"/>
    <s v="Debit/Credit Card"/>
    <x v="2"/>
    <s v="India"/>
    <x v="1"/>
    <s v="Mapusa"/>
    <s v="Lifestyle Shopper"/>
    <x v="0"/>
    <n v="5"/>
    <s v="Delivered"/>
    <s v="Standard"/>
    <n v="3"/>
  </r>
  <r>
    <s v="ORD201531"/>
    <s v="CUST100592"/>
    <s v="Men"/>
    <s v="55+"/>
    <x v="118"/>
    <x v="1"/>
    <x v="20"/>
    <x v="2"/>
    <n v="8"/>
    <s v="Green"/>
    <n v="1"/>
    <n v="6799"/>
    <n v="5"/>
    <n v="6460"/>
    <n v="6460"/>
    <s v="UPI"/>
    <x v="2"/>
    <s v="India"/>
    <x v="29"/>
    <s v="Vijayawada"/>
    <s v="Performance Seeker"/>
    <x v="0"/>
    <n v="3.6"/>
    <s v="Delivered"/>
    <s v="Standard"/>
    <n v="4"/>
  </r>
  <r>
    <s v="ORD201475"/>
    <s v="CUST100447"/>
    <s v="Men"/>
    <s v="35-44"/>
    <x v="119"/>
    <x v="1"/>
    <x v="10"/>
    <x v="3"/>
    <n v="10"/>
    <s v="Black"/>
    <n v="2"/>
    <n v="7699"/>
    <n v="5"/>
    <n v="7310"/>
    <n v="14620"/>
    <s v="Debit/Credit Card"/>
    <x v="0"/>
    <s v="India"/>
    <x v="4"/>
    <s v="Gangtok"/>
    <s v="Performance Seeker"/>
    <x v="0"/>
    <n v="4.4000000000000004"/>
    <s v="Delivered"/>
    <s v="Express"/>
    <n v="2"/>
  </r>
  <r>
    <s v="ORD202506"/>
    <s v="CUST100788"/>
    <s v="Men"/>
    <s v="25-34"/>
    <x v="119"/>
    <x v="0"/>
    <x v="8"/>
    <x v="3"/>
    <n v="7"/>
    <s v="Grey"/>
    <n v="1"/>
    <n v="8599"/>
    <n v="0"/>
    <n v="8600"/>
    <n v="8600"/>
    <s v="Debit/Credit Card"/>
    <x v="1"/>
    <s v="India"/>
    <x v="4"/>
    <s v="Gyalshing"/>
    <s v="Performance Seeker"/>
    <x v="0"/>
    <n v="4"/>
    <s v="Delivered"/>
    <s v="Express"/>
    <n v="3"/>
  </r>
  <r>
    <s v="ORD200895"/>
    <s v="CUST100545"/>
    <s v="Men"/>
    <s v="18-24"/>
    <x v="120"/>
    <x v="2"/>
    <x v="4"/>
    <x v="2"/>
    <n v="12"/>
    <s v="Blue"/>
    <n v="2"/>
    <n v="6399"/>
    <n v="0"/>
    <n v="6400"/>
    <n v="12800"/>
    <s v="Debit/Credit Card"/>
    <x v="1"/>
    <s v="India"/>
    <x v="5"/>
    <s v="Imphal"/>
    <s v="Value Shopper"/>
    <x v="0"/>
    <n v="4.8"/>
    <s v="Delivered"/>
    <s v="Express"/>
    <n v="3"/>
  </r>
  <r>
    <s v="ORD201478"/>
    <s v="CUST100066"/>
    <s v="Women"/>
    <s v="55+"/>
    <x v="120"/>
    <x v="1"/>
    <x v="33"/>
    <x v="0"/>
    <n v="9"/>
    <s v="Black"/>
    <n v="1"/>
    <n v="4899"/>
    <n v="5"/>
    <n v="4650"/>
    <n v="4650"/>
    <s v="Debit/Credit Card"/>
    <x v="1"/>
    <s v="India"/>
    <x v="32"/>
    <s v="Dhanbad"/>
    <s v="Comfort Shopper"/>
    <x v="0"/>
    <n v="3.7"/>
    <s v="Delivered"/>
    <s v="Standard"/>
    <n v="2"/>
  </r>
  <r>
    <s v="ORD202064"/>
    <s v="CUST100376"/>
    <s v="Unisex"/>
    <s v="35-44"/>
    <x v="120"/>
    <x v="1"/>
    <x v="1"/>
    <x v="1"/>
    <n v="11"/>
    <s v="Red"/>
    <n v="2"/>
    <n v="7199"/>
    <n v="10"/>
    <n v="6480"/>
    <n v="12960"/>
    <s v="Cash on Delivery"/>
    <x v="2"/>
    <s v="India"/>
    <x v="32"/>
    <s v="Jamshedpur"/>
    <s v="Value Shopper"/>
    <x v="0"/>
    <n v="4.8"/>
    <s v="Delivered"/>
    <s v="Standard"/>
    <n v="3"/>
  </r>
  <r>
    <s v="ORD202795"/>
    <s v="CUST100619"/>
    <s v="Men"/>
    <s v="18-24"/>
    <x v="120"/>
    <x v="4"/>
    <x v="22"/>
    <x v="0"/>
    <n v="7"/>
    <s v="White"/>
    <n v="1"/>
    <n v="5699"/>
    <n v="30"/>
    <n v="3990"/>
    <n v="3990"/>
    <s v="UPI"/>
    <x v="2"/>
    <s v="India"/>
    <x v="5"/>
    <s v="Imphal"/>
    <s v="Performance Seeker"/>
    <x v="0"/>
    <n v="4.3"/>
    <s v="Returned"/>
    <s v="Standard"/>
    <n v="3"/>
  </r>
  <r>
    <s v="ORD200437"/>
    <s v="CUST100440"/>
    <s v="Women"/>
    <s v="25-34"/>
    <x v="121"/>
    <x v="2"/>
    <x v="25"/>
    <x v="3"/>
    <n v="9"/>
    <s v="Green"/>
    <n v="1"/>
    <n v="3599"/>
    <n v="30"/>
    <n v="2520"/>
    <n v="2520"/>
    <s v="Net Banking"/>
    <x v="1"/>
    <s v="India"/>
    <x v="19"/>
    <s v="Nongpoh"/>
    <s v="Lifestyle Shopper"/>
    <x v="0"/>
    <n v="4.4000000000000004"/>
    <s v="Delivered"/>
    <s v="Express"/>
    <n v="3"/>
  </r>
  <r>
    <s v="ORD201484"/>
    <s v="CUST100818"/>
    <s v="Men"/>
    <s v="55+"/>
    <x v="121"/>
    <x v="3"/>
    <x v="34"/>
    <x v="3"/>
    <n v="8"/>
    <s v="Green"/>
    <n v="1"/>
    <n v="7399"/>
    <n v="15"/>
    <n v="6290"/>
    <n v="6290"/>
    <s v="Cash on Delivery"/>
    <x v="1"/>
    <s v="India"/>
    <x v="23"/>
    <s v="Dehradun"/>
    <s v="Premium Shopper"/>
    <x v="0"/>
    <n v="5"/>
    <s v="Cancelled"/>
    <s v="Standard"/>
    <n v="4"/>
  </r>
  <r>
    <s v="ORD200296"/>
    <s v="CUST100261"/>
    <s v="Men"/>
    <s v="25-34"/>
    <x v="122"/>
    <x v="3"/>
    <x v="5"/>
    <x v="2"/>
    <n v="11"/>
    <s v="Blue"/>
    <n v="1"/>
    <n v="5499"/>
    <n v="20"/>
    <n v="4400"/>
    <n v="4400"/>
    <s v="Debit/Credit Card"/>
    <x v="2"/>
    <s v="India"/>
    <x v="31"/>
    <s v="Coimbatore"/>
    <s v="Value Shopper"/>
    <x v="0"/>
    <n v="4.5"/>
    <s v="Delivered"/>
    <s v="Express"/>
    <n v="2"/>
  </r>
  <r>
    <s v="ORD201211"/>
    <s v="CUST100037"/>
    <s v="Men"/>
    <s v="45-54"/>
    <x v="123"/>
    <x v="3"/>
    <x v="11"/>
    <x v="4"/>
    <n v="9"/>
    <s v="Blue"/>
    <n v="1"/>
    <n v="3499"/>
    <n v="5"/>
    <n v="3320"/>
    <n v="3320"/>
    <s v="Debit/Credit Card"/>
    <x v="2"/>
    <s v="India"/>
    <x v="2"/>
    <s v="Panipat"/>
    <s v="Lifestyle Shopper"/>
    <x v="0"/>
    <n v="4.2"/>
    <s v="Delivered"/>
    <s v="Standard"/>
    <n v="5"/>
  </r>
  <r>
    <s v="ORD200902"/>
    <s v="CUST100768"/>
    <s v="Women"/>
    <s v="25-34"/>
    <x v="124"/>
    <x v="1"/>
    <x v="20"/>
    <x v="2"/>
    <n v="6"/>
    <s v="Grey"/>
    <n v="1"/>
    <n v="9099"/>
    <n v="15"/>
    <n v="7730"/>
    <n v="7730"/>
    <s v="Cash on Delivery"/>
    <x v="1"/>
    <s v="India"/>
    <x v="34"/>
    <s v="Durgapur"/>
    <s v="Lifestyle Shopper"/>
    <x v="0"/>
    <n v="3.9"/>
    <s v="Delivered"/>
    <s v="Standard"/>
    <n v="5"/>
  </r>
  <r>
    <s v="ORD201488"/>
    <s v="CUST100678"/>
    <s v="Men"/>
    <s v="35-44"/>
    <x v="124"/>
    <x v="1"/>
    <x v="33"/>
    <x v="0"/>
    <n v="10"/>
    <s v="White"/>
    <n v="2"/>
    <n v="6699"/>
    <n v="10"/>
    <n v="6030"/>
    <n v="12060"/>
    <s v="Cash on Delivery"/>
    <x v="2"/>
    <s v="India"/>
    <x v="4"/>
    <s v="Gangtok"/>
    <s v="Performance Seeker"/>
    <x v="0"/>
    <n v="4.3"/>
    <s v="Delivered"/>
    <s v="Standard"/>
    <n v="7"/>
  </r>
  <r>
    <s v="ORD202578"/>
    <s v="CUST100314"/>
    <s v="Women"/>
    <s v="45-54"/>
    <x v="125"/>
    <x v="5"/>
    <x v="14"/>
    <x v="3"/>
    <n v="7"/>
    <s v="Grey"/>
    <n v="3"/>
    <n v="8299"/>
    <n v="15"/>
    <n v="7050"/>
    <n v="21150"/>
    <s v="UPI"/>
    <x v="0"/>
    <s v="India"/>
    <x v="2"/>
    <s v="Faridabad"/>
    <s v="Lifestyle Shopper"/>
    <x v="1"/>
    <n v="4.7"/>
    <s v="Delivered"/>
    <s v="Standard"/>
    <n v="5"/>
  </r>
  <r>
    <s v="ORD201581"/>
    <s v="CUST100498"/>
    <s v="Women"/>
    <s v="55+"/>
    <x v="126"/>
    <x v="3"/>
    <x v="11"/>
    <x v="4"/>
    <n v="10"/>
    <s v="Blue"/>
    <n v="2"/>
    <n v="3899"/>
    <n v="15"/>
    <n v="3310"/>
    <n v="6620"/>
    <s v="Cash on Delivery"/>
    <x v="1"/>
    <s v="India"/>
    <x v="31"/>
    <s v="Chennai"/>
    <s v="Lifestyle Shopper"/>
    <x v="1"/>
    <n v="3.3"/>
    <s v="Delivered"/>
    <s v="Standard"/>
    <n v="5"/>
  </r>
  <r>
    <s v="ORD202262"/>
    <s v="CUST100015"/>
    <s v="Women"/>
    <s v="55+"/>
    <x v="126"/>
    <x v="3"/>
    <x v="5"/>
    <x v="2"/>
    <n v="7"/>
    <s v="Black"/>
    <n v="1"/>
    <n v="6499"/>
    <n v="25"/>
    <n v="4870"/>
    <n v="4870"/>
    <s v="Debit/Credit Card"/>
    <x v="0"/>
    <s v="India"/>
    <x v="26"/>
    <s v="Kozhikode"/>
    <s v="Comfort Shopper"/>
    <x v="0"/>
    <n v="3.6"/>
    <s v="Delivered"/>
    <s v="Standard"/>
    <n v="6"/>
  </r>
  <r>
    <s v="ORD200785"/>
    <s v="CUST100352"/>
    <s v="Women"/>
    <s v="18-24"/>
    <x v="127"/>
    <x v="0"/>
    <x v="19"/>
    <x v="4"/>
    <n v="9"/>
    <s v="Red"/>
    <n v="1"/>
    <n v="6799"/>
    <n v="10"/>
    <n v="6120"/>
    <n v="6120"/>
    <s v="Net Banking"/>
    <x v="0"/>
    <s v="India"/>
    <x v="26"/>
    <s v="Thiruvananthapuram"/>
    <s v="Lifestyle Shopper"/>
    <x v="0"/>
    <n v="4.9000000000000004"/>
    <s v="Delivered"/>
    <s v="Standard"/>
    <n v="1"/>
  </r>
  <r>
    <s v="ORD202980"/>
    <s v="CUST100785"/>
    <s v="Men"/>
    <s v="45-54"/>
    <x v="127"/>
    <x v="3"/>
    <x v="16"/>
    <x v="0"/>
    <n v="8"/>
    <s v="Green"/>
    <n v="1"/>
    <n v="6399"/>
    <n v="20"/>
    <n v="5120"/>
    <n v="5120"/>
    <s v="Net Banking"/>
    <x v="0"/>
    <s v="India"/>
    <x v="25"/>
    <s v="Anantnag"/>
    <s v="Premium Shopper"/>
    <x v="0"/>
    <n v="4.0999999999999996"/>
    <s v="Delivered"/>
    <s v="Standard"/>
    <n v="5"/>
  </r>
  <r>
    <s v="ORD202827"/>
    <s v="CUST100119"/>
    <s v="Men"/>
    <s v="45-54"/>
    <x v="128"/>
    <x v="2"/>
    <x v="3"/>
    <x v="2"/>
    <n v="10"/>
    <s v="White"/>
    <n v="1"/>
    <n v="7599"/>
    <n v="10"/>
    <n v="6840"/>
    <n v="6840"/>
    <s v="UPI"/>
    <x v="1"/>
    <s v="India"/>
    <x v="29"/>
    <s v="Vijayawada"/>
    <s v="Premium Shopper"/>
    <x v="1"/>
    <n v="4.0999999999999996"/>
    <s v="Delivered"/>
    <s v="Express"/>
    <n v="2"/>
  </r>
  <r>
    <s v="ORD201132"/>
    <s v="CUST100740"/>
    <s v="Men"/>
    <s v="25-34"/>
    <x v="129"/>
    <x v="4"/>
    <x v="17"/>
    <x v="4"/>
    <n v="9"/>
    <s v="Red"/>
    <n v="2"/>
    <n v="3799"/>
    <n v="25"/>
    <n v="2850"/>
    <n v="5700"/>
    <s v="UPI"/>
    <x v="2"/>
    <s v="India"/>
    <x v="15"/>
    <s v="Rohini"/>
    <s v="Premium Shopper"/>
    <x v="0"/>
    <n v="4.5999999999999996"/>
    <s v="Delivered"/>
    <s v="Standard"/>
    <n v="3"/>
  </r>
  <r>
    <s v="ORD201120"/>
    <s v="CUST100031"/>
    <s v="Men"/>
    <s v="35-44"/>
    <x v="130"/>
    <x v="0"/>
    <x v="31"/>
    <x v="1"/>
    <n v="10"/>
    <s v="White"/>
    <n v="2"/>
    <n v="7699"/>
    <n v="30"/>
    <n v="5390"/>
    <n v="10780"/>
    <s v="Debit/Credit Card"/>
    <x v="1"/>
    <s v="India"/>
    <x v="7"/>
    <s v="Bhopal"/>
    <s v="Performance Seeker"/>
    <x v="0"/>
    <n v="3.4"/>
    <s v="Cancelled"/>
    <s v="Standard"/>
    <n v="5"/>
  </r>
  <r>
    <s v="ORD200170"/>
    <s v="CUST100319"/>
    <s v="Women"/>
    <s v="35-44"/>
    <x v="131"/>
    <x v="1"/>
    <x v="1"/>
    <x v="1"/>
    <n v="9"/>
    <s v="Grey"/>
    <n v="2"/>
    <n v="6299"/>
    <n v="25"/>
    <n v="4720"/>
    <n v="9440"/>
    <s v="Cash on Delivery"/>
    <x v="2"/>
    <s v="India"/>
    <x v="14"/>
    <s v="Amritsar"/>
    <s v="Performance Seeker"/>
    <x v="0"/>
    <n v="3.5"/>
    <s v="Delivered"/>
    <s v="Standard"/>
    <n v="4"/>
  </r>
  <r>
    <s v="ORD202205"/>
    <s v="CUST100460"/>
    <s v="Women"/>
    <s v="45-54"/>
    <x v="131"/>
    <x v="4"/>
    <x v="9"/>
    <x v="1"/>
    <n v="9"/>
    <s v="Grey"/>
    <n v="1"/>
    <n v="5699"/>
    <n v="20"/>
    <n v="4560"/>
    <n v="4560"/>
    <s v="Cash on Delivery"/>
    <x v="1"/>
    <s v="India"/>
    <x v="33"/>
    <s v="Nagpur"/>
    <s v="Comfort Shopper"/>
    <x v="1"/>
    <n v="4.9000000000000004"/>
    <s v="Delivered"/>
    <s v="Standard"/>
    <n v="4"/>
  </r>
  <r>
    <s v="ORD201221"/>
    <s v="CUST100249"/>
    <s v="Women"/>
    <s v="35-44"/>
    <x v="132"/>
    <x v="1"/>
    <x v="12"/>
    <x v="4"/>
    <n v="8"/>
    <s v="Red"/>
    <n v="3"/>
    <n v="6299"/>
    <n v="15"/>
    <n v="5350"/>
    <n v="16050"/>
    <s v="Cash on Delivery"/>
    <x v="1"/>
    <s v="India"/>
    <x v="16"/>
    <s v="Rajkot"/>
    <s v="Premium Shopper"/>
    <x v="0"/>
    <n v="3.1"/>
    <s v="Delivered"/>
    <s v="Standard"/>
    <n v="5"/>
  </r>
  <r>
    <s v="ORD201718"/>
    <s v="CUST100925"/>
    <s v="Women"/>
    <s v="25-34"/>
    <x v="132"/>
    <x v="4"/>
    <x v="9"/>
    <x v="1"/>
    <n v="8"/>
    <s v="Red"/>
    <n v="1"/>
    <n v="7399"/>
    <n v="30"/>
    <n v="5180"/>
    <n v="5180"/>
    <s v="Net Banking"/>
    <x v="0"/>
    <s v="India"/>
    <x v="26"/>
    <s v="Kochi"/>
    <s v="Performance Seeker"/>
    <x v="0"/>
    <n v="4.5"/>
    <s v="Cancelled"/>
    <s v="Express"/>
    <n v="3"/>
  </r>
  <r>
    <s v="ORD203017"/>
    <s v="CUST100359"/>
    <s v="Men"/>
    <s v="35-44"/>
    <x v="133"/>
    <x v="4"/>
    <x v="22"/>
    <x v="0"/>
    <n v="10"/>
    <s v="White"/>
    <n v="1"/>
    <n v="7899"/>
    <n v="30"/>
    <n v="5530"/>
    <n v="5530"/>
    <s v="UPI"/>
    <x v="1"/>
    <s v="India"/>
    <x v="11"/>
    <s v="Andrott"/>
    <s v="Performance Seeker"/>
    <x v="0"/>
    <n v="3.2"/>
    <s v="Delivered"/>
    <s v="Express"/>
    <n v="3"/>
  </r>
  <r>
    <s v="ORD200218"/>
    <s v="CUST100769"/>
    <s v="Women"/>
    <s v="55+"/>
    <x v="134"/>
    <x v="4"/>
    <x v="9"/>
    <x v="1"/>
    <n v="10"/>
    <s v="Grey"/>
    <n v="1"/>
    <n v="6699"/>
    <n v="10"/>
    <n v="6030"/>
    <n v="6030"/>
    <s v="Net Banking"/>
    <x v="2"/>
    <s v="India"/>
    <x v="18"/>
    <s v="Bilaspur"/>
    <s v="Performance Seeker"/>
    <x v="0"/>
    <n v="3.7"/>
    <s v="Delivered"/>
    <s v="Standard"/>
    <n v="4"/>
  </r>
  <r>
    <s v="ORD200907"/>
    <s v="CUST100723"/>
    <s v="Women"/>
    <s v="35-44"/>
    <x v="134"/>
    <x v="0"/>
    <x v="8"/>
    <x v="3"/>
    <n v="8"/>
    <s v="Grey"/>
    <n v="2"/>
    <n v="5999"/>
    <n v="5"/>
    <n v="5700"/>
    <n v="11400"/>
    <s v="UPI"/>
    <x v="2"/>
    <s v="India"/>
    <x v="15"/>
    <s v="Delhi"/>
    <s v="Value Shopper"/>
    <x v="0"/>
    <n v="4.8"/>
    <s v="Delivered"/>
    <s v="Standard"/>
    <n v="4"/>
  </r>
  <r>
    <s v="ORD202261"/>
    <s v="CUST100082"/>
    <s v="Men"/>
    <s v="18-24"/>
    <x v="134"/>
    <x v="5"/>
    <x v="15"/>
    <x v="4"/>
    <n v="8"/>
    <s v="White"/>
    <n v="1"/>
    <n v="6499"/>
    <n v="0"/>
    <n v="6500"/>
    <n v="6500"/>
    <s v="Net Banking"/>
    <x v="1"/>
    <s v="India"/>
    <x v="7"/>
    <s v="Jabalpur"/>
    <s v="Premium Shopper"/>
    <x v="0"/>
    <n v="4.0999999999999996"/>
    <s v="Delivered"/>
    <s v="Standard"/>
    <n v="2"/>
  </r>
  <r>
    <s v="ORD202913"/>
    <s v="CUST100178"/>
    <s v="Men"/>
    <s v="45-54"/>
    <x v="134"/>
    <x v="1"/>
    <x v="18"/>
    <x v="2"/>
    <n v="11"/>
    <s v="White"/>
    <n v="1"/>
    <n v="4199"/>
    <n v="20"/>
    <n v="3360"/>
    <n v="3360"/>
    <s v="UPI"/>
    <x v="0"/>
    <s v="India"/>
    <x v="10"/>
    <s v="Silvassa"/>
    <s v="Value Shopper"/>
    <x v="0"/>
    <n v="4.2"/>
    <s v="Delivered"/>
    <s v="Standard"/>
    <n v="4"/>
  </r>
  <r>
    <s v="ORD200777"/>
    <s v="CUST100019"/>
    <s v="Men"/>
    <s v="35-44"/>
    <x v="135"/>
    <x v="0"/>
    <x v="8"/>
    <x v="3"/>
    <n v="8"/>
    <s v="White"/>
    <n v="2"/>
    <n v="4099"/>
    <n v="10"/>
    <n v="3690"/>
    <n v="7380"/>
    <s v="Net Banking"/>
    <x v="2"/>
    <s v="India"/>
    <x v="14"/>
    <s v="Patiala"/>
    <s v="Value Shopper"/>
    <x v="1"/>
    <n v="5"/>
    <s v="Delivered"/>
    <s v="Standard"/>
    <n v="3"/>
  </r>
  <r>
    <s v="ORD201048"/>
    <s v="CUST100772"/>
    <s v="Women"/>
    <s v="55+"/>
    <x v="135"/>
    <x v="3"/>
    <x v="16"/>
    <x v="0"/>
    <n v="8"/>
    <s v="Black"/>
    <n v="2"/>
    <n v="5799"/>
    <n v="0"/>
    <n v="5800"/>
    <n v="11600"/>
    <s v="Debit/Credit Card"/>
    <x v="1"/>
    <s v="India"/>
    <x v="3"/>
    <s v="Udaipur"/>
    <s v="Value Shopper"/>
    <x v="0"/>
    <n v="4.4000000000000004"/>
    <s v="Returned"/>
    <s v="Standard"/>
    <n v="4"/>
  </r>
  <r>
    <s v="ORD200776"/>
    <s v="CUST100254"/>
    <s v="Unisex"/>
    <s v="18-24"/>
    <x v="136"/>
    <x v="3"/>
    <x v="28"/>
    <x v="1"/>
    <n v="9"/>
    <s v="Green"/>
    <n v="1"/>
    <n v="7699"/>
    <n v="20"/>
    <n v="6160"/>
    <n v="6160"/>
    <s v="UPI"/>
    <x v="1"/>
    <s v="India"/>
    <x v="27"/>
    <s v="Rourkela"/>
    <s v="Comfort Shopper"/>
    <x v="0"/>
    <n v="4.5999999999999996"/>
    <s v="Cancelled"/>
    <s v="Standard"/>
    <n v="5"/>
  </r>
  <r>
    <s v="ORD201283"/>
    <s v="CUST100332"/>
    <s v="Women"/>
    <s v="35-44"/>
    <x v="137"/>
    <x v="5"/>
    <x v="27"/>
    <x v="0"/>
    <n v="10"/>
    <s v="White"/>
    <n v="1"/>
    <n v="6999"/>
    <n v="25"/>
    <n v="5250"/>
    <n v="5250"/>
    <s v="Cash on Delivery"/>
    <x v="2"/>
    <s v="India"/>
    <x v="10"/>
    <s v="Amli"/>
    <s v="Lifestyle Shopper"/>
    <x v="0"/>
    <n v="3.9"/>
    <s v="Delivered"/>
    <s v="Standard"/>
    <n v="1"/>
  </r>
  <r>
    <s v="ORD202207"/>
    <s v="CUST100035"/>
    <s v="Men"/>
    <s v="45-54"/>
    <x v="137"/>
    <x v="0"/>
    <x v="31"/>
    <x v="1"/>
    <n v="10"/>
    <s v="Black"/>
    <n v="1"/>
    <n v="5999"/>
    <n v="5"/>
    <n v="5700"/>
    <n v="5700"/>
    <s v="UPI"/>
    <x v="1"/>
    <s v="India"/>
    <x v="33"/>
    <s v="Nagpur"/>
    <s v="Value Shopper"/>
    <x v="0"/>
    <n v="4.8"/>
    <s v="Cancelled"/>
    <s v="Standard"/>
    <n v="3"/>
  </r>
  <r>
    <s v="ORD201598"/>
    <s v="CUST100340"/>
    <s v="Men"/>
    <s v="25-34"/>
    <x v="138"/>
    <x v="3"/>
    <x v="11"/>
    <x v="4"/>
    <n v="9"/>
    <s v="Black"/>
    <n v="1"/>
    <n v="6499"/>
    <n v="0"/>
    <n v="6500"/>
    <n v="6500"/>
    <s v="Debit/Credit Card"/>
    <x v="2"/>
    <s v="India"/>
    <x v="1"/>
    <s v="Margao"/>
    <s v="Premium Shopper"/>
    <x v="1"/>
    <n v="4.9000000000000004"/>
    <s v="Delivered"/>
    <s v="Standard"/>
    <n v="3"/>
  </r>
  <r>
    <s v="ORD202501"/>
    <s v="CUST100316"/>
    <s v="Men"/>
    <s v="45-54"/>
    <x v="139"/>
    <x v="1"/>
    <x v="20"/>
    <x v="2"/>
    <n v="9"/>
    <s v="Black"/>
    <n v="1"/>
    <n v="4099"/>
    <n v="20"/>
    <n v="3280"/>
    <n v="3280"/>
    <s v="Cash on Delivery"/>
    <x v="0"/>
    <s v="India"/>
    <x v="4"/>
    <s v="Gangtok"/>
    <s v="Value Shopper"/>
    <x v="0"/>
    <n v="4.4000000000000004"/>
    <s v="Delivered"/>
    <s v="Express"/>
    <n v="3"/>
  </r>
  <r>
    <s v="ORD200380"/>
    <s v="CUST100699"/>
    <s v="Men"/>
    <s v="18-24"/>
    <x v="140"/>
    <x v="0"/>
    <x v="13"/>
    <x v="2"/>
    <n v="7"/>
    <s v="Red"/>
    <n v="1"/>
    <n v="5099"/>
    <n v="20"/>
    <n v="4080"/>
    <n v="4080"/>
    <s v="Cash on Delivery"/>
    <x v="1"/>
    <s v="India"/>
    <x v="23"/>
    <s v="Haldwani"/>
    <s v="Value Shopper"/>
    <x v="0"/>
    <n v="4.3"/>
    <s v="Cancelled"/>
    <s v="Standard"/>
    <n v="3"/>
  </r>
  <r>
    <s v="ORD201166"/>
    <s v="CUST100101"/>
    <s v="Women"/>
    <s v="18-24"/>
    <x v="140"/>
    <x v="5"/>
    <x v="27"/>
    <x v="0"/>
    <n v="10"/>
    <s v="Black"/>
    <n v="1"/>
    <n v="9199"/>
    <n v="10"/>
    <n v="8280"/>
    <n v="8280"/>
    <s v="UPI"/>
    <x v="2"/>
    <s v="India"/>
    <x v="22"/>
    <s v="Kailasahar"/>
    <s v="Value Shopper"/>
    <x v="0"/>
    <n v="3.9"/>
    <s v="Returned"/>
    <s v="Standard"/>
    <n v="2"/>
  </r>
  <r>
    <s v="ORD201873"/>
    <s v="CUST101050"/>
    <s v="Women"/>
    <s v="35-44"/>
    <x v="140"/>
    <x v="5"/>
    <x v="30"/>
    <x v="2"/>
    <n v="7"/>
    <s v="Black"/>
    <n v="2"/>
    <n v="4499"/>
    <n v="15"/>
    <n v="3820"/>
    <n v="7640"/>
    <s v="Debit/Credit Card"/>
    <x v="2"/>
    <s v="India"/>
    <x v="10"/>
    <s v="Amli"/>
    <s v="Premium Shopper"/>
    <x v="0"/>
    <n v="5"/>
    <s v="Delivered"/>
    <s v="Standard"/>
    <n v="3"/>
  </r>
  <r>
    <s v="ORD202870"/>
    <s v="CUST100488"/>
    <s v="Men"/>
    <s v="55+"/>
    <x v="140"/>
    <x v="2"/>
    <x v="3"/>
    <x v="2"/>
    <n v="8"/>
    <s v="Black"/>
    <n v="1"/>
    <n v="4399"/>
    <n v="15"/>
    <n v="3740"/>
    <n v="3740"/>
    <s v="Debit/Credit Card"/>
    <x v="0"/>
    <s v="India"/>
    <x v="33"/>
    <s v="Pune"/>
    <s v="Performance Seeker"/>
    <x v="0"/>
    <n v="3.7"/>
    <s v="Delivered"/>
    <s v="Express"/>
    <n v="2"/>
  </r>
  <r>
    <s v="ORD201861"/>
    <s v="CUST100631"/>
    <s v="Men"/>
    <s v="45-54"/>
    <x v="141"/>
    <x v="4"/>
    <x v="22"/>
    <x v="0"/>
    <n v="7"/>
    <s v="Grey"/>
    <n v="1"/>
    <n v="5299"/>
    <n v="5"/>
    <n v="5030"/>
    <n v="5030"/>
    <s v="UPI"/>
    <x v="0"/>
    <s v="India"/>
    <x v="8"/>
    <s v="Warangal"/>
    <s v="Comfort Shopper"/>
    <x v="0"/>
    <n v="3.1"/>
    <s v="Delivered"/>
    <s v="Standard"/>
    <n v="3"/>
  </r>
  <r>
    <s v="ORD203070"/>
    <s v="CUST100109"/>
    <s v="Men"/>
    <s v="18-24"/>
    <x v="141"/>
    <x v="5"/>
    <x v="30"/>
    <x v="2"/>
    <n v="11"/>
    <s v="Black"/>
    <n v="1"/>
    <n v="7899"/>
    <n v="0"/>
    <n v="7900"/>
    <n v="7900"/>
    <s v="Cash on Delivery"/>
    <x v="1"/>
    <s v="India"/>
    <x v="20"/>
    <s v="Dharamshala"/>
    <s v="Lifestyle Shopper"/>
    <x v="0"/>
    <n v="3.4"/>
    <s v="Delivered"/>
    <s v="Express"/>
    <n v="2"/>
  </r>
  <r>
    <s v="ORD200194"/>
    <s v="CUST100179"/>
    <s v="Women"/>
    <s v="45-54"/>
    <x v="142"/>
    <x v="5"/>
    <x v="30"/>
    <x v="2"/>
    <n v="10"/>
    <s v="Green"/>
    <n v="1"/>
    <n v="7999"/>
    <n v="20"/>
    <n v="6400"/>
    <n v="6400"/>
    <s v="UPI"/>
    <x v="2"/>
    <s v="India"/>
    <x v="0"/>
    <s v="Silchar"/>
    <s v="Value Shopper"/>
    <x v="0"/>
    <n v="4.0999999999999996"/>
    <s v="Delivered"/>
    <s v="Standard"/>
    <n v="5"/>
  </r>
  <r>
    <s v="ORD200598"/>
    <s v="CUST100395"/>
    <s v="Women"/>
    <s v="25-34"/>
    <x v="142"/>
    <x v="3"/>
    <x v="35"/>
    <x v="2"/>
    <n v="7"/>
    <s v="Green"/>
    <n v="1"/>
    <n v="5699"/>
    <n v="20"/>
    <n v="4560"/>
    <n v="4560"/>
    <s v="Debit/Credit Card"/>
    <x v="1"/>
    <s v="India"/>
    <x v="35"/>
    <s v="Aizawl"/>
    <s v="Lifestyle Shopper"/>
    <x v="0"/>
    <n v="4.3"/>
    <s v="Delivered"/>
    <s v="Standard"/>
    <n v="4"/>
  </r>
  <r>
    <s v="ORD201993"/>
    <s v="CUST100153"/>
    <s v="Unisex"/>
    <s v="45-54"/>
    <x v="142"/>
    <x v="2"/>
    <x v="4"/>
    <x v="2"/>
    <n v="6"/>
    <s v="White"/>
    <n v="1"/>
    <n v="5299"/>
    <n v="10"/>
    <n v="4770"/>
    <n v="4770"/>
    <s v="Cash on Delivery"/>
    <x v="0"/>
    <s v="India"/>
    <x v="24"/>
    <s v="Hubballi"/>
    <s v="Comfort Shopper"/>
    <x v="0"/>
    <n v="4.8"/>
    <s v="Delivered"/>
    <s v="Standard"/>
    <n v="5"/>
  </r>
  <r>
    <s v="ORD201431"/>
    <s v="CUST100619"/>
    <s v="Women"/>
    <s v="25-34"/>
    <x v="143"/>
    <x v="1"/>
    <x v="20"/>
    <x v="2"/>
    <n v="7"/>
    <s v="Black"/>
    <n v="1"/>
    <n v="8699"/>
    <n v="20"/>
    <n v="6960"/>
    <n v="6960"/>
    <s v="UPI"/>
    <x v="2"/>
    <s v="India"/>
    <x v="6"/>
    <s v="Lucknow"/>
    <s v="Lifestyle Shopper"/>
    <x v="1"/>
    <n v="3.3"/>
    <s v="Delivered"/>
    <s v="Standard"/>
    <n v="5"/>
  </r>
  <r>
    <s v="ORD203137"/>
    <s v="CUST100669"/>
    <s v="Women"/>
    <s v="18-24"/>
    <x v="143"/>
    <x v="3"/>
    <x v="35"/>
    <x v="2"/>
    <n v="8"/>
    <s v="White"/>
    <n v="1"/>
    <n v="6799"/>
    <n v="20"/>
    <n v="5440"/>
    <n v="5440"/>
    <s v="Cash on Delivery"/>
    <x v="0"/>
    <s v="India"/>
    <x v="2"/>
    <s v="Gurugram"/>
    <s v="Comfort Shopper"/>
    <x v="1"/>
    <n v="4.0999999999999996"/>
    <s v="Delivered"/>
    <s v="Standard"/>
    <n v="2"/>
  </r>
  <r>
    <s v="ORD200761"/>
    <s v="CUST100399"/>
    <s v="Unisex"/>
    <s v="18-24"/>
    <x v="144"/>
    <x v="0"/>
    <x v="31"/>
    <x v="1"/>
    <n v="7"/>
    <s v="Green"/>
    <n v="1"/>
    <n v="4299"/>
    <n v="35"/>
    <n v="2790"/>
    <n v="2790"/>
    <s v="Debit/Credit Card"/>
    <x v="1"/>
    <s v="India"/>
    <x v="13"/>
    <s v="Pasighat"/>
    <s v="Value Shopper"/>
    <x v="0"/>
    <n v="4.2"/>
    <s v="Delivered"/>
    <s v="Express"/>
    <n v="1"/>
  </r>
  <r>
    <s v="ORD202381"/>
    <s v="CUST100439"/>
    <s v="Women"/>
    <s v="25-34"/>
    <x v="145"/>
    <x v="2"/>
    <x v="4"/>
    <x v="2"/>
    <n v="6"/>
    <s v="Grey"/>
    <n v="2"/>
    <n v="7199"/>
    <n v="15"/>
    <n v="6120"/>
    <n v="12240"/>
    <s v="Debit/Credit Card"/>
    <x v="1"/>
    <s v="India"/>
    <x v="13"/>
    <s v="Itanagar"/>
    <s v="Comfort Shopper"/>
    <x v="0"/>
    <n v="4.4000000000000004"/>
    <s v="Delivered"/>
    <s v="Standard"/>
    <n v="3"/>
  </r>
  <r>
    <s v="ORD200462"/>
    <s v="CUST100869"/>
    <s v="Men"/>
    <s v="45-54"/>
    <x v="146"/>
    <x v="2"/>
    <x v="32"/>
    <x v="1"/>
    <n v="11"/>
    <s v="Black"/>
    <n v="1"/>
    <n v="3499"/>
    <n v="15"/>
    <n v="2970"/>
    <n v="2970"/>
    <s v="Cash on Delivery"/>
    <x v="0"/>
    <s v="India"/>
    <x v="7"/>
    <s v="Indore"/>
    <s v="Comfort Shopper"/>
    <x v="0"/>
    <n v="4.8"/>
    <s v="Delivered"/>
    <s v="Express"/>
    <n v="1"/>
  </r>
  <r>
    <s v="ORD200876"/>
    <s v="CUST100027"/>
    <s v="Men"/>
    <s v="25-34"/>
    <x v="147"/>
    <x v="2"/>
    <x v="32"/>
    <x v="1"/>
    <n v="11"/>
    <s v="White"/>
    <n v="1"/>
    <n v="7199"/>
    <n v="15"/>
    <n v="6120"/>
    <n v="6120"/>
    <s v="Net Banking"/>
    <x v="1"/>
    <s v="India"/>
    <x v="22"/>
    <s v="Udaipur"/>
    <s v="Lifestyle Shopper"/>
    <x v="1"/>
    <n v="2.8"/>
    <s v="Delivered"/>
    <s v="Standard"/>
    <n v="3"/>
  </r>
  <r>
    <s v="ORD201830"/>
    <s v="CUST100500"/>
    <s v="Unisex"/>
    <s v="25-34"/>
    <x v="147"/>
    <x v="0"/>
    <x v="0"/>
    <x v="0"/>
    <n v="6"/>
    <s v="Blue"/>
    <n v="3"/>
    <n v="4999"/>
    <n v="5"/>
    <n v="4750"/>
    <n v="14250"/>
    <s v="Cash on Delivery"/>
    <x v="2"/>
    <s v="India"/>
    <x v="31"/>
    <s v="Chennai"/>
    <s v="Performance Seeker"/>
    <x v="0"/>
    <n v="3.6"/>
    <s v="Cancelled"/>
    <s v="Standard"/>
    <n v="4"/>
  </r>
  <r>
    <s v="ORD202650"/>
    <s v="CUST100637"/>
    <s v="Women"/>
    <s v="18-24"/>
    <x v="147"/>
    <x v="5"/>
    <x v="15"/>
    <x v="4"/>
    <n v="8"/>
    <s v="Blue"/>
    <n v="3"/>
    <n v="6499"/>
    <n v="5"/>
    <n v="6170"/>
    <n v="18510"/>
    <s v="Net Banking"/>
    <x v="1"/>
    <s v="India"/>
    <x v="31"/>
    <s v="Tiruchirappalli"/>
    <s v="Lifestyle Shopper"/>
    <x v="0"/>
    <n v="4.9000000000000004"/>
    <s v="Delivered"/>
    <s v="Standard"/>
    <n v="1"/>
  </r>
  <r>
    <s v="ORD201374"/>
    <s v="CUST100857"/>
    <s v="Men"/>
    <s v="18-24"/>
    <x v="148"/>
    <x v="0"/>
    <x v="2"/>
    <x v="2"/>
    <n v="11"/>
    <s v="Black"/>
    <n v="1"/>
    <n v="5899"/>
    <n v="15"/>
    <n v="5010"/>
    <n v="5010"/>
    <s v="Cash on Delivery"/>
    <x v="1"/>
    <s v="India"/>
    <x v="32"/>
    <s v="Jamshedpur"/>
    <s v="Value Shopper"/>
    <x v="0"/>
    <n v="4"/>
    <s v="Cancelled"/>
    <s v="Standard"/>
    <n v="3"/>
  </r>
  <r>
    <s v="ORD201416"/>
    <s v="CUST100745"/>
    <s v="Women"/>
    <s v="18-24"/>
    <x v="148"/>
    <x v="0"/>
    <x v="19"/>
    <x v="4"/>
    <n v="7"/>
    <s v="Green"/>
    <n v="1"/>
    <n v="5699"/>
    <n v="10"/>
    <n v="5130"/>
    <n v="5130"/>
    <s v="Debit/Credit Card"/>
    <x v="0"/>
    <s v="India"/>
    <x v="11"/>
    <s v="Kavaratti"/>
    <s v="Performance Seeker"/>
    <x v="0"/>
    <n v="5"/>
    <s v="Returned"/>
    <s v="Express"/>
    <n v="2"/>
  </r>
  <r>
    <s v="ORD202433"/>
    <s v="CUST100549"/>
    <s v="Men"/>
    <s v="25-34"/>
    <x v="148"/>
    <x v="2"/>
    <x v="32"/>
    <x v="1"/>
    <n v="7"/>
    <s v="White"/>
    <n v="1"/>
    <n v="7899"/>
    <n v="35"/>
    <n v="5130"/>
    <n v="5130"/>
    <s v="Net Banking"/>
    <x v="1"/>
    <s v="India"/>
    <x v="10"/>
    <s v="Daman"/>
    <s v="Lifestyle Shopper"/>
    <x v="0"/>
    <n v="3.7"/>
    <s v="Delivered"/>
    <s v="Express"/>
    <n v="2"/>
  </r>
  <r>
    <s v="ORD200330"/>
    <s v="CUST100491"/>
    <s v="Men"/>
    <s v="25-34"/>
    <x v="149"/>
    <x v="5"/>
    <x v="30"/>
    <x v="2"/>
    <n v="8"/>
    <s v="White"/>
    <n v="1"/>
    <n v="9099"/>
    <n v="15"/>
    <n v="7730"/>
    <n v="7730"/>
    <s v="Debit/Credit Card"/>
    <x v="1"/>
    <s v="India"/>
    <x v="1"/>
    <s v="Vasco da Gama"/>
    <s v="Premium Shopper"/>
    <x v="0"/>
    <n v="3.4"/>
    <s v="Delivered"/>
    <s v="Standard"/>
    <n v="4"/>
  </r>
  <r>
    <s v="ORD202515"/>
    <s v="CUST100338"/>
    <s v="Men"/>
    <s v="25-34"/>
    <x v="149"/>
    <x v="4"/>
    <x v="6"/>
    <x v="2"/>
    <n v="9"/>
    <s v="Red"/>
    <n v="2"/>
    <n v="4299"/>
    <n v="0"/>
    <n v="4300"/>
    <n v="8600"/>
    <s v="UPI"/>
    <x v="0"/>
    <s v="India"/>
    <x v="32"/>
    <s v="Ranchi"/>
    <s v="Lifestyle Shopper"/>
    <x v="0"/>
    <n v="4.0999999999999996"/>
    <s v="Delivered"/>
    <s v="Standard"/>
    <n v="5"/>
  </r>
  <r>
    <s v="ORD202222"/>
    <s v="CUST100664"/>
    <s v="Unisex"/>
    <s v="25-34"/>
    <x v="150"/>
    <x v="1"/>
    <x v="18"/>
    <x v="2"/>
    <n v="8"/>
    <s v="Black"/>
    <n v="1"/>
    <n v="9599"/>
    <n v="15"/>
    <n v="8160"/>
    <n v="8160"/>
    <s v="Net Banking"/>
    <x v="0"/>
    <s v="India"/>
    <x v="1"/>
    <s v="Panaji"/>
    <s v="Premium Shopper"/>
    <x v="0"/>
    <n v="4.2"/>
    <s v="Delivered"/>
    <s v="Express"/>
    <n v="2"/>
  </r>
  <r>
    <s v="ORD201174"/>
    <s v="CUST100407"/>
    <s v="Men"/>
    <s v="45-54"/>
    <x v="151"/>
    <x v="4"/>
    <x v="6"/>
    <x v="2"/>
    <n v="9"/>
    <s v="Green"/>
    <n v="1"/>
    <n v="8899"/>
    <n v="20"/>
    <n v="7120"/>
    <n v="7120"/>
    <s v="Net Banking"/>
    <x v="2"/>
    <s v="India"/>
    <x v="23"/>
    <s v="Haridwar"/>
    <s v="Performance Seeker"/>
    <x v="0"/>
    <n v="5"/>
    <s v="Cancelled"/>
    <s v="Standard"/>
    <n v="3"/>
  </r>
  <r>
    <s v="ORD200295"/>
    <s v="CUST100205"/>
    <s v="Women"/>
    <s v="25-34"/>
    <x v="152"/>
    <x v="1"/>
    <x v="10"/>
    <x v="3"/>
    <n v="10"/>
    <s v="Black"/>
    <n v="1"/>
    <n v="7999"/>
    <n v="15"/>
    <n v="6800"/>
    <n v="6800"/>
    <s v="Net Banking"/>
    <x v="1"/>
    <s v="India"/>
    <x v="12"/>
    <s v="Port Blair"/>
    <s v="Comfort Shopper"/>
    <x v="0"/>
    <n v="3"/>
    <s v="Delivered"/>
    <s v="Standard"/>
    <n v="5"/>
  </r>
  <r>
    <s v="ORD203024"/>
    <s v="CUST100415"/>
    <s v="Women"/>
    <s v="18-24"/>
    <x v="152"/>
    <x v="2"/>
    <x v="24"/>
    <x v="4"/>
    <n v="7"/>
    <s v="White"/>
    <n v="2"/>
    <n v="6799"/>
    <n v="15"/>
    <n v="5780"/>
    <n v="11560"/>
    <s v="Debit/Credit Card"/>
    <x v="1"/>
    <s v="India"/>
    <x v="7"/>
    <s v="Indore"/>
    <s v="Value Shopper"/>
    <x v="0"/>
    <n v="4"/>
    <s v="Cancelled"/>
    <s v="Standard"/>
    <n v="7"/>
  </r>
  <r>
    <s v="ORD200452"/>
    <s v="CUST100654"/>
    <s v="Men"/>
    <s v="35-44"/>
    <x v="153"/>
    <x v="5"/>
    <x v="14"/>
    <x v="3"/>
    <n v="7"/>
    <s v="Black"/>
    <n v="2"/>
    <n v="8099"/>
    <n v="20"/>
    <n v="6480"/>
    <n v="12960"/>
    <s v="Debit/Credit Card"/>
    <x v="1"/>
    <s v="India"/>
    <x v="17"/>
    <s v="Yanam"/>
    <s v="Performance Seeker"/>
    <x v="0"/>
    <n v="4.5"/>
    <s v="Returned"/>
    <s v="Standard"/>
    <n v="6"/>
  </r>
  <r>
    <s v="ORD201677"/>
    <s v="CUST100641"/>
    <s v="Women"/>
    <s v="25-34"/>
    <x v="153"/>
    <x v="4"/>
    <x v="26"/>
    <x v="3"/>
    <n v="10"/>
    <s v="Green"/>
    <n v="1"/>
    <n v="6899"/>
    <n v="30"/>
    <n v="4830"/>
    <n v="4830"/>
    <s v="Debit/Credit Card"/>
    <x v="0"/>
    <s v="India"/>
    <x v="29"/>
    <s v="Visakhapatnam"/>
    <s v="Performance Seeker"/>
    <x v="0"/>
    <n v="4.4000000000000004"/>
    <s v="Returned"/>
    <s v="Standard"/>
    <n v="3"/>
  </r>
  <r>
    <s v="ORD201411"/>
    <s v="CUST100178"/>
    <s v="Men"/>
    <s v="18-24"/>
    <x v="154"/>
    <x v="2"/>
    <x v="23"/>
    <x v="0"/>
    <n v="8"/>
    <s v="Green"/>
    <n v="1"/>
    <n v="8399"/>
    <n v="15"/>
    <n v="7140"/>
    <n v="7140"/>
    <s v="Cash on Delivery"/>
    <x v="2"/>
    <s v="India"/>
    <x v="17"/>
    <s v="Mahe"/>
    <s v="Lifestyle Shopper"/>
    <x v="1"/>
    <n v="3.7"/>
    <s v="Delivered"/>
    <s v="Standard"/>
    <n v="2"/>
  </r>
  <r>
    <s v="ORD200682"/>
    <s v="CUST100242"/>
    <s v="Men"/>
    <s v="45-54"/>
    <x v="155"/>
    <x v="1"/>
    <x v="20"/>
    <x v="2"/>
    <n v="9"/>
    <s v="Grey"/>
    <n v="1"/>
    <n v="8899"/>
    <n v="15"/>
    <n v="7560"/>
    <n v="7560"/>
    <s v="UPI"/>
    <x v="2"/>
    <s v="India"/>
    <x v="27"/>
    <s v="Bhubaneswar"/>
    <s v="Value Shopper"/>
    <x v="0"/>
    <n v="3.5"/>
    <s v="Delivered"/>
    <s v="Standard"/>
    <n v="1"/>
  </r>
  <r>
    <s v="ORD203105"/>
    <s v="CUST100014"/>
    <s v="Women"/>
    <s v="35-44"/>
    <x v="155"/>
    <x v="5"/>
    <x v="30"/>
    <x v="2"/>
    <n v="8"/>
    <s v="White"/>
    <n v="2"/>
    <n v="4999"/>
    <n v="0"/>
    <n v="5000"/>
    <n v="10000"/>
    <s v="Net Banking"/>
    <x v="1"/>
    <s v="India"/>
    <x v="3"/>
    <s v="Udaipur"/>
    <s v="Performance Seeker"/>
    <x v="1"/>
    <n v="4.0999999999999996"/>
    <s v="Cancelled"/>
    <s v="Express"/>
    <n v="3"/>
  </r>
  <r>
    <s v="ORD201970"/>
    <s v="CUST100544"/>
    <s v="Men"/>
    <s v="35-44"/>
    <x v="156"/>
    <x v="1"/>
    <x v="18"/>
    <x v="2"/>
    <n v="6"/>
    <s v="Grey"/>
    <n v="2"/>
    <n v="4499"/>
    <n v="10"/>
    <n v="4050"/>
    <n v="8100"/>
    <s v="Cash on Delivery"/>
    <x v="0"/>
    <s v="India"/>
    <x v="26"/>
    <s v="Thrissur"/>
    <s v="Comfort Shopper"/>
    <x v="0"/>
    <n v="4.2"/>
    <s v="Delivered"/>
    <s v="Standard"/>
    <n v="3"/>
  </r>
  <r>
    <s v="ORD202824"/>
    <s v="CUST100264"/>
    <s v="Women"/>
    <s v="18-24"/>
    <x v="156"/>
    <x v="0"/>
    <x v="0"/>
    <x v="0"/>
    <n v="7"/>
    <s v="Blue"/>
    <n v="2"/>
    <n v="3999"/>
    <n v="10"/>
    <n v="3600"/>
    <n v="7200"/>
    <s v="Cash on Delivery"/>
    <x v="0"/>
    <s v="India"/>
    <x v="20"/>
    <s v="Solan"/>
    <s v="Premium Shopper"/>
    <x v="0"/>
    <n v="4.2"/>
    <s v="Delivered"/>
    <s v="Express"/>
    <n v="1"/>
  </r>
  <r>
    <s v="ORD201805"/>
    <s v="CUST100136"/>
    <s v="Men"/>
    <s v="18-24"/>
    <x v="157"/>
    <x v="3"/>
    <x v="35"/>
    <x v="2"/>
    <n v="9"/>
    <s v="Black"/>
    <n v="1"/>
    <n v="4599"/>
    <n v="10"/>
    <n v="4140"/>
    <n v="4140"/>
    <s v="Debit/Credit Card"/>
    <x v="2"/>
    <s v="India"/>
    <x v="6"/>
    <s v="Kanpur"/>
    <s v="Performance Seeker"/>
    <x v="1"/>
    <n v="4.7"/>
    <s v="Delivered"/>
    <s v="Standard"/>
    <n v="6"/>
  </r>
  <r>
    <s v="ORD203157"/>
    <s v="CUST100598"/>
    <s v="Women"/>
    <s v="25-34"/>
    <x v="157"/>
    <x v="4"/>
    <x v="17"/>
    <x v="4"/>
    <n v="8"/>
    <s v="Black"/>
    <n v="1"/>
    <n v="5799"/>
    <n v="10"/>
    <n v="5220"/>
    <n v="5220"/>
    <s v="Debit/Credit Card"/>
    <x v="0"/>
    <s v="India"/>
    <x v="12"/>
    <s v="Rangat"/>
    <s v="Value Shopper"/>
    <x v="0"/>
    <n v="4"/>
    <s v="Delivered"/>
    <s v="Express"/>
    <n v="2"/>
  </r>
  <r>
    <s v="ORD202089"/>
    <s v="CUST100853"/>
    <s v="Men"/>
    <s v="18-24"/>
    <x v="158"/>
    <x v="0"/>
    <x v="13"/>
    <x v="2"/>
    <n v="10"/>
    <s v="Blue"/>
    <n v="1"/>
    <n v="4599"/>
    <n v="20"/>
    <n v="3680"/>
    <n v="3680"/>
    <s v="Debit/Credit Card"/>
    <x v="1"/>
    <s v="India"/>
    <x v="12"/>
    <s v="Mayabunder"/>
    <s v="Comfort Shopper"/>
    <x v="0"/>
    <n v="3.8"/>
    <s v="Delivered"/>
    <s v="Standard"/>
    <n v="4"/>
  </r>
  <r>
    <s v="ORD202491"/>
    <s v="CUST100059"/>
    <s v="Women"/>
    <s v="18-24"/>
    <x v="159"/>
    <x v="5"/>
    <x v="7"/>
    <x v="1"/>
    <n v="10"/>
    <s v="Red"/>
    <n v="1"/>
    <n v="8999"/>
    <n v="10"/>
    <n v="8100"/>
    <n v="8100"/>
    <s v="Debit/Credit Card"/>
    <x v="1"/>
    <s v="India"/>
    <x v="27"/>
    <s v="Rourkela"/>
    <s v="Value Shopper"/>
    <x v="0"/>
    <n v="4.5"/>
    <s v="Returned"/>
    <s v="Standard"/>
    <n v="3"/>
  </r>
  <r>
    <s v="ORD200173"/>
    <s v="CUST100976"/>
    <s v="Unisex"/>
    <s v="25-34"/>
    <x v="160"/>
    <x v="2"/>
    <x v="4"/>
    <x v="2"/>
    <n v="10"/>
    <s v="Red"/>
    <n v="1"/>
    <n v="6699"/>
    <n v="20"/>
    <n v="5360"/>
    <n v="5360"/>
    <s v="Net Banking"/>
    <x v="1"/>
    <s v="India"/>
    <x v="17"/>
    <s v="Puducherry"/>
    <s v="Comfort Shopper"/>
    <x v="0"/>
    <n v="3.3"/>
    <s v="Delivered"/>
    <s v="Standard"/>
    <n v="4"/>
  </r>
  <r>
    <s v="ORD202311"/>
    <s v="CUST100726"/>
    <s v="Unisex"/>
    <s v="45-54"/>
    <x v="160"/>
    <x v="5"/>
    <x v="27"/>
    <x v="0"/>
    <n v="10"/>
    <s v="White"/>
    <n v="1"/>
    <n v="5699"/>
    <n v="15"/>
    <n v="4840"/>
    <n v="4840"/>
    <s v="UPI"/>
    <x v="2"/>
    <s v="India"/>
    <x v="28"/>
    <s v="Diskit"/>
    <s v="Premium Shopper"/>
    <x v="0"/>
    <n v="4.3"/>
    <s v="Delivered"/>
    <s v="Standard"/>
    <n v="4"/>
  </r>
  <r>
    <s v="ORD200415"/>
    <s v="CUST100102"/>
    <s v="Men"/>
    <s v="25-34"/>
    <x v="161"/>
    <x v="4"/>
    <x v="29"/>
    <x v="2"/>
    <n v="7"/>
    <s v="Green"/>
    <n v="1"/>
    <n v="6899"/>
    <n v="20"/>
    <n v="5520"/>
    <n v="5520"/>
    <s v="Net Banking"/>
    <x v="1"/>
    <s v="India"/>
    <x v="13"/>
    <s v="Naharlagun"/>
    <s v="Lifestyle Shopper"/>
    <x v="0"/>
    <n v="3"/>
    <s v="Delivered"/>
    <s v="Express"/>
    <n v="2"/>
  </r>
  <r>
    <s v="ORD201251"/>
    <s v="CUST100708"/>
    <s v="Women"/>
    <s v="25-34"/>
    <x v="161"/>
    <x v="3"/>
    <x v="16"/>
    <x v="0"/>
    <n v="9"/>
    <s v="Blue"/>
    <n v="1"/>
    <n v="3399"/>
    <n v="5"/>
    <n v="3230"/>
    <n v="3230"/>
    <s v="Net Banking"/>
    <x v="2"/>
    <s v="India"/>
    <x v="1"/>
    <s v="Mapusa"/>
    <s v="Premium Shopper"/>
    <x v="0"/>
    <n v="4.7"/>
    <s v="Cancelled"/>
    <s v="Standard"/>
    <n v="3"/>
  </r>
  <r>
    <s v="ORD201910"/>
    <s v="CUST100091"/>
    <s v="Unisex"/>
    <s v="35-44"/>
    <x v="162"/>
    <x v="0"/>
    <x v="31"/>
    <x v="1"/>
    <n v="8"/>
    <s v="Blue"/>
    <n v="1"/>
    <n v="5499"/>
    <n v="5"/>
    <n v="5220"/>
    <n v="5220"/>
    <s v="Net Banking"/>
    <x v="0"/>
    <s v="India"/>
    <x v="25"/>
    <s v="Baramulla"/>
    <s v="Value Shopper"/>
    <x v="1"/>
    <n v="4.0999999999999996"/>
    <s v="Returned"/>
    <s v="Standard"/>
    <n v="4"/>
  </r>
  <r>
    <s v="ORD200006"/>
    <s v="CUST100063"/>
    <s v="Men"/>
    <s v="25-34"/>
    <x v="163"/>
    <x v="4"/>
    <x v="29"/>
    <x v="2"/>
    <n v="9"/>
    <s v="Blue"/>
    <n v="2"/>
    <n v="5599"/>
    <n v="0"/>
    <n v="5600"/>
    <n v="11200"/>
    <s v="Net Banking"/>
    <x v="0"/>
    <s v="India"/>
    <x v="22"/>
    <s v="Agartala"/>
    <s v="Performance Seeker"/>
    <x v="0"/>
    <n v="3.7"/>
    <s v="Delivered"/>
    <s v="Standard"/>
    <n v="2"/>
  </r>
  <r>
    <s v="ORD200257"/>
    <s v="CUST100231"/>
    <s v="Unisex"/>
    <s v="18-24"/>
    <x v="163"/>
    <x v="4"/>
    <x v="26"/>
    <x v="3"/>
    <n v="7"/>
    <s v="White"/>
    <n v="1"/>
    <n v="5599"/>
    <n v="10"/>
    <n v="5040"/>
    <n v="5040"/>
    <s v="UPI"/>
    <x v="2"/>
    <s v="India"/>
    <x v="35"/>
    <s v="Lunglei"/>
    <s v="Lifestyle Shopper"/>
    <x v="0"/>
    <n v="3.3"/>
    <s v="Delivered"/>
    <s v="Standard"/>
    <n v="2"/>
  </r>
  <r>
    <s v="ORD201530"/>
    <s v="CUST100114"/>
    <s v="Men"/>
    <s v="25-34"/>
    <x v="163"/>
    <x v="3"/>
    <x v="16"/>
    <x v="0"/>
    <n v="8"/>
    <s v="Red"/>
    <n v="2"/>
    <n v="7799"/>
    <n v="35"/>
    <n v="5070"/>
    <n v="10140"/>
    <s v="Net Banking"/>
    <x v="1"/>
    <s v="India"/>
    <x v="31"/>
    <s v="Chennai"/>
    <s v="Value Shopper"/>
    <x v="0"/>
    <n v="4.7"/>
    <s v="Delivered"/>
    <s v="Express"/>
    <n v="3"/>
  </r>
  <r>
    <s v="ORD201559"/>
    <s v="CUST100760"/>
    <s v="Men"/>
    <s v="25-34"/>
    <x v="164"/>
    <x v="4"/>
    <x v="26"/>
    <x v="3"/>
    <n v="12"/>
    <s v="Black"/>
    <n v="1"/>
    <n v="5799"/>
    <n v="15"/>
    <n v="4930"/>
    <n v="4930"/>
    <s v="Debit/Credit Card"/>
    <x v="0"/>
    <s v="India"/>
    <x v="8"/>
    <s v="Karimnagar"/>
    <s v="Performance Seeker"/>
    <x v="0"/>
    <n v="4.7"/>
    <s v="Delivered"/>
    <s v="Standard"/>
    <n v="3"/>
  </r>
  <r>
    <s v="ORD200211"/>
    <s v="CUST100896"/>
    <s v="Women"/>
    <s v="18-24"/>
    <x v="165"/>
    <x v="1"/>
    <x v="20"/>
    <x v="2"/>
    <n v="7"/>
    <s v="White"/>
    <n v="1"/>
    <n v="8499"/>
    <n v="0"/>
    <n v="8500"/>
    <n v="8500"/>
    <s v="Debit/Credit Card"/>
    <x v="1"/>
    <s v="India"/>
    <x v="15"/>
    <s v="Delhi"/>
    <s v="Value Shopper"/>
    <x v="0"/>
    <n v="4"/>
    <s v="Delivered"/>
    <s v="Standard"/>
    <n v="2"/>
  </r>
  <r>
    <s v="ORD200710"/>
    <s v="CUST100402"/>
    <s v="Men"/>
    <s v="25-34"/>
    <x v="165"/>
    <x v="4"/>
    <x v="6"/>
    <x v="2"/>
    <n v="8"/>
    <s v="Grey"/>
    <n v="1"/>
    <n v="9599"/>
    <n v="25"/>
    <n v="7200"/>
    <n v="7200"/>
    <s v="UPI"/>
    <x v="0"/>
    <s v="India"/>
    <x v="25"/>
    <s v="Baramulla"/>
    <s v="Premium Shopper"/>
    <x v="1"/>
    <n v="3.5"/>
    <s v="Delivered"/>
    <s v="Express"/>
    <n v="2"/>
  </r>
  <r>
    <s v="ORD202588"/>
    <s v="CUST100410"/>
    <s v="Women"/>
    <s v="25-34"/>
    <x v="166"/>
    <x v="4"/>
    <x v="22"/>
    <x v="0"/>
    <n v="9"/>
    <s v="Black"/>
    <n v="1"/>
    <n v="9399"/>
    <n v="5"/>
    <n v="8930"/>
    <n v="8930"/>
    <s v="Cash on Delivery"/>
    <x v="1"/>
    <s v="India"/>
    <x v="22"/>
    <s v="Agartala"/>
    <s v="Value Shopper"/>
    <x v="0"/>
    <n v="3.8"/>
    <s v="Delivered"/>
    <s v="Standard"/>
    <n v="3"/>
  </r>
  <r>
    <s v="ORD202689"/>
    <s v="CUST100355"/>
    <s v="Men"/>
    <s v="18-24"/>
    <x v="166"/>
    <x v="4"/>
    <x v="29"/>
    <x v="2"/>
    <n v="7"/>
    <s v="Red"/>
    <n v="1"/>
    <n v="9699"/>
    <n v="20"/>
    <n v="7760"/>
    <n v="7760"/>
    <s v="Cash on Delivery"/>
    <x v="1"/>
    <s v="India"/>
    <x v="5"/>
    <s v="Kakching"/>
    <s v="Performance Seeker"/>
    <x v="0"/>
    <n v="4"/>
    <s v="Delivered"/>
    <s v="Standard"/>
    <n v="4"/>
  </r>
  <r>
    <s v="ORD200474"/>
    <s v="CUST100789"/>
    <s v="Women"/>
    <s v="18-24"/>
    <x v="167"/>
    <x v="5"/>
    <x v="15"/>
    <x v="4"/>
    <n v="9"/>
    <s v="Red"/>
    <n v="1"/>
    <n v="8699"/>
    <n v="25"/>
    <n v="6520"/>
    <n v="6520"/>
    <s v="Net Banking"/>
    <x v="2"/>
    <s v="India"/>
    <x v="11"/>
    <s v="Andrott"/>
    <s v="Premium Shopper"/>
    <x v="0"/>
    <n v="4"/>
    <s v="Delivered"/>
    <s v="Standard"/>
    <n v="5"/>
  </r>
  <r>
    <s v="ORD200538"/>
    <s v="CUST100079"/>
    <s v="Women"/>
    <s v="18-24"/>
    <x v="168"/>
    <x v="4"/>
    <x v="6"/>
    <x v="2"/>
    <n v="10"/>
    <s v="Black"/>
    <n v="2"/>
    <n v="5499"/>
    <n v="5"/>
    <n v="5220"/>
    <n v="10440"/>
    <s v="UPI"/>
    <x v="1"/>
    <s v="India"/>
    <x v="7"/>
    <s v="Gwalior"/>
    <s v="Value Shopper"/>
    <x v="0"/>
    <n v="5"/>
    <s v="Delivered"/>
    <s v="Standard"/>
    <n v="2"/>
  </r>
  <r>
    <s v="ORD201181"/>
    <s v="CUST100012"/>
    <s v="Women"/>
    <s v="25-34"/>
    <x v="168"/>
    <x v="4"/>
    <x v="6"/>
    <x v="2"/>
    <n v="9"/>
    <s v="Black"/>
    <n v="1"/>
    <n v="4599"/>
    <n v="30"/>
    <n v="3220"/>
    <n v="3220"/>
    <s v="Net Banking"/>
    <x v="1"/>
    <s v="India"/>
    <x v="2"/>
    <s v="Panipat"/>
    <s v="Performance Seeker"/>
    <x v="0"/>
    <n v="4.9000000000000004"/>
    <s v="Delivered"/>
    <s v="Standard"/>
    <n v="5"/>
  </r>
  <r>
    <s v="ORD201252"/>
    <s v="CUST100347"/>
    <s v="Men"/>
    <s v="25-34"/>
    <x v="168"/>
    <x v="5"/>
    <x v="14"/>
    <x v="3"/>
    <n v="6"/>
    <s v="Green"/>
    <n v="2"/>
    <n v="9599"/>
    <n v="5"/>
    <n v="9120"/>
    <n v="18240"/>
    <s v="UPI"/>
    <x v="2"/>
    <s v="India"/>
    <x v="28"/>
    <s v="Nubra"/>
    <s v="Lifestyle Shopper"/>
    <x v="0"/>
    <n v="4.7"/>
    <s v="Delivered"/>
    <s v="Express"/>
    <n v="2"/>
  </r>
  <r>
    <s v="ORD202169"/>
    <s v="CUST100948"/>
    <s v="Women"/>
    <s v="55+"/>
    <x v="168"/>
    <x v="3"/>
    <x v="35"/>
    <x v="2"/>
    <n v="7"/>
    <s v="Green"/>
    <n v="1"/>
    <n v="3599"/>
    <n v="15"/>
    <n v="3060"/>
    <n v="3060"/>
    <s v="Debit/Credit Card"/>
    <x v="1"/>
    <s v="India"/>
    <x v="18"/>
    <s v="Bilaspur"/>
    <s v="Premium Shopper"/>
    <x v="0"/>
    <n v="4.2"/>
    <s v="Delivered"/>
    <s v="Standard"/>
    <n v="2"/>
  </r>
  <r>
    <s v="ORD201366"/>
    <s v="CUST100531"/>
    <s v="Women"/>
    <s v="18-24"/>
    <x v="169"/>
    <x v="3"/>
    <x v="16"/>
    <x v="0"/>
    <n v="8"/>
    <s v="White"/>
    <n v="1"/>
    <n v="8399"/>
    <n v="10"/>
    <n v="7560"/>
    <n v="7560"/>
    <s v="Net Banking"/>
    <x v="1"/>
    <s v="India"/>
    <x v="5"/>
    <s v="Thoubal"/>
    <s v="Lifestyle Shopper"/>
    <x v="0"/>
    <n v="3.3"/>
    <s v="Delivered"/>
    <s v="Standard"/>
    <n v="5"/>
  </r>
  <r>
    <s v="ORD201890"/>
    <s v="CUST100468"/>
    <s v="Men"/>
    <s v="35-44"/>
    <x v="170"/>
    <x v="0"/>
    <x v="13"/>
    <x v="2"/>
    <n v="8"/>
    <s v="Blue"/>
    <n v="2"/>
    <n v="6899"/>
    <n v="30"/>
    <n v="4830"/>
    <n v="9660"/>
    <s v="Cash on Delivery"/>
    <x v="1"/>
    <s v="India"/>
    <x v="29"/>
    <s v="Vijayawada"/>
    <s v="Comfort Shopper"/>
    <x v="0"/>
    <n v="4.7"/>
    <s v="Delivered"/>
    <s v="Standard"/>
    <n v="2"/>
  </r>
  <r>
    <s v="ORD203149"/>
    <s v="CUST100388"/>
    <s v="Women"/>
    <s v="45-54"/>
    <x v="170"/>
    <x v="4"/>
    <x v="17"/>
    <x v="4"/>
    <n v="7"/>
    <s v="Black"/>
    <n v="1"/>
    <n v="6799"/>
    <n v="0"/>
    <n v="6800"/>
    <n v="6800"/>
    <s v="Cash on Delivery"/>
    <x v="0"/>
    <s v="India"/>
    <x v="30"/>
    <s v="Manimajra"/>
    <s v="Lifestyle Shopper"/>
    <x v="0"/>
    <n v="4.3"/>
    <s v="Delivered"/>
    <s v="Standard"/>
    <n v="7"/>
  </r>
  <r>
    <s v="ORD201775"/>
    <s v="CUST100419"/>
    <s v="Unisex"/>
    <s v="18-24"/>
    <x v="171"/>
    <x v="3"/>
    <x v="34"/>
    <x v="3"/>
    <n v="10"/>
    <s v="Green"/>
    <n v="1"/>
    <n v="5799"/>
    <n v="25"/>
    <n v="4350"/>
    <n v="4350"/>
    <s v="UPI"/>
    <x v="2"/>
    <s v="India"/>
    <x v="30"/>
    <s v="Daria"/>
    <s v="Value Shopper"/>
    <x v="0"/>
    <n v="4.8"/>
    <s v="Delivered"/>
    <s v="Same Day"/>
    <n v="1"/>
  </r>
  <r>
    <s v="ORD202040"/>
    <s v="CUST100657"/>
    <s v="Unisex"/>
    <s v="25-34"/>
    <x v="171"/>
    <x v="2"/>
    <x v="24"/>
    <x v="4"/>
    <n v="12"/>
    <s v="Red"/>
    <n v="2"/>
    <n v="3199"/>
    <n v="25"/>
    <n v="2400"/>
    <n v="4800"/>
    <s v="UPI"/>
    <x v="2"/>
    <s v="India"/>
    <x v="29"/>
    <s v="Tirupati"/>
    <s v="Performance Seeker"/>
    <x v="0"/>
    <n v="5"/>
    <s v="Returned"/>
    <s v="Express"/>
    <n v="1"/>
  </r>
  <r>
    <s v="ORD201715"/>
    <s v="CUST100628"/>
    <s v="Women"/>
    <s v="45-54"/>
    <x v="172"/>
    <x v="0"/>
    <x v="8"/>
    <x v="3"/>
    <n v="11"/>
    <s v="White"/>
    <n v="1"/>
    <n v="4499"/>
    <n v="15"/>
    <n v="3820"/>
    <n v="3820"/>
    <s v="UPI"/>
    <x v="1"/>
    <s v="India"/>
    <x v="16"/>
    <s v="Vadodara"/>
    <s v="Premium Shopper"/>
    <x v="0"/>
    <n v="4.3"/>
    <s v="Delivered"/>
    <s v="Standard"/>
    <n v="4"/>
  </r>
  <r>
    <s v="ORD203035"/>
    <s v="CUST100628"/>
    <s v="Men"/>
    <s v="45-54"/>
    <x v="173"/>
    <x v="5"/>
    <x v="21"/>
    <x v="2"/>
    <n v="6"/>
    <s v="Grey"/>
    <n v="2"/>
    <n v="4499"/>
    <n v="20"/>
    <n v="3600"/>
    <n v="7200"/>
    <s v="Net Banking"/>
    <x v="1"/>
    <s v="India"/>
    <x v="31"/>
    <s v="Tiruchirappalli"/>
    <s v="Premium Shopper"/>
    <x v="1"/>
    <n v="4.0999999999999996"/>
    <s v="Cancelled"/>
    <s v="Same Day"/>
    <n v="1"/>
  </r>
  <r>
    <s v="ORD201613"/>
    <s v="CUST100013"/>
    <s v="Men"/>
    <s v="35-44"/>
    <x v="174"/>
    <x v="3"/>
    <x v="34"/>
    <x v="3"/>
    <n v="6"/>
    <s v="Blue"/>
    <n v="1"/>
    <n v="5599"/>
    <n v="25"/>
    <n v="4200"/>
    <n v="4200"/>
    <s v="Debit/Credit Card"/>
    <x v="0"/>
    <s v="India"/>
    <x v="26"/>
    <s v="Kozhikode"/>
    <s v="Premium Shopper"/>
    <x v="1"/>
    <n v="3.8"/>
    <s v="Delivered"/>
    <s v="Standard"/>
    <n v="2"/>
  </r>
  <r>
    <s v="ORD200123"/>
    <s v="CUST100355"/>
    <s v="Unisex"/>
    <s v="25-34"/>
    <x v="175"/>
    <x v="1"/>
    <x v="10"/>
    <x v="3"/>
    <n v="7"/>
    <s v="Blue"/>
    <n v="1"/>
    <n v="8599"/>
    <n v="15"/>
    <n v="7310"/>
    <n v="7310"/>
    <s v="Cash on Delivery"/>
    <x v="1"/>
    <s v="India"/>
    <x v="18"/>
    <s v="Raipur"/>
    <s v="Performance Seeker"/>
    <x v="1"/>
    <n v="3.9"/>
    <s v="Delivered"/>
    <s v="Standard"/>
    <n v="3"/>
  </r>
  <r>
    <s v="ORD201462"/>
    <s v="CUST100590"/>
    <s v="Women"/>
    <s v="55+"/>
    <x v="176"/>
    <x v="3"/>
    <x v="11"/>
    <x v="4"/>
    <n v="9"/>
    <s v="Black"/>
    <n v="1"/>
    <n v="6299"/>
    <n v="25"/>
    <n v="4720"/>
    <n v="4720"/>
    <s v="Debit/Credit Card"/>
    <x v="2"/>
    <s v="India"/>
    <x v="34"/>
    <s v="Durgapur"/>
    <s v="Value Shopper"/>
    <x v="0"/>
    <n v="3.4"/>
    <s v="Cancelled"/>
    <s v="Express"/>
    <n v="4"/>
  </r>
  <r>
    <s v="ORD201064"/>
    <s v="CUST100021"/>
    <s v="Women"/>
    <s v="18-24"/>
    <x v="177"/>
    <x v="1"/>
    <x v="12"/>
    <x v="4"/>
    <n v="9"/>
    <s v="Red"/>
    <n v="2"/>
    <n v="4499"/>
    <n v="35"/>
    <n v="2920"/>
    <n v="5840"/>
    <s v="Debit/Credit Card"/>
    <x v="1"/>
    <s v="India"/>
    <x v="19"/>
    <s v="Tura"/>
    <s v="Comfort Shopper"/>
    <x v="1"/>
    <n v="3.8"/>
    <s v="Delivered"/>
    <s v="Express"/>
    <n v="2"/>
  </r>
  <r>
    <s v="ORD201085"/>
    <s v="CUST100910"/>
    <s v="Women"/>
    <s v="45-54"/>
    <x v="177"/>
    <x v="0"/>
    <x v="2"/>
    <x v="2"/>
    <n v="7"/>
    <s v="Black"/>
    <n v="1"/>
    <n v="6799"/>
    <n v="20"/>
    <n v="5440"/>
    <n v="5440"/>
    <s v="Debit/Credit Card"/>
    <x v="2"/>
    <s v="India"/>
    <x v="1"/>
    <s v="Margao"/>
    <s v="Lifestyle Shopper"/>
    <x v="0"/>
    <n v="4.9000000000000004"/>
    <s v="Delivered"/>
    <s v="Standard"/>
    <n v="1"/>
  </r>
  <r>
    <s v="ORD201346"/>
    <s v="CUST100536"/>
    <s v="Unisex"/>
    <s v="25-34"/>
    <x v="177"/>
    <x v="3"/>
    <x v="16"/>
    <x v="0"/>
    <n v="12"/>
    <s v="Blue"/>
    <n v="1"/>
    <n v="4099"/>
    <n v="30"/>
    <n v="2870"/>
    <n v="2870"/>
    <s v="Net Banking"/>
    <x v="0"/>
    <s v="India"/>
    <x v="10"/>
    <s v="Silvassa"/>
    <s v="Comfort Shopper"/>
    <x v="0"/>
    <n v="4.0999999999999996"/>
    <s v="Returned"/>
    <s v="Express"/>
    <n v="3"/>
  </r>
  <r>
    <s v="ORD202201"/>
    <s v="CUST100927"/>
    <s v="Unisex"/>
    <s v="55+"/>
    <x v="177"/>
    <x v="3"/>
    <x v="28"/>
    <x v="1"/>
    <n v="10"/>
    <s v="White"/>
    <n v="1"/>
    <n v="3999"/>
    <n v="15"/>
    <n v="3400"/>
    <n v="3400"/>
    <s v="UPI"/>
    <x v="1"/>
    <s v="India"/>
    <x v="31"/>
    <s v="Chennai"/>
    <s v="Comfort Shopper"/>
    <x v="1"/>
    <n v="4.0999999999999996"/>
    <s v="Returned"/>
    <s v="Standard"/>
    <n v="3"/>
  </r>
  <r>
    <s v="ORD202925"/>
    <s v="CUST100029"/>
    <s v="Men"/>
    <s v="18-24"/>
    <x v="177"/>
    <x v="3"/>
    <x v="28"/>
    <x v="1"/>
    <n v="9"/>
    <s v="Blue"/>
    <n v="2"/>
    <n v="6499"/>
    <n v="20"/>
    <n v="5200"/>
    <n v="10400"/>
    <s v="Debit/Credit Card"/>
    <x v="0"/>
    <s v="India"/>
    <x v="3"/>
    <s v="Kota"/>
    <s v="Premium Shopper"/>
    <x v="1"/>
    <n v="3.2"/>
    <s v="Delivered"/>
    <s v="Express"/>
    <n v="3"/>
  </r>
  <r>
    <s v="ORD201063"/>
    <s v="CUST100666"/>
    <s v="Men"/>
    <s v="35-44"/>
    <x v="178"/>
    <x v="3"/>
    <x v="28"/>
    <x v="1"/>
    <n v="8"/>
    <s v="Blue"/>
    <n v="3"/>
    <n v="5899"/>
    <n v="5"/>
    <n v="5600"/>
    <n v="16800"/>
    <s v="Debit/Credit Card"/>
    <x v="2"/>
    <s v="India"/>
    <x v="33"/>
    <s v="Mumbai"/>
    <s v="Performance Seeker"/>
    <x v="0"/>
    <n v="4"/>
    <s v="Delivered"/>
    <s v="Standard"/>
    <n v="3"/>
  </r>
  <r>
    <s v="ORD201139"/>
    <s v="CUST100525"/>
    <s v="Men"/>
    <s v="25-34"/>
    <x v="178"/>
    <x v="0"/>
    <x v="31"/>
    <x v="1"/>
    <n v="10"/>
    <s v="Red"/>
    <n v="1"/>
    <n v="8199"/>
    <n v="15"/>
    <n v="6970"/>
    <n v="6970"/>
    <s v="Debit/Credit Card"/>
    <x v="1"/>
    <s v="India"/>
    <x v="27"/>
    <s v="Rourkela"/>
    <s v="Value Shopper"/>
    <x v="0"/>
    <n v="4.3"/>
    <s v="Delivered"/>
    <s v="Express"/>
    <n v="2"/>
  </r>
  <r>
    <s v="ORD201567"/>
    <s v="CUST100132"/>
    <s v="Unisex"/>
    <s v="45-54"/>
    <x v="178"/>
    <x v="3"/>
    <x v="5"/>
    <x v="2"/>
    <n v="9"/>
    <s v="Black"/>
    <n v="1"/>
    <n v="5399"/>
    <n v="0"/>
    <n v="5400"/>
    <n v="5400"/>
    <s v="Cash on Delivery"/>
    <x v="0"/>
    <s v="India"/>
    <x v="25"/>
    <s v="Baramulla"/>
    <s v="Comfort Shopper"/>
    <x v="0"/>
    <n v="3.5"/>
    <s v="Cancelled"/>
    <s v="Standard"/>
    <n v="4"/>
  </r>
  <r>
    <s v="ORD203112"/>
    <s v="CUST100489"/>
    <s v="Men"/>
    <s v="55+"/>
    <x v="179"/>
    <x v="3"/>
    <x v="34"/>
    <x v="3"/>
    <n v="9"/>
    <s v="Grey"/>
    <n v="1"/>
    <n v="6399"/>
    <n v="15"/>
    <n v="5440"/>
    <n v="5440"/>
    <s v="Debit/Credit Card"/>
    <x v="1"/>
    <s v="India"/>
    <x v="32"/>
    <s v="Bokaro"/>
    <s v="Lifestyle Shopper"/>
    <x v="0"/>
    <n v="4.4000000000000004"/>
    <s v="Returned"/>
    <s v="Standard"/>
    <n v="3"/>
  </r>
  <r>
    <s v="ORD200215"/>
    <s v="CUST100132"/>
    <s v="Men"/>
    <s v="25-34"/>
    <x v="180"/>
    <x v="4"/>
    <x v="22"/>
    <x v="0"/>
    <n v="6"/>
    <s v="Grey"/>
    <n v="1"/>
    <n v="7499"/>
    <n v="35"/>
    <n v="4870"/>
    <n v="4870"/>
    <s v="Cash on Delivery"/>
    <x v="0"/>
    <s v="India"/>
    <x v="23"/>
    <s v="Rishikesh"/>
    <s v="Performance Seeker"/>
    <x v="1"/>
    <n v="4.7"/>
    <s v="Delivered"/>
    <s v="Express"/>
    <n v="2"/>
  </r>
  <r>
    <s v="ORD201055"/>
    <s v="CUST100442"/>
    <s v="Men"/>
    <s v="25-34"/>
    <x v="180"/>
    <x v="5"/>
    <x v="14"/>
    <x v="3"/>
    <n v="8"/>
    <s v="Green"/>
    <n v="2"/>
    <n v="7699"/>
    <n v="5"/>
    <n v="7310"/>
    <n v="14620"/>
    <s v="UPI"/>
    <x v="0"/>
    <s v="India"/>
    <x v="8"/>
    <s v="Warangal"/>
    <s v="Lifestyle Shopper"/>
    <x v="0"/>
    <n v="3.9"/>
    <s v="Delivered"/>
    <s v="Standard"/>
    <n v="3"/>
  </r>
  <r>
    <s v="ORD201365"/>
    <s v="CUST100597"/>
    <s v="Women"/>
    <s v="18-24"/>
    <x v="180"/>
    <x v="4"/>
    <x v="22"/>
    <x v="0"/>
    <n v="10"/>
    <s v="Red"/>
    <n v="2"/>
    <n v="8099"/>
    <n v="15"/>
    <n v="6880"/>
    <n v="13760"/>
    <s v="UPI"/>
    <x v="2"/>
    <s v="India"/>
    <x v="2"/>
    <s v="Hisar"/>
    <s v="Lifestyle Shopper"/>
    <x v="0"/>
    <n v="3.4"/>
    <s v="Delivered"/>
    <s v="Express"/>
    <n v="2"/>
  </r>
  <r>
    <s v="ORD201846"/>
    <s v="CUST100063"/>
    <s v="Women"/>
    <s v="18-24"/>
    <x v="180"/>
    <x v="5"/>
    <x v="21"/>
    <x v="2"/>
    <n v="10"/>
    <s v="Grey"/>
    <n v="1"/>
    <n v="8199"/>
    <n v="15"/>
    <n v="6970"/>
    <n v="6970"/>
    <s v="UPI"/>
    <x v="1"/>
    <s v="India"/>
    <x v="19"/>
    <s v="Jowai"/>
    <s v="Performance Seeker"/>
    <x v="1"/>
    <n v="4.5"/>
    <s v="Returned"/>
    <s v="Express"/>
    <n v="3"/>
  </r>
  <r>
    <s v="ORD202593"/>
    <s v="CUST100398"/>
    <s v="Men"/>
    <s v="35-44"/>
    <x v="180"/>
    <x v="1"/>
    <x v="33"/>
    <x v="0"/>
    <n v="6"/>
    <s v="Green"/>
    <n v="1"/>
    <n v="5699"/>
    <n v="15"/>
    <n v="4840"/>
    <n v="4840"/>
    <s v="Debit/Credit Card"/>
    <x v="0"/>
    <s v="India"/>
    <x v="8"/>
    <s v="Hyderabad"/>
    <s v="Lifestyle Shopper"/>
    <x v="0"/>
    <n v="4.3"/>
    <s v="Delivered"/>
    <s v="Express"/>
    <n v="2"/>
  </r>
  <r>
    <s v="ORD200313"/>
    <s v="CUST100915"/>
    <s v="Men"/>
    <s v="25-34"/>
    <x v="181"/>
    <x v="5"/>
    <x v="21"/>
    <x v="2"/>
    <n v="8"/>
    <s v="Blue"/>
    <n v="3"/>
    <n v="6399"/>
    <n v="15"/>
    <n v="5440"/>
    <n v="16320"/>
    <s v="Cash on Delivery"/>
    <x v="2"/>
    <s v="India"/>
    <x v="2"/>
    <s v="Faridabad"/>
    <s v="Value Shopper"/>
    <x v="0"/>
    <n v="4"/>
    <s v="Delivered"/>
    <s v="Standard"/>
    <n v="4"/>
  </r>
  <r>
    <s v="ORD201133"/>
    <s v="CUST100029"/>
    <s v="Men"/>
    <s v="35-44"/>
    <x v="181"/>
    <x v="5"/>
    <x v="27"/>
    <x v="0"/>
    <n v="6"/>
    <s v="Blue"/>
    <n v="1"/>
    <n v="9199"/>
    <n v="15"/>
    <n v="7820"/>
    <n v="7820"/>
    <s v="Debit/Credit Card"/>
    <x v="1"/>
    <s v="India"/>
    <x v="10"/>
    <s v="Daman"/>
    <s v="Value Shopper"/>
    <x v="1"/>
    <n v="4.7"/>
    <s v="Delivered"/>
    <s v="Standard"/>
    <n v="1"/>
  </r>
  <r>
    <s v="ORD202739"/>
    <s v="CUST100822"/>
    <s v="Men"/>
    <s v="18-24"/>
    <x v="181"/>
    <x v="2"/>
    <x v="25"/>
    <x v="3"/>
    <n v="10"/>
    <s v="Grey"/>
    <n v="1"/>
    <n v="4299"/>
    <n v="10"/>
    <n v="3870"/>
    <n v="3870"/>
    <s v="Net Banking"/>
    <x v="1"/>
    <s v="India"/>
    <x v="14"/>
    <s v="Amritsar"/>
    <s v="Value Shopper"/>
    <x v="0"/>
    <n v="3.9"/>
    <s v="Cancelled"/>
    <s v="Standard"/>
    <n v="4"/>
  </r>
  <r>
    <s v="ORD202757"/>
    <s v="CUST100377"/>
    <s v="Unisex"/>
    <s v="18-24"/>
    <x v="182"/>
    <x v="1"/>
    <x v="20"/>
    <x v="2"/>
    <n v="8"/>
    <s v="Grey"/>
    <n v="2"/>
    <n v="4099"/>
    <n v="15"/>
    <n v="3480"/>
    <n v="6960"/>
    <s v="Debit/Credit Card"/>
    <x v="1"/>
    <s v="India"/>
    <x v="32"/>
    <s v="Dhanbad"/>
    <s v="Comfort Shopper"/>
    <x v="0"/>
    <n v="3.1"/>
    <s v="Returned"/>
    <s v="Standard"/>
    <n v="4"/>
  </r>
  <r>
    <s v="ORD201307"/>
    <s v="CUST100094"/>
    <s v="Women"/>
    <s v="25-34"/>
    <x v="183"/>
    <x v="0"/>
    <x v="2"/>
    <x v="2"/>
    <n v="7"/>
    <s v="Blue"/>
    <n v="1"/>
    <n v="5999"/>
    <n v="10"/>
    <n v="5400"/>
    <n v="5400"/>
    <s v="Cash on Delivery"/>
    <x v="2"/>
    <s v="India"/>
    <x v="26"/>
    <s v="Thrissur"/>
    <s v="Premium Shopper"/>
    <x v="0"/>
    <n v="3.7"/>
    <s v="Delivered"/>
    <s v="Standard"/>
    <n v="4"/>
  </r>
  <r>
    <s v="ORD200410"/>
    <s v="CUST100604"/>
    <s v="Men"/>
    <s v="25-34"/>
    <x v="184"/>
    <x v="1"/>
    <x v="10"/>
    <x v="3"/>
    <n v="10"/>
    <s v="Black"/>
    <n v="1"/>
    <n v="6099"/>
    <n v="20"/>
    <n v="4880"/>
    <n v="4880"/>
    <s v="Cash on Delivery"/>
    <x v="2"/>
    <s v="India"/>
    <x v="25"/>
    <s v="Anantnag"/>
    <s v="Comfort Shopper"/>
    <x v="0"/>
    <n v="3.7"/>
    <s v="Delivered"/>
    <s v="Express"/>
    <n v="2"/>
  </r>
  <r>
    <s v="ORD200660"/>
    <s v="CUST100458"/>
    <s v="Women"/>
    <s v="45-54"/>
    <x v="184"/>
    <x v="2"/>
    <x v="3"/>
    <x v="2"/>
    <n v="10"/>
    <s v="Green"/>
    <n v="1"/>
    <n v="3699"/>
    <n v="5"/>
    <n v="3510"/>
    <n v="3510"/>
    <s v="Cash on Delivery"/>
    <x v="2"/>
    <s v="India"/>
    <x v="25"/>
    <s v="Baramulla"/>
    <s v="Value Shopper"/>
    <x v="0"/>
    <n v="4.4000000000000004"/>
    <s v="Delivered"/>
    <s v="Express"/>
    <n v="4"/>
  </r>
  <r>
    <s v="ORD200968"/>
    <s v="CUST100207"/>
    <s v="Men"/>
    <s v="25-34"/>
    <x v="184"/>
    <x v="1"/>
    <x v="10"/>
    <x v="3"/>
    <n v="6"/>
    <s v="Red"/>
    <n v="1"/>
    <n v="7799"/>
    <n v="15"/>
    <n v="6630"/>
    <n v="6630"/>
    <s v="Debit/Credit Card"/>
    <x v="0"/>
    <s v="India"/>
    <x v="15"/>
    <s v="New Delhi"/>
    <s v="Premium Shopper"/>
    <x v="0"/>
    <n v="3.6"/>
    <s v="Delivered"/>
    <s v="Express"/>
    <n v="2"/>
  </r>
  <r>
    <s v="ORD201784"/>
    <s v="CUST100023"/>
    <s v="Men"/>
    <s v="25-34"/>
    <x v="184"/>
    <x v="4"/>
    <x v="26"/>
    <x v="3"/>
    <n v="6"/>
    <s v="Grey"/>
    <n v="1"/>
    <n v="4199"/>
    <n v="5"/>
    <n v="3990"/>
    <n v="3990"/>
    <s v="Cash on Delivery"/>
    <x v="1"/>
    <s v="India"/>
    <x v="28"/>
    <s v="Nubra"/>
    <s v="Lifestyle Shopper"/>
    <x v="0"/>
    <n v="4.2"/>
    <s v="Cancelled"/>
    <s v="Standard"/>
    <n v="5"/>
  </r>
  <r>
    <s v="ORD200822"/>
    <s v="CUST100505"/>
    <s v="Women"/>
    <s v="35-44"/>
    <x v="185"/>
    <x v="1"/>
    <x v="10"/>
    <x v="3"/>
    <n v="11"/>
    <s v="Green"/>
    <n v="4"/>
    <n v="9499"/>
    <n v="5"/>
    <n v="9020"/>
    <n v="36080"/>
    <s v="Debit/Credit Card"/>
    <x v="0"/>
    <s v="India"/>
    <x v="14"/>
    <s v="Jalandhar"/>
    <s v="Premium Shopper"/>
    <x v="0"/>
    <n v="4.0999999999999996"/>
    <s v="Delivered"/>
    <s v="Express"/>
    <n v="3"/>
  </r>
  <r>
    <s v="ORD201561"/>
    <s v="CUST101026"/>
    <s v="Men"/>
    <s v="18-24"/>
    <x v="185"/>
    <x v="3"/>
    <x v="35"/>
    <x v="2"/>
    <n v="8"/>
    <s v="Grey"/>
    <n v="1"/>
    <n v="5899"/>
    <n v="5"/>
    <n v="5600"/>
    <n v="5600"/>
    <s v="UPI"/>
    <x v="2"/>
    <s v="India"/>
    <x v="24"/>
    <s v="Mysuru"/>
    <s v="Premium Shopper"/>
    <x v="0"/>
    <n v="3.3"/>
    <s v="Delivered"/>
    <s v="Standard"/>
    <n v="5"/>
  </r>
  <r>
    <s v="ORD202659"/>
    <s v="CUST100073"/>
    <s v="Men"/>
    <s v="35-44"/>
    <x v="185"/>
    <x v="5"/>
    <x v="15"/>
    <x v="4"/>
    <n v="11"/>
    <s v="Blue"/>
    <n v="1"/>
    <n v="7299"/>
    <n v="20"/>
    <n v="5840"/>
    <n v="5840"/>
    <s v="Cash on Delivery"/>
    <x v="1"/>
    <s v="India"/>
    <x v="5"/>
    <s v="Kakching"/>
    <s v="Premium Shopper"/>
    <x v="0"/>
    <n v="4.5999999999999996"/>
    <s v="Delivered"/>
    <s v="Express"/>
    <n v="3"/>
  </r>
  <r>
    <s v="ORD201937"/>
    <s v="CUST100453"/>
    <s v="Men"/>
    <s v="18-24"/>
    <x v="186"/>
    <x v="0"/>
    <x v="19"/>
    <x v="4"/>
    <n v="9"/>
    <s v="Grey"/>
    <n v="1"/>
    <n v="8599"/>
    <n v="5"/>
    <n v="8170"/>
    <n v="8170"/>
    <s v="Debit/Credit Card"/>
    <x v="2"/>
    <s v="India"/>
    <x v="15"/>
    <s v="Dwarka"/>
    <s v="Performance Seeker"/>
    <x v="0"/>
    <n v="3.6"/>
    <s v="Cancelled"/>
    <s v="Standard"/>
    <n v="4"/>
  </r>
  <r>
    <s v="ORD202468"/>
    <s v="CUST100077"/>
    <s v="Men"/>
    <s v="18-24"/>
    <x v="186"/>
    <x v="5"/>
    <x v="21"/>
    <x v="2"/>
    <n v="8"/>
    <s v="White"/>
    <n v="4"/>
    <n v="9299"/>
    <n v="5"/>
    <n v="8830"/>
    <n v="35320"/>
    <s v="Debit/Credit Card"/>
    <x v="1"/>
    <s v="India"/>
    <x v="24"/>
    <s v="Mysuru"/>
    <s v="Premium Shopper"/>
    <x v="0"/>
    <n v="5"/>
    <s v="Delivered"/>
    <s v="Standard"/>
    <n v="3"/>
  </r>
  <r>
    <s v="ORD201766"/>
    <s v="CUST100085"/>
    <s v="Women"/>
    <s v="25-34"/>
    <x v="187"/>
    <x v="2"/>
    <x v="24"/>
    <x v="4"/>
    <n v="7"/>
    <s v="Green"/>
    <n v="4"/>
    <n v="4699"/>
    <n v="15"/>
    <n v="3990"/>
    <n v="15960"/>
    <s v="Net Banking"/>
    <x v="2"/>
    <s v="India"/>
    <x v="10"/>
    <s v="Amli"/>
    <s v="Performance Seeker"/>
    <x v="0"/>
    <n v="3.9"/>
    <s v="Delivered"/>
    <s v="Standard"/>
    <n v="6"/>
  </r>
  <r>
    <s v="ORD202681"/>
    <s v="CUST100795"/>
    <s v="Men"/>
    <s v="45-54"/>
    <x v="187"/>
    <x v="2"/>
    <x v="4"/>
    <x v="2"/>
    <n v="8"/>
    <s v="Black"/>
    <n v="1"/>
    <n v="7899"/>
    <n v="25"/>
    <n v="5920"/>
    <n v="5920"/>
    <s v="Debit/Credit Card"/>
    <x v="1"/>
    <s v="India"/>
    <x v="7"/>
    <s v="Bhopal"/>
    <s v="Lifestyle Shopper"/>
    <x v="0"/>
    <n v="4.0999999999999996"/>
    <s v="Delivered"/>
    <s v="Standard"/>
    <n v="4"/>
  </r>
  <r>
    <s v="ORD201311"/>
    <s v="CUST100487"/>
    <s v="Men"/>
    <s v="45-54"/>
    <x v="188"/>
    <x v="0"/>
    <x v="31"/>
    <x v="1"/>
    <n v="11"/>
    <s v="Black"/>
    <n v="3"/>
    <n v="8499"/>
    <n v="20"/>
    <n v="6800"/>
    <n v="20400"/>
    <s v="Cash on Delivery"/>
    <x v="1"/>
    <s v="India"/>
    <x v="28"/>
    <s v="Leh"/>
    <s v="Premium Shopper"/>
    <x v="0"/>
    <n v="3.9"/>
    <s v="Delivered"/>
    <s v="Express"/>
    <n v="2"/>
  </r>
  <r>
    <s v="ORD202272"/>
    <s v="CUST100221"/>
    <s v="Unisex"/>
    <s v="45-54"/>
    <x v="188"/>
    <x v="0"/>
    <x v="2"/>
    <x v="2"/>
    <n v="7"/>
    <s v="Grey"/>
    <n v="1"/>
    <n v="8899"/>
    <n v="10"/>
    <n v="8010"/>
    <n v="8010"/>
    <s v="Debit/Credit Card"/>
    <x v="2"/>
    <s v="India"/>
    <x v="5"/>
    <s v="Churachandpur"/>
    <s v="Performance Seeker"/>
    <x v="0"/>
    <n v="3.4"/>
    <s v="Delivered"/>
    <s v="Express"/>
    <n v="2"/>
  </r>
  <r>
    <s v="ORD200929"/>
    <s v="CUST100398"/>
    <s v="Men"/>
    <s v="18-24"/>
    <x v="189"/>
    <x v="3"/>
    <x v="28"/>
    <x v="1"/>
    <n v="9"/>
    <s v="Blue"/>
    <n v="1"/>
    <n v="4899"/>
    <n v="15"/>
    <n v="4160"/>
    <n v="4160"/>
    <s v="Net Banking"/>
    <x v="1"/>
    <s v="India"/>
    <x v="29"/>
    <s v="Visakhapatnam"/>
    <s v="Value Shopper"/>
    <x v="1"/>
    <n v="3.6"/>
    <s v="Delivered"/>
    <s v="Standard"/>
    <n v="4"/>
  </r>
  <r>
    <s v="ORD201555"/>
    <s v="CUST100658"/>
    <s v="Men"/>
    <s v="55+"/>
    <x v="189"/>
    <x v="5"/>
    <x v="14"/>
    <x v="3"/>
    <n v="7"/>
    <s v="White"/>
    <n v="1"/>
    <n v="7199"/>
    <n v="15"/>
    <n v="6120"/>
    <n v="6120"/>
    <s v="Cash on Delivery"/>
    <x v="2"/>
    <s v="India"/>
    <x v="7"/>
    <s v="Gwalior"/>
    <s v="Lifestyle Shopper"/>
    <x v="0"/>
    <n v="4.5"/>
    <s v="Delivered"/>
    <s v="Standard"/>
    <n v="4"/>
  </r>
  <r>
    <s v="ORD202019"/>
    <s v="CUST100750"/>
    <s v="Men"/>
    <s v="25-34"/>
    <x v="190"/>
    <x v="2"/>
    <x v="4"/>
    <x v="2"/>
    <n v="7"/>
    <s v="Grey"/>
    <n v="1"/>
    <n v="4799"/>
    <n v="25"/>
    <n v="3600"/>
    <n v="3600"/>
    <s v="Cash on Delivery"/>
    <x v="0"/>
    <s v="India"/>
    <x v="8"/>
    <s v="Nizamabad"/>
    <s v="Performance Seeker"/>
    <x v="0"/>
    <n v="4.4000000000000004"/>
    <s v="Returned"/>
    <s v="Standard"/>
    <n v="5"/>
  </r>
  <r>
    <s v="ORD202575"/>
    <s v="CUST100214"/>
    <s v="Men"/>
    <s v="35-44"/>
    <x v="191"/>
    <x v="0"/>
    <x v="19"/>
    <x v="4"/>
    <n v="8"/>
    <s v="Black"/>
    <n v="1"/>
    <n v="7699"/>
    <n v="15"/>
    <n v="6540"/>
    <n v="6540"/>
    <s v="UPI"/>
    <x v="1"/>
    <s v="India"/>
    <x v="8"/>
    <s v="Hyderabad"/>
    <s v="Performance Seeker"/>
    <x v="0"/>
    <n v="4.0999999999999996"/>
    <s v="Delivered"/>
    <s v="Standard"/>
    <n v="4"/>
  </r>
  <r>
    <s v="ORD202067"/>
    <s v="CUST100949"/>
    <s v="Women"/>
    <s v="18-24"/>
    <x v="192"/>
    <x v="5"/>
    <x v="27"/>
    <x v="0"/>
    <n v="7"/>
    <s v="Black"/>
    <n v="1"/>
    <n v="8499"/>
    <n v="20"/>
    <n v="6800"/>
    <n v="6800"/>
    <s v="UPI"/>
    <x v="0"/>
    <s v="India"/>
    <x v="21"/>
    <s v="Kohima"/>
    <s v="Performance Seeker"/>
    <x v="0"/>
    <n v="4.8"/>
    <s v="Delivered"/>
    <s v="Standard"/>
    <n v="5"/>
  </r>
  <r>
    <s v="ORD201502"/>
    <s v="CUST100143"/>
    <s v="Men"/>
    <s v="35-44"/>
    <x v="193"/>
    <x v="5"/>
    <x v="14"/>
    <x v="3"/>
    <n v="10"/>
    <s v="Green"/>
    <n v="3"/>
    <n v="7599"/>
    <n v="15"/>
    <n v="6460"/>
    <n v="19380"/>
    <s v="Net Banking"/>
    <x v="1"/>
    <s v="India"/>
    <x v="26"/>
    <s v="Thrissur"/>
    <s v="Performance Seeker"/>
    <x v="0"/>
    <n v="5"/>
    <s v="Returned"/>
    <s v="Standard"/>
    <n v="2"/>
  </r>
  <r>
    <s v="ORD200930"/>
    <s v="CUST100539"/>
    <s v="Men"/>
    <s v="25-34"/>
    <x v="194"/>
    <x v="5"/>
    <x v="7"/>
    <x v="1"/>
    <n v="10"/>
    <s v="Black"/>
    <n v="1"/>
    <n v="7699"/>
    <n v="15"/>
    <n v="6540"/>
    <n v="6540"/>
    <s v="Debit/Credit Card"/>
    <x v="1"/>
    <s v="India"/>
    <x v="25"/>
    <s v="Anantnag"/>
    <s v="Performance Seeker"/>
    <x v="0"/>
    <n v="4.5"/>
    <s v="Cancelled"/>
    <s v="Standard"/>
    <n v="7"/>
  </r>
  <r>
    <s v="ORD200220"/>
    <s v="CUST100598"/>
    <s v="Men"/>
    <s v="25-34"/>
    <x v="195"/>
    <x v="5"/>
    <x v="14"/>
    <x v="3"/>
    <n v="10"/>
    <s v="Blue"/>
    <n v="2"/>
    <n v="9499"/>
    <n v="25"/>
    <n v="7120"/>
    <n v="14240"/>
    <s v="Net Banking"/>
    <x v="2"/>
    <s v="India"/>
    <x v="6"/>
    <s v="Lucknow"/>
    <s v="Value Shopper"/>
    <x v="1"/>
    <n v="3.8"/>
    <s v="Delivered"/>
    <s v="Standard"/>
    <n v="4"/>
  </r>
  <r>
    <s v="ORD202810"/>
    <s v="CUST100091"/>
    <s v="Men"/>
    <s v="25-34"/>
    <x v="195"/>
    <x v="0"/>
    <x v="19"/>
    <x v="4"/>
    <n v="8"/>
    <s v="Red"/>
    <n v="1"/>
    <n v="4699"/>
    <n v="20"/>
    <n v="3760"/>
    <n v="3760"/>
    <s v="UPI"/>
    <x v="1"/>
    <s v="India"/>
    <x v="18"/>
    <s v="Korba"/>
    <s v="Performance Seeker"/>
    <x v="1"/>
    <n v="4.3"/>
    <s v="Returned"/>
    <s v="Standard"/>
    <n v="2"/>
  </r>
  <r>
    <s v="ORD200981"/>
    <s v="CUST100411"/>
    <s v="Men"/>
    <s v="45-54"/>
    <x v="196"/>
    <x v="0"/>
    <x v="31"/>
    <x v="1"/>
    <n v="9"/>
    <s v="Black"/>
    <n v="1"/>
    <n v="5799"/>
    <n v="5"/>
    <n v="5510"/>
    <n v="5510"/>
    <s v="UPI"/>
    <x v="1"/>
    <s v="India"/>
    <x v="23"/>
    <s v="Haldwani"/>
    <s v="Lifestyle Shopper"/>
    <x v="1"/>
    <n v="5"/>
    <s v="Returned"/>
    <s v="Standard"/>
    <n v="4"/>
  </r>
  <r>
    <s v="ORD200851"/>
    <s v="CUST100235"/>
    <s v="Men"/>
    <s v="55+"/>
    <x v="197"/>
    <x v="0"/>
    <x v="8"/>
    <x v="3"/>
    <n v="6"/>
    <s v="White"/>
    <n v="1"/>
    <n v="8999"/>
    <n v="0"/>
    <n v="9000"/>
    <n v="9000"/>
    <s v="Net Banking"/>
    <x v="0"/>
    <s v="India"/>
    <x v="16"/>
    <s v="Vadodara"/>
    <s v="Performance Seeker"/>
    <x v="0"/>
    <n v="4.4000000000000004"/>
    <s v="Cancelled"/>
    <s v="Standard"/>
    <n v="4"/>
  </r>
  <r>
    <s v="ORD200071"/>
    <s v="CUST100122"/>
    <s v="Women"/>
    <s v="18-24"/>
    <x v="198"/>
    <x v="4"/>
    <x v="26"/>
    <x v="3"/>
    <n v="9"/>
    <s v="White"/>
    <n v="1"/>
    <n v="5899"/>
    <n v="10"/>
    <n v="5310"/>
    <n v="5310"/>
    <s v="Net Banking"/>
    <x v="2"/>
    <s v="India"/>
    <x v="10"/>
    <s v="Daman"/>
    <s v="Lifestyle Shopper"/>
    <x v="0"/>
    <n v="4.3"/>
    <s v="Returned"/>
    <s v="Standard"/>
    <n v="5"/>
  </r>
  <r>
    <s v="ORD200590"/>
    <s v="CUST101004"/>
    <s v="Men"/>
    <s v="35-44"/>
    <x v="198"/>
    <x v="3"/>
    <x v="5"/>
    <x v="2"/>
    <n v="8"/>
    <s v="White"/>
    <n v="4"/>
    <n v="7099"/>
    <n v="15"/>
    <n v="6030"/>
    <n v="24120"/>
    <s v="UPI"/>
    <x v="1"/>
    <s v="India"/>
    <x v="5"/>
    <s v="Kakching"/>
    <s v="Comfort Shopper"/>
    <x v="0"/>
    <n v="4.4000000000000004"/>
    <s v="Cancelled"/>
    <s v="Express"/>
    <n v="3"/>
  </r>
  <r>
    <s v="ORD200095"/>
    <s v="CUST100766"/>
    <s v="Women"/>
    <s v="25-34"/>
    <x v="199"/>
    <x v="4"/>
    <x v="22"/>
    <x v="0"/>
    <n v="8"/>
    <s v="Black"/>
    <n v="1"/>
    <n v="4799"/>
    <n v="30"/>
    <n v="3360"/>
    <n v="3360"/>
    <s v="Debit/Credit Card"/>
    <x v="1"/>
    <s v="India"/>
    <x v="25"/>
    <s v="Baramulla"/>
    <s v="Lifestyle Shopper"/>
    <x v="0"/>
    <n v="5"/>
    <s v="Delivered"/>
    <s v="Standard"/>
    <n v="5"/>
  </r>
  <r>
    <s v="ORD201587"/>
    <s v="CUST100385"/>
    <s v="Men"/>
    <s v="18-24"/>
    <x v="200"/>
    <x v="2"/>
    <x v="25"/>
    <x v="3"/>
    <n v="9"/>
    <s v="Red"/>
    <n v="1"/>
    <n v="8499"/>
    <n v="5"/>
    <n v="8070"/>
    <n v="8070"/>
    <s v="Net Banking"/>
    <x v="1"/>
    <s v="India"/>
    <x v="27"/>
    <s v="Cuttack"/>
    <s v="Performance Seeker"/>
    <x v="0"/>
    <n v="3"/>
    <s v="Cancelled"/>
    <s v="Standard"/>
    <n v="2"/>
  </r>
  <r>
    <s v="ORD200593"/>
    <s v="CUST100741"/>
    <s v="Men"/>
    <s v="55+"/>
    <x v="201"/>
    <x v="1"/>
    <x v="12"/>
    <x v="4"/>
    <n v="10"/>
    <s v="Black"/>
    <n v="1"/>
    <n v="5799"/>
    <n v="20"/>
    <n v="4640"/>
    <n v="4640"/>
    <s v="UPI"/>
    <x v="2"/>
    <s v="India"/>
    <x v="20"/>
    <s v="Dharamshala"/>
    <s v="Comfort Shopper"/>
    <x v="0"/>
    <n v="3.9"/>
    <s v="Delivered"/>
    <s v="Express"/>
    <n v="3"/>
  </r>
  <r>
    <s v="ORD201443"/>
    <s v="CUST100467"/>
    <s v="Men"/>
    <s v="25-34"/>
    <x v="202"/>
    <x v="5"/>
    <x v="14"/>
    <x v="3"/>
    <n v="10"/>
    <s v="Black"/>
    <n v="1"/>
    <n v="8999"/>
    <n v="15"/>
    <n v="7650"/>
    <n v="7650"/>
    <s v="UPI"/>
    <x v="2"/>
    <s v="India"/>
    <x v="24"/>
    <s v="Bengaluru"/>
    <s v="Lifestyle Shopper"/>
    <x v="1"/>
    <n v="2.9"/>
    <s v="Delivered"/>
    <s v="Standard"/>
    <n v="3"/>
  </r>
  <r>
    <s v="ORD202784"/>
    <s v="CUST100319"/>
    <s v="Men"/>
    <s v="18-24"/>
    <x v="202"/>
    <x v="2"/>
    <x v="3"/>
    <x v="2"/>
    <n v="6"/>
    <s v="Blue"/>
    <n v="1"/>
    <n v="6199"/>
    <n v="25"/>
    <n v="4650"/>
    <n v="4650"/>
    <s v="Cash on Delivery"/>
    <x v="2"/>
    <s v="India"/>
    <x v="16"/>
    <s v="Ahmedabad"/>
    <s v="Performance Seeker"/>
    <x v="1"/>
    <n v="3.9"/>
    <s v="Delivered"/>
    <s v="Standard"/>
    <n v="1"/>
  </r>
  <r>
    <s v="ORD200588"/>
    <s v="CUST100543"/>
    <s v="Women"/>
    <s v="35-44"/>
    <x v="203"/>
    <x v="2"/>
    <x v="23"/>
    <x v="0"/>
    <n v="9"/>
    <s v="Red"/>
    <n v="1"/>
    <n v="6899"/>
    <n v="10"/>
    <n v="6210"/>
    <n v="6210"/>
    <s v="Debit/Credit Card"/>
    <x v="0"/>
    <s v="India"/>
    <x v="25"/>
    <s v="Baramulla"/>
    <s v="Lifestyle Shopper"/>
    <x v="0"/>
    <n v="4.2"/>
    <s v="Delivered"/>
    <s v="Standard"/>
    <n v="5"/>
  </r>
  <r>
    <s v="ORD201563"/>
    <s v="CUST100963"/>
    <s v="Men"/>
    <s v="55+"/>
    <x v="204"/>
    <x v="0"/>
    <x v="8"/>
    <x v="3"/>
    <n v="6"/>
    <s v="Grey"/>
    <n v="1"/>
    <n v="7099"/>
    <n v="0"/>
    <n v="7100"/>
    <n v="7100"/>
    <s v="UPI"/>
    <x v="1"/>
    <s v="India"/>
    <x v="16"/>
    <s v="Surat"/>
    <s v="Lifestyle Shopper"/>
    <x v="0"/>
    <n v="4.0999999999999996"/>
    <s v="Delivered"/>
    <s v="Standard"/>
    <n v="3"/>
  </r>
  <r>
    <s v="ORD201985"/>
    <s v="CUST100197"/>
    <s v="Women"/>
    <s v="25-34"/>
    <x v="205"/>
    <x v="4"/>
    <x v="9"/>
    <x v="1"/>
    <n v="11"/>
    <s v="Black"/>
    <n v="2"/>
    <n v="7699"/>
    <n v="10"/>
    <n v="6930"/>
    <n v="13860"/>
    <s v="Net Banking"/>
    <x v="1"/>
    <s v="India"/>
    <x v="4"/>
    <s v="Gangtok"/>
    <s v="Performance Seeker"/>
    <x v="0"/>
    <n v="3"/>
    <s v="Delivered"/>
    <s v="Express"/>
    <n v="4"/>
  </r>
  <r>
    <s v="ORD201391"/>
    <s v="CUST100453"/>
    <s v="Men"/>
    <s v="55+"/>
    <x v="206"/>
    <x v="3"/>
    <x v="11"/>
    <x v="4"/>
    <n v="8"/>
    <s v="Grey"/>
    <n v="1"/>
    <n v="6299"/>
    <n v="20"/>
    <n v="5040"/>
    <n v="5040"/>
    <s v="Cash on Delivery"/>
    <x v="1"/>
    <s v="India"/>
    <x v="28"/>
    <s v="Diskit"/>
    <s v="Lifestyle Shopper"/>
    <x v="1"/>
    <n v="4.2"/>
    <s v="Delivered"/>
    <s v="Standard"/>
    <n v="5"/>
  </r>
  <r>
    <s v="ORD201392"/>
    <s v="CUST100158"/>
    <s v="Men"/>
    <s v="35-44"/>
    <x v="207"/>
    <x v="0"/>
    <x v="13"/>
    <x v="2"/>
    <n v="11"/>
    <s v="White"/>
    <n v="1"/>
    <n v="6899"/>
    <n v="5"/>
    <n v="6550"/>
    <n v="6550"/>
    <s v="Cash on Delivery"/>
    <x v="1"/>
    <s v="India"/>
    <x v="13"/>
    <s v="Tawang"/>
    <s v="Lifestyle Shopper"/>
    <x v="0"/>
    <n v="5"/>
    <s v="Cancelled"/>
    <s v="Standard"/>
    <n v="6"/>
  </r>
  <r>
    <s v="ORD200938"/>
    <s v="CUST100466"/>
    <s v="Men"/>
    <s v="25-34"/>
    <x v="208"/>
    <x v="4"/>
    <x v="22"/>
    <x v="0"/>
    <n v="10"/>
    <s v="Black"/>
    <n v="1"/>
    <n v="4999"/>
    <n v="30"/>
    <n v="3500"/>
    <n v="3500"/>
    <s v="Debit/Credit Card"/>
    <x v="0"/>
    <s v="India"/>
    <x v="1"/>
    <s v="Margao"/>
    <s v="Performance Seeker"/>
    <x v="1"/>
    <n v="3.5"/>
    <s v="Cancelled"/>
    <s v="Express"/>
    <n v="2"/>
  </r>
  <r>
    <s v="ORD201801"/>
    <s v="CUST100428"/>
    <s v="Unisex"/>
    <s v="18-24"/>
    <x v="208"/>
    <x v="3"/>
    <x v="11"/>
    <x v="4"/>
    <n v="9"/>
    <s v="Grey"/>
    <n v="1"/>
    <n v="4299"/>
    <n v="20"/>
    <n v="3440"/>
    <n v="3440"/>
    <s v="UPI"/>
    <x v="1"/>
    <s v="India"/>
    <x v="20"/>
    <s v="Mandi"/>
    <s v="Premium Shopper"/>
    <x v="0"/>
    <n v="3.5"/>
    <s v="Delivered"/>
    <s v="Express"/>
    <n v="3"/>
  </r>
  <r>
    <s v="ORD200892"/>
    <s v="CUST101046"/>
    <s v="Men"/>
    <s v="25-34"/>
    <x v="209"/>
    <x v="0"/>
    <x v="13"/>
    <x v="2"/>
    <n v="10"/>
    <s v="Green"/>
    <n v="1"/>
    <n v="6399"/>
    <n v="30"/>
    <n v="4480"/>
    <n v="4480"/>
    <s v="Cash on Delivery"/>
    <x v="1"/>
    <s v="India"/>
    <x v="34"/>
    <s v="Siliguri"/>
    <s v="Lifestyle Shopper"/>
    <x v="0"/>
    <n v="4.8"/>
    <s v="Delivered"/>
    <s v="Standard"/>
    <n v="2"/>
  </r>
  <r>
    <s v="ORD202584"/>
    <s v="CUST100016"/>
    <s v="Women"/>
    <s v="25-34"/>
    <x v="210"/>
    <x v="5"/>
    <x v="15"/>
    <x v="4"/>
    <n v="11"/>
    <s v="Green"/>
    <n v="1"/>
    <n v="9099"/>
    <n v="30"/>
    <n v="6370"/>
    <n v="6370"/>
    <s v="UPI"/>
    <x v="2"/>
    <s v="India"/>
    <x v="29"/>
    <s v="Guntur"/>
    <s v="Premium Shopper"/>
    <x v="0"/>
    <n v="3.6"/>
    <s v="Delivered"/>
    <s v="Standard"/>
    <n v="5"/>
  </r>
  <r>
    <s v="ORD200109"/>
    <s v="CUST100449"/>
    <s v="Men"/>
    <s v="18-24"/>
    <x v="211"/>
    <x v="2"/>
    <x v="32"/>
    <x v="1"/>
    <n v="7"/>
    <s v="Black"/>
    <n v="1"/>
    <n v="3799"/>
    <n v="20"/>
    <n v="3040"/>
    <n v="3040"/>
    <s v="Debit/Credit Card"/>
    <x v="1"/>
    <s v="India"/>
    <x v="1"/>
    <s v="Mapusa"/>
    <s v="Comfort Shopper"/>
    <x v="0"/>
    <n v="5"/>
    <s v="Returned"/>
    <s v="Standard"/>
    <n v="7"/>
  </r>
  <r>
    <s v="ORD202292"/>
    <s v="CUST100543"/>
    <s v="Men"/>
    <s v="25-34"/>
    <x v="212"/>
    <x v="2"/>
    <x v="23"/>
    <x v="0"/>
    <n v="8"/>
    <s v="Red"/>
    <n v="1"/>
    <n v="4799"/>
    <n v="35"/>
    <n v="3120"/>
    <n v="3120"/>
    <s v="UPI"/>
    <x v="2"/>
    <s v="India"/>
    <x v="1"/>
    <s v="Mapusa"/>
    <s v="Performance Seeker"/>
    <x v="1"/>
    <n v="3.7"/>
    <s v="Delivered"/>
    <s v="Same Day"/>
    <n v="1"/>
  </r>
  <r>
    <s v="ORD201293"/>
    <s v="CUST100093"/>
    <s v="Men"/>
    <s v="35-44"/>
    <x v="213"/>
    <x v="2"/>
    <x v="23"/>
    <x v="0"/>
    <n v="9"/>
    <s v="Red"/>
    <n v="1"/>
    <n v="6199"/>
    <n v="15"/>
    <n v="5270"/>
    <n v="5270"/>
    <s v="Debit/Credit Card"/>
    <x v="0"/>
    <s v="India"/>
    <x v="11"/>
    <s v="Kavaratti"/>
    <s v="Performance Seeker"/>
    <x v="1"/>
    <n v="4.2"/>
    <s v="Delivered"/>
    <s v="Standard"/>
    <n v="3"/>
  </r>
  <r>
    <s v="ORD200943"/>
    <s v="CUST100758"/>
    <s v="Men"/>
    <s v="18-24"/>
    <x v="214"/>
    <x v="1"/>
    <x v="10"/>
    <x v="3"/>
    <n v="11"/>
    <s v="Black"/>
    <n v="1"/>
    <n v="9399"/>
    <n v="10"/>
    <n v="8460"/>
    <n v="8460"/>
    <s v="Debit/Credit Card"/>
    <x v="0"/>
    <s v="India"/>
    <x v="25"/>
    <s v="Jammu"/>
    <s v="Value Shopper"/>
    <x v="0"/>
    <n v="2.5"/>
    <s v="Returned"/>
    <s v="Express"/>
    <n v="2"/>
  </r>
  <r>
    <s v="ORD201375"/>
    <s v="CUST100087"/>
    <s v="Men"/>
    <s v="45-54"/>
    <x v="215"/>
    <x v="3"/>
    <x v="11"/>
    <x v="4"/>
    <n v="7"/>
    <s v="Black"/>
    <n v="1"/>
    <n v="6299"/>
    <n v="10"/>
    <n v="5670"/>
    <n v="5670"/>
    <s v="Net Banking"/>
    <x v="1"/>
    <s v="India"/>
    <x v="26"/>
    <s v="Thrissur"/>
    <s v="Comfort Shopper"/>
    <x v="1"/>
    <n v="4.7"/>
    <s v="Returned"/>
    <s v="Express"/>
    <n v="3"/>
  </r>
  <r>
    <s v="ORD200547"/>
    <s v="CUST100030"/>
    <s v="Women"/>
    <s v="18-24"/>
    <x v="216"/>
    <x v="5"/>
    <x v="21"/>
    <x v="2"/>
    <n v="9"/>
    <s v="Black"/>
    <n v="1"/>
    <n v="6699"/>
    <n v="15"/>
    <n v="5690"/>
    <n v="5690"/>
    <s v="Net Banking"/>
    <x v="1"/>
    <s v="India"/>
    <x v="4"/>
    <s v="Namchi"/>
    <s v="Performance Seeker"/>
    <x v="0"/>
    <n v="3.7"/>
    <s v="Delivered"/>
    <s v="Same Day"/>
    <n v="1"/>
  </r>
  <r>
    <s v="ORD201847"/>
    <s v="CUST100124"/>
    <s v="Unisex"/>
    <s v="45-54"/>
    <x v="216"/>
    <x v="1"/>
    <x v="18"/>
    <x v="2"/>
    <n v="7"/>
    <s v="Blue"/>
    <n v="1"/>
    <n v="8599"/>
    <n v="30"/>
    <n v="6020"/>
    <n v="6020"/>
    <s v="Net Banking"/>
    <x v="2"/>
    <s v="India"/>
    <x v="1"/>
    <s v="Vasco da Gama"/>
    <s v="Value Shopper"/>
    <x v="0"/>
    <n v="4.3"/>
    <s v="Returned"/>
    <s v="Standard"/>
    <n v="5"/>
  </r>
  <r>
    <s v="ORD200153"/>
    <s v="CUST100800"/>
    <s v="Women"/>
    <s v="55+"/>
    <x v="217"/>
    <x v="2"/>
    <x v="24"/>
    <x v="4"/>
    <n v="6"/>
    <s v="Grey"/>
    <n v="1"/>
    <n v="3099"/>
    <n v="25"/>
    <n v="2320"/>
    <n v="2320"/>
    <s v="Net Banking"/>
    <x v="2"/>
    <s v="India"/>
    <x v="34"/>
    <s v="Kolkata"/>
    <s v="Value Shopper"/>
    <x v="0"/>
    <n v="3.6"/>
    <s v="Returned"/>
    <s v="Standard"/>
    <n v="2"/>
  </r>
  <r>
    <s v="ORD200887"/>
    <s v="CUST100558"/>
    <s v="Men"/>
    <s v="25-34"/>
    <x v="218"/>
    <x v="5"/>
    <x v="30"/>
    <x v="2"/>
    <n v="9"/>
    <s v="Red"/>
    <n v="1"/>
    <n v="7099"/>
    <n v="15"/>
    <n v="6030"/>
    <n v="6030"/>
    <s v="Debit/Credit Card"/>
    <x v="2"/>
    <s v="India"/>
    <x v="11"/>
    <s v="Agatti"/>
    <s v="Comfort Shopper"/>
    <x v="0"/>
    <n v="4"/>
    <s v="Delivered"/>
    <s v="Standard"/>
    <n v="2"/>
  </r>
  <r>
    <s v="ORD201313"/>
    <s v="CUST100406"/>
    <s v="Men"/>
    <s v="25-34"/>
    <x v="219"/>
    <x v="3"/>
    <x v="5"/>
    <x v="2"/>
    <n v="7"/>
    <s v="Black"/>
    <n v="2"/>
    <n v="8399"/>
    <n v="15"/>
    <n v="7140"/>
    <n v="14280"/>
    <s v="UPI"/>
    <x v="2"/>
    <s v="India"/>
    <x v="14"/>
    <s v="Amritsar"/>
    <s v="Performance Seeker"/>
    <x v="0"/>
    <n v="4"/>
    <s v="Returned"/>
    <s v="Express"/>
    <n v="1"/>
  </r>
  <r>
    <s v="ORD202785"/>
    <s v="CUST100110"/>
    <s v="Men"/>
    <s v="25-34"/>
    <x v="220"/>
    <x v="3"/>
    <x v="5"/>
    <x v="2"/>
    <n v="8"/>
    <s v="Black"/>
    <n v="1"/>
    <n v="7499"/>
    <n v="15"/>
    <n v="6370"/>
    <n v="6370"/>
    <s v="Debit/Credit Card"/>
    <x v="0"/>
    <s v="India"/>
    <x v="31"/>
    <s v="Madurai"/>
    <s v="Performance Seeker"/>
    <x v="0"/>
    <n v="3.1"/>
    <s v="Delivered"/>
    <s v="Standard"/>
    <n v="4"/>
  </r>
  <r>
    <s v="ORD201396"/>
    <s v="CUST100292"/>
    <s v="Unisex"/>
    <s v="35-44"/>
    <x v="221"/>
    <x v="0"/>
    <x v="19"/>
    <x v="4"/>
    <n v="10"/>
    <s v="White"/>
    <n v="1"/>
    <n v="7499"/>
    <n v="15"/>
    <n v="6370"/>
    <n v="6370"/>
    <s v="Debit/Credit Card"/>
    <x v="2"/>
    <s v="India"/>
    <x v="2"/>
    <s v="Hisar"/>
    <s v="Value Shopper"/>
    <x v="0"/>
    <n v="4.7"/>
    <s v="Delivered"/>
    <s v="Standard"/>
    <n v="5"/>
  </r>
  <r>
    <s v="ORD202616"/>
    <s v="CUST100505"/>
    <s v="Women"/>
    <s v="18-24"/>
    <x v="221"/>
    <x v="5"/>
    <x v="14"/>
    <x v="3"/>
    <n v="7"/>
    <s v="Grey"/>
    <n v="1"/>
    <n v="9399"/>
    <n v="10"/>
    <n v="8460"/>
    <n v="8460"/>
    <s v="Cash on Delivery"/>
    <x v="1"/>
    <s v="India"/>
    <x v="12"/>
    <s v="Rangat"/>
    <s v="Comfort Shopper"/>
    <x v="1"/>
    <n v="5"/>
    <s v="Cancelled"/>
    <s v="Standard"/>
    <n v="4"/>
  </r>
  <r>
    <s v="ORD202357"/>
    <s v="CUST101001"/>
    <s v="Unisex"/>
    <s v="25-34"/>
    <x v="222"/>
    <x v="4"/>
    <x v="17"/>
    <x v="4"/>
    <n v="11"/>
    <s v="Green"/>
    <n v="1"/>
    <n v="7399"/>
    <n v="5"/>
    <n v="7030"/>
    <n v="7030"/>
    <s v="Cash on Delivery"/>
    <x v="1"/>
    <s v="India"/>
    <x v="32"/>
    <s v="Bokaro"/>
    <s v="Value Shopper"/>
    <x v="0"/>
    <n v="4.5"/>
    <s v="Delivered"/>
    <s v="Express"/>
    <n v="3"/>
  </r>
  <r>
    <s v="ORD202662"/>
    <s v="CUST100241"/>
    <s v="Unisex"/>
    <s v="18-24"/>
    <x v="222"/>
    <x v="0"/>
    <x v="19"/>
    <x v="4"/>
    <n v="8"/>
    <s v="Black"/>
    <n v="1"/>
    <n v="4699"/>
    <n v="25"/>
    <n v="3520"/>
    <n v="3520"/>
    <s v="UPI"/>
    <x v="1"/>
    <s v="India"/>
    <x v="34"/>
    <s v="Asansol"/>
    <s v="Performance Seeker"/>
    <x v="0"/>
    <n v="3.8"/>
    <s v="Returned"/>
    <s v="Standard"/>
    <n v="3"/>
  </r>
  <r>
    <s v="ORD200815"/>
    <s v="CUST100888"/>
    <s v="Men"/>
    <s v="55+"/>
    <x v="223"/>
    <x v="5"/>
    <x v="15"/>
    <x v="4"/>
    <n v="9"/>
    <s v="Black"/>
    <n v="1"/>
    <n v="4499"/>
    <n v="20"/>
    <n v="3600"/>
    <n v="3600"/>
    <s v="Cash on Delivery"/>
    <x v="0"/>
    <s v="India"/>
    <x v="34"/>
    <s v="Durgapur"/>
    <s v="Value Shopper"/>
    <x v="1"/>
    <n v="5"/>
    <s v="Delivered"/>
    <s v="Same Day"/>
    <n v="1"/>
  </r>
  <r>
    <s v="ORD202229"/>
    <s v="CUST100233"/>
    <s v="Women"/>
    <s v="25-34"/>
    <x v="223"/>
    <x v="3"/>
    <x v="34"/>
    <x v="3"/>
    <n v="10"/>
    <s v="Blue"/>
    <n v="1"/>
    <n v="8699"/>
    <n v="30"/>
    <n v="6090"/>
    <n v="6090"/>
    <s v="UPI"/>
    <x v="0"/>
    <s v="India"/>
    <x v="7"/>
    <s v="Jabalpur"/>
    <s v="Value Shopper"/>
    <x v="0"/>
    <n v="4"/>
    <s v="Cancelled"/>
    <s v="Standard"/>
    <n v="3"/>
  </r>
  <r>
    <s v="ORD202944"/>
    <s v="CUST100077"/>
    <s v="Men"/>
    <s v="18-24"/>
    <x v="223"/>
    <x v="5"/>
    <x v="14"/>
    <x v="3"/>
    <n v="10"/>
    <s v="Blue"/>
    <n v="1"/>
    <n v="6099"/>
    <n v="5"/>
    <n v="5790"/>
    <n v="5790"/>
    <s v="UPI"/>
    <x v="1"/>
    <s v="India"/>
    <x v="32"/>
    <s v="Dhanbad"/>
    <s v="Lifestyle Shopper"/>
    <x v="1"/>
    <n v="4.5999999999999996"/>
    <s v="Delivered"/>
    <s v="Standard"/>
    <n v="5"/>
  </r>
  <r>
    <s v="ORD200240"/>
    <s v="CUST100260"/>
    <s v="Men"/>
    <s v="35-44"/>
    <x v="224"/>
    <x v="3"/>
    <x v="34"/>
    <x v="3"/>
    <n v="11"/>
    <s v="Grey"/>
    <n v="1"/>
    <n v="3699"/>
    <n v="5"/>
    <n v="3510"/>
    <n v="3510"/>
    <s v="UPI"/>
    <x v="1"/>
    <s v="India"/>
    <x v="9"/>
    <s v="Patna"/>
    <s v="Premium Shopper"/>
    <x v="0"/>
    <n v="2.7"/>
    <s v="Delivered"/>
    <s v="Standard"/>
    <n v="2"/>
  </r>
  <r>
    <s v="ORD202073"/>
    <s v="CUST100736"/>
    <s v="Men"/>
    <s v="18-24"/>
    <x v="224"/>
    <x v="2"/>
    <x v="24"/>
    <x v="4"/>
    <n v="9"/>
    <s v="White"/>
    <n v="3"/>
    <n v="7599"/>
    <n v="5"/>
    <n v="7220"/>
    <n v="21660"/>
    <s v="Debit/Credit Card"/>
    <x v="1"/>
    <s v="India"/>
    <x v="25"/>
    <s v="Jammu"/>
    <s v="Premium Shopper"/>
    <x v="0"/>
    <n v="4"/>
    <s v="Delivered"/>
    <s v="Standard"/>
    <n v="6"/>
  </r>
  <r>
    <s v="ORD200505"/>
    <s v="CUST100292"/>
    <s v="Women"/>
    <s v="45-54"/>
    <x v="225"/>
    <x v="5"/>
    <x v="27"/>
    <x v="0"/>
    <n v="8"/>
    <s v="Black"/>
    <n v="1"/>
    <n v="9699"/>
    <n v="10"/>
    <n v="8730"/>
    <n v="8730"/>
    <s v="Cash on Delivery"/>
    <x v="0"/>
    <s v="India"/>
    <x v="26"/>
    <s v="Thrissur"/>
    <s v="Value Shopper"/>
    <x v="1"/>
    <n v="3.9"/>
    <s v="Delivered"/>
    <s v="Express"/>
    <n v="4"/>
  </r>
  <r>
    <s v="ORD201067"/>
    <s v="CUST100278"/>
    <s v="Men"/>
    <s v="35-44"/>
    <x v="225"/>
    <x v="0"/>
    <x v="8"/>
    <x v="3"/>
    <n v="10"/>
    <s v="Blue"/>
    <n v="1"/>
    <n v="6899"/>
    <n v="15"/>
    <n v="5860"/>
    <n v="5860"/>
    <s v="Cash on Delivery"/>
    <x v="2"/>
    <s v="India"/>
    <x v="24"/>
    <s v="Bengaluru"/>
    <s v="Premium Shopper"/>
    <x v="0"/>
    <n v="4.4000000000000004"/>
    <s v="Delivered"/>
    <s v="Standard"/>
    <n v="4"/>
  </r>
  <r>
    <s v="ORD201707"/>
    <s v="CUST100241"/>
    <s v="Women"/>
    <s v="35-44"/>
    <x v="226"/>
    <x v="5"/>
    <x v="15"/>
    <x v="4"/>
    <n v="10"/>
    <s v="White"/>
    <n v="2"/>
    <n v="8099"/>
    <n v="25"/>
    <n v="6070"/>
    <n v="12140"/>
    <s v="Debit/Credit Card"/>
    <x v="1"/>
    <s v="India"/>
    <x v="11"/>
    <s v="Agatti"/>
    <s v="Premium Shopper"/>
    <x v="1"/>
    <n v="3.5"/>
    <s v="Delivered"/>
    <s v="Standard"/>
    <n v="5"/>
  </r>
  <r>
    <s v="ORD200294"/>
    <s v="CUST100617"/>
    <s v="Unisex"/>
    <s v="25-34"/>
    <x v="227"/>
    <x v="4"/>
    <x v="29"/>
    <x v="2"/>
    <n v="8"/>
    <s v="Green"/>
    <n v="2"/>
    <n v="8099"/>
    <n v="15"/>
    <n v="6880"/>
    <n v="13760"/>
    <s v="Debit/Credit Card"/>
    <x v="2"/>
    <s v="India"/>
    <x v="8"/>
    <s v="Warangal"/>
    <s v="Value Shopper"/>
    <x v="0"/>
    <n v="2.9"/>
    <s v="Delivered"/>
    <s v="Standard"/>
    <n v="4"/>
  </r>
  <r>
    <s v="ORD201825"/>
    <s v="CUST100407"/>
    <s v="Men"/>
    <s v="25-34"/>
    <x v="228"/>
    <x v="1"/>
    <x v="18"/>
    <x v="2"/>
    <n v="10"/>
    <s v="Black"/>
    <n v="3"/>
    <n v="6499"/>
    <n v="20"/>
    <n v="5200"/>
    <n v="15600"/>
    <s v="Net Banking"/>
    <x v="0"/>
    <s v="India"/>
    <x v="15"/>
    <s v="Dwarka"/>
    <s v="Performance Seeker"/>
    <x v="1"/>
    <n v="3.3"/>
    <s v="Cancelled"/>
    <s v="Standard"/>
    <n v="2"/>
  </r>
  <r>
    <s v="ORD202414"/>
    <s v="CUST100875"/>
    <s v="Unisex"/>
    <s v="35-44"/>
    <x v="228"/>
    <x v="3"/>
    <x v="5"/>
    <x v="2"/>
    <n v="9"/>
    <s v="Black"/>
    <n v="1"/>
    <n v="5499"/>
    <n v="30"/>
    <n v="3850"/>
    <n v="3850"/>
    <s v="Debit/Credit Card"/>
    <x v="2"/>
    <s v="India"/>
    <x v="34"/>
    <s v="Siliguri"/>
    <s v="Premium Shopper"/>
    <x v="0"/>
    <n v="3.8"/>
    <s v="Delivered"/>
    <s v="Standard"/>
    <n v="4"/>
  </r>
  <r>
    <s v="ORD202058"/>
    <s v="CUST100679"/>
    <s v="Men"/>
    <s v="25-34"/>
    <x v="229"/>
    <x v="0"/>
    <x v="0"/>
    <x v="0"/>
    <n v="7"/>
    <s v="Black"/>
    <n v="3"/>
    <n v="6899"/>
    <n v="5"/>
    <n v="6550"/>
    <n v="19650"/>
    <s v="Debit/Credit Card"/>
    <x v="0"/>
    <s v="India"/>
    <x v="33"/>
    <s v="Mumbai"/>
    <s v="Value Shopper"/>
    <x v="0"/>
    <n v="4.5"/>
    <s v="Delivered"/>
    <s v="Same Day"/>
    <n v="1"/>
  </r>
  <r>
    <s v="ORD201772"/>
    <s v="CUST100301"/>
    <s v="Women"/>
    <s v="18-24"/>
    <x v="230"/>
    <x v="0"/>
    <x v="2"/>
    <x v="2"/>
    <n v="8"/>
    <s v="White"/>
    <n v="1"/>
    <n v="7599"/>
    <n v="5"/>
    <n v="7220"/>
    <n v="7220"/>
    <s v="UPI"/>
    <x v="1"/>
    <s v="India"/>
    <x v="7"/>
    <s v="Jabalpur"/>
    <s v="Comfort Shopper"/>
    <x v="0"/>
    <n v="3.4"/>
    <s v="Returned"/>
    <s v="Standard"/>
    <n v="4"/>
  </r>
  <r>
    <s v="ORD202726"/>
    <s v="CUST100144"/>
    <s v="Men"/>
    <s v="25-34"/>
    <x v="230"/>
    <x v="2"/>
    <x v="4"/>
    <x v="2"/>
    <n v="9"/>
    <s v="Green"/>
    <n v="1"/>
    <n v="8099"/>
    <n v="30"/>
    <n v="5670"/>
    <n v="5670"/>
    <s v="Cash on Delivery"/>
    <x v="0"/>
    <s v="India"/>
    <x v="27"/>
    <s v="Rourkela"/>
    <s v="Value Shopper"/>
    <x v="0"/>
    <n v="3.7"/>
    <s v="Delivered"/>
    <s v="Standard"/>
    <n v="4"/>
  </r>
  <r>
    <s v="ORD202122"/>
    <s v="CUST100581"/>
    <s v="Unisex"/>
    <s v="25-34"/>
    <x v="231"/>
    <x v="3"/>
    <x v="34"/>
    <x v="3"/>
    <n v="11"/>
    <s v="White"/>
    <n v="1"/>
    <n v="6099"/>
    <n v="30"/>
    <n v="4270"/>
    <n v="4270"/>
    <s v="UPI"/>
    <x v="2"/>
    <s v="India"/>
    <x v="33"/>
    <s v="Pune"/>
    <s v="Premium Shopper"/>
    <x v="0"/>
    <n v="3"/>
    <s v="Returned"/>
    <s v="Express"/>
    <n v="3"/>
  </r>
  <r>
    <s v="ORD200666"/>
    <s v="CUST100799"/>
    <s v="Women"/>
    <s v="35-44"/>
    <x v="232"/>
    <x v="5"/>
    <x v="15"/>
    <x v="4"/>
    <n v="11"/>
    <s v="White"/>
    <n v="1"/>
    <n v="7799"/>
    <n v="20"/>
    <n v="6240"/>
    <n v="6240"/>
    <s v="Cash on Delivery"/>
    <x v="1"/>
    <s v="India"/>
    <x v="34"/>
    <s v="Durgapur"/>
    <s v="Performance Seeker"/>
    <x v="0"/>
    <n v="5"/>
    <s v="Delivered"/>
    <s v="Standard"/>
    <n v="6"/>
  </r>
  <r>
    <s v="ORD202144"/>
    <s v="CUST100172"/>
    <s v="Men"/>
    <s v="18-24"/>
    <x v="232"/>
    <x v="5"/>
    <x v="14"/>
    <x v="3"/>
    <n v="9"/>
    <s v="White"/>
    <n v="1"/>
    <n v="4699"/>
    <n v="0"/>
    <n v="4700"/>
    <n v="4700"/>
    <s v="Cash on Delivery"/>
    <x v="1"/>
    <s v="India"/>
    <x v="26"/>
    <s v="Thiruvananthapuram"/>
    <s v="Comfort Shopper"/>
    <x v="0"/>
    <n v="4.0999999999999996"/>
    <s v="Delivered"/>
    <s v="Express"/>
    <n v="3"/>
  </r>
  <r>
    <s v="ORD201192"/>
    <s v="CUST100367"/>
    <s v="Men"/>
    <s v="18-24"/>
    <x v="233"/>
    <x v="3"/>
    <x v="16"/>
    <x v="0"/>
    <n v="8"/>
    <s v="White"/>
    <n v="1"/>
    <n v="7799"/>
    <n v="5"/>
    <n v="7410"/>
    <n v="7410"/>
    <s v="Debit/Credit Card"/>
    <x v="1"/>
    <s v="India"/>
    <x v="33"/>
    <s v="Mumbai"/>
    <s v="Comfort Shopper"/>
    <x v="0"/>
    <n v="4.7"/>
    <s v="Delivered"/>
    <s v="Standard"/>
    <n v="5"/>
  </r>
  <r>
    <s v="ORD200298"/>
    <s v="CUST100439"/>
    <s v="Women"/>
    <s v="35-44"/>
    <x v="234"/>
    <x v="0"/>
    <x v="13"/>
    <x v="2"/>
    <n v="10"/>
    <s v="White"/>
    <n v="2"/>
    <n v="9499"/>
    <n v="0"/>
    <n v="9500"/>
    <n v="19000"/>
    <s v="Net Banking"/>
    <x v="1"/>
    <s v="India"/>
    <x v="26"/>
    <s v="Kozhikode"/>
    <s v="Comfort Shopper"/>
    <x v="1"/>
    <n v="4.0999999999999996"/>
    <s v="Cancelled"/>
    <s v="Standard"/>
    <n v="2"/>
  </r>
  <r>
    <s v="ORD201302"/>
    <s v="CUST100666"/>
    <s v="Men"/>
    <s v="18-24"/>
    <x v="234"/>
    <x v="5"/>
    <x v="14"/>
    <x v="3"/>
    <n v="6"/>
    <s v="White"/>
    <n v="2"/>
    <n v="5199"/>
    <n v="5"/>
    <n v="4940"/>
    <n v="9880"/>
    <s v="Debit/Credit Card"/>
    <x v="1"/>
    <s v="India"/>
    <x v="15"/>
    <s v="New Delhi"/>
    <s v="Performance Seeker"/>
    <x v="1"/>
    <n v="3.4"/>
    <s v="Delivered"/>
    <s v="Standard"/>
    <n v="5"/>
  </r>
  <r>
    <s v="ORD202162"/>
    <s v="CUST100087"/>
    <s v="Men"/>
    <s v="25-34"/>
    <x v="234"/>
    <x v="0"/>
    <x v="31"/>
    <x v="1"/>
    <n v="10"/>
    <s v="Grey"/>
    <n v="1"/>
    <n v="8599"/>
    <n v="30"/>
    <n v="6020"/>
    <n v="6020"/>
    <s v="Cash on Delivery"/>
    <x v="2"/>
    <s v="India"/>
    <x v="22"/>
    <s v="Dharmanagar"/>
    <s v="Lifestyle Shopper"/>
    <x v="1"/>
    <n v="5"/>
    <s v="Delivered"/>
    <s v="Standard"/>
    <n v="3"/>
  </r>
  <r>
    <s v="ORD203052"/>
    <s v="CUST100549"/>
    <s v="Men"/>
    <s v="45-54"/>
    <x v="234"/>
    <x v="3"/>
    <x v="11"/>
    <x v="4"/>
    <n v="9"/>
    <s v="Blue"/>
    <n v="1"/>
    <n v="6699"/>
    <n v="10"/>
    <n v="6030"/>
    <n v="6030"/>
    <s v="Net Banking"/>
    <x v="0"/>
    <s v="India"/>
    <x v="5"/>
    <s v="Churachandpur"/>
    <s v="Performance Seeker"/>
    <x v="1"/>
    <n v="4"/>
    <s v="Returned"/>
    <s v="Standard"/>
    <n v="4"/>
  </r>
  <r>
    <s v="ORD200503"/>
    <s v="CUST100503"/>
    <s v="Women"/>
    <s v="25-34"/>
    <x v="235"/>
    <x v="0"/>
    <x v="19"/>
    <x v="4"/>
    <n v="7"/>
    <s v="White"/>
    <n v="1"/>
    <n v="7299"/>
    <n v="20"/>
    <n v="5840"/>
    <n v="5840"/>
    <s v="Debit/Credit Card"/>
    <x v="0"/>
    <s v="India"/>
    <x v="27"/>
    <s v="Berhampur"/>
    <s v="Lifestyle Shopper"/>
    <x v="1"/>
    <n v="4.0999999999999996"/>
    <s v="Returned"/>
    <s v="Standard"/>
    <n v="1"/>
  </r>
  <r>
    <s v="ORD200978"/>
    <s v="CUST100347"/>
    <s v="Women"/>
    <s v="35-44"/>
    <x v="235"/>
    <x v="5"/>
    <x v="7"/>
    <x v="1"/>
    <n v="10"/>
    <s v="Grey"/>
    <n v="1"/>
    <n v="4199"/>
    <n v="15"/>
    <n v="3570"/>
    <n v="3570"/>
    <s v="Net Banking"/>
    <x v="1"/>
    <s v="India"/>
    <x v="15"/>
    <s v="Rohini"/>
    <s v="Value Shopper"/>
    <x v="1"/>
    <n v="4.3"/>
    <s v="Returned"/>
    <s v="Standard"/>
    <n v="4"/>
  </r>
  <r>
    <s v="ORD201735"/>
    <s v="CUST100568"/>
    <s v="Women"/>
    <s v="18-24"/>
    <x v="236"/>
    <x v="0"/>
    <x v="13"/>
    <x v="2"/>
    <n v="8"/>
    <s v="Black"/>
    <n v="1"/>
    <n v="4599"/>
    <n v="25"/>
    <n v="3450"/>
    <n v="3450"/>
    <s v="Net Banking"/>
    <x v="1"/>
    <s v="India"/>
    <x v="24"/>
    <s v="Mysuru"/>
    <s v="Value Shopper"/>
    <x v="0"/>
    <n v="3.3"/>
    <s v="Delivered"/>
    <s v="Standard"/>
    <n v="1"/>
  </r>
  <r>
    <s v="ORD200808"/>
    <s v="CUST100130"/>
    <s v="Men"/>
    <s v="25-34"/>
    <x v="237"/>
    <x v="3"/>
    <x v="28"/>
    <x v="1"/>
    <n v="10"/>
    <s v="Black"/>
    <n v="2"/>
    <n v="7499"/>
    <n v="5"/>
    <n v="7120"/>
    <n v="14240"/>
    <s v="Net Banking"/>
    <x v="1"/>
    <s v="India"/>
    <x v="16"/>
    <s v="Ahmedabad"/>
    <s v="Performance Seeker"/>
    <x v="1"/>
    <n v="4.5"/>
    <s v="Delivered"/>
    <s v="Standard"/>
    <n v="5"/>
  </r>
  <r>
    <s v="ORD202225"/>
    <s v="CUST100325"/>
    <s v="Unisex"/>
    <s v="55+"/>
    <x v="238"/>
    <x v="0"/>
    <x v="0"/>
    <x v="0"/>
    <n v="8"/>
    <s v="Grey"/>
    <n v="1"/>
    <n v="6199"/>
    <n v="25"/>
    <n v="4650"/>
    <n v="4650"/>
    <s v="UPI"/>
    <x v="0"/>
    <s v="India"/>
    <x v="22"/>
    <s v="Agartala"/>
    <s v="Performance Seeker"/>
    <x v="0"/>
    <n v="2.9"/>
    <s v="Delivered"/>
    <s v="Standard"/>
    <n v="5"/>
  </r>
  <r>
    <s v="ORD200684"/>
    <s v="CUST100087"/>
    <s v="Women"/>
    <s v="45-54"/>
    <x v="239"/>
    <x v="3"/>
    <x v="35"/>
    <x v="2"/>
    <n v="10"/>
    <s v="Red"/>
    <n v="1"/>
    <n v="5899"/>
    <n v="5"/>
    <n v="5600"/>
    <n v="5600"/>
    <s v="UPI"/>
    <x v="2"/>
    <s v="India"/>
    <x v="22"/>
    <s v="Udaipur"/>
    <s v="Value Shopper"/>
    <x v="2"/>
    <n v="3.8"/>
    <s v="Cancelled"/>
    <s v="Standard"/>
    <n v="3"/>
  </r>
  <r>
    <s v="ORD202947"/>
    <s v="CUST100103"/>
    <s v="Unisex"/>
    <s v="45-54"/>
    <x v="239"/>
    <x v="5"/>
    <x v="21"/>
    <x v="2"/>
    <n v="8"/>
    <s v="Blue"/>
    <n v="1"/>
    <n v="9499"/>
    <n v="10"/>
    <n v="8550"/>
    <n v="8550"/>
    <s v="Debit/Credit Card"/>
    <x v="2"/>
    <s v="India"/>
    <x v="15"/>
    <s v="Delhi"/>
    <s v="Comfort Shopper"/>
    <x v="0"/>
    <n v="4.3"/>
    <s v="Delivered"/>
    <s v="Standard"/>
    <n v="6"/>
  </r>
  <r>
    <s v="ORD203050"/>
    <s v="CUST100560"/>
    <s v="Men"/>
    <s v="18-24"/>
    <x v="239"/>
    <x v="1"/>
    <x v="33"/>
    <x v="0"/>
    <n v="10"/>
    <s v="Green"/>
    <n v="3"/>
    <n v="5099"/>
    <n v="0"/>
    <n v="5100"/>
    <n v="15300"/>
    <s v="Debit/Credit Card"/>
    <x v="0"/>
    <s v="India"/>
    <x v="15"/>
    <s v="Delhi"/>
    <s v="Lifestyle Shopper"/>
    <x v="1"/>
    <n v="4.9000000000000004"/>
    <s v="Delivered"/>
    <s v="Express"/>
    <n v="2"/>
  </r>
  <r>
    <s v="ORD200302"/>
    <s v="CUST100306"/>
    <s v="Men"/>
    <s v="25-34"/>
    <x v="240"/>
    <x v="4"/>
    <x v="6"/>
    <x v="2"/>
    <n v="12"/>
    <s v="Green"/>
    <n v="1"/>
    <n v="4699"/>
    <n v="15"/>
    <n v="3990"/>
    <n v="3990"/>
    <s v="UPI"/>
    <x v="2"/>
    <s v="India"/>
    <x v="15"/>
    <s v="Delhi"/>
    <s v="Lifestyle Shopper"/>
    <x v="0"/>
    <n v="3.6"/>
    <s v="Delivered"/>
    <s v="Standard"/>
    <n v="4"/>
  </r>
  <r>
    <s v="ORD201128"/>
    <s v="CUST100534"/>
    <s v="Men"/>
    <s v="35-44"/>
    <x v="240"/>
    <x v="1"/>
    <x v="10"/>
    <x v="3"/>
    <n v="11"/>
    <s v="Green"/>
    <n v="1"/>
    <n v="8699"/>
    <n v="5"/>
    <n v="8260"/>
    <n v="8260"/>
    <s v="UPI"/>
    <x v="2"/>
    <s v="India"/>
    <x v="3"/>
    <s v="Jodhpur"/>
    <s v="Lifestyle Shopper"/>
    <x v="0"/>
    <n v="4.3"/>
    <s v="Delivered"/>
    <s v="Express"/>
    <n v="3"/>
  </r>
  <r>
    <s v="ORD202660"/>
    <s v="CUST100396"/>
    <s v="Men"/>
    <s v="35-44"/>
    <x v="241"/>
    <x v="2"/>
    <x v="23"/>
    <x v="0"/>
    <n v="8"/>
    <s v="White"/>
    <n v="3"/>
    <n v="8099"/>
    <n v="15"/>
    <n v="6880"/>
    <n v="20640"/>
    <s v="UPI"/>
    <x v="2"/>
    <s v="India"/>
    <x v="21"/>
    <s v="Dimapur"/>
    <s v="Premium Shopper"/>
    <x v="0"/>
    <n v="4.2"/>
    <s v="Delivered"/>
    <s v="Standard"/>
    <n v="4"/>
  </r>
  <r>
    <s v="ORD203108"/>
    <s v="CUST100957"/>
    <s v="Men"/>
    <s v="25-34"/>
    <x v="241"/>
    <x v="5"/>
    <x v="7"/>
    <x v="1"/>
    <n v="7"/>
    <s v="Black"/>
    <n v="3"/>
    <n v="7999"/>
    <n v="10"/>
    <n v="7200"/>
    <n v="21600"/>
    <s v="UPI"/>
    <x v="1"/>
    <s v="India"/>
    <x v="28"/>
    <s v="Kargil"/>
    <s v="Comfort Shopper"/>
    <x v="0"/>
    <n v="4.0999999999999996"/>
    <s v="Delivered"/>
    <s v="Standard"/>
    <n v="4"/>
  </r>
  <r>
    <s v="ORD200408"/>
    <s v="CUST100453"/>
    <s v="Women"/>
    <s v="35-44"/>
    <x v="242"/>
    <x v="4"/>
    <x v="6"/>
    <x v="2"/>
    <n v="6"/>
    <s v="Black"/>
    <n v="1"/>
    <n v="7699"/>
    <n v="15"/>
    <n v="6540"/>
    <n v="6540"/>
    <s v="Debit/Credit Card"/>
    <x v="2"/>
    <s v="India"/>
    <x v="21"/>
    <s v="Mokokchung"/>
    <s v="Premium Shopper"/>
    <x v="1"/>
    <n v="3.6"/>
    <s v="Delivered"/>
    <s v="Standard"/>
    <n v="5"/>
  </r>
  <r>
    <s v="ORD201729"/>
    <s v="CUST100141"/>
    <s v="Men"/>
    <s v="25-34"/>
    <x v="242"/>
    <x v="3"/>
    <x v="28"/>
    <x v="1"/>
    <n v="8"/>
    <s v="Grey"/>
    <n v="1"/>
    <n v="7099"/>
    <n v="35"/>
    <n v="4610"/>
    <n v="4610"/>
    <s v="Debit/Credit Card"/>
    <x v="1"/>
    <s v="India"/>
    <x v="2"/>
    <s v="Faridabad"/>
    <s v="Performance Seeker"/>
    <x v="0"/>
    <n v="4.9000000000000004"/>
    <s v="Delivered"/>
    <s v="Standard"/>
    <n v="4"/>
  </r>
  <r>
    <s v="ORD201837"/>
    <s v="CUST100484"/>
    <s v="Men"/>
    <s v="25-34"/>
    <x v="243"/>
    <x v="2"/>
    <x v="32"/>
    <x v="1"/>
    <n v="9"/>
    <s v="Green"/>
    <n v="1"/>
    <n v="5399"/>
    <n v="20"/>
    <n v="4320"/>
    <n v="4320"/>
    <s v="Debit/Credit Card"/>
    <x v="1"/>
    <s v="India"/>
    <x v="20"/>
    <s v="Solan"/>
    <s v="Performance Seeker"/>
    <x v="0"/>
    <n v="4.4000000000000004"/>
    <s v="Delivered"/>
    <s v="Standard"/>
    <n v="4"/>
  </r>
  <r>
    <s v="ORD200857"/>
    <s v="CUST100556"/>
    <s v="Men"/>
    <s v="45-54"/>
    <x v="244"/>
    <x v="5"/>
    <x v="21"/>
    <x v="2"/>
    <n v="10"/>
    <s v="Blue"/>
    <n v="1"/>
    <n v="7199"/>
    <n v="20"/>
    <n v="5760"/>
    <n v="5760"/>
    <s v="UPI"/>
    <x v="1"/>
    <s v="India"/>
    <x v="17"/>
    <s v="Yanam"/>
    <s v="Value Shopper"/>
    <x v="0"/>
    <n v="4.2"/>
    <s v="Cancelled"/>
    <s v="Standard"/>
    <n v="5"/>
  </r>
  <r>
    <s v="ORD200874"/>
    <s v="CUST100242"/>
    <s v="Unisex"/>
    <s v="35-44"/>
    <x v="244"/>
    <x v="0"/>
    <x v="0"/>
    <x v="0"/>
    <n v="9"/>
    <s v="Grey"/>
    <n v="1"/>
    <n v="7599"/>
    <n v="10"/>
    <n v="6840"/>
    <n v="6840"/>
    <s v="Cash on Delivery"/>
    <x v="1"/>
    <s v="India"/>
    <x v="17"/>
    <s v="Yanam"/>
    <s v="Lifestyle Shopper"/>
    <x v="1"/>
    <n v="2.9"/>
    <s v="Delivered"/>
    <s v="Standard"/>
    <n v="3"/>
  </r>
  <r>
    <s v="ORD201867"/>
    <s v="CUST100153"/>
    <s v="Women"/>
    <s v="35-44"/>
    <x v="245"/>
    <x v="1"/>
    <x v="1"/>
    <x v="1"/>
    <n v="7"/>
    <s v="White"/>
    <n v="1"/>
    <n v="6699"/>
    <n v="20"/>
    <n v="5360"/>
    <n v="5360"/>
    <s v="UPI"/>
    <x v="0"/>
    <s v="India"/>
    <x v="34"/>
    <s v="Asansol"/>
    <s v="Performance Seeker"/>
    <x v="1"/>
    <n v="4.4000000000000004"/>
    <s v="Delivered"/>
    <s v="Standard"/>
    <n v="6"/>
  </r>
  <r>
    <s v="ORD203162"/>
    <s v="CUST100566"/>
    <s v="Women"/>
    <s v="35-44"/>
    <x v="246"/>
    <x v="1"/>
    <x v="20"/>
    <x v="2"/>
    <n v="8"/>
    <s v="Black"/>
    <n v="1"/>
    <n v="5599"/>
    <n v="5"/>
    <n v="5320"/>
    <n v="5320"/>
    <s v="UPI"/>
    <x v="2"/>
    <s v="India"/>
    <x v="7"/>
    <s v="Bhopal"/>
    <s v="Performance Seeker"/>
    <x v="0"/>
    <n v="5"/>
    <s v="Cancelled"/>
    <s v="Standard"/>
    <n v="2"/>
  </r>
  <r>
    <s v="ORD201030"/>
    <s v="CUST100246"/>
    <s v="Men"/>
    <s v="25-34"/>
    <x v="247"/>
    <x v="4"/>
    <x v="22"/>
    <x v="0"/>
    <n v="7"/>
    <s v="Green"/>
    <n v="1"/>
    <n v="9599"/>
    <n v="35"/>
    <n v="6240"/>
    <n v="6240"/>
    <s v="Debit/Credit Card"/>
    <x v="1"/>
    <s v="India"/>
    <x v="5"/>
    <s v="Kakching"/>
    <s v="Lifestyle Shopper"/>
    <x v="0"/>
    <n v="4.5999999999999996"/>
    <s v="Delivered"/>
    <s v="Standard"/>
    <n v="4"/>
  </r>
  <r>
    <s v="ORD201309"/>
    <s v="CUST100398"/>
    <s v="Women"/>
    <s v="35-44"/>
    <x v="247"/>
    <x v="3"/>
    <x v="28"/>
    <x v="1"/>
    <n v="7"/>
    <s v="Blue"/>
    <n v="1"/>
    <n v="8299"/>
    <n v="20"/>
    <n v="6640"/>
    <n v="6640"/>
    <s v="UPI"/>
    <x v="0"/>
    <s v="India"/>
    <x v="34"/>
    <s v="Siliguri"/>
    <s v="Premium Shopper"/>
    <x v="1"/>
    <n v="2.9"/>
    <s v="Delivered"/>
    <s v="Express"/>
    <n v="3"/>
  </r>
  <r>
    <s v="ORD202156"/>
    <s v="CUST100879"/>
    <s v="Women"/>
    <s v="35-44"/>
    <x v="248"/>
    <x v="4"/>
    <x v="6"/>
    <x v="2"/>
    <n v="12"/>
    <s v="Green"/>
    <n v="1"/>
    <n v="4799"/>
    <n v="20"/>
    <n v="3840"/>
    <n v="3840"/>
    <s v="Cash on Delivery"/>
    <x v="1"/>
    <s v="India"/>
    <x v="26"/>
    <s v="Thiruvananthapuram"/>
    <s v="Comfort Shopper"/>
    <x v="0"/>
    <n v="3.9"/>
    <s v="Cancelled"/>
    <s v="Same Day"/>
    <n v="1"/>
  </r>
  <r>
    <s v="ORD202930"/>
    <s v="CUST100129"/>
    <s v="Unisex"/>
    <s v="18-24"/>
    <x v="249"/>
    <x v="2"/>
    <x v="3"/>
    <x v="2"/>
    <n v="12"/>
    <s v="Blue"/>
    <n v="1"/>
    <n v="3099"/>
    <n v="15"/>
    <n v="2630"/>
    <n v="2630"/>
    <s v="Cash on Delivery"/>
    <x v="2"/>
    <s v="India"/>
    <x v="14"/>
    <s v="Jalandhar"/>
    <s v="Value Shopper"/>
    <x v="0"/>
    <n v="4.2"/>
    <s v="Delivered"/>
    <s v="Standard"/>
    <n v="4"/>
  </r>
  <r>
    <s v="ORD200373"/>
    <s v="CUST100181"/>
    <s v="Men"/>
    <s v="18-24"/>
    <x v="250"/>
    <x v="3"/>
    <x v="5"/>
    <x v="2"/>
    <n v="8"/>
    <s v="Black"/>
    <n v="1"/>
    <n v="8299"/>
    <n v="15"/>
    <n v="7050"/>
    <n v="7050"/>
    <s v="Debit/Credit Card"/>
    <x v="2"/>
    <s v="India"/>
    <x v="24"/>
    <s v="Mysuru"/>
    <s v="Performance Seeker"/>
    <x v="0"/>
    <n v="2.8"/>
    <s v="Delivered"/>
    <s v="Standard"/>
    <n v="5"/>
  </r>
  <r>
    <s v="ORD200662"/>
    <s v="CUST100195"/>
    <s v="Unisex"/>
    <s v="45-54"/>
    <x v="250"/>
    <x v="5"/>
    <x v="14"/>
    <x v="3"/>
    <n v="10"/>
    <s v="Red"/>
    <n v="1"/>
    <n v="7899"/>
    <n v="35"/>
    <n v="5130"/>
    <n v="5130"/>
    <s v="Cash on Delivery"/>
    <x v="2"/>
    <s v="India"/>
    <x v="31"/>
    <s v="Coimbatore"/>
    <s v="Value Shopper"/>
    <x v="0"/>
    <n v="3.2"/>
    <s v="Delivered"/>
    <s v="Express"/>
    <n v="2"/>
  </r>
  <r>
    <s v="ORD201315"/>
    <s v="CUST100331"/>
    <s v="Women"/>
    <s v="25-34"/>
    <x v="250"/>
    <x v="3"/>
    <x v="34"/>
    <x v="3"/>
    <n v="9"/>
    <s v="White"/>
    <n v="1"/>
    <n v="5599"/>
    <n v="30"/>
    <n v="3920"/>
    <n v="3920"/>
    <s v="UPI"/>
    <x v="1"/>
    <s v="India"/>
    <x v="10"/>
    <s v="Silvassa"/>
    <s v="Value Shopper"/>
    <x v="1"/>
    <n v="4.3"/>
    <s v="Delivered"/>
    <s v="Standard"/>
    <n v="4"/>
  </r>
  <r>
    <s v="ORD200086"/>
    <s v="CUST100185"/>
    <s v="Unisex"/>
    <s v="35-44"/>
    <x v="251"/>
    <x v="2"/>
    <x v="32"/>
    <x v="1"/>
    <n v="9"/>
    <s v="Blue"/>
    <n v="2"/>
    <n v="2999"/>
    <n v="10"/>
    <n v="2700"/>
    <n v="5400"/>
    <s v="UPI"/>
    <x v="2"/>
    <s v="India"/>
    <x v="22"/>
    <s v="Kailasahar"/>
    <s v="Value Shopper"/>
    <x v="0"/>
    <n v="3.4"/>
    <s v="Delivered"/>
    <s v="Standard"/>
    <n v="5"/>
  </r>
  <r>
    <s v="ORD200635"/>
    <s v="CUST100327"/>
    <s v="Unisex"/>
    <s v="45-54"/>
    <x v="252"/>
    <x v="3"/>
    <x v="34"/>
    <x v="3"/>
    <n v="8"/>
    <s v="Green"/>
    <n v="1"/>
    <n v="5099"/>
    <n v="0"/>
    <n v="5100"/>
    <n v="5100"/>
    <s v="UPI"/>
    <x v="1"/>
    <s v="India"/>
    <x v="24"/>
    <s v="Mysuru"/>
    <s v="Value Shopper"/>
    <x v="0"/>
    <n v="3.6"/>
    <s v="Returned"/>
    <s v="Express"/>
    <n v="3"/>
  </r>
  <r>
    <s v="ORD201105"/>
    <s v="CUST100214"/>
    <s v="Women"/>
    <s v="55+"/>
    <x v="253"/>
    <x v="4"/>
    <x v="9"/>
    <x v="1"/>
    <n v="12"/>
    <s v="Black"/>
    <n v="1"/>
    <n v="4599"/>
    <n v="15"/>
    <n v="3910"/>
    <n v="3910"/>
    <s v="Debit/Credit Card"/>
    <x v="2"/>
    <s v="India"/>
    <x v="35"/>
    <s v="Aizawl"/>
    <s v="Comfort Shopper"/>
    <x v="1"/>
    <n v="4.0999999999999996"/>
    <s v="Returned"/>
    <s v="Same Day"/>
    <n v="1"/>
  </r>
  <r>
    <s v="ORD201440"/>
    <s v="CUST100776"/>
    <s v="Men"/>
    <s v="25-34"/>
    <x v="253"/>
    <x v="5"/>
    <x v="21"/>
    <x v="2"/>
    <n v="9"/>
    <s v="Grey"/>
    <n v="1"/>
    <n v="8199"/>
    <n v="0"/>
    <n v="8200"/>
    <n v="8200"/>
    <s v="Debit/Credit Card"/>
    <x v="1"/>
    <s v="India"/>
    <x v="5"/>
    <s v="Churachandpur"/>
    <s v="Performance Seeker"/>
    <x v="0"/>
    <n v="3.2"/>
    <s v="Delivered"/>
    <s v="Standard"/>
    <n v="5"/>
  </r>
  <r>
    <s v="ORD202174"/>
    <s v="CUST100158"/>
    <s v="Women"/>
    <s v="35-44"/>
    <x v="254"/>
    <x v="5"/>
    <x v="21"/>
    <x v="2"/>
    <n v="10"/>
    <s v="Blue"/>
    <n v="1"/>
    <n v="8499"/>
    <n v="10"/>
    <n v="7650"/>
    <n v="7650"/>
    <s v="UPI"/>
    <x v="2"/>
    <s v="India"/>
    <x v="3"/>
    <s v="Jaipur"/>
    <s v="Performance Seeker"/>
    <x v="1"/>
    <n v="4.5999999999999996"/>
    <s v="Delivered"/>
    <s v="Standard"/>
    <n v="2"/>
  </r>
  <r>
    <s v="ORD200677"/>
    <s v="CUST100244"/>
    <s v="Women"/>
    <s v="18-24"/>
    <x v="255"/>
    <x v="3"/>
    <x v="28"/>
    <x v="1"/>
    <n v="11"/>
    <s v="Grey"/>
    <n v="2"/>
    <n v="4499"/>
    <n v="10"/>
    <n v="4050"/>
    <n v="8100"/>
    <s v="Cash on Delivery"/>
    <x v="1"/>
    <s v="India"/>
    <x v="7"/>
    <s v="Bhopal"/>
    <s v="Lifestyle Shopper"/>
    <x v="0"/>
    <n v="4.8"/>
    <s v="Delivered"/>
    <s v="Express"/>
    <n v="3"/>
  </r>
  <r>
    <s v="ORD200032"/>
    <s v="CUST100460"/>
    <s v="Men"/>
    <s v="35-44"/>
    <x v="256"/>
    <x v="4"/>
    <x v="26"/>
    <x v="3"/>
    <n v="10"/>
    <s v="Blue"/>
    <n v="1"/>
    <n v="4699"/>
    <n v="5"/>
    <n v="4460"/>
    <n v="4460"/>
    <s v="Cash on Delivery"/>
    <x v="2"/>
    <s v="India"/>
    <x v="7"/>
    <s v="Jabalpur"/>
    <s v="Performance Seeker"/>
    <x v="1"/>
    <n v="4.0999999999999996"/>
    <s v="Delivered"/>
    <s v="Standard"/>
    <n v="3"/>
  </r>
  <r>
    <s v="ORD200885"/>
    <s v="CUST100060"/>
    <s v="Women"/>
    <s v="35-44"/>
    <x v="256"/>
    <x v="1"/>
    <x v="20"/>
    <x v="2"/>
    <n v="8"/>
    <s v="Blue"/>
    <n v="1"/>
    <n v="7999"/>
    <n v="10"/>
    <n v="7200"/>
    <n v="7200"/>
    <s v="UPI"/>
    <x v="1"/>
    <s v="India"/>
    <x v="17"/>
    <s v="Karaikal"/>
    <s v="Performance Seeker"/>
    <x v="0"/>
    <n v="4.2"/>
    <s v="Delivered"/>
    <s v="Express"/>
    <n v="2"/>
  </r>
  <r>
    <s v="ORD202475"/>
    <s v="CUST100472"/>
    <s v="Unisex"/>
    <s v="35-44"/>
    <x v="256"/>
    <x v="2"/>
    <x v="25"/>
    <x v="3"/>
    <n v="6"/>
    <s v="White"/>
    <n v="1"/>
    <n v="6999"/>
    <n v="15"/>
    <n v="5950"/>
    <n v="5950"/>
    <s v="Debit/Credit Card"/>
    <x v="2"/>
    <s v="India"/>
    <x v="33"/>
    <s v="Pune"/>
    <s v="Performance Seeker"/>
    <x v="0"/>
    <n v="3.7"/>
    <s v="Delivered"/>
    <s v="Express"/>
    <n v="3"/>
  </r>
  <r>
    <s v="ORD202903"/>
    <s v="CUST100092"/>
    <s v="Men"/>
    <s v="45-54"/>
    <x v="257"/>
    <x v="2"/>
    <x v="23"/>
    <x v="0"/>
    <n v="9"/>
    <s v="Black"/>
    <n v="1"/>
    <n v="7299"/>
    <n v="20"/>
    <n v="5840"/>
    <n v="5840"/>
    <s v="Debit/Credit Card"/>
    <x v="1"/>
    <s v="India"/>
    <x v="14"/>
    <s v="Patiala"/>
    <s v="Comfort Shopper"/>
    <x v="0"/>
    <n v="4.7"/>
    <s v="Delivered"/>
    <s v="Standard"/>
    <n v="4"/>
  </r>
  <r>
    <s v="ORD202003"/>
    <s v="CUST100776"/>
    <s v="Unisex"/>
    <s v="25-34"/>
    <x v="258"/>
    <x v="5"/>
    <x v="21"/>
    <x v="2"/>
    <n v="8"/>
    <s v="Green"/>
    <n v="1"/>
    <n v="8899"/>
    <n v="20"/>
    <n v="7120"/>
    <n v="7120"/>
    <s v="UPI"/>
    <x v="0"/>
    <s v="India"/>
    <x v="34"/>
    <s v="Siliguri"/>
    <s v="Premium Shopper"/>
    <x v="1"/>
    <n v="4.4000000000000004"/>
    <s v="Delivered"/>
    <s v="Express"/>
    <n v="1"/>
  </r>
  <r>
    <s v="ORD201711"/>
    <s v="CUST100208"/>
    <s v="Women"/>
    <s v="18-24"/>
    <x v="259"/>
    <x v="1"/>
    <x v="1"/>
    <x v="1"/>
    <n v="7"/>
    <s v="Red"/>
    <n v="2"/>
    <n v="5699"/>
    <n v="20"/>
    <n v="4560"/>
    <n v="9120"/>
    <s v="UPI"/>
    <x v="1"/>
    <s v="India"/>
    <x v="27"/>
    <s v="Rourkela"/>
    <s v="Lifestyle Shopper"/>
    <x v="1"/>
    <n v="4.4000000000000004"/>
    <s v="Delivered"/>
    <s v="Standard"/>
    <n v="4"/>
  </r>
  <r>
    <s v="ORD202698"/>
    <s v="CUST101037"/>
    <s v="Women"/>
    <s v="35-44"/>
    <x v="259"/>
    <x v="5"/>
    <x v="21"/>
    <x v="2"/>
    <n v="9"/>
    <s v="Grey"/>
    <n v="1"/>
    <n v="8999"/>
    <n v="20"/>
    <n v="7200"/>
    <n v="7200"/>
    <s v="Cash on Delivery"/>
    <x v="1"/>
    <s v="India"/>
    <x v="10"/>
    <s v="Silvassa"/>
    <s v="Performance Seeker"/>
    <x v="0"/>
    <n v="3.2"/>
    <s v="Delivered"/>
    <s v="Standard"/>
    <n v="6"/>
  </r>
  <r>
    <s v="ORD200386"/>
    <s v="CUST100027"/>
    <s v="Women"/>
    <s v="45-54"/>
    <x v="260"/>
    <x v="1"/>
    <x v="18"/>
    <x v="2"/>
    <n v="6"/>
    <s v="Red"/>
    <n v="1"/>
    <n v="7299"/>
    <n v="20"/>
    <n v="5840"/>
    <n v="5840"/>
    <s v="Debit/Credit Card"/>
    <x v="1"/>
    <s v="India"/>
    <x v="7"/>
    <s v="Gwalior"/>
    <s v="Performance Seeker"/>
    <x v="1"/>
    <n v="4.4000000000000004"/>
    <s v="Cancelled"/>
    <s v="Standard"/>
    <n v="5"/>
  </r>
  <r>
    <s v="ORD202005"/>
    <s v="CUST100156"/>
    <s v="Men"/>
    <s v="35-44"/>
    <x v="260"/>
    <x v="3"/>
    <x v="35"/>
    <x v="2"/>
    <n v="10"/>
    <s v="Grey"/>
    <n v="1"/>
    <n v="4399"/>
    <n v="20"/>
    <n v="3520"/>
    <n v="3520"/>
    <s v="Cash on Delivery"/>
    <x v="1"/>
    <s v="India"/>
    <x v="15"/>
    <s v="Rohini"/>
    <s v="Premium Shopper"/>
    <x v="0"/>
    <n v="3.9"/>
    <s v="Cancelled"/>
    <s v="Standard"/>
    <n v="4"/>
  </r>
  <r>
    <s v="ORD202663"/>
    <s v="CUST100921"/>
    <s v="Men"/>
    <s v="35-44"/>
    <x v="260"/>
    <x v="0"/>
    <x v="19"/>
    <x v="4"/>
    <n v="8"/>
    <s v="White"/>
    <n v="1"/>
    <n v="5199"/>
    <n v="25"/>
    <n v="3900"/>
    <n v="3900"/>
    <s v="Net Banking"/>
    <x v="1"/>
    <s v="India"/>
    <x v="30"/>
    <s v="Burail"/>
    <s v="Lifestyle Shopper"/>
    <x v="0"/>
    <n v="3.1"/>
    <s v="Delivered"/>
    <s v="Express"/>
    <n v="3"/>
  </r>
  <r>
    <s v="ORD200157"/>
    <s v="CUST100202"/>
    <s v="Men"/>
    <s v="25-34"/>
    <x v="261"/>
    <x v="5"/>
    <x v="30"/>
    <x v="2"/>
    <n v="9"/>
    <s v="Black"/>
    <n v="1"/>
    <n v="6599"/>
    <n v="15"/>
    <n v="5610"/>
    <n v="5610"/>
    <s v="Cash on Delivery"/>
    <x v="0"/>
    <s v="India"/>
    <x v="26"/>
    <s v="Thrissur"/>
    <s v="Value Shopper"/>
    <x v="0"/>
    <n v="4.3"/>
    <s v="Delivered"/>
    <s v="Standard"/>
    <n v="5"/>
  </r>
  <r>
    <s v="ORD203143"/>
    <s v="CUST100130"/>
    <s v="Unisex"/>
    <s v="35-44"/>
    <x v="262"/>
    <x v="4"/>
    <x v="6"/>
    <x v="2"/>
    <n v="11"/>
    <s v="Black"/>
    <n v="1"/>
    <n v="6099"/>
    <n v="20"/>
    <n v="4880"/>
    <n v="4880"/>
    <s v="Debit/Credit Card"/>
    <x v="1"/>
    <s v="India"/>
    <x v="1"/>
    <s v="Mapusa"/>
    <s v="Premium Shopper"/>
    <x v="1"/>
    <n v="4.5"/>
    <s v="Delivered"/>
    <s v="Standard"/>
    <n v="3"/>
  </r>
  <r>
    <s v="ORD201632"/>
    <s v="CUST100218"/>
    <s v="Men"/>
    <s v="18-24"/>
    <x v="263"/>
    <x v="0"/>
    <x v="8"/>
    <x v="3"/>
    <n v="6"/>
    <s v="White"/>
    <n v="1"/>
    <n v="4299"/>
    <n v="5"/>
    <n v="4080"/>
    <n v="4080"/>
    <s v="UPI"/>
    <x v="1"/>
    <s v="India"/>
    <x v="32"/>
    <s v="Ranchi"/>
    <s v="Performance Seeker"/>
    <x v="0"/>
    <n v="3.4"/>
    <s v="Delivered"/>
    <s v="Express"/>
    <n v="3"/>
  </r>
  <r>
    <s v="ORD201143"/>
    <s v="CUST100392"/>
    <s v="Men"/>
    <s v="55+"/>
    <x v="264"/>
    <x v="2"/>
    <x v="24"/>
    <x v="4"/>
    <n v="7"/>
    <s v="Red"/>
    <n v="3"/>
    <n v="7899"/>
    <n v="35"/>
    <n v="5130"/>
    <n v="15390"/>
    <s v="UPI"/>
    <x v="1"/>
    <s v="India"/>
    <x v="34"/>
    <s v="Asansol"/>
    <s v="Premium Shopper"/>
    <x v="0"/>
    <n v="2.7"/>
    <s v="Returned"/>
    <s v="Standard"/>
    <n v="2"/>
  </r>
  <r>
    <s v="ORD201355"/>
    <s v="CUST100914"/>
    <s v="Women"/>
    <s v="45-54"/>
    <x v="264"/>
    <x v="2"/>
    <x v="25"/>
    <x v="3"/>
    <n v="10"/>
    <s v="Black"/>
    <n v="1"/>
    <n v="5999"/>
    <n v="5"/>
    <n v="5700"/>
    <n v="5700"/>
    <s v="Debit/Credit Card"/>
    <x v="1"/>
    <s v="India"/>
    <x v="16"/>
    <s v="Surat"/>
    <s v="Comfort Shopper"/>
    <x v="0"/>
    <n v="4"/>
    <s v="Delivered"/>
    <s v="Same Day"/>
    <n v="1"/>
  </r>
  <r>
    <s v="ORD200193"/>
    <s v="CUST100637"/>
    <s v="Unisex"/>
    <s v="18-24"/>
    <x v="265"/>
    <x v="4"/>
    <x v="9"/>
    <x v="1"/>
    <n v="9"/>
    <s v="Green"/>
    <n v="2"/>
    <n v="5499"/>
    <n v="10"/>
    <n v="4950"/>
    <n v="9900"/>
    <s v="Debit/Credit Card"/>
    <x v="1"/>
    <s v="India"/>
    <x v="29"/>
    <s v="Tirupati"/>
    <s v="Value Shopper"/>
    <x v="1"/>
    <n v="3"/>
    <s v="Delivered"/>
    <s v="Standard"/>
    <n v="4"/>
  </r>
  <r>
    <s v="ORD202583"/>
    <s v="CUST100424"/>
    <s v="Unisex"/>
    <s v="25-34"/>
    <x v="266"/>
    <x v="1"/>
    <x v="1"/>
    <x v="1"/>
    <n v="8"/>
    <s v="Black"/>
    <n v="1"/>
    <n v="7399"/>
    <n v="0"/>
    <n v="7400"/>
    <n v="7400"/>
    <s v="Net Banking"/>
    <x v="2"/>
    <s v="India"/>
    <x v="34"/>
    <s v="Kolkata"/>
    <s v="Premium Shopper"/>
    <x v="1"/>
    <n v="4.9000000000000004"/>
    <s v="Delivered"/>
    <s v="Express"/>
    <n v="2"/>
  </r>
  <r>
    <s v="ORD200255"/>
    <s v="CUST100991"/>
    <s v="Women"/>
    <s v="45-54"/>
    <x v="267"/>
    <x v="2"/>
    <x v="24"/>
    <x v="4"/>
    <n v="9"/>
    <s v="Red"/>
    <n v="1"/>
    <n v="4399"/>
    <n v="30"/>
    <n v="3080"/>
    <n v="3080"/>
    <s v="Cash on Delivery"/>
    <x v="1"/>
    <s v="India"/>
    <x v="25"/>
    <s v="Srinagar"/>
    <s v="Premium Shopper"/>
    <x v="0"/>
    <n v="4.0999999999999996"/>
    <s v="Delivered"/>
    <s v="Standard"/>
    <n v="3"/>
  </r>
  <r>
    <s v="ORD201843"/>
    <s v="CUST100203"/>
    <s v="Men"/>
    <s v="45-54"/>
    <x v="268"/>
    <x v="3"/>
    <x v="35"/>
    <x v="2"/>
    <n v="10"/>
    <s v="White"/>
    <n v="2"/>
    <n v="6099"/>
    <n v="10"/>
    <n v="5490"/>
    <n v="10980"/>
    <s v="UPI"/>
    <x v="1"/>
    <s v="India"/>
    <x v="28"/>
    <s v="Leh"/>
    <s v="Lifestyle Shopper"/>
    <x v="0"/>
    <n v="4.3"/>
    <s v="Delivered"/>
    <s v="Standard"/>
    <n v="2"/>
  </r>
  <r>
    <s v="ORD201620"/>
    <s v="CUST100339"/>
    <s v="Unisex"/>
    <s v="18-24"/>
    <x v="269"/>
    <x v="4"/>
    <x v="26"/>
    <x v="3"/>
    <n v="9"/>
    <s v="Blue"/>
    <n v="2"/>
    <n v="6999"/>
    <n v="15"/>
    <n v="5950"/>
    <n v="11900"/>
    <s v="UPI"/>
    <x v="0"/>
    <s v="India"/>
    <x v="35"/>
    <s v="Aizawl"/>
    <s v="Performance Seeker"/>
    <x v="0"/>
    <n v="4.4000000000000004"/>
    <s v="Delivered"/>
    <s v="Standard"/>
    <n v="4"/>
  </r>
  <r>
    <s v="ORD201999"/>
    <s v="CUST100054"/>
    <s v="Men"/>
    <s v="35-44"/>
    <x v="269"/>
    <x v="3"/>
    <x v="11"/>
    <x v="4"/>
    <n v="10"/>
    <s v="Blue"/>
    <n v="1"/>
    <n v="7999"/>
    <n v="15"/>
    <n v="6800"/>
    <n v="6800"/>
    <s v="Debit/Credit Card"/>
    <x v="2"/>
    <s v="India"/>
    <x v="6"/>
    <s v="Varanasi"/>
    <s v="Comfort Shopper"/>
    <x v="1"/>
    <n v="5"/>
    <s v="Cancelled"/>
    <s v="Express"/>
    <n v="2"/>
  </r>
  <r>
    <s v="ORD200517"/>
    <s v="CUST100468"/>
    <s v="Women"/>
    <s v="45-54"/>
    <x v="270"/>
    <x v="2"/>
    <x v="25"/>
    <x v="3"/>
    <n v="9"/>
    <s v="Green"/>
    <n v="1"/>
    <n v="5799"/>
    <n v="30"/>
    <n v="4060"/>
    <n v="4060"/>
    <s v="Cash on Delivery"/>
    <x v="0"/>
    <s v="India"/>
    <x v="13"/>
    <s v="Naharlagun"/>
    <s v="Value Shopper"/>
    <x v="1"/>
    <n v="4.3"/>
    <s v="Delivered"/>
    <s v="Express"/>
    <n v="1"/>
  </r>
  <r>
    <s v="ORD200349"/>
    <s v="CUST100141"/>
    <s v="Women"/>
    <s v="35-44"/>
    <x v="271"/>
    <x v="0"/>
    <x v="0"/>
    <x v="0"/>
    <n v="10"/>
    <s v="Green"/>
    <n v="1"/>
    <n v="4499"/>
    <n v="0"/>
    <n v="4500"/>
    <n v="4500"/>
    <s v="Net Banking"/>
    <x v="0"/>
    <s v="India"/>
    <x v="7"/>
    <s v="Bhopal"/>
    <s v="Comfort Shopper"/>
    <x v="1"/>
    <n v="4.8"/>
    <s v="Returned"/>
    <s v="Standard"/>
    <n v="5"/>
  </r>
  <r>
    <s v="ORD200130"/>
    <s v="CUST100387"/>
    <s v="Women"/>
    <s v="25-34"/>
    <x v="272"/>
    <x v="3"/>
    <x v="5"/>
    <x v="2"/>
    <n v="7"/>
    <s v="Grey"/>
    <n v="1"/>
    <n v="6499"/>
    <n v="5"/>
    <n v="6170"/>
    <n v="6170"/>
    <s v="Cash on Delivery"/>
    <x v="1"/>
    <s v="India"/>
    <x v="31"/>
    <s v="Coimbatore"/>
    <s v="Lifestyle Shopper"/>
    <x v="0"/>
    <n v="4.8"/>
    <s v="Returned"/>
    <s v="Standard"/>
    <n v="5"/>
  </r>
  <r>
    <s v="ORD200136"/>
    <s v="CUST100327"/>
    <s v="Men"/>
    <s v="18-24"/>
    <x v="273"/>
    <x v="3"/>
    <x v="34"/>
    <x v="3"/>
    <n v="11"/>
    <s v="Grey"/>
    <n v="1"/>
    <n v="7799"/>
    <n v="20"/>
    <n v="6240"/>
    <n v="6240"/>
    <s v="Debit/Credit Card"/>
    <x v="1"/>
    <s v="India"/>
    <x v="20"/>
    <s v="Shimla"/>
    <s v="Value Shopper"/>
    <x v="1"/>
    <n v="3.9"/>
    <s v="Delivered"/>
    <s v="Same Day"/>
    <n v="1"/>
  </r>
  <r>
    <s v="ORD201265"/>
    <s v="CUST100022"/>
    <s v="Men"/>
    <s v="35-44"/>
    <x v="273"/>
    <x v="2"/>
    <x v="23"/>
    <x v="0"/>
    <n v="8"/>
    <s v="Grey"/>
    <n v="1"/>
    <n v="4799"/>
    <n v="15"/>
    <n v="4080"/>
    <n v="4080"/>
    <s v="UPI"/>
    <x v="1"/>
    <s v="India"/>
    <x v="12"/>
    <s v="Diglipur"/>
    <s v="Value Shopper"/>
    <x v="1"/>
    <n v="3.1"/>
    <s v="Cancelled"/>
    <s v="Standard"/>
    <n v="4"/>
  </r>
  <r>
    <s v="ORD201725"/>
    <s v="CUST100645"/>
    <s v="Men"/>
    <s v="45-54"/>
    <x v="273"/>
    <x v="3"/>
    <x v="35"/>
    <x v="2"/>
    <n v="11"/>
    <s v="Blue"/>
    <n v="2"/>
    <n v="5199"/>
    <n v="10"/>
    <n v="4680"/>
    <n v="9360"/>
    <s v="Net Banking"/>
    <x v="2"/>
    <s v="India"/>
    <x v="2"/>
    <s v="Gurugram"/>
    <s v="Comfort Shopper"/>
    <x v="0"/>
    <n v="4.2"/>
    <s v="Returned"/>
    <s v="Express"/>
    <n v="1"/>
  </r>
  <r>
    <s v="ORD202287"/>
    <s v="CUST100144"/>
    <s v="Men"/>
    <s v="35-44"/>
    <x v="273"/>
    <x v="1"/>
    <x v="12"/>
    <x v="4"/>
    <n v="10"/>
    <s v="Black"/>
    <n v="1"/>
    <n v="5299"/>
    <n v="10"/>
    <n v="4770"/>
    <n v="4770"/>
    <s v="Cash on Delivery"/>
    <x v="1"/>
    <s v="India"/>
    <x v="14"/>
    <s v="Ludhiana"/>
    <s v="Value Shopper"/>
    <x v="1"/>
    <n v="3.7"/>
    <s v="Delivered"/>
    <s v="Standard"/>
    <n v="2"/>
  </r>
  <r>
    <s v="ORD202382"/>
    <s v="CUST100513"/>
    <s v="Men"/>
    <s v="35-44"/>
    <x v="274"/>
    <x v="2"/>
    <x v="32"/>
    <x v="1"/>
    <n v="7"/>
    <s v="Black"/>
    <n v="1"/>
    <n v="4699"/>
    <n v="15"/>
    <n v="3990"/>
    <n v="3990"/>
    <s v="Debit/Credit Card"/>
    <x v="2"/>
    <s v="India"/>
    <x v="7"/>
    <s v="Gwalior"/>
    <s v="Performance Seeker"/>
    <x v="0"/>
    <n v="5"/>
    <s v="Delivered"/>
    <s v="Express"/>
    <n v="1"/>
  </r>
  <r>
    <s v="ORD200574"/>
    <s v="CUST100713"/>
    <s v="Men"/>
    <s v="25-34"/>
    <x v="275"/>
    <x v="2"/>
    <x v="3"/>
    <x v="2"/>
    <n v="8"/>
    <s v="Black"/>
    <n v="1"/>
    <n v="8699"/>
    <n v="0"/>
    <n v="8700"/>
    <n v="8700"/>
    <s v="UPI"/>
    <x v="1"/>
    <s v="India"/>
    <x v="23"/>
    <s v="Rishikesh"/>
    <s v="Premium Shopper"/>
    <x v="0"/>
    <n v="3.8"/>
    <s v="Delivered"/>
    <s v="Standard"/>
    <n v="4"/>
  </r>
  <r>
    <s v="ORD202351"/>
    <s v="CUST100605"/>
    <s v="Men"/>
    <s v="18-24"/>
    <x v="275"/>
    <x v="2"/>
    <x v="4"/>
    <x v="2"/>
    <n v="10"/>
    <s v="Blue"/>
    <n v="1"/>
    <n v="8199"/>
    <n v="15"/>
    <n v="6970"/>
    <n v="6970"/>
    <s v="Net Banking"/>
    <x v="1"/>
    <s v="India"/>
    <x v="1"/>
    <s v="Mapusa"/>
    <s v="Comfort Shopper"/>
    <x v="0"/>
    <n v="4.0999999999999996"/>
    <s v="Delivered"/>
    <s v="Express"/>
    <n v="2"/>
  </r>
  <r>
    <s v="ORD200750"/>
    <s v="CUST100291"/>
    <s v="Women"/>
    <s v="25-34"/>
    <x v="276"/>
    <x v="4"/>
    <x v="9"/>
    <x v="1"/>
    <n v="8"/>
    <s v="Green"/>
    <n v="1"/>
    <n v="6799"/>
    <n v="10"/>
    <n v="6120"/>
    <n v="6120"/>
    <s v="Cash on Delivery"/>
    <x v="2"/>
    <s v="India"/>
    <x v="25"/>
    <s v="Baramulla"/>
    <s v="Value Shopper"/>
    <x v="0"/>
    <n v="4.2"/>
    <s v="Delivered"/>
    <s v="Express"/>
    <n v="1"/>
  </r>
  <r>
    <s v="ORD202849"/>
    <s v="CUST100115"/>
    <s v="Men"/>
    <s v="25-34"/>
    <x v="276"/>
    <x v="3"/>
    <x v="35"/>
    <x v="2"/>
    <n v="7"/>
    <s v="Black"/>
    <n v="2"/>
    <n v="4599"/>
    <n v="30"/>
    <n v="3220"/>
    <n v="6440"/>
    <s v="Debit/Credit Card"/>
    <x v="1"/>
    <s v="India"/>
    <x v="30"/>
    <s v="Daria"/>
    <s v="Lifestyle Shopper"/>
    <x v="0"/>
    <n v="3.2"/>
    <s v="Delivered"/>
    <s v="Express"/>
    <n v="3"/>
  </r>
  <r>
    <s v="ORD202759"/>
    <s v="CUST100077"/>
    <s v="Unisex"/>
    <s v="25-34"/>
    <x v="277"/>
    <x v="0"/>
    <x v="13"/>
    <x v="2"/>
    <n v="11"/>
    <s v="Green"/>
    <n v="1"/>
    <n v="9599"/>
    <n v="20"/>
    <n v="7680"/>
    <n v="7680"/>
    <s v="Debit/Credit Card"/>
    <x v="1"/>
    <s v="India"/>
    <x v="0"/>
    <s v="Guwahati"/>
    <s v="Performance Seeker"/>
    <x v="1"/>
    <n v="4.0999999999999996"/>
    <s v="Delivered"/>
    <s v="Same Day"/>
    <n v="1"/>
  </r>
  <r>
    <s v="ORD200107"/>
    <s v="CUST100876"/>
    <s v="Women"/>
    <s v="35-44"/>
    <x v="278"/>
    <x v="2"/>
    <x v="4"/>
    <x v="2"/>
    <n v="11"/>
    <s v="White"/>
    <n v="2"/>
    <n v="8699"/>
    <n v="20"/>
    <n v="6960"/>
    <n v="13920"/>
    <s v="Net Banking"/>
    <x v="0"/>
    <s v="India"/>
    <x v="14"/>
    <s v="Jalandhar"/>
    <s v="Value Shopper"/>
    <x v="1"/>
    <n v="3.1"/>
    <s v="Delivered"/>
    <s v="Standard"/>
    <n v="6"/>
  </r>
  <r>
    <s v="ORD202443"/>
    <s v="CUST100220"/>
    <s v="Unisex"/>
    <s v="25-34"/>
    <x v="278"/>
    <x v="2"/>
    <x v="3"/>
    <x v="2"/>
    <n v="11"/>
    <s v="Grey"/>
    <n v="2"/>
    <n v="5499"/>
    <n v="15"/>
    <n v="4670"/>
    <n v="9340"/>
    <s v="UPI"/>
    <x v="2"/>
    <s v="India"/>
    <x v="13"/>
    <s v="Pasighat"/>
    <s v="Value Shopper"/>
    <x v="1"/>
    <n v="4.4000000000000004"/>
    <s v="Returned"/>
    <s v="Same Day"/>
    <n v="2"/>
  </r>
  <r>
    <s v="ORD200456"/>
    <s v="CUST100472"/>
    <s v="Men"/>
    <s v="18-24"/>
    <x v="279"/>
    <x v="5"/>
    <x v="30"/>
    <x v="2"/>
    <n v="9"/>
    <s v="Grey"/>
    <n v="2"/>
    <n v="9699"/>
    <n v="5"/>
    <n v="9210"/>
    <n v="18420"/>
    <s v="UPI"/>
    <x v="0"/>
    <s v="India"/>
    <x v="5"/>
    <s v="Thoubal"/>
    <s v="Performance Seeker"/>
    <x v="1"/>
    <n v="3.1"/>
    <s v="Delivered"/>
    <s v="Standard"/>
    <n v="5"/>
  </r>
  <r>
    <s v="ORD202802"/>
    <s v="CUST100022"/>
    <s v="Women"/>
    <s v="25-34"/>
    <x v="279"/>
    <x v="3"/>
    <x v="35"/>
    <x v="2"/>
    <n v="8"/>
    <s v="Black"/>
    <n v="1"/>
    <n v="6199"/>
    <n v="20"/>
    <n v="4960"/>
    <n v="4960"/>
    <s v="Debit/Credit Card"/>
    <x v="2"/>
    <s v="India"/>
    <x v="34"/>
    <s v="Siliguri"/>
    <s v="Lifestyle Shopper"/>
    <x v="1"/>
    <n v="3.8"/>
    <s v="Delivered"/>
    <s v="Standard"/>
    <n v="6"/>
  </r>
  <r>
    <s v="ORD202540"/>
    <s v="CUST100702"/>
    <s v="Women"/>
    <s v="35-44"/>
    <x v="280"/>
    <x v="4"/>
    <x v="6"/>
    <x v="2"/>
    <n v="11"/>
    <s v="Grey"/>
    <n v="2"/>
    <n v="6499"/>
    <n v="15"/>
    <n v="5520"/>
    <n v="11040"/>
    <s v="UPI"/>
    <x v="2"/>
    <s v="India"/>
    <x v="12"/>
    <s v="Diglipur"/>
    <s v="Premium Shopper"/>
    <x v="0"/>
    <n v="5"/>
    <s v="Delivered"/>
    <s v="Express"/>
    <n v="1"/>
  </r>
  <r>
    <s v="ORD200282"/>
    <s v="CUST100913"/>
    <s v="Men"/>
    <s v="35-44"/>
    <x v="281"/>
    <x v="5"/>
    <x v="15"/>
    <x v="4"/>
    <n v="6"/>
    <s v="Green"/>
    <n v="1"/>
    <n v="6099"/>
    <n v="5"/>
    <n v="5790"/>
    <n v="5790"/>
    <s v="Debit/Credit Card"/>
    <x v="1"/>
    <s v="India"/>
    <x v="12"/>
    <s v="Rangat"/>
    <s v="Value Shopper"/>
    <x v="0"/>
    <n v="4.4000000000000004"/>
    <s v="Delivered"/>
    <s v="Standard"/>
    <n v="4"/>
  </r>
  <r>
    <s v="ORD201920"/>
    <s v="CUST100130"/>
    <s v="Unisex"/>
    <s v="25-34"/>
    <x v="282"/>
    <x v="4"/>
    <x v="26"/>
    <x v="3"/>
    <n v="7"/>
    <s v="Black"/>
    <n v="1"/>
    <n v="7199"/>
    <n v="30"/>
    <n v="5040"/>
    <n v="5040"/>
    <s v="UPI"/>
    <x v="0"/>
    <s v="India"/>
    <x v="4"/>
    <s v="Gyalshing"/>
    <s v="Lifestyle Shopper"/>
    <x v="2"/>
    <n v="3.2"/>
    <s v="Delivered"/>
    <s v="Standard"/>
    <n v="6"/>
  </r>
  <r>
    <s v="ORD200903"/>
    <s v="CUST100947"/>
    <s v="Men"/>
    <s v="25-34"/>
    <x v="283"/>
    <x v="4"/>
    <x v="9"/>
    <x v="1"/>
    <n v="9"/>
    <s v="Green"/>
    <n v="1"/>
    <n v="4299"/>
    <n v="25"/>
    <n v="3220"/>
    <n v="3220"/>
    <s v="Cash on Delivery"/>
    <x v="0"/>
    <s v="India"/>
    <x v="16"/>
    <s v="Rajkot"/>
    <s v="Premium Shopper"/>
    <x v="0"/>
    <n v="5"/>
    <s v="Delivered"/>
    <s v="Express"/>
    <n v="3"/>
  </r>
  <r>
    <s v="ORD201264"/>
    <s v="CUST100118"/>
    <s v="Unisex"/>
    <s v="25-34"/>
    <x v="283"/>
    <x v="3"/>
    <x v="35"/>
    <x v="2"/>
    <n v="9"/>
    <s v="Red"/>
    <n v="1"/>
    <n v="4099"/>
    <n v="25"/>
    <n v="3070"/>
    <n v="3070"/>
    <s v="Debit/Credit Card"/>
    <x v="0"/>
    <s v="India"/>
    <x v="16"/>
    <s v="Vadodara"/>
    <s v="Comfort Shopper"/>
    <x v="0"/>
    <n v="4.9000000000000004"/>
    <s v="Returned"/>
    <s v="Standard"/>
    <n v="4"/>
  </r>
  <r>
    <s v="ORD202135"/>
    <s v="CUST100023"/>
    <s v="Women"/>
    <s v="45-54"/>
    <x v="284"/>
    <x v="0"/>
    <x v="13"/>
    <x v="2"/>
    <n v="11"/>
    <s v="Blue"/>
    <n v="1"/>
    <n v="4999"/>
    <n v="5"/>
    <n v="4750"/>
    <n v="4750"/>
    <s v="UPI"/>
    <x v="1"/>
    <s v="India"/>
    <x v="27"/>
    <s v="Rourkela"/>
    <s v="Premium Shopper"/>
    <x v="1"/>
    <n v="3.6"/>
    <s v="Delivered"/>
    <s v="Standard"/>
    <n v="4"/>
  </r>
  <r>
    <s v="ORD203061"/>
    <s v="CUST100713"/>
    <s v="Unisex"/>
    <s v="25-34"/>
    <x v="285"/>
    <x v="1"/>
    <x v="33"/>
    <x v="0"/>
    <n v="12"/>
    <s v="White"/>
    <n v="1"/>
    <n v="5999"/>
    <n v="10"/>
    <n v="5400"/>
    <n v="5400"/>
    <s v="Debit/Credit Card"/>
    <x v="1"/>
    <s v="India"/>
    <x v="18"/>
    <s v="Bhilai"/>
    <s v="Performance Seeker"/>
    <x v="1"/>
    <n v="3.9"/>
    <s v="Delivered"/>
    <s v="Express"/>
    <n v="1"/>
  </r>
  <r>
    <s v="ORD200605"/>
    <s v="CUST100589"/>
    <s v="Men"/>
    <s v="25-34"/>
    <x v="286"/>
    <x v="4"/>
    <x v="22"/>
    <x v="0"/>
    <n v="10"/>
    <s v="White"/>
    <n v="1"/>
    <n v="9199"/>
    <n v="10"/>
    <n v="8280"/>
    <n v="8280"/>
    <s v="Debit/Credit Card"/>
    <x v="1"/>
    <s v="India"/>
    <x v="27"/>
    <s v="Rourkela"/>
    <s v="Premium Shopper"/>
    <x v="0"/>
    <n v="4.0999999999999996"/>
    <s v="Returned"/>
    <s v="Standard"/>
    <n v="3"/>
  </r>
  <r>
    <s v="ORD201641"/>
    <s v="CUST100085"/>
    <s v="Men"/>
    <s v="45-54"/>
    <x v="286"/>
    <x v="3"/>
    <x v="11"/>
    <x v="4"/>
    <n v="9"/>
    <s v="Blue"/>
    <n v="1"/>
    <n v="4799"/>
    <n v="10"/>
    <n v="4320"/>
    <n v="4320"/>
    <s v="UPI"/>
    <x v="1"/>
    <s v="India"/>
    <x v="10"/>
    <s v="Silvassa"/>
    <s v="Performance Seeker"/>
    <x v="1"/>
    <n v="4.5999999999999996"/>
    <s v="Returned"/>
    <s v="Standard"/>
    <n v="2"/>
  </r>
  <r>
    <s v="ORD202290"/>
    <s v="CUST100522"/>
    <s v="Women"/>
    <s v="18-24"/>
    <x v="286"/>
    <x v="1"/>
    <x v="1"/>
    <x v="1"/>
    <n v="8"/>
    <s v="Black"/>
    <n v="1"/>
    <n v="5599"/>
    <n v="10"/>
    <n v="5040"/>
    <n v="5040"/>
    <s v="UPI"/>
    <x v="0"/>
    <s v="India"/>
    <x v="13"/>
    <s v="Pasighat"/>
    <s v="Performance Seeker"/>
    <x v="0"/>
    <n v="4"/>
    <s v="Delivered"/>
    <s v="Standard"/>
    <n v="3"/>
  </r>
  <r>
    <s v="ORD200515"/>
    <s v="CUST100495"/>
    <s v="Men"/>
    <s v="25-34"/>
    <x v="287"/>
    <x v="2"/>
    <x v="32"/>
    <x v="1"/>
    <n v="9"/>
    <s v="White"/>
    <n v="2"/>
    <n v="4699"/>
    <n v="15"/>
    <n v="3990"/>
    <n v="7980"/>
    <s v="Net Banking"/>
    <x v="2"/>
    <s v="India"/>
    <x v="34"/>
    <s v="Durgapur"/>
    <s v="Performance Seeker"/>
    <x v="0"/>
    <n v="4.8"/>
    <s v="Delivered"/>
    <s v="Standard"/>
    <n v="5"/>
  </r>
  <r>
    <s v="ORD202437"/>
    <s v="CUST100109"/>
    <s v="Men"/>
    <s v="25-34"/>
    <x v="288"/>
    <x v="0"/>
    <x v="8"/>
    <x v="3"/>
    <n v="9"/>
    <s v="White"/>
    <n v="1"/>
    <n v="6399"/>
    <n v="20"/>
    <n v="5120"/>
    <n v="5120"/>
    <s v="Net Banking"/>
    <x v="2"/>
    <s v="India"/>
    <x v="7"/>
    <s v="Gwalior"/>
    <s v="Performance Seeker"/>
    <x v="1"/>
    <n v="4.0999999999999996"/>
    <s v="Delivered"/>
    <s v="Express"/>
    <n v="1"/>
  </r>
  <r>
    <s v="ORD200651"/>
    <s v="CUST100791"/>
    <s v="Men"/>
    <s v="25-34"/>
    <x v="289"/>
    <x v="2"/>
    <x v="25"/>
    <x v="3"/>
    <n v="10"/>
    <s v="White"/>
    <n v="2"/>
    <n v="6499"/>
    <n v="15"/>
    <n v="5520"/>
    <n v="11040"/>
    <s v="UPI"/>
    <x v="2"/>
    <s v="India"/>
    <x v="34"/>
    <s v="Siliguri"/>
    <s v="Comfort Shopper"/>
    <x v="0"/>
    <n v="4.0999999999999996"/>
    <s v="Delivered"/>
    <s v="Express"/>
    <n v="3"/>
  </r>
  <r>
    <s v="ORD202572"/>
    <s v="CUST100537"/>
    <s v="Unisex"/>
    <s v="35-44"/>
    <x v="290"/>
    <x v="4"/>
    <x v="29"/>
    <x v="2"/>
    <n v="9"/>
    <s v="Blue"/>
    <n v="1"/>
    <n v="8099"/>
    <n v="15"/>
    <n v="6880"/>
    <n v="6880"/>
    <s v="Cash on Delivery"/>
    <x v="1"/>
    <s v="India"/>
    <x v="12"/>
    <s v="Port Blair"/>
    <s v="Lifestyle Shopper"/>
    <x v="0"/>
    <n v="3.6"/>
    <s v="Delivered"/>
    <s v="Standard"/>
    <n v="1"/>
  </r>
  <r>
    <s v="ORD200676"/>
    <s v="CUST100249"/>
    <s v="Women"/>
    <s v="25-34"/>
    <x v="291"/>
    <x v="2"/>
    <x v="25"/>
    <x v="3"/>
    <n v="9"/>
    <s v="Black"/>
    <n v="1"/>
    <n v="4099"/>
    <n v="10"/>
    <n v="3690"/>
    <n v="3690"/>
    <s v="UPI"/>
    <x v="2"/>
    <s v="India"/>
    <x v="30"/>
    <s v="Chandigarh"/>
    <s v="Performance Seeker"/>
    <x v="1"/>
    <n v="4.0999999999999996"/>
    <s v="Delivered"/>
    <s v="Standard"/>
    <n v="2"/>
  </r>
  <r>
    <s v="ORD200747"/>
    <s v="CUST100006"/>
    <s v="Men"/>
    <s v="55+"/>
    <x v="291"/>
    <x v="4"/>
    <x v="29"/>
    <x v="2"/>
    <n v="10"/>
    <s v="Black"/>
    <n v="1"/>
    <n v="8799"/>
    <n v="30"/>
    <n v="6160"/>
    <n v="6160"/>
    <s v="Cash on Delivery"/>
    <x v="2"/>
    <s v="India"/>
    <x v="6"/>
    <s v="Noida"/>
    <s v="Value Shopper"/>
    <x v="1"/>
    <n v="4.5999999999999996"/>
    <s v="Returned"/>
    <s v="Standard"/>
    <n v="6"/>
  </r>
  <r>
    <s v="ORD202161"/>
    <s v="CUST100505"/>
    <s v="Men"/>
    <s v="25-34"/>
    <x v="291"/>
    <x v="3"/>
    <x v="16"/>
    <x v="0"/>
    <n v="9"/>
    <s v="Green"/>
    <n v="1"/>
    <n v="6499"/>
    <n v="15"/>
    <n v="5520"/>
    <n v="5520"/>
    <s v="Cash on Delivery"/>
    <x v="1"/>
    <s v="India"/>
    <x v="8"/>
    <s v="Warangal"/>
    <s v="Premium Shopper"/>
    <x v="1"/>
    <n v="4.0999999999999996"/>
    <s v="Delivered"/>
    <s v="Standard"/>
    <n v="5"/>
  </r>
  <r>
    <s v="ORD200809"/>
    <s v="CUST100230"/>
    <s v="Men"/>
    <s v="25-34"/>
    <x v="292"/>
    <x v="5"/>
    <x v="14"/>
    <x v="3"/>
    <n v="10"/>
    <s v="Black"/>
    <n v="1"/>
    <n v="6899"/>
    <n v="10"/>
    <n v="6210"/>
    <n v="6210"/>
    <s v="Cash on Delivery"/>
    <x v="1"/>
    <s v="India"/>
    <x v="23"/>
    <s v="Haridwar"/>
    <s v="Lifestyle Shopper"/>
    <x v="0"/>
    <n v="4.3"/>
    <s v="Delivered"/>
    <s v="Standard"/>
    <n v="3"/>
  </r>
  <r>
    <s v="ORD200451"/>
    <s v="CUST100900"/>
    <s v="Women"/>
    <s v="25-34"/>
    <x v="293"/>
    <x v="0"/>
    <x v="8"/>
    <x v="3"/>
    <n v="6"/>
    <s v="Grey"/>
    <n v="1"/>
    <n v="3699"/>
    <n v="15"/>
    <n v="3140"/>
    <n v="3140"/>
    <s v="Debit/Credit Card"/>
    <x v="1"/>
    <s v="India"/>
    <x v="33"/>
    <s v="Pune"/>
    <s v="Value Shopper"/>
    <x v="0"/>
    <n v="2.8"/>
    <s v="Delivered"/>
    <s v="Same Day"/>
    <n v="1"/>
  </r>
  <r>
    <s v="ORD200778"/>
    <s v="CUST100713"/>
    <s v="Men"/>
    <s v="35-44"/>
    <x v="293"/>
    <x v="0"/>
    <x v="19"/>
    <x v="4"/>
    <n v="10"/>
    <s v="Green"/>
    <n v="2"/>
    <n v="7399"/>
    <n v="0"/>
    <n v="7400"/>
    <n v="14800"/>
    <s v="UPI"/>
    <x v="1"/>
    <s v="India"/>
    <x v="7"/>
    <s v="Indore"/>
    <s v="Value Shopper"/>
    <x v="1"/>
    <n v="3.4"/>
    <s v="Cancelled"/>
    <s v="Standard"/>
    <n v="5"/>
  </r>
  <r>
    <s v="ORD202094"/>
    <s v="CUST100420"/>
    <s v="Men"/>
    <s v="25-34"/>
    <x v="293"/>
    <x v="3"/>
    <x v="11"/>
    <x v="4"/>
    <n v="11"/>
    <s v="Blue"/>
    <n v="1"/>
    <n v="7499"/>
    <n v="25"/>
    <n v="5620"/>
    <n v="5620"/>
    <s v="Debit/Credit Card"/>
    <x v="1"/>
    <s v="India"/>
    <x v="24"/>
    <s v="Bengaluru"/>
    <s v="Performance Seeker"/>
    <x v="0"/>
    <n v="3.7"/>
    <s v="Delivered"/>
    <s v="Express"/>
    <n v="2"/>
  </r>
  <r>
    <s v="ORD202712"/>
    <s v="CUST100465"/>
    <s v="Women"/>
    <s v="25-34"/>
    <x v="294"/>
    <x v="5"/>
    <x v="14"/>
    <x v="3"/>
    <n v="9"/>
    <s v="White"/>
    <n v="1"/>
    <n v="9799"/>
    <n v="10"/>
    <n v="8820"/>
    <n v="8820"/>
    <s v="Cash on Delivery"/>
    <x v="0"/>
    <s v="India"/>
    <x v="3"/>
    <s v="Jaipur"/>
    <s v="Performance Seeker"/>
    <x v="0"/>
    <n v="4.5"/>
    <s v="Delivered"/>
    <s v="Standard"/>
    <n v="2"/>
  </r>
  <r>
    <s v="ORD202803"/>
    <s v="CUST100777"/>
    <s v="Men"/>
    <s v="25-34"/>
    <x v="294"/>
    <x v="5"/>
    <x v="27"/>
    <x v="0"/>
    <n v="8"/>
    <s v="Red"/>
    <n v="1"/>
    <n v="8399"/>
    <n v="35"/>
    <n v="5460"/>
    <n v="5460"/>
    <s v="Cash on Delivery"/>
    <x v="0"/>
    <s v="India"/>
    <x v="15"/>
    <s v="Delhi"/>
    <s v="Performance Seeker"/>
    <x v="0"/>
    <n v="3.9"/>
    <s v="Delivered"/>
    <s v="Standard"/>
    <n v="1"/>
  </r>
  <r>
    <s v="ORD200369"/>
    <s v="CUST100740"/>
    <s v="Unisex"/>
    <s v="18-24"/>
    <x v="295"/>
    <x v="2"/>
    <x v="23"/>
    <x v="0"/>
    <n v="11"/>
    <s v="Black"/>
    <n v="1"/>
    <n v="3699"/>
    <n v="15"/>
    <n v="3140"/>
    <n v="3140"/>
    <s v="UPI"/>
    <x v="1"/>
    <s v="India"/>
    <x v="26"/>
    <s v="Kochi"/>
    <s v="Lifestyle Shopper"/>
    <x v="1"/>
    <n v="3.4"/>
    <s v="Delivered"/>
    <s v="Express"/>
    <n v="2"/>
  </r>
  <r>
    <s v="ORD202448"/>
    <s v="CUST100465"/>
    <s v="Men"/>
    <s v="18-24"/>
    <x v="296"/>
    <x v="2"/>
    <x v="3"/>
    <x v="2"/>
    <n v="10"/>
    <s v="Black"/>
    <n v="2"/>
    <n v="3899"/>
    <n v="20"/>
    <n v="3120"/>
    <n v="6240"/>
    <s v="Debit/Credit Card"/>
    <x v="1"/>
    <s v="India"/>
    <x v="31"/>
    <s v="Madurai"/>
    <s v="Performance Seeker"/>
    <x v="1"/>
    <n v="4.4000000000000004"/>
    <s v="Delivered"/>
    <s v="Standard"/>
    <n v="5"/>
  </r>
  <r>
    <s v="ORD203071"/>
    <s v="CUST100080"/>
    <s v="Women"/>
    <s v="45-54"/>
    <x v="297"/>
    <x v="1"/>
    <x v="18"/>
    <x v="2"/>
    <n v="7"/>
    <s v="Blue"/>
    <n v="2"/>
    <n v="4199"/>
    <n v="15"/>
    <n v="3570"/>
    <n v="7140"/>
    <s v="Cash on Delivery"/>
    <x v="2"/>
    <s v="India"/>
    <x v="20"/>
    <s v="Mandi"/>
    <s v="Performance Seeker"/>
    <x v="0"/>
    <n v="5"/>
    <s v="Delivered"/>
    <s v="Standard"/>
    <n v="7"/>
  </r>
  <r>
    <s v="ORD201611"/>
    <s v="CUST100427"/>
    <s v="Men"/>
    <s v="25-34"/>
    <x v="298"/>
    <x v="0"/>
    <x v="19"/>
    <x v="4"/>
    <n v="10"/>
    <s v="Black"/>
    <n v="2"/>
    <n v="6599"/>
    <n v="15"/>
    <n v="5610"/>
    <n v="11220"/>
    <s v="Debit/Credit Card"/>
    <x v="0"/>
    <s v="India"/>
    <x v="24"/>
    <s v="Mysuru"/>
    <s v="Lifestyle Shopper"/>
    <x v="0"/>
    <n v="3.9"/>
    <s v="Delivered"/>
    <s v="Standard"/>
    <n v="2"/>
  </r>
  <r>
    <s v="ORD200376"/>
    <s v="CUST101037"/>
    <s v="Women"/>
    <s v="35-44"/>
    <x v="299"/>
    <x v="3"/>
    <x v="35"/>
    <x v="2"/>
    <n v="8"/>
    <s v="Black"/>
    <n v="2"/>
    <n v="6499"/>
    <n v="15"/>
    <n v="5520"/>
    <n v="11040"/>
    <s v="Net Banking"/>
    <x v="1"/>
    <s v="India"/>
    <x v="19"/>
    <s v="Tura"/>
    <s v="Value Shopper"/>
    <x v="1"/>
    <n v="4.0999999999999996"/>
    <s v="Returned"/>
    <s v="Same Day"/>
    <n v="2"/>
  </r>
  <r>
    <s v="ORD201959"/>
    <s v="CUST100208"/>
    <s v="Men"/>
    <s v="35-44"/>
    <x v="299"/>
    <x v="0"/>
    <x v="0"/>
    <x v="0"/>
    <n v="9"/>
    <s v="Grey"/>
    <n v="2"/>
    <n v="9299"/>
    <n v="15"/>
    <n v="7900"/>
    <n v="15800"/>
    <s v="Debit/Credit Card"/>
    <x v="1"/>
    <s v="India"/>
    <x v="8"/>
    <s v="Nizamabad"/>
    <s v="Comfort Shopper"/>
    <x v="1"/>
    <n v="4"/>
    <s v="Delivered"/>
    <s v="Standard"/>
    <n v="4"/>
  </r>
  <r>
    <s v="ORD202864"/>
    <s v="CUST100892"/>
    <s v="Unisex"/>
    <s v="35-44"/>
    <x v="300"/>
    <x v="0"/>
    <x v="31"/>
    <x v="1"/>
    <n v="8"/>
    <s v="Blue"/>
    <n v="3"/>
    <n v="5899"/>
    <n v="10"/>
    <n v="5310"/>
    <n v="15930"/>
    <s v="UPI"/>
    <x v="0"/>
    <s v="India"/>
    <x v="13"/>
    <s v="Itanagar"/>
    <s v="Performance Seeker"/>
    <x v="0"/>
    <n v="4.9000000000000004"/>
    <s v="Delivered"/>
    <s v="Express"/>
    <n v="2"/>
  </r>
  <r>
    <s v="ORD202432"/>
    <s v="CUST100330"/>
    <s v="Women"/>
    <s v="25-34"/>
    <x v="301"/>
    <x v="3"/>
    <x v="16"/>
    <x v="0"/>
    <n v="7"/>
    <s v="White"/>
    <n v="2"/>
    <n v="5899"/>
    <n v="20"/>
    <n v="4720"/>
    <n v="9440"/>
    <s v="Net Banking"/>
    <x v="1"/>
    <s v="India"/>
    <x v="0"/>
    <s v="Jorhat"/>
    <s v="Value Shopper"/>
    <x v="0"/>
    <n v="4.7"/>
    <s v="Delivered"/>
    <s v="Standard"/>
    <n v="1"/>
  </r>
  <r>
    <s v="ORD200711"/>
    <s v="CUST100090"/>
    <s v="Women"/>
    <s v="35-44"/>
    <x v="302"/>
    <x v="0"/>
    <x v="2"/>
    <x v="2"/>
    <n v="9"/>
    <s v="Black"/>
    <n v="1"/>
    <n v="5399"/>
    <n v="25"/>
    <n v="4050"/>
    <n v="4050"/>
    <s v="Debit/Credit Card"/>
    <x v="2"/>
    <s v="India"/>
    <x v="28"/>
    <s v="Diskit"/>
    <s v="Performance Seeker"/>
    <x v="0"/>
    <n v="5"/>
    <s v="Delivered"/>
    <s v="Express"/>
    <n v="1"/>
  </r>
  <r>
    <s v="ORD200872"/>
    <s v="CUST100764"/>
    <s v="Unisex"/>
    <s v="25-34"/>
    <x v="303"/>
    <x v="1"/>
    <x v="1"/>
    <x v="1"/>
    <n v="7"/>
    <s v="Grey"/>
    <n v="1"/>
    <n v="7699"/>
    <n v="15"/>
    <n v="6540"/>
    <n v="6540"/>
    <s v="Cash on Delivery"/>
    <x v="1"/>
    <s v="India"/>
    <x v="7"/>
    <s v="Bhopal"/>
    <s v="Value Shopper"/>
    <x v="0"/>
    <n v="4.0999999999999996"/>
    <s v="Cancelled"/>
    <s v="Standard"/>
    <n v="1"/>
  </r>
  <r>
    <s v="ORD202462"/>
    <s v="CUST100044"/>
    <s v="Men"/>
    <s v="35-44"/>
    <x v="304"/>
    <x v="0"/>
    <x v="31"/>
    <x v="1"/>
    <n v="9"/>
    <s v="Green"/>
    <n v="1"/>
    <n v="8199"/>
    <n v="15"/>
    <n v="6970"/>
    <n v="6970"/>
    <s v="Net Banking"/>
    <x v="1"/>
    <s v="India"/>
    <x v="31"/>
    <s v="Madurai"/>
    <s v="Value Shopper"/>
    <x v="1"/>
    <n v="5"/>
    <s v="Delivered"/>
    <s v="Standard"/>
    <n v="2"/>
  </r>
  <r>
    <s v="ORD201256"/>
    <s v="CUST100058"/>
    <s v="Men"/>
    <s v="18-24"/>
    <x v="305"/>
    <x v="1"/>
    <x v="20"/>
    <x v="2"/>
    <n v="8"/>
    <s v="White"/>
    <n v="2"/>
    <n v="8199"/>
    <n v="15"/>
    <n v="6970"/>
    <n v="13940"/>
    <s v="Cash on Delivery"/>
    <x v="1"/>
    <s v="India"/>
    <x v="1"/>
    <s v="Margao"/>
    <s v="Performance Seeker"/>
    <x v="0"/>
    <n v="4"/>
    <s v="Returned"/>
    <s v="Standard"/>
    <n v="5"/>
  </r>
  <r>
    <s v="ORD200219"/>
    <s v="CUST100094"/>
    <s v="Women"/>
    <s v="25-34"/>
    <x v="306"/>
    <x v="5"/>
    <x v="21"/>
    <x v="2"/>
    <n v="8"/>
    <s v="White"/>
    <n v="1"/>
    <n v="4499"/>
    <n v="15"/>
    <n v="3820"/>
    <n v="3820"/>
    <s v="Cash on Delivery"/>
    <x v="0"/>
    <s v="India"/>
    <x v="24"/>
    <s v="Mangaluru"/>
    <s v="Premium Shopper"/>
    <x v="1"/>
    <n v="3.6"/>
    <s v="Delivered"/>
    <s v="Standard"/>
    <n v="4"/>
  </r>
  <r>
    <s v="ORD200692"/>
    <s v="CUST100394"/>
    <s v="Men"/>
    <s v="25-34"/>
    <x v="306"/>
    <x v="4"/>
    <x v="26"/>
    <x v="3"/>
    <n v="11"/>
    <s v="Blue"/>
    <n v="3"/>
    <n v="5999"/>
    <n v="15"/>
    <n v="5100"/>
    <n v="15300"/>
    <s v="Debit/Credit Card"/>
    <x v="1"/>
    <s v="India"/>
    <x v="3"/>
    <s v="Jodhpur"/>
    <s v="Performance Seeker"/>
    <x v="0"/>
    <n v="4"/>
    <s v="Delivered"/>
    <s v="Standard"/>
    <n v="5"/>
  </r>
  <r>
    <s v="ORD201220"/>
    <s v="CUST100510"/>
    <s v="Men"/>
    <s v="25-34"/>
    <x v="307"/>
    <x v="3"/>
    <x v="34"/>
    <x v="3"/>
    <n v="9"/>
    <s v="Blue"/>
    <n v="1"/>
    <n v="5099"/>
    <n v="5"/>
    <n v="4840"/>
    <n v="4840"/>
    <s v="Cash on Delivery"/>
    <x v="1"/>
    <s v="India"/>
    <x v="19"/>
    <s v="Nongpoh"/>
    <s v="Comfort Shopper"/>
    <x v="0"/>
    <n v="4.5999999999999996"/>
    <s v="Delivered"/>
    <s v="Express"/>
    <n v="3"/>
  </r>
  <r>
    <s v="ORD200005"/>
    <s v="CUST100048"/>
    <s v="Women"/>
    <s v="45-54"/>
    <x v="308"/>
    <x v="2"/>
    <x v="32"/>
    <x v="1"/>
    <n v="12"/>
    <s v="Green"/>
    <n v="1"/>
    <n v="6999"/>
    <n v="20"/>
    <n v="5600"/>
    <n v="5600"/>
    <s v="Cash on Delivery"/>
    <x v="2"/>
    <s v="India"/>
    <x v="31"/>
    <s v="Madurai"/>
    <s v="Value Shopper"/>
    <x v="1"/>
    <n v="5"/>
    <s v="Delivered"/>
    <s v="Standard"/>
    <n v="2"/>
  </r>
  <r>
    <s v="ORD200706"/>
    <s v="CUST100885"/>
    <s v="Women"/>
    <s v="25-34"/>
    <x v="309"/>
    <x v="0"/>
    <x v="0"/>
    <x v="0"/>
    <n v="10"/>
    <s v="Black"/>
    <n v="1"/>
    <n v="9399"/>
    <n v="10"/>
    <n v="8460"/>
    <n v="8460"/>
    <s v="UPI"/>
    <x v="2"/>
    <s v="India"/>
    <x v="17"/>
    <s v="Karaikal"/>
    <s v="Value Shopper"/>
    <x v="0"/>
    <n v="4.2"/>
    <s v="Returned"/>
    <s v="Express"/>
    <n v="1"/>
  </r>
  <r>
    <s v="ORD202334"/>
    <s v="CUST100238"/>
    <s v="Women"/>
    <s v="35-44"/>
    <x v="310"/>
    <x v="3"/>
    <x v="11"/>
    <x v="4"/>
    <n v="8"/>
    <s v="Blue"/>
    <n v="1"/>
    <n v="3699"/>
    <n v="5"/>
    <n v="3510"/>
    <n v="3510"/>
    <s v="Debit/Credit Card"/>
    <x v="0"/>
    <s v="India"/>
    <x v="19"/>
    <s v="Tura"/>
    <s v="Premium Shopper"/>
    <x v="0"/>
    <n v="4.3"/>
    <s v="Delivered"/>
    <s v="Standard"/>
    <n v="2"/>
  </r>
  <r>
    <s v="ORD202678"/>
    <s v="CUST100848"/>
    <s v="Unisex"/>
    <s v="25-34"/>
    <x v="310"/>
    <x v="1"/>
    <x v="20"/>
    <x v="2"/>
    <n v="10"/>
    <s v="Green"/>
    <n v="2"/>
    <n v="6099"/>
    <n v="5"/>
    <n v="5790"/>
    <n v="11580"/>
    <s v="UPI"/>
    <x v="1"/>
    <s v="India"/>
    <x v="10"/>
    <s v="Diu"/>
    <s v="Premium Shopper"/>
    <x v="0"/>
    <n v="3.9"/>
    <s v="Cancelled"/>
    <s v="Standard"/>
    <n v="7"/>
  </r>
  <r>
    <s v="ORD202256"/>
    <s v="CUST100980"/>
    <s v="Men"/>
    <s v="35-44"/>
    <x v="311"/>
    <x v="4"/>
    <x v="26"/>
    <x v="3"/>
    <n v="10"/>
    <s v="Black"/>
    <n v="2"/>
    <n v="8899"/>
    <n v="10"/>
    <n v="8010"/>
    <n v="16020"/>
    <s v="Net Banking"/>
    <x v="1"/>
    <s v="India"/>
    <x v="23"/>
    <s v="Rishikesh"/>
    <s v="Premium Shopper"/>
    <x v="0"/>
    <n v="3.9"/>
    <s v="Delivered"/>
    <s v="Express"/>
    <n v="2"/>
  </r>
  <r>
    <s v="ORD200191"/>
    <s v="CUST101008"/>
    <s v="Women"/>
    <s v="25-34"/>
    <x v="312"/>
    <x v="0"/>
    <x v="31"/>
    <x v="1"/>
    <n v="8"/>
    <s v="Green"/>
    <n v="1"/>
    <n v="8899"/>
    <n v="20"/>
    <n v="7120"/>
    <n v="7120"/>
    <s v="UPI"/>
    <x v="1"/>
    <s v="India"/>
    <x v="33"/>
    <s v="Nagpur"/>
    <s v="Comfort Shopper"/>
    <x v="1"/>
    <n v="4.9000000000000004"/>
    <s v="Delivered"/>
    <s v="Standard"/>
    <n v="2"/>
  </r>
  <r>
    <s v="ORD202151"/>
    <s v="CUST100431"/>
    <s v="Women"/>
    <s v="35-44"/>
    <x v="313"/>
    <x v="0"/>
    <x v="2"/>
    <x v="2"/>
    <n v="11"/>
    <s v="Green"/>
    <n v="1"/>
    <n v="9099"/>
    <n v="0"/>
    <n v="9100"/>
    <n v="9100"/>
    <s v="Net Banking"/>
    <x v="2"/>
    <s v="India"/>
    <x v="1"/>
    <s v="Panaji"/>
    <s v="Performance Seeker"/>
    <x v="0"/>
    <n v="4.2"/>
    <s v="Delivered"/>
    <s v="Same Day"/>
    <n v="1"/>
  </r>
  <r>
    <s v="ORD200894"/>
    <s v="CUST100920"/>
    <s v="Men"/>
    <s v="25-34"/>
    <x v="314"/>
    <x v="3"/>
    <x v="35"/>
    <x v="2"/>
    <n v="6"/>
    <s v="Green"/>
    <n v="1"/>
    <n v="6399"/>
    <n v="30"/>
    <n v="4480"/>
    <n v="4480"/>
    <s v="UPI"/>
    <x v="1"/>
    <s v="India"/>
    <x v="26"/>
    <s v="Thiruvananthapuram"/>
    <s v="Performance Seeker"/>
    <x v="1"/>
    <n v="4.4000000000000004"/>
    <s v="Returned"/>
    <s v="Express"/>
    <n v="2"/>
  </r>
  <r>
    <s v="ORD200337"/>
    <s v="CUST100331"/>
    <s v="Women"/>
    <s v="55+"/>
    <x v="315"/>
    <x v="0"/>
    <x v="19"/>
    <x v="4"/>
    <n v="10"/>
    <s v="White"/>
    <n v="1"/>
    <n v="7599"/>
    <n v="15"/>
    <n v="6460"/>
    <n v="6460"/>
    <s v="Cash on Delivery"/>
    <x v="2"/>
    <s v="India"/>
    <x v="5"/>
    <s v="Churachandpur"/>
    <s v="Lifestyle Shopper"/>
    <x v="1"/>
    <n v="4.3"/>
    <s v="Returned"/>
    <s v="Express"/>
    <n v="2"/>
  </r>
  <r>
    <s v="ORD202000"/>
    <s v="CUST100088"/>
    <s v="Men"/>
    <s v="18-24"/>
    <x v="315"/>
    <x v="4"/>
    <x v="17"/>
    <x v="4"/>
    <n v="6"/>
    <s v="Grey"/>
    <n v="1"/>
    <n v="4199"/>
    <n v="15"/>
    <n v="3570"/>
    <n v="3570"/>
    <s v="Cash on Delivery"/>
    <x v="1"/>
    <s v="India"/>
    <x v="34"/>
    <s v="Siliguri"/>
    <s v="Value Shopper"/>
    <x v="0"/>
    <n v="3.7"/>
    <s v="Delivered"/>
    <s v="Standard"/>
    <n v="4"/>
  </r>
  <r>
    <s v="ORD202546"/>
    <s v="CUST100018"/>
    <s v="Women"/>
    <s v="18-24"/>
    <x v="315"/>
    <x v="3"/>
    <x v="28"/>
    <x v="1"/>
    <n v="11"/>
    <s v="White"/>
    <n v="1"/>
    <n v="6699"/>
    <n v="10"/>
    <n v="6030"/>
    <n v="6030"/>
    <s v="UPI"/>
    <x v="2"/>
    <s v="India"/>
    <x v="10"/>
    <s v="Daman"/>
    <s v="Premium Shopper"/>
    <x v="0"/>
    <n v="3"/>
    <s v="Delivered"/>
    <s v="Express"/>
    <n v="3"/>
  </r>
  <r>
    <s v="ORD200748"/>
    <s v="CUST100351"/>
    <s v="Men"/>
    <s v="25-34"/>
    <x v="316"/>
    <x v="2"/>
    <x v="25"/>
    <x v="3"/>
    <n v="9"/>
    <s v="Blue"/>
    <n v="1"/>
    <n v="6999"/>
    <n v="20"/>
    <n v="5600"/>
    <n v="5600"/>
    <s v="Debit/Credit Card"/>
    <x v="2"/>
    <s v="India"/>
    <x v="1"/>
    <s v="Mapusa"/>
    <s v="Performance Seeker"/>
    <x v="0"/>
    <n v="4.4000000000000004"/>
    <s v="Delivered"/>
    <s v="Standard"/>
    <n v="3"/>
  </r>
  <r>
    <s v="ORD200250"/>
    <s v="CUST100451"/>
    <s v="Unisex"/>
    <s v="45-54"/>
    <x v="317"/>
    <x v="2"/>
    <x v="23"/>
    <x v="0"/>
    <n v="8"/>
    <s v="Blue"/>
    <n v="2"/>
    <n v="4599"/>
    <n v="20"/>
    <n v="3680"/>
    <n v="7360"/>
    <s v="Debit/Credit Card"/>
    <x v="1"/>
    <s v="India"/>
    <x v="21"/>
    <s v="Mokokchung"/>
    <s v="Value Shopper"/>
    <x v="0"/>
    <n v="4.7"/>
    <s v="Returned"/>
    <s v="Standard"/>
    <n v="5"/>
  </r>
  <r>
    <s v="ORD200562"/>
    <s v="CUST100202"/>
    <s v="Unisex"/>
    <s v="18-24"/>
    <x v="317"/>
    <x v="1"/>
    <x v="12"/>
    <x v="4"/>
    <n v="7"/>
    <s v="Blue"/>
    <n v="1"/>
    <n v="5499"/>
    <n v="25"/>
    <n v="4120"/>
    <n v="4120"/>
    <s v="Cash on Delivery"/>
    <x v="0"/>
    <s v="India"/>
    <x v="8"/>
    <s v="Warangal"/>
    <s v="Value Shopper"/>
    <x v="1"/>
    <n v="3.5"/>
    <s v="Cancelled"/>
    <s v="Standard"/>
    <n v="4"/>
  </r>
  <r>
    <s v="ORD201558"/>
    <s v="CUST100470"/>
    <s v="Women"/>
    <s v="45-54"/>
    <x v="317"/>
    <x v="4"/>
    <x v="9"/>
    <x v="1"/>
    <n v="6"/>
    <s v="Green"/>
    <n v="1"/>
    <n v="4799"/>
    <n v="15"/>
    <n v="4080"/>
    <n v="4080"/>
    <s v="Cash on Delivery"/>
    <x v="1"/>
    <s v="India"/>
    <x v="16"/>
    <s v="Surat"/>
    <s v="Lifestyle Shopper"/>
    <x v="1"/>
    <n v="4.4000000000000004"/>
    <s v="Delivered"/>
    <s v="Same Day"/>
    <n v="1"/>
  </r>
  <r>
    <s v="ORD200066"/>
    <s v="CUST100463"/>
    <s v="Unisex"/>
    <s v="18-24"/>
    <x v="318"/>
    <x v="4"/>
    <x v="9"/>
    <x v="1"/>
    <n v="10"/>
    <s v="White"/>
    <n v="2"/>
    <n v="8299"/>
    <n v="35"/>
    <n v="5390"/>
    <n v="10780"/>
    <s v="Debit/Credit Card"/>
    <x v="0"/>
    <s v="India"/>
    <x v="17"/>
    <s v="Puducherry"/>
    <s v="Value Shopper"/>
    <x v="0"/>
    <n v="3.8"/>
    <s v="Delivered"/>
    <s v="Standard"/>
    <n v="7"/>
  </r>
  <r>
    <s v="ORD201028"/>
    <s v="CUST100208"/>
    <s v="Men"/>
    <s v="35-44"/>
    <x v="319"/>
    <x v="5"/>
    <x v="14"/>
    <x v="3"/>
    <n v="8"/>
    <s v="Red"/>
    <n v="1"/>
    <n v="5299"/>
    <n v="0"/>
    <n v="5300"/>
    <n v="5300"/>
    <s v="Net Banking"/>
    <x v="0"/>
    <s v="India"/>
    <x v="21"/>
    <s v="Tuensang"/>
    <s v="Premium Shopper"/>
    <x v="2"/>
    <n v="3.9"/>
    <s v="Delivered"/>
    <s v="Same Day"/>
    <n v="1"/>
  </r>
  <r>
    <s v="ORD201487"/>
    <s v="CUST100757"/>
    <s v="Women"/>
    <s v="35-44"/>
    <x v="319"/>
    <x v="4"/>
    <x v="26"/>
    <x v="3"/>
    <n v="8"/>
    <s v="Blue"/>
    <n v="1"/>
    <n v="8899"/>
    <n v="15"/>
    <n v="7560"/>
    <n v="7560"/>
    <s v="Cash on Delivery"/>
    <x v="2"/>
    <s v="India"/>
    <x v="3"/>
    <s v="Kota"/>
    <s v="Comfort Shopper"/>
    <x v="0"/>
    <n v="4.8"/>
    <s v="Delivered"/>
    <s v="Standard"/>
    <n v="2"/>
  </r>
  <r>
    <s v="ORD202080"/>
    <s v="CUST100074"/>
    <s v="Men"/>
    <s v="35-44"/>
    <x v="320"/>
    <x v="4"/>
    <x v="6"/>
    <x v="2"/>
    <n v="7"/>
    <s v="Black"/>
    <n v="1"/>
    <n v="7199"/>
    <n v="15"/>
    <n v="6120"/>
    <n v="6120"/>
    <s v="Debit/Credit Card"/>
    <x v="2"/>
    <s v="India"/>
    <x v="19"/>
    <s v="Tura"/>
    <s v="Performance Seeker"/>
    <x v="0"/>
    <n v="3.7"/>
    <s v="Delivered"/>
    <s v="Standard"/>
    <n v="1"/>
  </r>
  <r>
    <s v="ORD201069"/>
    <s v="CUST100132"/>
    <s v="Men"/>
    <s v="18-24"/>
    <x v="321"/>
    <x v="3"/>
    <x v="35"/>
    <x v="2"/>
    <n v="9"/>
    <s v="Green"/>
    <n v="1"/>
    <n v="6099"/>
    <n v="25"/>
    <n v="4570"/>
    <n v="4570"/>
    <s v="Net Banking"/>
    <x v="1"/>
    <s v="India"/>
    <x v="30"/>
    <s v="Chandigarh"/>
    <s v="Performance Seeker"/>
    <x v="1"/>
    <n v="5"/>
    <s v="Returned"/>
    <s v="Standard"/>
    <n v="4"/>
  </r>
  <r>
    <s v="ORD201266"/>
    <s v="CUST100717"/>
    <s v="Men"/>
    <s v="35-44"/>
    <x v="322"/>
    <x v="3"/>
    <x v="34"/>
    <x v="3"/>
    <n v="8"/>
    <s v="Green"/>
    <n v="1"/>
    <n v="7499"/>
    <n v="10"/>
    <n v="6750"/>
    <n v="6750"/>
    <s v="Cash on Delivery"/>
    <x v="1"/>
    <s v="India"/>
    <x v="21"/>
    <s v="Dimapur"/>
    <s v="Performance Seeker"/>
    <x v="0"/>
    <n v="4.0999999999999996"/>
    <s v="Returned"/>
    <s v="Express"/>
    <n v="2"/>
  </r>
  <r>
    <s v="ORD202114"/>
    <s v="CUST100490"/>
    <s v="Men"/>
    <s v="35-44"/>
    <x v="323"/>
    <x v="0"/>
    <x v="8"/>
    <x v="3"/>
    <n v="12"/>
    <s v="Green"/>
    <n v="1"/>
    <n v="4299"/>
    <n v="20"/>
    <n v="3440"/>
    <n v="3440"/>
    <s v="UPI"/>
    <x v="2"/>
    <s v="India"/>
    <x v="29"/>
    <s v="Visakhapatnam"/>
    <s v="Performance Seeker"/>
    <x v="0"/>
    <n v="3.8"/>
    <s v="Delivered"/>
    <s v="Standard"/>
    <n v="2"/>
  </r>
  <r>
    <s v="ORD202485"/>
    <s v="CUST100703"/>
    <s v="Men"/>
    <s v="35-44"/>
    <x v="324"/>
    <x v="0"/>
    <x v="13"/>
    <x v="2"/>
    <n v="9"/>
    <s v="Grey"/>
    <n v="1"/>
    <n v="9199"/>
    <n v="5"/>
    <n v="8740"/>
    <n v="8740"/>
    <s v="Net Banking"/>
    <x v="0"/>
    <s v="India"/>
    <x v="18"/>
    <s v="Bhilai"/>
    <s v="Lifestyle Shopper"/>
    <x v="0"/>
    <n v="4.0999999999999996"/>
    <s v="Cancelled"/>
    <s v="Standard"/>
    <n v="2"/>
  </r>
  <r>
    <s v="ORD201425"/>
    <s v="CUST100766"/>
    <s v="Men"/>
    <s v="35-44"/>
    <x v="325"/>
    <x v="3"/>
    <x v="5"/>
    <x v="2"/>
    <n v="10"/>
    <s v="Red"/>
    <n v="1"/>
    <n v="7399"/>
    <n v="35"/>
    <n v="4810"/>
    <n v="4810"/>
    <s v="Cash on Delivery"/>
    <x v="1"/>
    <s v="India"/>
    <x v="7"/>
    <s v="Indore"/>
    <s v="Comfort Shopper"/>
    <x v="1"/>
    <n v="4.0999999999999996"/>
    <s v="Delivered"/>
    <s v="Express"/>
    <n v="3"/>
  </r>
  <r>
    <s v="ORD202549"/>
    <s v="CUST100143"/>
    <s v="Women"/>
    <s v="45-54"/>
    <x v="325"/>
    <x v="5"/>
    <x v="21"/>
    <x v="2"/>
    <n v="10"/>
    <s v="Green"/>
    <n v="1"/>
    <n v="9799"/>
    <n v="25"/>
    <n v="7350"/>
    <n v="7350"/>
    <s v="Cash on Delivery"/>
    <x v="1"/>
    <s v="India"/>
    <x v="16"/>
    <s v="Rajkot"/>
    <s v="Performance Seeker"/>
    <x v="1"/>
    <n v="4"/>
    <s v="Delivered"/>
    <s v="Standard"/>
    <n v="2"/>
  </r>
  <r>
    <s v="ORD202028"/>
    <s v="CUST100589"/>
    <s v="Unisex"/>
    <s v="25-34"/>
    <x v="326"/>
    <x v="2"/>
    <x v="4"/>
    <x v="2"/>
    <n v="9"/>
    <s v="White"/>
    <n v="3"/>
    <n v="5399"/>
    <n v="10"/>
    <n v="4860"/>
    <n v="14580"/>
    <s v="Cash on Delivery"/>
    <x v="1"/>
    <s v="India"/>
    <x v="20"/>
    <s v="Dharamshala"/>
    <s v="Premium Shopper"/>
    <x v="1"/>
    <n v="4.2"/>
    <s v="Cancelled"/>
    <s v="Standard"/>
    <n v="5"/>
  </r>
  <r>
    <s v="ORD202801"/>
    <s v="CUST100840"/>
    <s v="Men"/>
    <s v="35-44"/>
    <x v="326"/>
    <x v="4"/>
    <x v="29"/>
    <x v="2"/>
    <n v="8"/>
    <s v="Black"/>
    <n v="1"/>
    <n v="9399"/>
    <n v="20"/>
    <n v="7520"/>
    <n v="7520"/>
    <s v="Cash on Delivery"/>
    <x v="1"/>
    <s v="India"/>
    <x v="25"/>
    <s v="Baramulla"/>
    <s v="Lifestyle Shopper"/>
    <x v="0"/>
    <n v="3.2"/>
    <s v="Delivered"/>
    <s v="Express"/>
    <n v="1"/>
  </r>
  <r>
    <s v="ORD200920"/>
    <s v="CUST100719"/>
    <s v="Women"/>
    <s v="25-34"/>
    <x v="327"/>
    <x v="2"/>
    <x v="32"/>
    <x v="1"/>
    <n v="10"/>
    <s v="Red"/>
    <n v="1"/>
    <n v="2799"/>
    <n v="25"/>
    <n v="2100"/>
    <n v="2100"/>
    <s v="Debit/Credit Card"/>
    <x v="1"/>
    <s v="India"/>
    <x v="15"/>
    <s v="New Delhi"/>
    <s v="Lifestyle Shopper"/>
    <x v="0"/>
    <n v="3.8"/>
    <s v="Delivered"/>
    <s v="Standard"/>
    <n v="3"/>
  </r>
  <r>
    <s v="ORD203026"/>
    <s v="CUST100863"/>
    <s v="Unisex"/>
    <s v="35-44"/>
    <x v="327"/>
    <x v="4"/>
    <x v="6"/>
    <x v="2"/>
    <n v="7"/>
    <s v="Red"/>
    <n v="2"/>
    <n v="6299"/>
    <n v="20"/>
    <n v="5040"/>
    <n v="10080"/>
    <s v="Debit/Credit Card"/>
    <x v="1"/>
    <s v="India"/>
    <x v="28"/>
    <s v="Kargil"/>
    <s v="Premium Shopper"/>
    <x v="0"/>
    <n v="4.9000000000000004"/>
    <s v="Delivered"/>
    <s v="Standard"/>
    <n v="4"/>
  </r>
  <r>
    <s v="ORD201449"/>
    <s v="CUST100378"/>
    <s v="Men"/>
    <s v="55+"/>
    <x v="328"/>
    <x v="3"/>
    <x v="35"/>
    <x v="2"/>
    <n v="8"/>
    <s v="Black"/>
    <n v="3"/>
    <n v="5199"/>
    <n v="20"/>
    <n v="4160"/>
    <n v="12480"/>
    <s v="Debit/Credit Card"/>
    <x v="2"/>
    <s v="India"/>
    <x v="8"/>
    <s v="Warangal"/>
    <s v="Value Shopper"/>
    <x v="1"/>
    <n v="5"/>
    <s v="Delivered"/>
    <s v="Express"/>
    <n v="2"/>
  </r>
  <r>
    <s v="ORD201538"/>
    <s v="CUST100089"/>
    <s v="Women"/>
    <s v="35-44"/>
    <x v="328"/>
    <x v="2"/>
    <x v="24"/>
    <x v="4"/>
    <n v="7"/>
    <s v="Green"/>
    <n v="1"/>
    <n v="4599"/>
    <n v="20"/>
    <n v="3680"/>
    <n v="3680"/>
    <s v="Net Banking"/>
    <x v="0"/>
    <s v="India"/>
    <x v="32"/>
    <s v="Bokaro"/>
    <s v="Performance Seeker"/>
    <x v="1"/>
    <n v="4.8"/>
    <s v="Delivered"/>
    <s v="Standard"/>
    <n v="4"/>
  </r>
  <r>
    <s v="ORD200889"/>
    <s v="CUST100637"/>
    <s v="Men"/>
    <s v="35-44"/>
    <x v="329"/>
    <x v="3"/>
    <x v="11"/>
    <x v="4"/>
    <n v="8"/>
    <s v="White"/>
    <n v="1"/>
    <n v="3399"/>
    <n v="30"/>
    <n v="2380"/>
    <n v="2380"/>
    <s v="Cash on Delivery"/>
    <x v="0"/>
    <s v="India"/>
    <x v="33"/>
    <s v="Pune"/>
    <s v="Lifestyle Shopper"/>
    <x v="1"/>
    <n v="3.5"/>
    <s v="Returned"/>
    <s v="Express"/>
    <n v="2"/>
  </r>
  <r>
    <s v="ORD202582"/>
    <s v="CUST100732"/>
    <s v="Women"/>
    <s v="25-34"/>
    <x v="330"/>
    <x v="5"/>
    <x v="21"/>
    <x v="2"/>
    <n v="7"/>
    <s v="Grey"/>
    <n v="1"/>
    <n v="5899"/>
    <n v="0"/>
    <n v="5900"/>
    <n v="5900"/>
    <s v="Debit/Credit Card"/>
    <x v="0"/>
    <s v="India"/>
    <x v="8"/>
    <s v="Karimnagar"/>
    <s v="Performance Seeker"/>
    <x v="0"/>
    <n v="4.5999999999999996"/>
    <s v="Delivered"/>
    <s v="Standard"/>
    <n v="2"/>
  </r>
  <r>
    <s v="ORD200398"/>
    <s v="CUST100458"/>
    <s v="Women"/>
    <s v="35-44"/>
    <x v="331"/>
    <x v="4"/>
    <x v="26"/>
    <x v="3"/>
    <n v="7"/>
    <s v="Green"/>
    <n v="1"/>
    <n v="6299"/>
    <n v="25"/>
    <n v="4720"/>
    <n v="4720"/>
    <s v="Cash on Delivery"/>
    <x v="2"/>
    <s v="India"/>
    <x v="25"/>
    <s v="Anantnag"/>
    <s v="Performance Seeker"/>
    <x v="1"/>
    <n v="2.4"/>
    <s v="Returned"/>
    <s v="Standard"/>
    <n v="4"/>
  </r>
  <r>
    <s v="ORD203122"/>
    <s v="CUST100371"/>
    <s v="Men"/>
    <s v="25-34"/>
    <x v="331"/>
    <x v="3"/>
    <x v="11"/>
    <x v="4"/>
    <n v="9"/>
    <s v="White"/>
    <n v="1"/>
    <n v="8399"/>
    <n v="25"/>
    <n v="6300"/>
    <n v="6300"/>
    <s v="Net Banking"/>
    <x v="2"/>
    <s v="India"/>
    <x v="17"/>
    <s v="Yanam"/>
    <s v="Premium Shopper"/>
    <x v="0"/>
    <n v="4.4000000000000004"/>
    <s v="Delivered"/>
    <s v="Express"/>
    <n v="2"/>
  </r>
  <r>
    <s v="ORD201150"/>
    <s v="CUST100370"/>
    <s v="Men"/>
    <s v="45-54"/>
    <x v="332"/>
    <x v="0"/>
    <x v="31"/>
    <x v="1"/>
    <n v="8"/>
    <s v="White"/>
    <n v="2"/>
    <n v="4299"/>
    <n v="20"/>
    <n v="3440"/>
    <n v="6880"/>
    <s v="Cash on Delivery"/>
    <x v="2"/>
    <s v="India"/>
    <x v="34"/>
    <s v="Kolkata"/>
    <s v="Lifestyle Shopper"/>
    <x v="0"/>
    <n v="3.9"/>
    <s v="Cancelled"/>
    <s v="Standard"/>
    <n v="4"/>
  </r>
  <r>
    <s v="ORD200289"/>
    <s v="CUST100721"/>
    <s v="Men"/>
    <s v="35-44"/>
    <x v="333"/>
    <x v="3"/>
    <x v="28"/>
    <x v="1"/>
    <n v="8"/>
    <s v="Black"/>
    <n v="1"/>
    <n v="8699"/>
    <n v="25"/>
    <n v="6520"/>
    <n v="6520"/>
    <s v="UPI"/>
    <x v="1"/>
    <s v="India"/>
    <x v="5"/>
    <s v="Kakching"/>
    <s v="Premium Shopper"/>
    <x v="0"/>
    <n v="5"/>
    <s v="Delivered"/>
    <s v="Standard"/>
    <n v="6"/>
  </r>
  <r>
    <s v="ORD200401"/>
    <s v="CUST100373"/>
    <s v="Women"/>
    <s v="25-34"/>
    <x v="333"/>
    <x v="0"/>
    <x v="19"/>
    <x v="4"/>
    <n v="12"/>
    <s v="White"/>
    <n v="1"/>
    <n v="3699"/>
    <n v="15"/>
    <n v="3140"/>
    <n v="3140"/>
    <s v="UPI"/>
    <x v="2"/>
    <s v="India"/>
    <x v="25"/>
    <s v="Baramulla"/>
    <s v="Performance Seeker"/>
    <x v="0"/>
    <n v="4.2"/>
    <s v="Delivered"/>
    <s v="Standard"/>
    <n v="3"/>
  </r>
  <r>
    <s v="ORD202816"/>
    <s v="CUST100243"/>
    <s v="Women"/>
    <s v="35-44"/>
    <x v="334"/>
    <x v="1"/>
    <x v="12"/>
    <x v="4"/>
    <n v="8"/>
    <s v="Grey"/>
    <n v="1"/>
    <n v="8599"/>
    <n v="25"/>
    <n v="6450"/>
    <n v="6450"/>
    <s v="Cash on Delivery"/>
    <x v="1"/>
    <s v="India"/>
    <x v="4"/>
    <s v="Namchi"/>
    <s v="Lifestyle Shopper"/>
    <x v="0"/>
    <n v="3.8"/>
    <s v="Cancelled"/>
    <s v="Express"/>
    <n v="2"/>
  </r>
  <r>
    <s v="ORD202676"/>
    <s v="CUST100557"/>
    <s v="Women"/>
    <s v="25-34"/>
    <x v="335"/>
    <x v="3"/>
    <x v="35"/>
    <x v="2"/>
    <n v="10"/>
    <s v="White"/>
    <n v="2"/>
    <n v="7899"/>
    <n v="10"/>
    <n v="7110"/>
    <n v="14220"/>
    <s v="UPI"/>
    <x v="0"/>
    <s v="India"/>
    <x v="9"/>
    <s v="Gaya"/>
    <s v="Performance Seeker"/>
    <x v="0"/>
    <n v="3.7"/>
    <s v="Delivered"/>
    <s v="Express"/>
    <n v="3"/>
  </r>
  <r>
    <s v="ORD202797"/>
    <s v="CUST100305"/>
    <s v="Men"/>
    <s v="45-54"/>
    <x v="335"/>
    <x v="4"/>
    <x v="17"/>
    <x v="4"/>
    <n v="10"/>
    <s v="White"/>
    <n v="1"/>
    <n v="4999"/>
    <n v="20"/>
    <n v="4000"/>
    <n v="4000"/>
    <s v="Net Banking"/>
    <x v="2"/>
    <s v="India"/>
    <x v="25"/>
    <s v="Srinagar"/>
    <s v="Lifestyle Shopper"/>
    <x v="0"/>
    <n v="4.5"/>
    <s v="Returned"/>
    <s v="Standard"/>
    <n v="4"/>
  </r>
  <r>
    <s v="ORD202023"/>
    <s v="CUST100810"/>
    <s v="Men"/>
    <s v="18-24"/>
    <x v="336"/>
    <x v="2"/>
    <x v="3"/>
    <x v="2"/>
    <n v="6"/>
    <s v="White"/>
    <n v="1"/>
    <n v="8099"/>
    <n v="20"/>
    <n v="6480"/>
    <n v="6480"/>
    <s v="UPI"/>
    <x v="0"/>
    <s v="India"/>
    <x v="19"/>
    <s v="Jowai"/>
    <s v="Value Shopper"/>
    <x v="0"/>
    <n v="4.7"/>
    <s v="Cancelled"/>
    <s v="Standard"/>
    <n v="5"/>
  </r>
  <r>
    <s v="ORD202085"/>
    <s v="CUST100512"/>
    <s v="Women"/>
    <s v="18-24"/>
    <x v="336"/>
    <x v="1"/>
    <x v="33"/>
    <x v="0"/>
    <n v="9"/>
    <s v="Grey"/>
    <n v="1"/>
    <n v="5099"/>
    <n v="15"/>
    <n v="4330"/>
    <n v="4330"/>
    <s v="Debit/Credit Card"/>
    <x v="1"/>
    <s v="India"/>
    <x v="20"/>
    <s v="Mandi"/>
    <s v="Performance Seeker"/>
    <x v="0"/>
    <n v="5"/>
    <s v="Delivered"/>
    <s v="Standard"/>
    <n v="4"/>
  </r>
  <r>
    <s v="ORD200371"/>
    <s v="CUST100194"/>
    <s v="Women"/>
    <s v="35-44"/>
    <x v="337"/>
    <x v="2"/>
    <x v="25"/>
    <x v="3"/>
    <n v="9"/>
    <s v="Black"/>
    <n v="1"/>
    <n v="4399"/>
    <n v="10"/>
    <n v="3960"/>
    <n v="3960"/>
    <s v="Debit/Credit Card"/>
    <x v="1"/>
    <s v="India"/>
    <x v="21"/>
    <s v="Tuensang"/>
    <s v="Premium Shopper"/>
    <x v="0"/>
    <n v="2.8"/>
    <s v="Delivered"/>
    <s v="Standard"/>
    <n v="4"/>
  </r>
  <r>
    <s v="ORD200180"/>
    <s v="CUST100156"/>
    <s v="Men"/>
    <s v="45-54"/>
    <x v="338"/>
    <x v="2"/>
    <x v="4"/>
    <x v="2"/>
    <n v="6"/>
    <s v="Black"/>
    <n v="3"/>
    <n v="3199"/>
    <n v="10"/>
    <n v="2880"/>
    <n v="8640"/>
    <s v="Debit/Credit Card"/>
    <x v="1"/>
    <s v="India"/>
    <x v="30"/>
    <s v="Burail"/>
    <s v="Lifestyle Shopper"/>
    <x v="1"/>
    <n v="3.2"/>
    <s v="Delivered"/>
    <s v="Express"/>
    <n v="3"/>
  </r>
  <r>
    <s v="ORD201634"/>
    <s v="CUST100574"/>
    <s v="Women"/>
    <s v="35-44"/>
    <x v="338"/>
    <x v="0"/>
    <x v="19"/>
    <x v="4"/>
    <n v="7"/>
    <s v="White"/>
    <n v="1"/>
    <n v="4299"/>
    <n v="30"/>
    <n v="3010"/>
    <n v="3010"/>
    <s v="UPI"/>
    <x v="1"/>
    <s v="India"/>
    <x v="34"/>
    <s v="Durgapur"/>
    <s v="Comfort Shopper"/>
    <x v="0"/>
    <n v="5"/>
    <s v="Delivered"/>
    <s v="Standard"/>
    <n v="2"/>
  </r>
  <r>
    <s v="ORD201644"/>
    <s v="CUST100017"/>
    <s v="Women"/>
    <s v="45-54"/>
    <x v="339"/>
    <x v="0"/>
    <x v="31"/>
    <x v="1"/>
    <n v="10"/>
    <s v="White"/>
    <n v="2"/>
    <n v="6399"/>
    <n v="15"/>
    <n v="5440"/>
    <n v="10880"/>
    <s v="Cash on Delivery"/>
    <x v="2"/>
    <s v="India"/>
    <x v="23"/>
    <s v="Haldwani"/>
    <s v="Lifestyle Shopper"/>
    <x v="1"/>
    <n v="3"/>
    <s v="Delivered"/>
    <s v="Standard"/>
    <n v="2"/>
  </r>
  <r>
    <s v="ORD201714"/>
    <s v="CUST100010"/>
    <s v="Men"/>
    <s v="18-24"/>
    <x v="340"/>
    <x v="1"/>
    <x v="10"/>
    <x v="3"/>
    <n v="7"/>
    <s v="Red"/>
    <n v="1"/>
    <n v="9099"/>
    <n v="25"/>
    <n v="6820"/>
    <n v="6820"/>
    <s v="Debit/Credit Card"/>
    <x v="2"/>
    <s v="India"/>
    <x v="15"/>
    <s v="Rohini"/>
    <s v="Performance Seeker"/>
    <x v="0"/>
    <n v="4.0999999999999996"/>
    <s v="Returned"/>
    <s v="Standard"/>
    <n v="3"/>
  </r>
  <r>
    <s v="ORD202477"/>
    <s v="CUST100503"/>
    <s v="Women"/>
    <s v="35-44"/>
    <x v="340"/>
    <x v="1"/>
    <x v="12"/>
    <x v="4"/>
    <n v="7"/>
    <s v="White"/>
    <n v="1"/>
    <n v="5099"/>
    <n v="10"/>
    <n v="4590"/>
    <n v="4590"/>
    <s v="Debit/Credit Card"/>
    <x v="1"/>
    <s v="India"/>
    <x v="2"/>
    <s v="Panipat"/>
    <s v="Performance Seeker"/>
    <x v="1"/>
    <n v="5"/>
    <s v="Cancelled"/>
    <s v="Standard"/>
    <n v="4"/>
  </r>
  <r>
    <s v="ORD201003"/>
    <s v="CUST100728"/>
    <s v="Men"/>
    <s v="25-34"/>
    <x v="341"/>
    <x v="4"/>
    <x v="29"/>
    <x v="2"/>
    <n v="9"/>
    <s v="White"/>
    <n v="1"/>
    <n v="5399"/>
    <n v="20"/>
    <n v="4320"/>
    <n v="4320"/>
    <s v="UPI"/>
    <x v="1"/>
    <s v="India"/>
    <x v="33"/>
    <s v="Nashik"/>
    <s v="Premium Shopper"/>
    <x v="0"/>
    <n v="3.4"/>
    <s v="Delivered"/>
    <s v="Express"/>
    <n v="2"/>
  </r>
  <r>
    <s v="ORD201179"/>
    <s v="CUST100015"/>
    <s v="Women"/>
    <s v="45-54"/>
    <x v="341"/>
    <x v="2"/>
    <x v="32"/>
    <x v="1"/>
    <n v="10"/>
    <s v="White"/>
    <n v="2"/>
    <n v="4999"/>
    <n v="15"/>
    <n v="4250"/>
    <n v="8500"/>
    <s v="UPI"/>
    <x v="1"/>
    <s v="India"/>
    <x v="16"/>
    <s v="Surat"/>
    <s v="Performance Seeker"/>
    <x v="1"/>
    <n v="3.9"/>
    <s v="Returned"/>
    <s v="Standard"/>
    <n v="4"/>
  </r>
  <r>
    <s v="ORD202171"/>
    <s v="CUST100714"/>
    <s v="Men"/>
    <s v="18-24"/>
    <x v="342"/>
    <x v="0"/>
    <x v="2"/>
    <x v="2"/>
    <n v="6"/>
    <s v="Blue"/>
    <n v="1"/>
    <n v="4799"/>
    <n v="10"/>
    <n v="4320"/>
    <n v="4320"/>
    <s v="Debit/Credit Card"/>
    <x v="0"/>
    <s v="India"/>
    <x v="10"/>
    <s v="Silvassa"/>
    <s v="Performance Seeker"/>
    <x v="0"/>
    <n v="4.0999999999999996"/>
    <s v="Returned"/>
    <s v="Standard"/>
    <n v="4"/>
  </r>
  <r>
    <s v="ORD201568"/>
    <s v="CUST100033"/>
    <s v="Women"/>
    <s v="18-24"/>
    <x v="343"/>
    <x v="1"/>
    <x v="10"/>
    <x v="3"/>
    <n v="8"/>
    <s v="Red"/>
    <n v="2"/>
    <n v="6099"/>
    <n v="40"/>
    <n v="3660"/>
    <n v="7320"/>
    <s v="UPI"/>
    <x v="1"/>
    <s v="India"/>
    <x v="6"/>
    <s v="Kanpur"/>
    <s v="Lifestyle Shopper"/>
    <x v="0"/>
    <n v="3.1"/>
    <s v="Delivered"/>
    <s v="Standard"/>
    <n v="6"/>
  </r>
  <r>
    <s v="ORD200578"/>
    <s v="CUST100453"/>
    <s v="Men"/>
    <s v="25-34"/>
    <x v="344"/>
    <x v="0"/>
    <x v="2"/>
    <x v="2"/>
    <n v="6"/>
    <s v="Red"/>
    <n v="1"/>
    <n v="5699"/>
    <n v="25"/>
    <n v="4270"/>
    <n v="4270"/>
    <s v="Net Banking"/>
    <x v="2"/>
    <s v="India"/>
    <x v="32"/>
    <s v="Ranchi"/>
    <s v="Comfort Shopper"/>
    <x v="2"/>
    <n v="4.4000000000000004"/>
    <s v="Delivered"/>
    <s v="Express"/>
    <n v="2"/>
  </r>
  <r>
    <s v="ORD200721"/>
    <s v="CUST100497"/>
    <s v="Men"/>
    <s v="25-34"/>
    <x v="344"/>
    <x v="2"/>
    <x v="3"/>
    <x v="2"/>
    <n v="11"/>
    <s v="White"/>
    <n v="2"/>
    <n v="4899"/>
    <n v="5"/>
    <n v="4650"/>
    <n v="9300"/>
    <s v="Debit/Credit Card"/>
    <x v="1"/>
    <s v="India"/>
    <x v="8"/>
    <s v="Warangal"/>
    <s v="Performance Seeker"/>
    <x v="0"/>
    <n v="4.7"/>
    <s v="Delivered"/>
    <s v="Same Day"/>
    <n v="1"/>
  </r>
  <r>
    <s v="ORD201753"/>
    <s v="CUST100013"/>
    <s v="Men"/>
    <s v="35-44"/>
    <x v="345"/>
    <x v="1"/>
    <x v="1"/>
    <x v="1"/>
    <n v="9"/>
    <s v="Black"/>
    <n v="3"/>
    <n v="6299"/>
    <n v="15"/>
    <n v="5350"/>
    <n v="16050"/>
    <s v="UPI"/>
    <x v="0"/>
    <s v="India"/>
    <x v="0"/>
    <s v="Silchar"/>
    <s v="Comfort Shopper"/>
    <x v="1"/>
    <n v="5"/>
    <s v="Delivered"/>
    <s v="Express"/>
    <n v="3"/>
  </r>
  <r>
    <s v="ORD202557"/>
    <s v="CUST100101"/>
    <s v="Unisex"/>
    <s v="35-44"/>
    <x v="345"/>
    <x v="3"/>
    <x v="34"/>
    <x v="3"/>
    <n v="9"/>
    <s v="Red"/>
    <n v="1"/>
    <n v="8299"/>
    <n v="5"/>
    <n v="7880"/>
    <n v="7880"/>
    <s v="UPI"/>
    <x v="0"/>
    <s v="India"/>
    <x v="1"/>
    <s v="Mapusa"/>
    <s v="Lifestyle Shopper"/>
    <x v="1"/>
    <n v="3.2"/>
    <s v="Delivered"/>
    <s v="Standard"/>
    <n v="2"/>
  </r>
  <r>
    <s v="ORD200832"/>
    <s v="CUST100001"/>
    <s v="Unisex"/>
    <s v="25-34"/>
    <x v="346"/>
    <x v="0"/>
    <x v="2"/>
    <x v="2"/>
    <n v="9"/>
    <s v="Grey"/>
    <n v="1"/>
    <n v="6799"/>
    <n v="25"/>
    <n v="5100"/>
    <n v="5100"/>
    <s v="Debit/Credit Card"/>
    <x v="2"/>
    <s v="India"/>
    <x v="31"/>
    <s v="Coimbatore"/>
    <s v="Lifestyle Shopper"/>
    <x v="0"/>
    <n v="5"/>
    <s v="Delivered"/>
    <s v="Express"/>
    <n v="2"/>
  </r>
  <r>
    <s v="ORD202119"/>
    <s v="CUST100792"/>
    <s v="Men"/>
    <s v="18-24"/>
    <x v="347"/>
    <x v="1"/>
    <x v="18"/>
    <x v="2"/>
    <n v="8"/>
    <s v="Green"/>
    <n v="1"/>
    <n v="8799"/>
    <n v="0"/>
    <n v="8800"/>
    <n v="8800"/>
    <s v="Debit/Credit Card"/>
    <x v="2"/>
    <s v="India"/>
    <x v="16"/>
    <s v="Ahmedabad"/>
    <s v="Comfort Shopper"/>
    <x v="0"/>
    <n v="3.5"/>
    <s v="Delivered"/>
    <s v="Standard"/>
    <n v="4"/>
  </r>
  <r>
    <s v="ORD200245"/>
    <s v="CUST100224"/>
    <s v="Men"/>
    <s v="55+"/>
    <x v="348"/>
    <x v="2"/>
    <x v="23"/>
    <x v="0"/>
    <n v="8"/>
    <s v="Red"/>
    <n v="1"/>
    <n v="4899"/>
    <n v="10"/>
    <n v="4410"/>
    <n v="4410"/>
    <s v="Debit/Credit Card"/>
    <x v="0"/>
    <s v="India"/>
    <x v="19"/>
    <s v="Jowai"/>
    <s v="Comfort Shopper"/>
    <x v="0"/>
    <n v="4.0999999999999996"/>
    <s v="Delivered"/>
    <s v="Express"/>
    <n v="2"/>
  </r>
  <r>
    <s v="ORD201595"/>
    <s v="CUST100097"/>
    <s v="Men"/>
    <s v="25-34"/>
    <x v="348"/>
    <x v="4"/>
    <x v="29"/>
    <x v="2"/>
    <n v="10"/>
    <s v="White"/>
    <n v="1"/>
    <n v="6599"/>
    <n v="5"/>
    <n v="6270"/>
    <n v="6270"/>
    <s v="Debit/Credit Card"/>
    <x v="1"/>
    <s v="India"/>
    <x v="29"/>
    <s v="Guntur"/>
    <s v="Value Shopper"/>
    <x v="0"/>
    <n v="4.3"/>
    <s v="Returned"/>
    <s v="Express"/>
    <n v="4"/>
  </r>
  <r>
    <s v="ORD202806"/>
    <s v="CUST100112"/>
    <s v="Men"/>
    <s v="18-24"/>
    <x v="348"/>
    <x v="0"/>
    <x v="13"/>
    <x v="2"/>
    <n v="10"/>
    <s v="White"/>
    <n v="1"/>
    <n v="5299"/>
    <n v="15"/>
    <n v="4500"/>
    <n v="4500"/>
    <s v="Debit/Credit Card"/>
    <x v="1"/>
    <s v="India"/>
    <x v="4"/>
    <s v="Namchi"/>
    <s v="Performance Seeker"/>
    <x v="1"/>
    <n v="4.4000000000000004"/>
    <s v="Delivered"/>
    <s v="Standard"/>
    <n v="4"/>
  </r>
  <r>
    <s v="ORD200112"/>
    <s v="CUST100700"/>
    <s v="Unisex"/>
    <s v="45-54"/>
    <x v="349"/>
    <x v="3"/>
    <x v="5"/>
    <x v="2"/>
    <n v="6"/>
    <s v="Black"/>
    <n v="1"/>
    <n v="3399"/>
    <n v="25"/>
    <n v="2550"/>
    <n v="2550"/>
    <s v="UPI"/>
    <x v="1"/>
    <s v="India"/>
    <x v="15"/>
    <s v="Rohini"/>
    <s v="Performance Seeker"/>
    <x v="0"/>
    <n v="4.7"/>
    <s v="Delivered"/>
    <s v="Express"/>
    <n v="2"/>
  </r>
  <r>
    <s v="ORD202294"/>
    <s v="CUST100062"/>
    <s v="Men"/>
    <s v="25-34"/>
    <x v="349"/>
    <x v="0"/>
    <x v="13"/>
    <x v="2"/>
    <n v="11"/>
    <s v="Green"/>
    <n v="1"/>
    <n v="5299"/>
    <n v="25"/>
    <n v="3970"/>
    <n v="3970"/>
    <s v="Net Banking"/>
    <x v="1"/>
    <s v="India"/>
    <x v="8"/>
    <s v="Hyderabad"/>
    <s v="Performance Seeker"/>
    <x v="0"/>
    <n v="4.5"/>
    <s v="Delivered"/>
    <s v="Standard"/>
    <n v="2"/>
  </r>
  <r>
    <s v="ORD200844"/>
    <s v="CUST100331"/>
    <s v="Men"/>
    <s v="25-34"/>
    <x v="350"/>
    <x v="1"/>
    <x v="1"/>
    <x v="1"/>
    <n v="10"/>
    <s v="Black"/>
    <n v="1"/>
    <n v="3799"/>
    <n v="15"/>
    <n v="3230"/>
    <n v="3230"/>
    <s v="Cash on Delivery"/>
    <x v="1"/>
    <s v="India"/>
    <x v="13"/>
    <s v="Naharlagun"/>
    <s v="Premium Shopper"/>
    <x v="2"/>
    <n v="5"/>
    <s v="Cancelled"/>
    <s v="Standard"/>
    <n v="3"/>
  </r>
  <r>
    <s v="ORD202319"/>
    <s v="CUST100651"/>
    <s v="Men"/>
    <s v="25-34"/>
    <x v="350"/>
    <x v="5"/>
    <x v="21"/>
    <x v="2"/>
    <n v="11"/>
    <s v="Red"/>
    <n v="2"/>
    <n v="8299"/>
    <n v="10"/>
    <n v="7470"/>
    <n v="14940"/>
    <s v="UPI"/>
    <x v="2"/>
    <s v="India"/>
    <x v="3"/>
    <s v="Kota"/>
    <s v="Value Shopper"/>
    <x v="1"/>
    <n v="4.4000000000000004"/>
    <s v="Delivered"/>
    <s v="Express"/>
    <n v="2"/>
  </r>
  <r>
    <s v="ORD200834"/>
    <s v="CUST100636"/>
    <s v="Unisex"/>
    <s v="25-34"/>
    <x v="351"/>
    <x v="4"/>
    <x v="26"/>
    <x v="3"/>
    <n v="9"/>
    <s v="Green"/>
    <n v="4"/>
    <n v="8499"/>
    <n v="35"/>
    <n v="5520"/>
    <n v="22080"/>
    <s v="UPI"/>
    <x v="1"/>
    <s v="India"/>
    <x v="12"/>
    <s v="Rangat"/>
    <s v="Performance Seeker"/>
    <x v="1"/>
    <n v="3.7"/>
    <s v="Delivered"/>
    <s v="Same Day"/>
    <n v="1"/>
  </r>
  <r>
    <s v="ORD202758"/>
    <s v="CUST100871"/>
    <s v="Men"/>
    <s v="18-24"/>
    <x v="352"/>
    <x v="0"/>
    <x v="0"/>
    <x v="0"/>
    <n v="8"/>
    <s v="White"/>
    <n v="1"/>
    <n v="4499"/>
    <n v="30"/>
    <n v="3150"/>
    <n v="3150"/>
    <s v="Debit/Credit Card"/>
    <x v="1"/>
    <s v="India"/>
    <x v="15"/>
    <s v="Dwarka"/>
    <s v="Premium Shopper"/>
    <x v="0"/>
    <n v="4.7"/>
    <s v="Delivered"/>
    <s v="Express"/>
    <n v="2"/>
  </r>
  <r>
    <s v="ORD202393"/>
    <s v="CUST100392"/>
    <s v="Men"/>
    <s v="25-34"/>
    <x v="353"/>
    <x v="2"/>
    <x v="4"/>
    <x v="2"/>
    <n v="7"/>
    <s v="Red"/>
    <n v="1"/>
    <n v="4599"/>
    <n v="20"/>
    <n v="3680"/>
    <n v="3680"/>
    <s v="UPI"/>
    <x v="1"/>
    <s v="India"/>
    <x v="19"/>
    <s v="Nongpoh"/>
    <s v="Lifestyle Shopper"/>
    <x v="1"/>
    <n v="5"/>
    <s v="Returned"/>
    <s v="Express"/>
    <n v="3"/>
  </r>
  <r>
    <s v="ORD202637"/>
    <s v="CUST100759"/>
    <s v="Women"/>
    <s v="25-34"/>
    <x v="353"/>
    <x v="1"/>
    <x v="10"/>
    <x v="3"/>
    <n v="8"/>
    <s v="Black"/>
    <n v="1"/>
    <n v="5499"/>
    <n v="15"/>
    <n v="4670"/>
    <n v="4670"/>
    <s v="Debit/Credit Card"/>
    <x v="0"/>
    <s v="India"/>
    <x v="8"/>
    <s v="Nizamabad"/>
    <s v="Comfort Shopper"/>
    <x v="0"/>
    <n v="4.2"/>
    <s v="Delivered"/>
    <s v="Standard"/>
    <n v="2"/>
  </r>
  <r>
    <s v="ORD200846"/>
    <s v="CUST100704"/>
    <s v="Men"/>
    <s v="25-34"/>
    <x v="354"/>
    <x v="1"/>
    <x v="12"/>
    <x v="4"/>
    <n v="11"/>
    <s v="Black"/>
    <n v="2"/>
    <n v="3999"/>
    <n v="10"/>
    <n v="3600"/>
    <n v="7200"/>
    <s v="UPI"/>
    <x v="2"/>
    <s v="India"/>
    <x v="35"/>
    <s v="Lunglei"/>
    <s v="Value Shopper"/>
    <x v="0"/>
    <n v="3.4"/>
    <s v="Returned"/>
    <s v="Standard"/>
    <n v="4"/>
  </r>
  <r>
    <s v="ORD200394"/>
    <s v="CUST100110"/>
    <s v="Unisex"/>
    <s v="55+"/>
    <x v="355"/>
    <x v="3"/>
    <x v="11"/>
    <x v="4"/>
    <n v="12"/>
    <s v="Black"/>
    <n v="1"/>
    <n v="7099"/>
    <n v="20"/>
    <n v="5680"/>
    <n v="5680"/>
    <s v="Debit/Credit Card"/>
    <x v="1"/>
    <s v="India"/>
    <x v="25"/>
    <s v="Jammu"/>
    <s v="Performance Seeker"/>
    <x v="1"/>
    <n v="4.7"/>
    <s v="Delivered"/>
    <s v="Express"/>
    <n v="2"/>
  </r>
  <r>
    <s v="ORD200527"/>
    <s v="CUST100270"/>
    <s v="Women"/>
    <s v="35-44"/>
    <x v="356"/>
    <x v="4"/>
    <x v="26"/>
    <x v="3"/>
    <n v="8"/>
    <s v="White"/>
    <n v="2"/>
    <n v="8399"/>
    <n v="20"/>
    <n v="6720"/>
    <n v="13440"/>
    <s v="Cash on Delivery"/>
    <x v="2"/>
    <s v="India"/>
    <x v="10"/>
    <s v="Diu"/>
    <s v="Lifestyle Shopper"/>
    <x v="0"/>
    <n v="4.2"/>
    <s v="Delivered"/>
    <s v="Express"/>
    <n v="2"/>
  </r>
  <r>
    <s v="ORD201370"/>
    <s v="CUST100341"/>
    <s v="Women"/>
    <s v="18-24"/>
    <x v="356"/>
    <x v="4"/>
    <x v="29"/>
    <x v="2"/>
    <n v="10"/>
    <s v="Blue"/>
    <n v="1"/>
    <n v="8299"/>
    <n v="25"/>
    <n v="6220"/>
    <n v="6220"/>
    <s v="Cash on Delivery"/>
    <x v="1"/>
    <s v="India"/>
    <x v="27"/>
    <s v="Rourkela"/>
    <s v="Value Shopper"/>
    <x v="0"/>
    <n v="4.5999999999999996"/>
    <s v="Delivered"/>
    <s v="Standard"/>
    <n v="1"/>
  </r>
  <r>
    <s v="ORD200744"/>
    <s v="CUST100112"/>
    <s v="Women"/>
    <s v="18-24"/>
    <x v="357"/>
    <x v="2"/>
    <x v="24"/>
    <x v="4"/>
    <n v="9"/>
    <s v="Grey"/>
    <n v="1"/>
    <n v="4899"/>
    <n v="10"/>
    <n v="4410"/>
    <n v="4410"/>
    <s v="Net Banking"/>
    <x v="2"/>
    <s v="India"/>
    <x v="2"/>
    <s v="Faridabad"/>
    <s v="Value Shopper"/>
    <x v="1"/>
    <n v="5"/>
    <s v="Cancelled"/>
    <s v="Express"/>
    <n v="2"/>
  </r>
  <r>
    <s v="ORD201394"/>
    <s v="CUST100242"/>
    <s v="Men"/>
    <s v="25-34"/>
    <x v="358"/>
    <x v="0"/>
    <x v="19"/>
    <x v="4"/>
    <n v="7"/>
    <s v="Red"/>
    <n v="1"/>
    <n v="7999"/>
    <n v="10"/>
    <n v="7200"/>
    <n v="7200"/>
    <s v="UPI"/>
    <x v="0"/>
    <s v="India"/>
    <x v="25"/>
    <s v="Anantnag"/>
    <s v="Lifestyle Shopper"/>
    <x v="1"/>
    <n v="5"/>
    <s v="Returned"/>
    <s v="Standard"/>
    <n v="4"/>
  </r>
  <r>
    <s v="ORD203074"/>
    <s v="CUST101046"/>
    <s v="Women"/>
    <s v="25-34"/>
    <x v="358"/>
    <x v="4"/>
    <x v="6"/>
    <x v="2"/>
    <n v="9"/>
    <s v="White"/>
    <n v="1"/>
    <n v="7399"/>
    <n v="15"/>
    <n v="6290"/>
    <n v="6290"/>
    <s v="UPI"/>
    <x v="2"/>
    <s v="India"/>
    <x v="28"/>
    <s v="Diskit"/>
    <s v="Value Shopper"/>
    <x v="1"/>
    <n v="3.8"/>
    <s v="Returned"/>
    <s v="Express"/>
    <n v="2"/>
  </r>
  <r>
    <s v="ORD200814"/>
    <s v="CUST100369"/>
    <s v="Men"/>
    <s v="25-34"/>
    <x v="359"/>
    <x v="2"/>
    <x v="4"/>
    <x v="2"/>
    <n v="7"/>
    <s v="Red"/>
    <n v="1"/>
    <n v="8399"/>
    <n v="30"/>
    <n v="5880"/>
    <n v="5880"/>
    <s v="Net Banking"/>
    <x v="1"/>
    <s v="India"/>
    <x v="19"/>
    <s v="Shillong"/>
    <s v="Comfort Shopper"/>
    <x v="0"/>
    <n v="4.5"/>
    <s v="Delivered"/>
    <s v="Standard"/>
    <n v="5"/>
  </r>
  <r>
    <s v="ORD201570"/>
    <s v="CUST100093"/>
    <s v="Men"/>
    <s v="35-44"/>
    <x v="359"/>
    <x v="5"/>
    <x v="30"/>
    <x v="2"/>
    <n v="11"/>
    <s v="White"/>
    <n v="2"/>
    <n v="8699"/>
    <n v="30"/>
    <n v="6090"/>
    <n v="12180"/>
    <s v="Net Banking"/>
    <x v="1"/>
    <s v="India"/>
    <x v="16"/>
    <s v="Surat"/>
    <s v="Value Shopper"/>
    <x v="1"/>
    <n v="4.0999999999999996"/>
    <s v="Delivered"/>
    <s v="Standard"/>
    <n v="1"/>
  </r>
  <r>
    <s v="ORD201306"/>
    <s v="CUST100293"/>
    <s v="Men"/>
    <s v="35-44"/>
    <x v="360"/>
    <x v="1"/>
    <x v="10"/>
    <x v="3"/>
    <n v="10"/>
    <s v="White"/>
    <n v="1"/>
    <n v="4399"/>
    <n v="20"/>
    <n v="3520"/>
    <n v="3520"/>
    <s v="Debit/Credit Card"/>
    <x v="2"/>
    <s v="India"/>
    <x v="26"/>
    <s v="Thiruvananthapuram"/>
    <s v="Lifestyle Shopper"/>
    <x v="1"/>
    <n v="5"/>
    <s v="Delivered"/>
    <s v="Standard"/>
    <n v="5"/>
  </r>
  <r>
    <s v="ORD202368"/>
    <s v="CUST100360"/>
    <s v="Women"/>
    <s v="25-34"/>
    <x v="360"/>
    <x v="4"/>
    <x v="9"/>
    <x v="1"/>
    <n v="10"/>
    <s v="Grey"/>
    <n v="1"/>
    <n v="7999"/>
    <n v="0"/>
    <n v="8000"/>
    <n v="8000"/>
    <s v="Net Banking"/>
    <x v="1"/>
    <s v="India"/>
    <x v="20"/>
    <s v="Solan"/>
    <s v="Comfort Shopper"/>
    <x v="0"/>
    <n v="3.9"/>
    <s v="Delivered"/>
    <s v="Standard"/>
    <n v="6"/>
  </r>
  <r>
    <s v="ORD200122"/>
    <s v="CUST100026"/>
    <s v="Men"/>
    <s v="18-24"/>
    <x v="361"/>
    <x v="1"/>
    <x v="10"/>
    <x v="3"/>
    <n v="9"/>
    <s v="Blue"/>
    <n v="1"/>
    <n v="6299"/>
    <n v="30"/>
    <n v="4410"/>
    <n v="4410"/>
    <s v="Net Banking"/>
    <x v="1"/>
    <s v="India"/>
    <x v="33"/>
    <s v="Pune"/>
    <s v="Lifestyle Shopper"/>
    <x v="0"/>
    <n v="4.7"/>
    <s v="Cancelled"/>
    <s v="Standard"/>
    <n v="2"/>
  </r>
  <r>
    <s v="ORD201891"/>
    <s v="CUST100360"/>
    <s v="Men"/>
    <s v="18-24"/>
    <x v="362"/>
    <x v="0"/>
    <x v="13"/>
    <x v="2"/>
    <n v="9"/>
    <s v="White"/>
    <n v="1"/>
    <n v="5099"/>
    <n v="15"/>
    <n v="4330"/>
    <n v="4330"/>
    <s v="Cash on Delivery"/>
    <x v="1"/>
    <s v="India"/>
    <x v="21"/>
    <s v="Dimapur"/>
    <s v="Lifestyle Shopper"/>
    <x v="1"/>
    <n v="3.7"/>
    <s v="Delivered"/>
    <s v="Standard"/>
    <n v="5"/>
  </r>
  <r>
    <s v="ORD201972"/>
    <s v="CUST100634"/>
    <s v="Men"/>
    <s v="25-34"/>
    <x v="362"/>
    <x v="4"/>
    <x v="17"/>
    <x v="4"/>
    <n v="7"/>
    <s v="Black"/>
    <n v="1"/>
    <n v="4099"/>
    <n v="10"/>
    <n v="3690"/>
    <n v="3690"/>
    <s v="Cash on Delivery"/>
    <x v="0"/>
    <s v="India"/>
    <x v="20"/>
    <s v="Solan"/>
    <s v="Premium Shopper"/>
    <x v="0"/>
    <n v="4.3"/>
    <s v="Delivered"/>
    <s v="Express"/>
    <n v="2"/>
  </r>
  <r>
    <s v="ORD201996"/>
    <s v="CUST100482"/>
    <s v="Women"/>
    <s v="25-34"/>
    <x v="363"/>
    <x v="5"/>
    <x v="27"/>
    <x v="0"/>
    <n v="8"/>
    <s v="Black"/>
    <n v="1"/>
    <n v="6299"/>
    <n v="25"/>
    <n v="4720"/>
    <n v="4720"/>
    <s v="UPI"/>
    <x v="1"/>
    <s v="India"/>
    <x v="23"/>
    <s v="Haridwar"/>
    <s v="Lifestyle Shopper"/>
    <x v="0"/>
    <n v="4.2"/>
    <s v="Delivered"/>
    <s v="Standard"/>
    <n v="2"/>
  </r>
  <r>
    <s v="ORD200688"/>
    <s v="CUST100580"/>
    <s v="Unisex"/>
    <s v="25-34"/>
    <x v="364"/>
    <x v="2"/>
    <x v="4"/>
    <x v="2"/>
    <n v="7"/>
    <s v="Green"/>
    <n v="1"/>
    <n v="5399"/>
    <n v="5"/>
    <n v="5130"/>
    <n v="5130"/>
    <s v="Debit/Credit Card"/>
    <x v="2"/>
    <s v="India"/>
    <x v="33"/>
    <s v="Mumbai"/>
    <s v="Lifestyle Shopper"/>
    <x v="0"/>
    <n v="5"/>
    <s v="Delivered"/>
    <s v="Standard"/>
    <n v="4"/>
  </r>
  <r>
    <s v="ORD200870"/>
    <s v="CUST101037"/>
    <s v="Men"/>
    <s v="18-24"/>
    <x v="364"/>
    <x v="3"/>
    <x v="34"/>
    <x v="3"/>
    <n v="8"/>
    <s v="Green"/>
    <n v="1"/>
    <n v="5499"/>
    <n v="5"/>
    <n v="5220"/>
    <n v="5220"/>
    <s v="Debit/Credit Card"/>
    <x v="1"/>
    <s v="India"/>
    <x v="3"/>
    <s v="Kota"/>
    <s v="Value Shopper"/>
    <x v="1"/>
    <n v="3.8"/>
    <s v="Delivered"/>
    <s v="Standard"/>
    <n v="1"/>
  </r>
  <r>
    <s v="ORD202134"/>
    <s v="CUST100239"/>
    <s v="Men"/>
    <s v="45-54"/>
    <x v="364"/>
    <x v="1"/>
    <x v="10"/>
    <x v="3"/>
    <n v="10"/>
    <s v="Black"/>
    <n v="1"/>
    <n v="4899"/>
    <n v="25"/>
    <n v="3670"/>
    <n v="3670"/>
    <s v="UPI"/>
    <x v="1"/>
    <s v="India"/>
    <x v="10"/>
    <s v="Silvassa"/>
    <s v="Comfort Shopper"/>
    <x v="0"/>
    <n v="4.8"/>
    <s v="Cancelled"/>
    <s v="Express"/>
    <n v="3"/>
  </r>
  <r>
    <s v="ORD200471"/>
    <s v="CUST100876"/>
    <s v="Men"/>
    <s v="45-54"/>
    <x v="365"/>
    <x v="2"/>
    <x v="23"/>
    <x v="0"/>
    <n v="9"/>
    <s v="Black"/>
    <n v="1"/>
    <n v="3799"/>
    <n v="10"/>
    <n v="3420"/>
    <n v="3420"/>
    <s v="Debit/Credit Card"/>
    <x v="0"/>
    <s v="India"/>
    <x v="13"/>
    <s v="Itanagar"/>
    <s v="Comfort Shopper"/>
    <x v="1"/>
    <n v="4.9000000000000004"/>
    <s v="Delivered"/>
    <s v="Standard"/>
    <n v="3"/>
  </r>
  <r>
    <s v="ORD201068"/>
    <s v="CUST100471"/>
    <s v="Women"/>
    <s v="25-34"/>
    <x v="366"/>
    <x v="0"/>
    <x v="0"/>
    <x v="0"/>
    <n v="10"/>
    <s v="Blue"/>
    <n v="1"/>
    <n v="6099"/>
    <n v="20"/>
    <n v="4880"/>
    <n v="4880"/>
    <s v="Cash on Delivery"/>
    <x v="0"/>
    <s v="India"/>
    <x v="33"/>
    <s v="Pune"/>
    <s v="Value Shopper"/>
    <x v="0"/>
    <n v="5"/>
    <s v="Delivered"/>
    <s v="Express"/>
    <n v="2"/>
  </r>
  <r>
    <s v="ORD202789"/>
    <s v="CUST100504"/>
    <s v="Women"/>
    <s v="18-24"/>
    <x v="367"/>
    <x v="3"/>
    <x v="34"/>
    <x v="3"/>
    <n v="8"/>
    <s v="Grey"/>
    <n v="1"/>
    <n v="7199"/>
    <n v="25"/>
    <n v="5400"/>
    <n v="5400"/>
    <s v="Cash on Delivery"/>
    <x v="1"/>
    <s v="India"/>
    <x v="19"/>
    <s v="Tura"/>
    <s v="Premium Shopper"/>
    <x v="0"/>
    <n v="2.9"/>
    <s v="Returned"/>
    <s v="Standard"/>
    <n v="4"/>
  </r>
  <r>
    <s v="ORD203101"/>
    <s v="CUST100185"/>
    <s v="Women"/>
    <s v="25-34"/>
    <x v="367"/>
    <x v="2"/>
    <x v="23"/>
    <x v="0"/>
    <n v="8"/>
    <s v="Blue"/>
    <n v="1"/>
    <n v="8099"/>
    <n v="5"/>
    <n v="7690"/>
    <n v="7690"/>
    <s v="UPI"/>
    <x v="1"/>
    <s v="India"/>
    <x v="27"/>
    <s v="Berhampur"/>
    <s v="Comfort Shopper"/>
    <x v="1"/>
    <n v="2.8"/>
    <s v="Delivered"/>
    <s v="Express"/>
    <n v="2"/>
  </r>
  <r>
    <s v="ORD203124"/>
    <s v="CUST100100"/>
    <s v="Women"/>
    <s v="45-54"/>
    <x v="367"/>
    <x v="3"/>
    <x v="11"/>
    <x v="4"/>
    <n v="7"/>
    <s v="Green"/>
    <n v="2"/>
    <n v="5999"/>
    <n v="15"/>
    <n v="5100"/>
    <n v="10200"/>
    <s v="Debit/Credit Card"/>
    <x v="1"/>
    <s v="India"/>
    <x v="10"/>
    <s v="Silvassa"/>
    <s v="Comfort Shopper"/>
    <x v="1"/>
    <n v="3.5"/>
    <s v="Returned"/>
    <s v="Same Day"/>
    <n v="1"/>
  </r>
  <r>
    <s v="ORD200911"/>
    <s v="CUST100416"/>
    <s v="Unisex"/>
    <s v="25-34"/>
    <x v="368"/>
    <x v="3"/>
    <x v="35"/>
    <x v="2"/>
    <n v="7"/>
    <s v="White"/>
    <n v="1"/>
    <n v="7999"/>
    <n v="20"/>
    <n v="6400"/>
    <n v="6400"/>
    <s v="Net Banking"/>
    <x v="2"/>
    <s v="India"/>
    <x v="29"/>
    <s v="Visakhapatnam"/>
    <s v="Lifestyle Shopper"/>
    <x v="0"/>
    <n v="5"/>
    <s v="Cancelled"/>
    <s v="Standard"/>
    <n v="6"/>
  </r>
  <r>
    <s v="ORD201952"/>
    <s v="CUST100481"/>
    <s v="Unisex"/>
    <s v="25-34"/>
    <x v="368"/>
    <x v="2"/>
    <x v="4"/>
    <x v="2"/>
    <n v="6"/>
    <s v="Red"/>
    <n v="1"/>
    <n v="4199"/>
    <n v="15"/>
    <n v="3570"/>
    <n v="3570"/>
    <s v="Cash on Delivery"/>
    <x v="1"/>
    <s v="India"/>
    <x v="15"/>
    <s v="Dwarka"/>
    <s v="Premium Shopper"/>
    <x v="1"/>
    <n v="4.7"/>
    <s v="Cancelled"/>
    <s v="Express"/>
    <n v="3"/>
  </r>
  <r>
    <s v="ORD202316"/>
    <s v="CUST100731"/>
    <s v="Men"/>
    <s v="25-34"/>
    <x v="368"/>
    <x v="0"/>
    <x v="8"/>
    <x v="3"/>
    <n v="11"/>
    <s v="Red"/>
    <n v="1"/>
    <n v="4499"/>
    <n v="5"/>
    <n v="4270"/>
    <n v="4270"/>
    <s v="Debit/Credit Card"/>
    <x v="1"/>
    <s v="India"/>
    <x v="34"/>
    <s v="Durgapur"/>
    <s v="Lifestyle Shopper"/>
    <x v="0"/>
    <n v="4.3"/>
    <s v="Delivered"/>
    <s v="Express"/>
    <n v="2"/>
  </r>
  <r>
    <s v="ORD202374"/>
    <s v="CUST100781"/>
    <s v="Men"/>
    <s v="55+"/>
    <x v="368"/>
    <x v="1"/>
    <x v="12"/>
    <x v="4"/>
    <n v="9"/>
    <s v="Grey"/>
    <n v="1"/>
    <n v="5599"/>
    <n v="15"/>
    <n v="4760"/>
    <n v="4760"/>
    <s v="Cash on Delivery"/>
    <x v="1"/>
    <s v="India"/>
    <x v="14"/>
    <s v="Ludhiana"/>
    <s v="Value Shopper"/>
    <x v="0"/>
    <n v="3.7"/>
    <s v="Cancelled"/>
    <s v="Standard"/>
    <n v="3"/>
  </r>
  <r>
    <s v="ORD202764"/>
    <s v="CUST100586"/>
    <s v="Men"/>
    <s v="25-34"/>
    <x v="368"/>
    <x v="2"/>
    <x v="25"/>
    <x v="3"/>
    <n v="8"/>
    <s v="Black"/>
    <n v="1"/>
    <n v="4899"/>
    <n v="10"/>
    <n v="4410"/>
    <n v="4410"/>
    <s v="Cash on Delivery"/>
    <x v="1"/>
    <s v="India"/>
    <x v="5"/>
    <s v="Churachandpur"/>
    <s v="Value Shopper"/>
    <x v="0"/>
    <n v="4.5"/>
    <s v="Delivered"/>
    <s v="Standard"/>
    <n v="2"/>
  </r>
  <r>
    <s v="ORD200880"/>
    <s v="CUST100476"/>
    <s v="Men"/>
    <s v="45-54"/>
    <x v="369"/>
    <x v="5"/>
    <x v="7"/>
    <x v="1"/>
    <n v="10"/>
    <s v="Black"/>
    <n v="1"/>
    <n v="6299"/>
    <n v="30"/>
    <n v="4410"/>
    <n v="4410"/>
    <s v="UPI"/>
    <x v="0"/>
    <s v="India"/>
    <x v="25"/>
    <s v="Anantnag"/>
    <s v="Lifestyle Shopper"/>
    <x v="0"/>
    <n v="4.9000000000000004"/>
    <s v="Cancelled"/>
    <s v="Express"/>
    <n v="3"/>
  </r>
  <r>
    <s v="ORD201322"/>
    <s v="CUST100468"/>
    <s v="Unisex"/>
    <s v="18-24"/>
    <x v="369"/>
    <x v="1"/>
    <x v="1"/>
    <x v="1"/>
    <n v="9"/>
    <s v="Red"/>
    <n v="1"/>
    <n v="4099"/>
    <n v="20"/>
    <n v="3280"/>
    <n v="3280"/>
    <s v="UPI"/>
    <x v="2"/>
    <s v="India"/>
    <x v="12"/>
    <s v="Diglipur"/>
    <s v="Performance Seeker"/>
    <x v="1"/>
    <n v="4.3"/>
    <s v="Delivered"/>
    <s v="Standard"/>
    <n v="4"/>
  </r>
  <r>
    <s v="ORD200773"/>
    <s v="CUST100413"/>
    <s v="Unisex"/>
    <s v="18-24"/>
    <x v="370"/>
    <x v="0"/>
    <x v="19"/>
    <x v="4"/>
    <n v="11"/>
    <s v="Blue"/>
    <n v="1"/>
    <n v="8099"/>
    <n v="0"/>
    <n v="8100"/>
    <n v="8100"/>
    <s v="UPI"/>
    <x v="1"/>
    <s v="India"/>
    <x v="16"/>
    <s v="Vadodara"/>
    <s v="Comfort Shopper"/>
    <x v="0"/>
    <n v="4.0999999999999996"/>
    <s v="Delivered"/>
    <s v="Same Day"/>
    <n v="1"/>
  </r>
  <r>
    <s v="ORD203020"/>
    <s v="CUST100243"/>
    <s v="Women"/>
    <s v="25-34"/>
    <x v="370"/>
    <x v="4"/>
    <x v="6"/>
    <x v="2"/>
    <n v="9"/>
    <s v="Green"/>
    <n v="1"/>
    <n v="8899"/>
    <n v="15"/>
    <n v="7560"/>
    <n v="7560"/>
    <s v="Debit/Credit Card"/>
    <x v="1"/>
    <s v="India"/>
    <x v="0"/>
    <s v="Jorhat"/>
    <s v="Lifestyle Shopper"/>
    <x v="1"/>
    <n v="5"/>
    <s v="Cancelled"/>
    <s v="Express"/>
    <n v="3"/>
  </r>
  <r>
    <s v="ORD202035"/>
    <s v="CUST100908"/>
    <s v="Women"/>
    <s v="18-24"/>
    <x v="371"/>
    <x v="5"/>
    <x v="27"/>
    <x v="0"/>
    <n v="7"/>
    <s v="Black"/>
    <n v="1"/>
    <n v="6299"/>
    <n v="20"/>
    <n v="5040"/>
    <n v="5040"/>
    <s v="Net Banking"/>
    <x v="1"/>
    <s v="India"/>
    <x v="16"/>
    <s v="Ahmedabad"/>
    <s v="Lifestyle Shopper"/>
    <x v="0"/>
    <n v="2.6"/>
    <s v="Delivered"/>
    <s v="Express"/>
    <n v="3"/>
  </r>
  <r>
    <s v="ORD202181"/>
    <s v="CUST100213"/>
    <s v="Men"/>
    <s v="35-44"/>
    <x v="371"/>
    <x v="4"/>
    <x v="29"/>
    <x v="2"/>
    <n v="8"/>
    <s v="White"/>
    <n v="1"/>
    <n v="6299"/>
    <n v="25"/>
    <n v="4720"/>
    <n v="4720"/>
    <s v="UPI"/>
    <x v="0"/>
    <s v="India"/>
    <x v="33"/>
    <s v="Nashik"/>
    <s v="Premium Shopper"/>
    <x v="0"/>
    <n v="4.2"/>
    <s v="Delivered"/>
    <s v="Standard"/>
    <n v="4"/>
  </r>
  <r>
    <s v="ORD202284"/>
    <s v="CUST100652"/>
    <s v="Men"/>
    <s v="25-34"/>
    <x v="372"/>
    <x v="2"/>
    <x v="23"/>
    <x v="0"/>
    <n v="12"/>
    <s v="Black"/>
    <n v="1"/>
    <n v="6599"/>
    <n v="15"/>
    <n v="5610"/>
    <n v="5610"/>
    <s v="Cash on Delivery"/>
    <x v="2"/>
    <s v="India"/>
    <x v="15"/>
    <s v="Rohini"/>
    <s v="Lifestyle Shopper"/>
    <x v="0"/>
    <n v="4.5"/>
    <s v="Delivered"/>
    <s v="Standard"/>
    <n v="2"/>
  </r>
  <r>
    <s v="ORD201918"/>
    <s v="CUST101017"/>
    <s v="Unisex"/>
    <s v="25-34"/>
    <x v="373"/>
    <x v="0"/>
    <x v="8"/>
    <x v="3"/>
    <n v="9"/>
    <s v="Black"/>
    <n v="1"/>
    <n v="4199"/>
    <n v="30"/>
    <n v="2940"/>
    <n v="2940"/>
    <s v="UPI"/>
    <x v="0"/>
    <s v="India"/>
    <x v="19"/>
    <s v="Nongpoh"/>
    <s v="Value Shopper"/>
    <x v="0"/>
    <n v="4.2"/>
    <s v="Delivered"/>
    <s v="Express"/>
    <n v="3"/>
  </r>
  <r>
    <s v="ORD200813"/>
    <s v="CUST100215"/>
    <s v="Women"/>
    <s v="18-24"/>
    <x v="374"/>
    <x v="5"/>
    <x v="27"/>
    <x v="0"/>
    <n v="9"/>
    <s v="Black"/>
    <n v="1"/>
    <n v="9199"/>
    <n v="20"/>
    <n v="7360"/>
    <n v="7360"/>
    <s v="Cash on Delivery"/>
    <x v="2"/>
    <s v="India"/>
    <x v="3"/>
    <s v="Udaipur"/>
    <s v="Value Shopper"/>
    <x v="0"/>
    <n v="4.0999999999999996"/>
    <s v="Delivered"/>
    <s v="Standard"/>
    <n v="6"/>
  </r>
  <r>
    <s v="ORD202245"/>
    <s v="CUST100511"/>
    <s v="Women"/>
    <s v="18-24"/>
    <x v="374"/>
    <x v="4"/>
    <x v="6"/>
    <x v="2"/>
    <n v="6"/>
    <s v="Black"/>
    <n v="1"/>
    <n v="5399"/>
    <n v="15"/>
    <n v="4590"/>
    <n v="4590"/>
    <s v="UPI"/>
    <x v="1"/>
    <s v="India"/>
    <x v="18"/>
    <s v="Bhilai"/>
    <s v="Value Shopper"/>
    <x v="0"/>
    <n v="2.9"/>
    <s v="Cancelled"/>
    <s v="Express"/>
    <n v="1"/>
  </r>
  <r>
    <s v="ORD202405"/>
    <s v="CUST100994"/>
    <s v="Men"/>
    <s v="35-44"/>
    <x v="374"/>
    <x v="4"/>
    <x v="9"/>
    <x v="1"/>
    <n v="8"/>
    <s v="Grey"/>
    <n v="1"/>
    <n v="8699"/>
    <n v="15"/>
    <n v="7390"/>
    <n v="7390"/>
    <s v="Debit/Credit Card"/>
    <x v="1"/>
    <s v="India"/>
    <x v="5"/>
    <s v="Kakching"/>
    <s v="Premium Shopper"/>
    <x v="0"/>
    <n v="3.7"/>
    <s v="Cancelled"/>
    <s v="Express"/>
    <n v="2"/>
  </r>
  <r>
    <s v="ORD202675"/>
    <s v="CUST100260"/>
    <s v="Men"/>
    <s v="25-34"/>
    <x v="374"/>
    <x v="0"/>
    <x v="8"/>
    <x v="3"/>
    <n v="8"/>
    <s v="Black"/>
    <n v="2"/>
    <n v="6099"/>
    <n v="35"/>
    <n v="3960"/>
    <n v="7920"/>
    <s v="Debit/Credit Card"/>
    <x v="1"/>
    <s v="India"/>
    <x v="30"/>
    <s v="Daria"/>
    <s v="Performance Seeker"/>
    <x v="1"/>
    <n v="4.4000000000000004"/>
    <s v="Delivered"/>
    <s v="Standard"/>
    <n v="3"/>
  </r>
  <r>
    <s v="ORD202488"/>
    <s v="CUST100061"/>
    <s v="Men"/>
    <s v="35-44"/>
    <x v="375"/>
    <x v="1"/>
    <x v="1"/>
    <x v="1"/>
    <n v="8"/>
    <s v="White"/>
    <n v="1"/>
    <n v="8299"/>
    <n v="5"/>
    <n v="7880"/>
    <n v="7880"/>
    <s v="UPI"/>
    <x v="1"/>
    <s v="India"/>
    <x v="13"/>
    <s v="Itanagar"/>
    <s v="Value Shopper"/>
    <x v="0"/>
    <n v="4.0999999999999996"/>
    <s v="Returned"/>
    <s v="Express"/>
    <n v="2"/>
  </r>
  <r>
    <s v="ORD200288"/>
    <s v="CUST100102"/>
    <s v="Women"/>
    <s v="45-54"/>
    <x v="376"/>
    <x v="1"/>
    <x v="1"/>
    <x v="1"/>
    <n v="8"/>
    <s v="White"/>
    <n v="3"/>
    <n v="4099"/>
    <n v="5"/>
    <n v="3890"/>
    <n v="11670"/>
    <s v="Net Banking"/>
    <x v="1"/>
    <s v="India"/>
    <x v="9"/>
    <s v="Bhagalpur"/>
    <s v="Performance Seeker"/>
    <x v="1"/>
    <n v="4.5999999999999996"/>
    <s v="Returned"/>
    <s v="Express"/>
    <n v="2"/>
  </r>
  <r>
    <s v="ORD202885"/>
    <s v="CUST100758"/>
    <s v="Men"/>
    <s v="25-34"/>
    <x v="376"/>
    <x v="0"/>
    <x v="13"/>
    <x v="2"/>
    <n v="7"/>
    <s v="Black"/>
    <n v="1"/>
    <n v="6399"/>
    <n v="20"/>
    <n v="5120"/>
    <n v="5120"/>
    <s v="Debit/Credit Card"/>
    <x v="0"/>
    <s v="India"/>
    <x v="17"/>
    <s v="Yanam"/>
    <s v="Performance Seeker"/>
    <x v="1"/>
    <n v="4.5999999999999996"/>
    <s v="Delivered"/>
    <s v="Standard"/>
    <n v="4"/>
  </r>
  <r>
    <s v="ORD200221"/>
    <s v="CUST100470"/>
    <s v="Men"/>
    <s v="18-24"/>
    <x v="377"/>
    <x v="4"/>
    <x v="26"/>
    <x v="3"/>
    <n v="9"/>
    <s v="Blue"/>
    <n v="1"/>
    <n v="5799"/>
    <n v="15"/>
    <n v="4930"/>
    <n v="4930"/>
    <s v="Net Banking"/>
    <x v="2"/>
    <s v="India"/>
    <x v="28"/>
    <s v="Diskit"/>
    <s v="Lifestyle Shopper"/>
    <x v="1"/>
    <n v="3.7"/>
    <s v="Delivered"/>
    <s v="Standard"/>
    <n v="4"/>
  </r>
  <r>
    <s v="ORD201312"/>
    <s v="CUST100022"/>
    <s v="Women"/>
    <s v="45-54"/>
    <x v="377"/>
    <x v="5"/>
    <x v="7"/>
    <x v="1"/>
    <n v="8"/>
    <s v="Blue"/>
    <n v="1"/>
    <n v="7999"/>
    <n v="20"/>
    <n v="6400"/>
    <n v="6400"/>
    <s v="Net Banking"/>
    <x v="0"/>
    <s v="India"/>
    <x v="28"/>
    <s v="Leh"/>
    <s v="Premium Shopper"/>
    <x v="2"/>
    <n v="4.0999999999999996"/>
    <s v="Delivered"/>
    <s v="Standard"/>
    <n v="3"/>
  </r>
  <r>
    <s v="ORD202635"/>
    <s v="CUST100556"/>
    <s v="Women"/>
    <s v="35-44"/>
    <x v="377"/>
    <x v="5"/>
    <x v="7"/>
    <x v="1"/>
    <n v="7"/>
    <s v="White"/>
    <n v="1"/>
    <n v="5899"/>
    <n v="20"/>
    <n v="4720"/>
    <n v="4720"/>
    <s v="Cash on Delivery"/>
    <x v="2"/>
    <s v="India"/>
    <x v="34"/>
    <s v="Asansol"/>
    <s v="Premium Shopper"/>
    <x v="1"/>
    <n v="3.7"/>
    <s v="Delivered"/>
    <s v="Standard"/>
    <n v="6"/>
  </r>
  <r>
    <s v="ORD202031"/>
    <s v="CUST100558"/>
    <s v="Men"/>
    <s v="45-54"/>
    <x v="378"/>
    <x v="4"/>
    <x v="29"/>
    <x v="2"/>
    <n v="7"/>
    <s v="Green"/>
    <n v="1"/>
    <n v="9799"/>
    <n v="10"/>
    <n v="8820"/>
    <n v="8820"/>
    <s v="Debit/Credit Card"/>
    <x v="1"/>
    <s v="India"/>
    <x v="8"/>
    <s v="Karimnagar"/>
    <s v="Lifestyle Shopper"/>
    <x v="1"/>
    <n v="4.7"/>
    <s v="Cancelled"/>
    <s v="Express"/>
    <n v="3"/>
  </r>
  <r>
    <s v="ORD202961"/>
    <s v="CUST100412"/>
    <s v="Men"/>
    <s v="25-34"/>
    <x v="378"/>
    <x v="2"/>
    <x v="4"/>
    <x v="2"/>
    <n v="7"/>
    <s v="Grey"/>
    <n v="2"/>
    <n v="5099"/>
    <n v="20"/>
    <n v="4080"/>
    <n v="8160"/>
    <s v="Cash on Delivery"/>
    <x v="2"/>
    <s v="India"/>
    <x v="23"/>
    <s v="Dehradun"/>
    <s v="Performance Seeker"/>
    <x v="0"/>
    <n v="4.0999999999999996"/>
    <s v="Delivered"/>
    <s v="Standard"/>
    <n v="3"/>
  </r>
  <r>
    <s v="ORD200262"/>
    <s v="CUST100875"/>
    <s v="Unisex"/>
    <s v="25-34"/>
    <x v="379"/>
    <x v="2"/>
    <x v="3"/>
    <x v="2"/>
    <n v="7"/>
    <s v="Grey"/>
    <n v="1"/>
    <n v="8099"/>
    <n v="30"/>
    <n v="5670"/>
    <n v="5670"/>
    <s v="Net Banking"/>
    <x v="2"/>
    <s v="India"/>
    <x v="34"/>
    <s v="Siliguri"/>
    <s v="Lifestyle Shopper"/>
    <x v="1"/>
    <n v="5"/>
    <s v="Delivered"/>
    <s v="Same Day"/>
    <n v="1"/>
  </r>
  <r>
    <s v="ORD200915"/>
    <s v="CUST100689"/>
    <s v="Men"/>
    <s v="25-34"/>
    <x v="380"/>
    <x v="2"/>
    <x v="25"/>
    <x v="3"/>
    <n v="10"/>
    <s v="White"/>
    <n v="2"/>
    <n v="3699"/>
    <n v="10"/>
    <n v="3330"/>
    <n v="6660"/>
    <s v="Net Banking"/>
    <x v="1"/>
    <s v="India"/>
    <x v="34"/>
    <s v="Asansol"/>
    <s v="Premium Shopper"/>
    <x v="0"/>
    <n v="5"/>
    <s v="Delivered"/>
    <s v="Express"/>
    <n v="2"/>
  </r>
  <r>
    <s v="ORD202283"/>
    <s v="CUST100630"/>
    <s v="Men"/>
    <s v="25-34"/>
    <x v="380"/>
    <x v="3"/>
    <x v="34"/>
    <x v="3"/>
    <n v="10"/>
    <s v="Grey"/>
    <n v="1"/>
    <n v="5899"/>
    <n v="35"/>
    <n v="3830"/>
    <n v="3830"/>
    <s v="Net Banking"/>
    <x v="2"/>
    <s v="India"/>
    <x v="31"/>
    <s v="Coimbatore"/>
    <s v="Performance Seeker"/>
    <x v="0"/>
    <n v="3.7"/>
    <s v="Cancelled"/>
    <s v="Express"/>
    <n v="2"/>
  </r>
  <r>
    <s v="ORD200756"/>
    <s v="CUST100109"/>
    <s v="Unisex"/>
    <s v="25-34"/>
    <x v="381"/>
    <x v="5"/>
    <x v="14"/>
    <x v="3"/>
    <n v="9"/>
    <s v="Grey"/>
    <n v="1"/>
    <n v="5199"/>
    <n v="10"/>
    <n v="4680"/>
    <n v="4680"/>
    <s v="UPI"/>
    <x v="2"/>
    <s v="India"/>
    <x v="8"/>
    <s v="Warangal"/>
    <s v="Lifestyle Shopper"/>
    <x v="1"/>
    <n v="3.3"/>
    <s v="Delivered"/>
    <s v="Standard"/>
    <n v="5"/>
  </r>
  <r>
    <s v="ORD201618"/>
    <s v="CUST100600"/>
    <s v="Women"/>
    <s v="35-44"/>
    <x v="381"/>
    <x v="4"/>
    <x v="22"/>
    <x v="0"/>
    <n v="10"/>
    <s v="Grey"/>
    <n v="1"/>
    <n v="4599"/>
    <n v="20"/>
    <n v="3680"/>
    <n v="3680"/>
    <s v="UPI"/>
    <x v="2"/>
    <s v="India"/>
    <x v="3"/>
    <s v="Udaipur"/>
    <s v="Comfort Shopper"/>
    <x v="1"/>
    <n v="3.3"/>
    <s v="Cancelled"/>
    <s v="Standard"/>
    <n v="5"/>
  </r>
  <r>
    <s v="ORD201386"/>
    <s v="CUST100616"/>
    <s v="Men"/>
    <s v="25-34"/>
    <x v="382"/>
    <x v="4"/>
    <x v="22"/>
    <x v="0"/>
    <n v="10"/>
    <s v="Green"/>
    <n v="2"/>
    <n v="5099"/>
    <n v="0"/>
    <n v="5100"/>
    <n v="10200"/>
    <s v="Cash on Delivery"/>
    <x v="0"/>
    <s v="India"/>
    <x v="23"/>
    <s v="Haridwar"/>
    <s v="Performance Seeker"/>
    <x v="0"/>
    <n v="4.4000000000000004"/>
    <s v="Delivered"/>
    <s v="Standard"/>
    <n v="3"/>
  </r>
  <r>
    <s v="ORD202133"/>
    <s v="CUST100176"/>
    <s v="Unisex"/>
    <s v="35-44"/>
    <x v="382"/>
    <x v="4"/>
    <x v="9"/>
    <x v="1"/>
    <n v="8"/>
    <s v="Red"/>
    <n v="2"/>
    <n v="3999"/>
    <n v="0"/>
    <n v="4000"/>
    <n v="8000"/>
    <s v="Cash on Delivery"/>
    <x v="2"/>
    <s v="India"/>
    <x v="25"/>
    <s v="Srinagar"/>
    <s v="Premium Shopper"/>
    <x v="0"/>
    <n v="4.0999999999999996"/>
    <s v="Delivered"/>
    <s v="Same Day"/>
    <n v="1"/>
  </r>
  <r>
    <s v="ORD202530"/>
    <s v="CUST100067"/>
    <s v="Men"/>
    <s v="18-24"/>
    <x v="382"/>
    <x v="3"/>
    <x v="5"/>
    <x v="2"/>
    <n v="9"/>
    <s v="Blue"/>
    <n v="1"/>
    <n v="6099"/>
    <n v="15"/>
    <n v="5180"/>
    <n v="5180"/>
    <s v="Net Banking"/>
    <x v="1"/>
    <s v="India"/>
    <x v="34"/>
    <s v="Asansol"/>
    <s v="Value Shopper"/>
    <x v="0"/>
    <n v="5"/>
    <s v="Delivered"/>
    <s v="Standard"/>
    <n v="7"/>
  </r>
  <r>
    <s v="ORD202673"/>
    <s v="CUST100687"/>
    <s v="Women"/>
    <s v="35-44"/>
    <x v="382"/>
    <x v="5"/>
    <x v="15"/>
    <x v="4"/>
    <n v="11"/>
    <s v="Black"/>
    <n v="1"/>
    <n v="7099"/>
    <n v="10"/>
    <n v="6390"/>
    <n v="6390"/>
    <s v="UPI"/>
    <x v="1"/>
    <s v="India"/>
    <x v="7"/>
    <s v="Jabalpur"/>
    <s v="Comfort Shopper"/>
    <x v="1"/>
    <n v="5"/>
    <s v="Cancelled"/>
    <s v="Standard"/>
    <n v="4"/>
  </r>
  <r>
    <s v="ORD201349"/>
    <s v="CUST100312"/>
    <s v="Men"/>
    <s v="25-34"/>
    <x v="383"/>
    <x v="5"/>
    <x v="30"/>
    <x v="2"/>
    <n v="8"/>
    <s v="Black"/>
    <n v="1"/>
    <n v="6199"/>
    <n v="15"/>
    <n v="5270"/>
    <n v="5270"/>
    <s v="Net Banking"/>
    <x v="2"/>
    <s v="India"/>
    <x v="14"/>
    <s v="Patiala"/>
    <s v="Lifestyle Shopper"/>
    <x v="0"/>
    <n v="4"/>
    <s v="Delivered"/>
    <s v="Standard"/>
    <n v="4"/>
  </r>
  <r>
    <s v="ORD200174"/>
    <s v="CUST100465"/>
    <s v="Men"/>
    <s v="45-54"/>
    <x v="384"/>
    <x v="3"/>
    <x v="16"/>
    <x v="0"/>
    <n v="11"/>
    <s v="Grey"/>
    <n v="1"/>
    <n v="7199"/>
    <n v="10"/>
    <n v="6480"/>
    <n v="6480"/>
    <s v="UPI"/>
    <x v="1"/>
    <s v="India"/>
    <x v="31"/>
    <s v="Madurai"/>
    <s v="Lifestyle Shopper"/>
    <x v="1"/>
    <n v="4.0999999999999996"/>
    <s v="Delivered"/>
    <s v="Standard"/>
    <n v="5"/>
  </r>
  <r>
    <s v="ORD201049"/>
    <s v="CUST100104"/>
    <s v="Men"/>
    <s v="25-34"/>
    <x v="384"/>
    <x v="1"/>
    <x v="12"/>
    <x v="4"/>
    <n v="11"/>
    <s v="Red"/>
    <n v="1"/>
    <n v="5999"/>
    <n v="0"/>
    <n v="6000"/>
    <n v="6000"/>
    <s v="UPI"/>
    <x v="1"/>
    <s v="India"/>
    <x v="22"/>
    <s v="Dharmanagar"/>
    <s v="Performance Seeker"/>
    <x v="0"/>
    <n v="5"/>
    <s v="Delivered"/>
    <s v="Standard"/>
    <n v="4"/>
  </r>
  <r>
    <s v="ORD200081"/>
    <s v="CUST100378"/>
    <s v="Men"/>
    <s v="35-44"/>
    <x v="385"/>
    <x v="2"/>
    <x v="25"/>
    <x v="3"/>
    <n v="10"/>
    <s v="Red"/>
    <n v="3"/>
    <n v="4999"/>
    <n v="10"/>
    <n v="4500"/>
    <n v="13500"/>
    <s v="UPI"/>
    <x v="1"/>
    <s v="India"/>
    <x v="29"/>
    <s v="Guntur"/>
    <s v="Comfort Shopper"/>
    <x v="1"/>
    <n v="4.5"/>
    <s v="Cancelled"/>
    <s v="Standard"/>
    <n v="5"/>
  </r>
  <r>
    <s v="ORD202395"/>
    <s v="CUST100197"/>
    <s v="Men"/>
    <s v="55+"/>
    <x v="385"/>
    <x v="3"/>
    <x v="16"/>
    <x v="0"/>
    <n v="10"/>
    <s v="Red"/>
    <n v="1"/>
    <n v="4099"/>
    <n v="20"/>
    <n v="3280"/>
    <n v="3280"/>
    <s v="Cash on Delivery"/>
    <x v="0"/>
    <s v="India"/>
    <x v="14"/>
    <s v="Patiala"/>
    <s v="Lifestyle Shopper"/>
    <x v="1"/>
    <n v="5"/>
    <s v="Delivered"/>
    <s v="Express"/>
    <n v="3"/>
  </r>
  <r>
    <s v="ORD201496"/>
    <s v="CUST100004"/>
    <s v="Men"/>
    <s v="55+"/>
    <x v="386"/>
    <x v="0"/>
    <x v="2"/>
    <x v="2"/>
    <n v="10"/>
    <s v="White"/>
    <n v="1"/>
    <n v="6899"/>
    <n v="15"/>
    <n v="5860"/>
    <n v="5860"/>
    <s v="Debit/Credit Card"/>
    <x v="2"/>
    <s v="India"/>
    <x v="14"/>
    <s v="Amritsar"/>
    <s v="Value Shopper"/>
    <x v="1"/>
    <n v="4"/>
    <s v="Delivered"/>
    <s v="Standard"/>
    <n v="4"/>
  </r>
  <r>
    <s v="ORD201540"/>
    <s v="CUST100190"/>
    <s v="Men"/>
    <s v="45-54"/>
    <x v="387"/>
    <x v="1"/>
    <x v="1"/>
    <x v="1"/>
    <n v="7"/>
    <s v="Black"/>
    <n v="1"/>
    <n v="5799"/>
    <n v="40"/>
    <n v="3480"/>
    <n v="3480"/>
    <s v="UPI"/>
    <x v="0"/>
    <s v="India"/>
    <x v="0"/>
    <s v="Guwahati"/>
    <s v="Premium Shopper"/>
    <x v="0"/>
    <n v="4.0999999999999996"/>
    <s v="Delivered"/>
    <s v="Express"/>
    <n v="1"/>
  </r>
  <r>
    <s v="ORD201951"/>
    <s v="CUST100262"/>
    <s v="Men"/>
    <s v="25-34"/>
    <x v="387"/>
    <x v="5"/>
    <x v="15"/>
    <x v="4"/>
    <n v="12"/>
    <s v="Black"/>
    <n v="3"/>
    <n v="5499"/>
    <n v="25"/>
    <n v="4120"/>
    <n v="12360"/>
    <s v="Cash on Delivery"/>
    <x v="1"/>
    <s v="India"/>
    <x v="4"/>
    <s v="Gyalshing"/>
    <s v="Performance Seeker"/>
    <x v="0"/>
    <n v="5"/>
    <s v="Delivered"/>
    <s v="Same Day"/>
    <n v="2"/>
  </r>
  <r>
    <s v="ORD200098"/>
    <s v="CUST100982"/>
    <s v="Women"/>
    <s v="18-24"/>
    <x v="388"/>
    <x v="3"/>
    <x v="5"/>
    <x v="2"/>
    <n v="11"/>
    <s v="Grey"/>
    <n v="2"/>
    <n v="3399"/>
    <n v="20"/>
    <n v="2720"/>
    <n v="5440"/>
    <s v="Debit/Credit Card"/>
    <x v="1"/>
    <s v="India"/>
    <x v="14"/>
    <s v="Patiala"/>
    <s v="Lifestyle Shopper"/>
    <x v="1"/>
    <n v="3.6"/>
    <s v="Delivered"/>
    <s v="Standard"/>
    <n v="2"/>
  </r>
  <r>
    <s v="ORD200480"/>
    <s v="CUST100487"/>
    <s v="Women"/>
    <s v="25-34"/>
    <x v="388"/>
    <x v="5"/>
    <x v="15"/>
    <x v="4"/>
    <n v="7"/>
    <s v="Blue"/>
    <n v="3"/>
    <n v="8599"/>
    <n v="10"/>
    <n v="7740"/>
    <n v="23220"/>
    <s v="Net Banking"/>
    <x v="1"/>
    <s v="India"/>
    <x v="15"/>
    <s v="Dwarka"/>
    <s v="Premium Shopper"/>
    <x v="1"/>
    <n v="4.0999999999999996"/>
    <s v="Returned"/>
    <s v="Standard"/>
    <n v="5"/>
  </r>
  <r>
    <s v="ORD201175"/>
    <s v="CUST100082"/>
    <s v="Men"/>
    <s v="45-54"/>
    <x v="388"/>
    <x v="4"/>
    <x v="26"/>
    <x v="3"/>
    <n v="9"/>
    <s v="Blue"/>
    <n v="1"/>
    <n v="6899"/>
    <n v="25"/>
    <n v="5170"/>
    <n v="5170"/>
    <s v="Debit/Credit Card"/>
    <x v="0"/>
    <s v="India"/>
    <x v="23"/>
    <s v="Haldwani"/>
    <s v="Premium Shopper"/>
    <x v="1"/>
    <n v="5"/>
    <s v="Delivered"/>
    <s v="Standard"/>
    <n v="5"/>
  </r>
  <r>
    <s v="ORD201534"/>
    <s v="CUST100624"/>
    <s v="Men"/>
    <s v="25-34"/>
    <x v="388"/>
    <x v="0"/>
    <x v="2"/>
    <x v="2"/>
    <n v="6"/>
    <s v="Black"/>
    <n v="2"/>
    <n v="4299"/>
    <n v="5"/>
    <n v="4080"/>
    <n v="8160"/>
    <s v="Debit/Credit Card"/>
    <x v="1"/>
    <s v="India"/>
    <x v="4"/>
    <s v="Namchi"/>
    <s v="Value Shopper"/>
    <x v="0"/>
    <n v="2.7"/>
    <s v="Delivered"/>
    <s v="Standard"/>
    <n v="4"/>
  </r>
  <r>
    <s v="ORD200216"/>
    <s v="CUST100572"/>
    <s v="Men"/>
    <s v="25-34"/>
    <x v="389"/>
    <x v="0"/>
    <x v="0"/>
    <x v="0"/>
    <n v="8"/>
    <s v="Blue"/>
    <n v="1"/>
    <n v="7899"/>
    <n v="20"/>
    <n v="6320"/>
    <n v="6320"/>
    <s v="Net Banking"/>
    <x v="1"/>
    <s v="India"/>
    <x v="24"/>
    <s v="Hubballi"/>
    <s v="Lifestyle Shopper"/>
    <x v="0"/>
    <n v="3.2"/>
    <s v="Cancelled"/>
    <s v="Express"/>
    <n v="2"/>
  </r>
  <r>
    <s v="ORD201053"/>
    <s v="CUST100097"/>
    <s v="Men"/>
    <s v="55+"/>
    <x v="389"/>
    <x v="3"/>
    <x v="34"/>
    <x v="3"/>
    <n v="10"/>
    <s v="Black"/>
    <n v="1"/>
    <n v="7499"/>
    <n v="10"/>
    <n v="6750"/>
    <n v="6750"/>
    <s v="UPI"/>
    <x v="1"/>
    <s v="India"/>
    <x v="35"/>
    <s v="Aizawl"/>
    <s v="Comfort Shopper"/>
    <x v="1"/>
    <n v="3.7"/>
    <s v="Delivered"/>
    <s v="Standard"/>
    <n v="6"/>
  </r>
  <r>
    <s v="ORD201301"/>
    <s v="CUST100333"/>
    <s v="Women"/>
    <s v="45-54"/>
    <x v="389"/>
    <x v="4"/>
    <x v="9"/>
    <x v="1"/>
    <n v="6"/>
    <s v="Green"/>
    <n v="1"/>
    <n v="7499"/>
    <n v="10"/>
    <n v="6750"/>
    <n v="6750"/>
    <s v="Debit/Credit Card"/>
    <x v="2"/>
    <s v="India"/>
    <x v="15"/>
    <s v="Delhi"/>
    <s v="Value Shopper"/>
    <x v="0"/>
    <n v="4.3"/>
    <s v="Delivered"/>
    <s v="Same Day"/>
    <n v="1"/>
  </r>
  <r>
    <s v="ORD200129"/>
    <s v="CUST100329"/>
    <s v="Men"/>
    <s v="55+"/>
    <x v="390"/>
    <x v="4"/>
    <x v="6"/>
    <x v="2"/>
    <n v="9"/>
    <s v="Blue"/>
    <n v="1"/>
    <n v="8799"/>
    <n v="25"/>
    <n v="6600"/>
    <n v="6600"/>
    <s v="Cash on Delivery"/>
    <x v="1"/>
    <s v="India"/>
    <x v="33"/>
    <s v="Nashik"/>
    <s v="Lifestyle Shopper"/>
    <x v="0"/>
    <n v="4.3"/>
    <s v="Delivered"/>
    <s v="Same Day"/>
    <n v="1"/>
  </r>
  <r>
    <s v="ORD201669"/>
    <s v="CUST100638"/>
    <s v="Women"/>
    <s v="18-24"/>
    <x v="390"/>
    <x v="0"/>
    <x v="19"/>
    <x v="4"/>
    <n v="6"/>
    <s v="Blue"/>
    <n v="1"/>
    <n v="7699"/>
    <n v="35"/>
    <n v="5000"/>
    <n v="5000"/>
    <s v="UPI"/>
    <x v="1"/>
    <s v="India"/>
    <x v="11"/>
    <s v="Kavaratti"/>
    <s v="Value Shopper"/>
    <x v="0"/>
    <n v="2.7"/>
    <s v="Cancelled"/>
    <s v="Standard"/>
    <n v="3"/>
  </r>
  <r>
    <s v="ORD200977"/>
    <s v="CUST100271"/>
    <s v="Unisex"/>
    <s v="25-34"/>
    <x v="391"/>
    <x v="0"/>
    <x v="13"/>
    <x v="2"/>
    <n v="9"/>
    <s v="Black"/>
    <n v="1"/>
    <n v="7999"/>
    <n v="15"/>
    <n v="6800"/>
    <n v="6800"/>
    <s v="UPI"/>
    <x v="1"/>
    <s v="India"/>
    <x v="35"/>
    <s v="Lunglei"/>
    <s v="Performance Seeker"/>
    <x v="0"/>
    <n v="3.9"/>
    <s v="Returned"/>
    <s v="Standard"/>
    <n v="5"/>
  </r>
  <r>
    <s v="ORD202699"/>
    <s v="CUST100057"/>
    <s v="Men"/>
    <s v="35-44"/>
    <x v="392"/>
    <x v="2"/>
    <x v="25"/>
    <x v="3"/>
    <n v="7"/>
    <s v="Blue"/>
    <n v="1"/>
    <n v="8699"/>
    <n v="25"/>
    <n v="6520"/>
    <n v="6520"/>
    <s v="UPI"/>
    <x v="2"/>
    <s v="India"/>
    <x v="25"/>
    <s v="Srinagar"/>
    <s v="Performance Seeker"/>
    <x v="0"/>
    <n v="4"/>
    <s v="Delivered"/>
    <s v="Express"/>
    <n v="2"/>
  </r>
  <r>
    <s v="ORD200836"/>
    <s v="CUST100475"/>
    <s v="Unisex"/>
    <s v="35-44"/>
    <x v="393"/>
    <x v="5"/>
    <x v="27"/>
    <x v="0"/>
    <n v="8"/>
    <s v="Green"/>
    <n v="1"/>
    <n v="9899"/>
    <n v="25"/>
    <n v="7420"/>
    <n v="7420"/>
    <s v="UPI"/>
    <x v="1"/>
    <s v="India"/>
    <x v="14"/>
    <s v="Jalandhar"/>
    <s v="Lifestyle Shopper"/>
    <x v="0"/>
    <n v="3.5"/>
    <s v="Delivered"/>
    <s v="Standard"/>
    <n v="3"/>
  </r>
  <r>
    <s v="ORD200306"/>
    <s v="CUST100310"/>
    <s v="Women"/>
    <s v="45-54"/>
    <x v="394"/>
    <x v="5"/>
    <x v="27"/>
    <x v="0"/>
    <n v="8"/>
    <s v="Green"/>
    <n v="1"/>
    <n v="9099"/>
    <n v="30"/>
    <n v="6370"/>
    <n v="6370"/>
    <s v="UPI"/>
    <x v="1"/>
    <s v="India"/>
    <x v="34"/>
    <s v="Asansol"/>
    <s v="Comfort Shopper"/>
    <x v="0"/>
    <n v="4"/>
    <s v="Returned"/>
    <s v="Standard"/>
    <n v="7"/>
  </r>
  <r>
    <s v="ORD200891"/>
    <s v="CUST100284"/>
    <s v="Women"/>
    <s v="18-24"/>
    <x v="394"/>
    <x v="2"/>
    <x v="32"/>
    <x v="1"/>
    <n v="9"/>
    <s v="Grey"/>
    <n v="1"/>
    <n v="6399"/>
    <n v="15"/>
    <n v="5440"/>
    <n v="5440"/>
    <s v="UPI"/>
    <x v="2"/>
    <s v="India"/>
    <x v="30"/>
    <s v="Burail"/>
    <s v="Performance Seeker"/>
    <x v="1"/>
    <n v="3.7"/>
    <s v="Delivered"/>
    <s v="Standard"/>
    <n v="4"/>
  </r>
  <r>
    <s v="ORD202184"/>
    <s v="CUST100959"/>
    <s v="Men"/>
    <s v="35-44"/>
    <x v="394"/>
    <x v="4"/>
    <x v="22"/>
    <x v="0"/>
    <n v="8"/>
    <s v="Black"/>
    <n v="2"/>
    <n v="5299"/>
    <n v="5"/>
    <n v="5030"/>
    <n v="10060"/>
    <s v="Net Banking"/>
    <x v="1"/>
    <s v="India"/>
    <x v="34"/>
    <s v="Kolkata"/>
    <s v="Lifestyle Shopper"/>
    <x v="0"/>
    <n v="4.5"/>
    <s v="Delivered"/>
    <s v="Express"/>
    <n v="3"/>
  </r>
  <r>
    <s v="ORD200700"/>
    <s v="CUST100577"/>
    <s v="Men"/>
    <s v="25-34"/>
    <x v="395"/>
    <x v="2"/>
    <x v="4"/>
    <x v="2"/>
    <n v="11"/>
    <s v="Green"/>
    <n v="1"/>
    <n v="6999"/>
    <n v="15"/>
    <n v="5950"/>
    <n v="5950"/>
    <s v="UPI"/>
    <x v="1"/>
    <s v="India"/>
    <x v="24"/>
    <s v="Mangaluru"/>
    <s v="Performance Seeker"/>
    <x v="0"/>
    <n v="4.9000000000000004"/>
    <s v="Delivered"/>
    <s v="Standard"/>
    <n v="5"/>
  </r>
  <r>
    <s v="ORD200335"/>
    <s v="CUST100046"/>
    <s v="Unisex"/>
    <s v="25-34"/>
    <x v="396"/>
    <x v="0"/>
    <x v="2"/>
    <x v="2"/>
    <n v="6"/>
    <s v="Green"/>
    <n v="1"/>
    <n v="8799"/>
    <n v="10"/>
    <n v="7920"/>
    <n v="7920"/>
    <s v="Debit/Credit Card"/>
    <x v="1"/>
    <s v="India"/>
    <x v="21"/>
    <s v="Tuensang"/>
    <s v="Value Shopper"/>
    <x v="0"/>
    <n v="3.6"/>
    <s v="Delivered"/>
    <s v="Standard"/>
    <n v="3"/>
  </r>
  <r>
    <s v="ORD201720"/>
    <s v="CUST100081"/>
    <s v="Women"/>
    <s v="35-44"/>
    <x v="397"/>
    <x v="4"/>
    <x v="22"/>
    <x v="0"/>
    <n v="7"/>
    <s v="Blue"/>
    <n v="2"/>
    <n v="8899"/>
    <n v="15"/>
    <n v="7560"/>
    <n v="15120"/>
    <s v="Cash on Delivery"/>
    <x v="2"/>
    <s v="India"/>
    <x v="8"/>
    <s v="Hyderabad"/>
    <s v="Value Shopper"/>
    <x v="1"/>
    <n v="4.4000000000000004"/>
    <s v="Delivered"/>
    <s v="Standard"/>
    <n v="2"/>
  </r>
  <r>
    <s v="ORD202873"/>
    <s v="CUST100298"/>
    <s v="Men"/>
    <s v="25-34"/>
    <x v="397"/>
    <x v="3"/>
    <x v="11"/>
    <x v="4"/>
    <n v="10"/>
    <s v="Green"/>
    <n v="3"/>
    <n v="8399"/>
    <n v="10"/>
    <n v="7560"/>
    <n v="22680"/>
    <s v="Debit/Credit Card"/>
    <x v="1"/>
    <s v="India"/>
    <x v="26"/>
    <s v="Thiruvananthapuram"/>
    <s v="Performance Seeker"/>
    <x v="0"/>
    <n v="4"/>
    <s v="Cancelled"/>
    <s v="Express"/>
    <n v="3"/>
  </r>
  <r>
    <s v="ORD202473"/>
    <s v="CUST100633"/>
    <s v="Men"/>
    <s v="25-34"/>
    <x v="398"/>
    <x v="2"/>
    <x v="24"/>
    <x v="4"/>
    <n v="6"/>
    <s v="Black"/>
    <n v="1"/>
    <n v="3599"/>
    <n v="25"/>
    <n v="2700"/>
    <n v="2700"/>
    <s v="Debit/Credit Card"/>
    <x v="2"/>
    <s v="India"/>
    <x v="1"/>
    <s v="Mapusa"/>
    <s v="Comfort Shopper"/>
    <x v="0"/>
    <n v="3.5"/>
    <s v="Delivered"/>
    <s v="Standard"/>
    <n v="3"/>
  </r>
  <r>
    <s v="ORD203036"/>
    <s v="CUST101005"/>
    <s v="Women"/>
    <s v="25-34"/>
    <x v="399"/>
    <x v="3"/>
    <x v="11"/>
    <x v="4"/>
    <n v="10"/>
    <s v="White"/>
    <n v="1"/>
    <n v="3399"/>
    <n v="0"/>
    <n v="3400"/>
    <n v="3400"/>
    <s v="Debit/Credit Card"/>
    <x v="1"/>
    <s v="India"/>
    <x v="8"/>
    <s v="Hyderabad"/>
    <s v="Value Shopper"/>
    <x v="0"/>
    <n v="5"/>
    <s v="Delivered"/>
    <s v="Express"/>
    <n v="2"/>
  </r>
  <r>
    <s v="ORD201564"/>
    <s v="CUST100567"/>
    <s v="Women"/>
    <s v="25-34"/>
    <x v="400"/>
    <x v="5"/>
    <x v="30"/>
    <x v="2"/>
    <n v="9"/>
    <s v="White"/>
    <n v="2"/>
    <n v="8799"/>
    <n v="10"/>
    <n v="7920"/>
    <n v="15840"/>
    <s v="Cash on Delivery"/>
    <x v="2"/>
    <s v="India"/>
    <x v="11"/>
    <s v="Kavaratti"/>
    <s v="Premium Shopper"/>
    <x v="0"/>
    <n v="4.3"/>
    <s v="Delivered"/>
    <s v="Express"/>
    <n v="3"/>
  </r>
  <r>
    <s v="ORD202558"/>
    <s v="CUST100341"/>
    <s v="Men"/>
    <s v="45-54"/>
    <x v="401"/>
    <x v="3"/>
    <x v="34"/>
    <x v="3"/>
    <n v="10"/>
    <s v="Blue"/>
    <n v="2"/>
    <n v="5799"/>
    <n v="30"/>
    <n v="4060"/>
    <n v="8120"/>
    <s v="UPI"/>
    <x v="0"/>
    <s v="India"/>
    <x v="11"/>
    <s v="Andrott"/>
    <s v="Performance Seeker"/>
    <x v="1"/>
    <n v="3.3"/>
    <s v="Delivered"/>
    <s v="Express"/>
    <n v="3"/>
  </r>
  <r>
    <s v="ORD202633"/>
    <s v="CUST100315"/>
    <s v="Women"/>
    <s v="25-34"/>
    <x v="402"/>
    <x v="3"/>
    <x v="5"/>
    <x v="2"/>
    <n v="10"/>
    <s v="Blue"/>
    <n v="2"/>
    <n v="3999"/>
    <n v="30"/>
    <n v="2800"/>
    <n v="5600"/>
    <s v="Cash on Delivery"/>
    <x v="0"/>
    <s v="India"/>
    <x v="6"/>
    <s v="Kanpur"/>
    <s v="Lifestyle Shopper"/>
    <x v="0"/>
    <n v="2.8"/>
    <s v="Returned"/>
    <s v="Standard"/>
    <n v="6"/>
  </r>
  <r>
    <s v="ORD202375"/>
    <s v="CUST100794"/>
    <s v="Women"/>
    <s v="25-34"/>
    <x v="403"/>
    <x v="1"/>
    <x v="20"/>
    <x v="2"/>
    <n v="6"/>
    <s v="White"/>
    <n v="2"/>
    <n v="8899"/>
    <n v="10"/>
    <n v="8010"/>
    <n v="16020"/>
    <s v="UPI"/>
    <x v="2"/>
    <s v="India"/>
    <x v="9"/>
    <s v="Bhagalpur"/>
    <s v="Lifestyle Shopper"/>
    <x v="0"/>
    <n v="3.9"/>
    <s v="Cancelled"/>
    <s v="Express"/>
    <n v="4"/>
  </r>
  <r>
    <s v="ORD200203"/>
    <s v="CUST100130"/>
    <s v="Women"/>
    <s v="25-34"/>
    <x v="404"/>
    <x v="3"/>
    <x v="28"/>
    <x v="1"/>
    <n v="9"/>
    <s v="Red"/>
    <n v="1"/>
    <n v="8099"/>
    <n v="10"/>
    <n v="7290"/>
    <n v="7290"/>
    <s v="UPI"/>
    <x v="0"/>
    <s v="India"/>
    <x v="34"/>
    <s v="Durgapur"/>
    <s v="Comfort Shopper"/>
    <x v="2"/>
    <n v="4.5"/>
    <s v="Delivered"/>
    <s v="Standard"/>
    <n v="4"/>
  </r>
  <r>
    <s v="ORD200439"/>
    <s v="CUST100384"/>
    <s v="Men"/>
    <s v="55+"/>
    <x v="404"/>
    <x v="3"/>
    <x v="16"/>
    <x v="0"/>
    <n v="11"/>
    <s v="Green"/>
    <n v="1"/>
    <n v="4699"/>
    <n v="5"/>
    <n v="4460"/>
    <n v="4460"/>
    <s v="UPI"/>
    <x v="2"/>
    <s v="India"/>
    <x v="1"/>
    <s v="Margao"/>
    <s v="Lifestyle Shopper"/>
    <x v="0"/>
    <n v="4.3"/>
    <s v="Delivered"/>
    <s v="Standard"/>
    <n v="5"/>
  </r>
  <r>
    <s v="ORD200534"/>
    <s v="CUST100420"/>
    <s v="Men"/>
    <s v="18-24"/>
    <x v="404"/>
    <x v="3"/>
    <x v="11"/>
    <x v="4"/>
    <n v="12"/>
    <s v="Grey"/>
    <n v="1"/>
    <n v="4599"/>
    <n v="5"/>
    <n v="4370"/>
    <n v="4370"/>
    <s v="Net Banking"/>
    <x v="1"/>
    <s v="India"/>
    <x v="35"/>
    <s v="Champhai"/>
    <s v="Performance Seeker"/>
    <x v="1"/>
    <n v="5"/>
    <s v="Cancelled"/>
    <s v="Standard"/>
    <n v="3"/>
  </r>
  <r>
    <s v="ORD201270"/>
    <s v="CUST100577"/>
    <s v="Women"/>
    <s v="25-34"/>
    <x v="405"/>
    <x v="5"/>
    <x v="30"/>
    <x v="2"/>
    <n v="9"/>
    <s v="Black"/>
    <n v="1"/>
    <n v="6199"/>
    <n v="10"/>
    <n v="5580"/>
    <n v="5580"/>
    <s v="Debit/Credit Card"/>
    <x v="0"/>
    <s v="India"/>
    <x v="7"/>
    <s v="Indore"/>
    <s v="Premium Shopper"/>
    <x v="1"/>
    <n v="4"/>
    <s v="Returned"/>
    <s v="Standard"/>
    <n v="5"/>
  </r>
  <r>
    <s v="ORD200363"/>
    <s v="CUST100540"/>
    <s v="Women"/>
    <s v="35-44"/>
    <x v="406"/>
    <x v="1"/>
    <x v="20"/>
    <x v="2"/>
    <n v="8"/>
    <s v="Blue"/>
    <n v="1"/>
    <n v="6699"/>
    <n v="15"/>
    <n v="5690"/>
    <n v="5690"/>
    <s v="Debit/Credit Card"/>
    <x v="1"/>
    <s v="India"/>
    <x v="16"/>
    <s v="Surat"/>
    <s v="Value Shopper"/>
    <x v="0"/>
    <n v="3.6"/>
    <s v="Cancelled"/>
    <s v="Standard"/>
    <n v="2"/>
  </r>
  <r>
    <s v="ORD200522"/>
    <s v="CUST100723"/>
    <s v="Men"/>
    <s v="25-34"/>
    <x v="407"/>
    <x v="5"/>
    <x v="14"/>
    <x v="3"/>
    <n v="9"/>
    <s v="Blue"/>
    <n v="1"/>
    <n v="6699"/>
    <n v="25"/>
    <n v="5020"/>
    <n v="5020"/>
    <s v="Cash on Delivery"/>
    <x v="2"/>
    <s v="India"/>
    <x v="10"/>
    <s v="Silvassa"/>
    <s v="Value Shopper"/>
    <x v="1"/>
    <n v="4.3"/>
    <s v="Delivered"/>
    <s v="Standard"/>
    <n v="5"/>
  </r>
  <r>
    <s v="ORD203011"/>
    <s v="CUST100853"/>
    <s v="Women"/>
    <s v="45-54"/>
    <x v="408"/>
    <x v="1"/>
    <x v="33"/>
    <x v="0"/>
    <n v="10"/>
    <s v="Blue"/>
    <n v="1"/>
    <n v="5299"/>
    <n v="20"/>
    <n v="4240"/>
    <n v="4240"/>
    <s v="UPI"/>
    <x v="1"/>
    <s v="India"/>
    <x v="0"/>
    <s v="Silchar"/>
    <s v="Value Shopper"/>
    <x v="1"/>
    <n v="4.5999999999999996"/>
    <s v="Delivered"/>
    <s v="Express"/>
    <n v="2"/>
  </r>
  <r>
    <s v="ORD200440"/>
    <s v="CUST100731"/>
    <s v="Men"/>
    <s v="55+"/>
    <x v="409"/>
    <x v="5"/>
    <x v="30"/>
    <x v="2"/>
    <n v="8"/>
    <s v="Blue"/>
    <n v="1"/>
    <n v="7099"/>
    <n v="10"/>
    <n v="6390"/>
    <n v="6390"/>
    <s v="Debit/Credit Card"/>
    <x v="2"/>
    <s v="India"/>
    <x v="20"/>
    <s v="Solan"/>
    <s v="Premium Shopper"/>
    <x v="1"/>
    <n v="3.6"/>
    <s v="Delivered"/>
    <s v="Express"/>
    <n v="2"/>
  </r>
  <r>
    <s v="ORD200689"/>
    <s v="CUST100156"/>
    <s v="Men"/>
    <s v="25-34"/>
    <x v="409"/>
    <x v="4"/>
    <x v="6"/>
    <x v="2"/>
    <n v="9"/>
    <s v="Green"/>
    <n v="2"/>
    <n v="5999"/>
    <n v="15"/>
    <n v="5100"/>
    <n v="10200"/>
    <s v="UPI"/>
    <x v="1"/>
    <s v="India"/>
    <x v="4"/>
    <s v="Namchi"/>
    <s v="Value Shopper"/>
    <x v="1"/>
    <n v="3.9"/>
    <s v="Delivered"/>
    <s v="Standard"/>
    <n v="6"/>
  </r>
  <r>
    <s v="ORD202410"/>
    <s v="CUST100273"/>
    <s v="Men"/>
    <s v="35-44"/>
    <x v="409"/>
    <x v="0"/>
    <x v="13"/>
    <x v="2"/>
    <n v="7"/>
    <s v="Blue"/>
    <n v="1"/>
    <n v="8799"/>
    <n v="10"/>
    <n v="7920"/>
    <n v="7920"/>
    <s v="Debit/Credit Card"/>
    <x v="0"/>
    <s v="India"/>
    <x v="13"/>
    <s v="Tawang"/>
    <s v="Lifestyle Shopper"/>
    <x v="0"/>
    <n v="5"/>
    <s v="Delivered"/>
    <s v="Standard"/>
    <n v="5"/>
  </r>
  <r>
    <s v="ORD201240"/>
    <s v="CUST100166"/>
    <s v="Men"/>
    <s v="35-44"/>
    <x v="410"/>
    <x v="3"/>
    <x v="16"/>
    <x v="0"/>
    <n v="9"/>
    <s v="Blue"/>
    <n v="1"/>
    <n v="7799"/>
    <n v="15"/>
    <n v="6630"/>
    <n v="6630"/>
    <s v="Debit/Credit Card"/>
    <x v="1"/>
    <s v="India"/>
    <x v="26"/>
    <s v="Kozhikode"/>
    <s v="Performance Seeker"/>
    <x v="1"/>
    <n v="4.9000000000000004"/>
    <s v="Delivered"/>
    <s v="Express"/>
    <n v="3"/>
  </r>
  <r>
    <s v="ORD201304"/>
    <s v="CUST100410"/>
    <s v="Men"/>
    <s v="45-54"/>
    <x v="411"/>
    <x v="1"/>
    <x v="18"/>
    <x v="2"/>
    <n v="9"/>
    <s v="Green"/>
    <n v="2"/>
    <n v="8599"/>
    <n v="10"/>
    <n v="7740"/>
    <n v="15480"/>
    <s v="Cash on Delivery"/>
    <x v="1"/>
    <s v="India"/>
    <x v="24"/>
    <s v="Mangaluru"/>
    <s v="Comfort Shopper"/>
    <x v="1"/>
    <n v="4"/>
    <s v="Delivered"/>
    <s v="Express"/>
    <n v="4"/>
  </r>
  <r>
    <s v="ORD202590"/>
    <s v="CUST100417"/>
    <s v="Men"/>
    <s v="45-54"/>
    <x v="412"/>
    <x v="3"/>
    <x v="5"/>
    <x v="2"/>
    <n v="9"/>
    <s v="Black"/>
    <n v="1"/>
    <n v="7199"/>
    <n v="25"/>
    <n v="5400"/>
    <n v="5400"/>
    <s v="Debit/Credit Card"/>
    <x v="2"/>
    <s v="India"/>
    <x v="16"/>
    <s v="Rajkot"/>
    <s v="Comfort Shopper"/>
    <x v="0"/>
    <n v="4.2"/>
    <s v="Cancelled"/>
    <s v="Same Day"/>
    <n v="1"/>
  </r>
  <r>
    <s v="ORD200001"/>
    <s v="CUST100393"/>
    <s v="Women"/>
    <s v="35-44"/>
    <x v="413"/>
    <x v="2"/>
    <x v="32"/>
    <x v="1"/>
    <n v="11"/>
    <s v="Blue"/>
    <n v="1"/>
    <n v="3999"/>
    <n v="0"/>
    <n v="4000"/>
    <n v="4000"/>
    <s v="UPI"/>
    <x v="2"/>
    <s v="India"/>
    <x v="8"/>
    <s v="Hyderabad"/>
    <s v="Lifestyle Shopper"/>
    <x v="0"/>
    <n v="5"/>
    <s v="Delivered"/>
    <s v="Standard"/>
    <n v="3"/>
  </r>
  <r>
    <s v="ORD202152"/>
    <s v="CUST100637"/>
    <s v="Men"/>
    <s v="18-24"/>
    <x v="413"/>
    <x v="2"/>
    <x v="23"/>
    <x v="0"/>
    <n v="7"/>
    <s v="Blue"/>
    <n v="2"/>
    <n v="4999"/>
    <n v="20"/>
    <n v="4000"/>
    <n v="8000"/>
    <s v="UPI"/>
    <x v="2"/>
    <s v="India"/>
    <x v="12"/>
    <s v="Mayabunder"/>
    <s v="Performance Seeker"/>
    <x v="2"/>
    <n v="4.5"/>
    <s v="Delivered"/>
    <s v="Express"/>
    <n v="2"/>
  </r>
  <r>
    <s v="ORD200385"/>
    <s v="CUST100213"/>
    <s v="Women"/>
    <s v="35-44"/>
    <x v="414"/>
    <x v="4"/>
    <x v="6"/>
    <x v="2"/>
    <n v="8"/>
    <s v="Green"/>
    <n v="1"/>
    <n v="6099"/>
    <n v="25"/>
    <n v="4570"/>
    <n v="4570"/>
    <s v="UPI"/>
    <x v="0"/>
    <s v="India"/>
    <x v="28"/>
    <s v="Diskit"/>
    <s v="Premium Shopper"/>
    <x v="1"/>
    <n v="3.6"/>
    <s v="Delivered"/>
    <s v="Express"/>
    <n v="2"/>
  </r>
  <r>
    <s v="ORD200916"/>
    <s v="CUST100901"/>
    <s v="Men"/>
    <s v="35-44"/>
    <x v="414"/>
    <x v="4"/>
    <x v="9"/>
    <x v="1"/>
    <n v="9"/>
    <s v="Grey"/>
    <n v="1"/>
    <n v="7599"/>
    <n v="25"/>
    <n v="5700"/>
    <n v="5700"/>
    <s v="UPI"/>
    <x v="1"/>
    <s v="India"/>
    <x v="8"/>
    <s v="Warangal"/>
    <s v="Premium Shopper"/>
    <x v="0"/>
    <n v="3.6"/>
    <s v="Delivered"/>
    <s v="Express"/>
    <n v="2"/>
  </r>
  <r>
    <s v="ORD203059"/>
    <s v="CUST100345"/>
    <s v="Women"/>
    <s v="25-34"/>
    <x v="414"/>
    <x v="3"/>
    <x v="5"/>
    <x v="2"/>
    <n v="9"/>
    <s v="Black"/>
    <n v="2"/>
    <n v="6399"/>
    <n v="10"/>
    <n v="5760"/>
    <n v="11520"/>
    <s v="UPI"/>
    <x v="1"/>
    <s v="India"/>
    <x v="7"/>
    <s v="Jabalpur"/>
    <s v="Comfort Shopper"/>
    <x v="0"/>
    <n v="4.2"/>
    <s v="Delivered"/>
    <s v="Express"/>
    <n v="3"/>
  </r>
  <r>
    <s v="ORD201052"/>
    <s v="CUST100070"/>
    <s v="Women"/>
    <s v="45-54"/>
    <x v="415"/>
    <x v="3"/>
    <x v="28"/>
    <x v="1"/>
    <n v="8"/>
    <s v="Green"/>
    <n v="1"/>
    <n v="7499"/>
    <n v="10"/>
    <n v="6750"/>
    <n v="6750"/>
    <s v="UPI"/>
    <x v="2"/>
    <s v="India"/>
    <x v="9"/>
    <s v="Patna"/>
    <s v="Lifestyle Shopper"/>
    <x v="0"/>
    <n v="4.3"/>
    <s v="Delivered"/>
    <s v="Standard"/>
    <n v="2"/>
  </r>
  <r>
    <s v="ORD200460"/>
    <s v="CUST100899"/>
    <s v="Men"/>
    <s v="35-44"/>
    <x v="416"/>
    <x v="5"/>
    <x v="30"/>
    <x v="2"/>
    <n v="7"/>
    <s v="Black"/>
    <n v="1"/>
    <n v="9099"/>
    <n v="10"/>
    <n v="8190"/>
    <n v="8190"/>
    <s v="UPI"/>
    <x v="2"/>
    <s v="India"/>
    <x v="2"/>
    <s v="Gurugram"/>
    <s v="Premium Shopper"/>
    <x v="0"/>
    <n v="3.8"/>
    <s v="Delivered"/>
    <s v="Standard"/>
    <n v="4"/>
  </r>
  <r>
    <s v="ORD200893"/>
    <s v="CUST100379"/>
    <s v="Women"/>
    <s v="35-44"/>
    <x v="417"/>
    <x v="2"/>
    <x v="4"/>
    <x v="2"/>
    <n v="12"/>
    <s v="Green"/>
    <n v="1"/>
    <n v="3399"/>
    <n v="10"/>
    <n v="3060"/>
    <n v="3060"/>
    <s v="Debit/Credit Card"/>
    <x v="0"/>
    <s v="India"/>
    <x v="31"/>
    <s v="Madurai"/>
    <s v="Comfort Shopper"/>
    <x v="0"/>
    <n v="3.9"/>
    <s v="Delivered"/>
    <s v="Standard"/>
    <n v="5"/>
  </r>
  <r>
    <s v="ORD202736"/>
    <s v="CUST100050"/>
    <s v="Women"/>
    <s v="18-24"/>
    <x v="417"/>
    <x v="4"/>
    <x v="17"/>
    <x v="4"/>
    <n v="10"/>
    <s v="White"/>
    <n v="1"/>
    <n v="8899"/>
    <n v="5"/>
    <n v="8450"/>
    <n v="8450"/>
    <s v="Debit/Credit Card"/>
    <x v="1"/>
    <s v="India"/>
    <x v="29"/>
    <s v="Vijayawada"/>
    <s v="Comfort Shopper"/>
    <x v="0"/>
    <n v="3.7"/>
    <s v="Delivered"/>
    <s v="Same Day"/>
    <n v="2"/>
  </r>
  <r>
    <s v="ORD200491"/>
    <s v="CUST100599"/>
    <s v="Women"/>
    <s v="55+"/>
    <x v="418"/>
    <x v="1"/>
    <x v="33"/>
    <x v="0"/>
    <n v="10"/>
    <s v="Black"/>
    <n v="1"/>
    <n v="8199"/>
    <n v="20"/>
    <n v="6560"/>
    <n v="6560"/>
    <s v="Debit/Credit Card"/>
    <x v="0"/>
    <s v="India"/>
    <x v="30"/>
    <s v="Manimajra"/>
    <s v="Comfort Shopper"/>
    <x v="0"/>
    <n v="4.3"/>
    <s v="Delivered"/>
    <s v="Standard"/>
    <n v="4"/>
  </r>
  <r>
    <s v="ORD201802"/>
    <s v="CUST100009"/>
    <s v="Men"/>
    <s v="18-24"/>
    <x v="418"/>
    <x v="4"/>
    <x v="22"/>
    <x v="0"/>
    <n v="7"/>
    <s v="White"/>
    <n v="2"/>
    <n v="9599"/>
    <n v="5"/>
    <n v="9120"/>
    <n v="18240"/>
    <s v="UPI"/>
    <x v="2"/>
    <s v="India"/>
    <x v="13"/>
    <s v="Pasighat"/>
    <s v="Performance Seeker"/>
    <x v="0"/>
    <n v="4.5"/>
    <s v="Returned"/>
    <s v="Standard"/>
    <n v="5"/>
  </r>
  <r>
    <s v="ORD202665"/>
    <s v="CUST100072"/>
    <s v="Men"/>
    <s v="35-44"/>
    <x v="418"/>
    <x v="1"/>
    <x v="1"/>
    <x v="1"/>
    <n v="8"/>
    <s v="Grey"/>
    <n v="1"/>
    <n v="4299"/>
    <n v="20"/>
    <n v="3440"/>
    <n v="3440"/>
    <s v="Debit/Credit Card"/>
    <x v="1"/>
    <s v="India"/>
    <x v="17"/>
    <s v="Mahe"/>
    <s v="Lifestyle Shopper"/>
    <x v="0"/>
    <n v="3.6"/>
    <s v="Returned"/>
    <s v="Express"/>
    <n v="1"/>
  </r>
  <r>
    <s v="ORD201839"/>
    <s v="CUST100804"/>
    <s v="Men"/>
    <s v="35-44"/>
    <x v="419"/>
    <x v="4"/>
    <x v="17"/>
    <x v="4"/>
    <n v="12"/>
    <s v="Red"/>
    <n v="4"/>
    <n v="8799"/>
    <n v="10"/>
    <n v="7920"/>
    <n v="31680"/>
    <s v="UPI"/>
    <x v="1"/>
    <s v="India"/>
    <x v="33"/>
    <s v="Mumbai"/>
    <s v="Performance Seeker"/>
    <x v="0"/>
    <n v="3.3"/>
    <s v="Delivered"/>
    <s v="Standard"/>
    <n v="2"/>
  </r>
  <r>
    <s v="ORD201552"/>
    <s v="CUST100897"/>
    <s v="Unisex"/>
    <s v="25-34"/>
    <x v="420"/>
    <x v="3"/>
    <x v="34"/>
    <x v="3"/>
    <n v="11"/>
    <s v="Black"/>
    <n v="1"/>
    <n v="8099"/>
    <n v="20"/>
    <n v="6480"/>
    <n v="6480"/>
    <s v="UPI"/>
    <x v="1"/>
    <s v="India"/>
    <x v="27"/>
    <s v="Rourkela"/>
    <s v="Value Shopper"/>
    <x v="0"/>
    <n v="4.5"/>
    <s v="Returned"/>
    <s v="Express"/>
    <n v="1"/>
  </r>
  <r>
    <s v="ORD202025"/>
    <s v="CUST100054"/>
    <s v="Women"/>
    <s v="35-44"/>
    <x v="420"/>
    <x v="4"/>
    <x v="6"/>
    <x v="2"/>
    <n v="7"/>
    <s v="Black"/>
    <n v="1"/>
    <n v="5899"/>
    <n v="30"/>
    <n v="4130"/>
    <n v="4130"/>
    <s v="Debit/Credit Card"/>
    <x v="2"/>
    <s v="India"/>
    <x v="19"/>
    <s v="Nongpoh"/>
    <s v="Premium Shopper"/>
    <x v="1"/>
    <n v="3.9"/>
    <s v="Delivered"/>
    <s v="Express"/>
    <n v="2"/>
  </r>
  <r>
    <s v="ORD200764"/>
    <s v="CUST100278"/>
    <s v="Women"/>
    <s v="55+"/>
    <x v="421"/>
    <x v="3"/>
    <x v="28"/>
    <x v="1"/>
    <n v="8"/>
    <s v="Green"/>
    <n v="1"/>
    <n v="7699"/>
    <n v="5"/>
    <n v="7310"/>
    <n v="7310"/>
    <s v="Net Banking"/>
    <x v="0"/>
    <s v="India"/>
    <x v="5"/>
    <s v="Thoubal"/>
    <s v="Performance Seeker"/>
    <x v="1"/>
    <n v="5"/>
    <s v="Cancelled"/>
    <s v="Standard"/>
    <n v="4"/>
  </r>
  <r>
    <s v="ORD201333"/>
    <s v="CUST100788"/>
    <s v="Men"/>
    <s v="45-54"/>
    <x v="422"/>
    <x v="2"/>
    <x v="25"/>
    <x v="3"/>
    <n v="12"/>
    <s v="Black"/>
    <n v="1"/>
    <n v="6199"/>
    <n v="10"/>
    <n v="5580"/>
    <n v="5580"/>
    <s v="UPI"/>
    <x v="0"/>
    <s v="India"/>
    <x v="31"/>
    <s v="Chennai"/>
    <s v="Performance Seeker"/>
    <x v="1"/>
    <n v="4.4000000000000004"/>
    <s v="Delivered"/>
    <s v="Express"/>
    <n v="1"/>
  </r>
  <r>
    <s v="ORD201352"/>
    <s v="CUST100767"/>
    <s v="Women"/>
    <s v="25-34"/>
    <x v="423"/>
    <x v="1"/>
    <x v="33"/>
    <x v="0"/>
    <n v="9"/>
    <s v="Blue"/>
    <n v="1"/>
    <n v="4899"/>
    <n v="25"/>
    <n v="3670"/>
    <n v="3670"/>
    <s v="Debit/Credit Card"/>
    <x v="2"/>
    <s v="India"/>
    <x v="6"/>
    <s v="Noida"/>
    <s v="Performance Seeker"/>
    <x v="0"/>
    <n v="4.9000000000000004"/>
    <s v="Returned"/>
    <s v="Standard"/>
    <n v="2"/>
  </r>
  <r>
    <s v="ORD202254"/>
    <s v="CUST100580"/>
    <s v="Unisex"/>
    <s v="45-54"/>
    <x v="423"/>
    <x v="5"/>
    <x v="30"/>
    <x v="2"/>
    <n v="9"/>
    <s v="Black"/>
    <n v="2"/>
    <n v="8699"/>
    <n v="10"/>
    <n v="7830"/>
    <n v="15660"/>
    <s v="Debit/Credit Card"/>
    <x v="1"/>
    <s v="India"/>
    <x v="16"/>
    <s v="Ahmedabad"/>
    <s v="Lifestyle Shopper"/>
    <x v="1"/>
    <n v="3.2"/>
    <s v="Delivered"/>
    <s v="Same Day"/>
    <n v="1"/>
  </r>
  <r>
    <s v="ORD201748"/>
    <s v="CUST100662"/>
    <s v="Men"/>
    <s v="25-34"/>
    <x v="424"/>
    <x v="2"/>
    <x v="25"/>
    <x v="3"/>
    <n v="8"/>
    <s v="Grey"/>
    <n v="1"/>
    <n v="3499"/>
    <n v="25"/>
    <n v="2620"/>
    <n v="2620"/>
    <s v="UPI"/>
    <x v="1"/>
    <s v="India"/>
    <x v="11"/>
    <s v="Andrott"/>
    <s v="Performance Seeker"/>
    <x v="0"/>
    <n v="4.8"/>
    <s v="Delivered"/>
    <s v="Express"/>
    <n v="1"/>
  </r>
  <r>
    <s v="ORD202300"/>
    <s v="CUST100265"/>
    <s v="Unisex"/>
    <s v="18-24"/>
    <x v="425"/>
    <x v="2"/>
    <x v="3"/>
    <x v="2"/>
    <n v="7"/>
    <s v="Black"/>
    <n v="1"/>
    <n v="5399"/>
    <n v="25"/>
    <n v="4050"/>
    <n v="4050"/>
    <s v="Debit/Credit Card"/>
    <x v="1"/>
    <s v="India"/>
    <x v="17"/>
    <s v="Mahe"/>
    <s v="Value Shopper"/>
    <x v="0"/>
    <n v="3.8"/>
    <s v="Delivered"/>
    <s v="Same Day"/>
    <n v="1"/>
  </r>
  <r>
    <s v="ORD202378"/>
    <s v="CUST100237"/>
    <s v="Women"/>
    <s v="25-34"/>
    <x v="426"/>
    <x v="0"/>
    <x v="13"/>
    <x v="2"/>
    <n v="8"/>
    <s v="Blue"/>
    <n v="1"/>
    <n v="8999"/>
    <n v="25"/>
    <n v="6750"/>
    <n v="6750"/>
    <s v="Cash on Delivery"/>
    <x v="1"/>
    <s v="India"/>
    <x v="20"/>
    <s v="Dharamshala"/>
    <s v="Performance Seeker"/>
    <x v="0"/>
    <n v="3.3"/>
    <s v="Delivered"/>
    <s v="Standard"/>
    <n v="5"/>
  </r>
  <r>
    <s v="ORD201988"/>
    <s v="CUST100541"/>
    <s v="Men"/>
    <s v="25-34"/>
    <x v="427"/>
    <x v="3"/>
    <x v="11"/>
    <x v="4"/>
    <n v="9"/>
    <s v="Green"/>
    <n v="1"/>
    <n v="3399"/>
    <n v="25"/>
    <n v="2550"/>
    <n v="2550"/>
    <s v="UPI"/>
    <x v="2"/>
    <s v="India"/>
    <x v="18"/>
    <s v="Bhilai"/>
    <s v="Value Shopper"/>
    <x v="0"/>
    <n v="3.5"/>
    <s v="Delivered"/>
    <s v="Express"/>
    <n v="2"/>
  </r>
  <r>
    <s v="ORD201163"/>
    <s v="CUST100311"/>
    <s v="Women"/>
    <s v="35-44"/>
    <x v="428"/>
    <x v="0"/>
    <x v="31"/>
    <x v="1"/>
    <n v="9"/>
    <s v="Green"/>
    <n v="1"/>
    <n v="5799"/>
    <n v="30"/>
    <n v="4060"/>
    <n v="4060"/>
    <s v="Debit/Credit Card"/>
    <x v="2"/>
    <s v="India"/>
    <x v="3"/>
    <s v="Jaipur"/>
    <s v="Comfort Shopper"/>
    <x v="0"/>
    <n v="4.5999999999999996"/>
    <s v="Delivered"/>
    <s v="Standard"/>
    <n v="4"/>
  </r>
  <r>
    <s v="ORD202518"/>
    <s v="CUST100007"/>
    <s v="Women"/>
    <s v="35-44"/>
    <x v="428"/>
    <x v="1"/>
    <x v="20"/>
    <x v="2"/>
    <n v="7"/>
    <s v="Grey"/>
    <n v="1"/>
    <n v="4699"/>
    <n v="10"/>
    <n v="4230"/>
    <n v="4230"/>
    <s v="UPI"/>
    <x v="2"/>
    <s v="India"/>
    <x v="20"/>
    <s v="Solan"/>
    <s v="Lifestyle Shopper"/>
    <x v="0"/>
    <n v="3.5"/>
    <s v="Delivered"/>
    <s v="Standard"/>
    <n v="3"/>
  </r>
  <r>
    <s v="ORD202915"/>
    <s v="CUST100547"/>
    <s v="Men"/>
    <s v="45-54"/>
    <x v="428"/>
    <x v="0"/>
    <x v="8"/>
    <x v="3"/>
    <n v="9"/>
    <s v="White"/>
    <n v="1"/>
    <n v="6699"/>
    <n v="5"/>
    <n v="6360"/>
    <n v="6360"/>
    <s v="UPI"/>
    <x v="1"/>
    <s v="India"/>
    <x v="16"/>
    <s v="Ahmedabad"/>
    <s v="Comfort Shopper"/>
    <x v="0"/>
    <n v="4.0999999999999996"/>
    <s v="Delivered"/>
    <s v="Standard"/>
    <n v="3"/>
  </r>
  <r>
    <s v="ORD200007"/>
    <s v="CUST100344"/>
    <s v="Men"/>
    <s v="35-44"/>
    <x v="429"/>
    <x v="2"/>
    <x v="3"/>
    <x v="2"/>
    <n v="10"/>
    <s v="Black"/>
    <n v="4"/>
    <n v="7499"/>
    <n v="15"/>
    <n v="6370"/>
    <n v="25480"/>
    <s v="Net Banking"/>
    <x v="2"/>
    <s v="India"/>
    <x v="19"/>
    <s v="Nongpoh"/>
    <s v="Performance Seeker"/>
    <x v="1"/>
    <n v="4.2"/>
    <s v="Delivered"/>
    <s v="Standard"/>
    <n v="4"/>
  </r>
  <r>
    <s v="ORD201457"/>
    <s v="CUST100723"/>
    <s v="Women"/>
    <s v="25-34"/>
    <x v="429"/>
    <x v="5"/>
    <x v="27"/>
    <x v="0"/>
    <n v="9"/>
    <s v="Black"/>
    <n v="2"/>
    <n v="5599"/>
    <n v="35"/>
    <n v="3640"/>
    <n v="7280"/>
    <s v="UPI"/>
    <x v="1"/>
    <s v="India"/>
    <x v="9"/>
    <s v="Muzaffarpur"/>
    <s v="Lifestyle Shopper"/>
    <x v="1"/>
    <n v="4.9000000000000004"/>
    <s v="Cancelled"/>
    <s v="Standard"/>
    <n v="4"/>
  </r>
  <r>
    <s v="ORD202622"/>
    <s v="CUST100267"/>
    <s v="Men"/>
    <s v="25-34"/>
    <x v="429"/>
    <x v="3"/>
    <x v="28"/>
    <x v="1"/>
    <n v="9"/>
    <s v="White"/>
    <n v="1"/>
    <n v="7599"/>
    <n v="25"/>
    <n v="5700"/>
    <n v="5700"/>
    <s v="Cash on Delivery"/>
    <x v="1"/>
    <s v="India"/>
    <x v="14"/>
    <s v="Jalandhar"/>
    <s v="Premium Shopper"/>
    <x v="0"/>
    <n v="4.4000000000000004"/>
    <s v="Delivered"/>
    <s v="Standard"/>
    <n v="6"/>
  </r>
  <r>
    <s v="ORD201974"/>
    <s v="CUST100070"/>
    <s v="Unisex"/>
    <s v="25-34"/>
    <x v="430"/>
    <x v="5"/>
    <x v="14"/>
    <x v="3"/>
    <n v="11"/>
    <s v="Green"/>
    <n v="2"/>
    <n v="8399"/>
    <n v="5"/>
    <n v="7980"/>
    <n v="15960"/>
    <s v="UPI"/>
    <x v="1"/>
    <s v="India"/>
    <x v="21"/>
    <s v="Mokokchung"/>
    <s v="Lifestyle Shopper"/>
    <x v="1"/>
    <n v="3.4"/>
    <s v="Delivered"/>
    <s v="Same Day"/>
    <n v="1"/>
  </r>
  <r>
    <s v="ORD202525"/>
    <s v="CUST100048"/>
    <s v="Unisex"/>
    <s v="35-44"/>
    <x v="431"/>
    <x v="0"/>
    <x v="19"/>
    <x v="4"/>
    <n v="9"/>
    <s v="Red"/>
    <n v="1"/>
    <n v="4699"/>
    <n v="25"/>
    <n v="3520"/>
    <n v="3520"/>
    <s v="Net Banking"/>
    <x v="1"/>
    <s v="India"/>
    <x v="3"/>
    <s v="Jodhpur"/>
    <s v="Value Shopper"/>
    <x v="1"/>
    <n v="4"/>
    <s v="Delivered"/>
    <s v="Standard"/>
    <n v="3"/>
  </r>
  <r>
    <s v="ORD202555"/>
    <s v="CUST100276"/>
    <s v="Men"/>
    <s v="45-54"/>
    <x v="431"/>
    <x v="0"/>
    <x v="2"/>
    <x v="2"/>
    <n v="12"/>
    <s v="Grey"/>
    <n v="2"/>
    <n v="8099"/>
    <n v="0"/>
    <n v="8100"/>
    <n v="16200"/>
    <s v="UPI"/>
    <x v="2"/>
    <s v="India"/>
    <x v="20"/>
    <s v="Dharamshala"/>
    <s v="Comfort Shopper"/>
    <x v="0"/>
    <n v="4.5999999999999996"/>
    <s v="Delivered"/>
    <s v="Same Day"/>
    <n v="1"/>
  </r>
  <r>
    <s v="ORD201454"/>
    <s v="CUST100889"/>
    <s v="Women"/>
    <s v="35-44"/>
    <x v="432"/>
    <x v="0"/>
    <x v="19"/>
    <x v="4"/>
    <n v="12"/>
    <s v="Grey"/>
    <n v="1"/>
    <n v="6999"/>
    <n v="15"/>
    <n v="5950"/>
    <n v="5950"/>
    <s v="Debit/Credit Card"/>
    <x v="0"/>
    <s v="India"/>
    <x v="23"/>
    <s v="Haridwar"/>
    <s v="Lifestyle Shopper"/>
    <x v="0"/>
    <n v="4.3"/>
    <s v="Delivered"/>
    <s v="Standard"/>
    <n v="2"/>
  </r>
  <r>
    <s v="ORD201445"/>
    <s v="CUST100188"/>
    <s v="Women"/>
    <s v="18-24"/>
    <x v="433"/>
    <x v="3"/>
    <x v="11"/>
    <x v="4"/>
    <n v="9"/>
    <s v="Black"/>
    <n v="1"/>
    <n v="3899"/>
    <n v="20"/>
    <n v="3120"/>
    <n v="3120"/>
    <s v="UPI"/>
    <x v="1"/>
    <s v="India"/>
    <x v="16"/>
    <s v="Ahmedabad"/>
    <s v="Lifestyle Shopper"/>
    <x v="1"/>
    <n v="3.5"/>
    <s v="Delivered"/>
    <s v="Express"/>
    <n v="2"/>
  </r>
  <r>
    <s v="ORD200166"/>
    <s v="CUST100059"/>
    <s v="Unisex"/>
    <s v="45-54"/>
    <x v="434"/>
    <x v="2"/>
    <x v="25"/>
    <x v="3"/>
    <n v="12"/>
    <s v="Green"/>
    <n v="3"/>
    <n v="5499"/>
    <n v="15"/>
    <n v="4670"/>
    <n v="14010"/>
    <s v="Net Banking"/>
    <x v="1"/>
    <s v="India"/>
    <x v="16"/>
    <s v="Vadodara"/>
    <s v="Premium Shopper"/>
    <x v="1"/>
    <n v="4.5"/>
    <s v="Delivered"/>
    <s v="Standard"/>
    <n v="1"/>
  </r>
  <r>
    <s v="ORD201892"/>
    <s v="CUST100139"/>
    <s v="Men"/>
    <s v="18-24"/>
    <x v="435"/>
    <x v="0"/>
    <x v="2"/>
    <x v="2"/>
    <n v="9"/>
    <s v="Green"/>
    <n v="1"/>
    <n v="6299"/>
    <n v="20"/>
    <n v="5040"/>
    <n v="5040"/>
    <s v="UPI"/>
    <x v="2"/>
    <s v="India"/>
    <x v="2"/>
    <s v="Hisar"/>
    <s v="Value Shopper"/>
    <x v="1"/>
    <n v="4.9000000000000004"/>
    <s v="Delivered"/>
    <s v="Standard"/>
    <n v="5"/>
  </r>
  <r>
    <s v="ORD200746"/>
    <s v="CUST100420"/>
    <s v="Women"/>
    <s v="25-34"/>
    <x v="436"/>
    <x v="1"/>
    <x v="20"/>
    <x v="2"/>
    <n v="8"/>
    <s v="Grey"/>
    <n v="1"/>
    <n v="6299"/>
    <n v="10"/>
    <n v="5670"/>
    <n v="5670"/>
    <s v="Net Banking"/>
    <x v="0"/>
    <s v="India"/>
    <x v="27"/>
    <s v="Cuttack"/>
    <s v="Lifestyle Shopper"/>
    <x v="1"/>
    <n v="3"/>
    <s v="Returned"/>
    <s v="Express"/>
    <n v="1"/>
  </r>
  <r>
    <s v="ORD200412"/>
    <s v="CUST100800"/>
    <s v="Men"/>
    <s v="25-34"/>
    <x v="437"/>
    <x v="4"/>
    <x v="29"/>
    <x v="2"/>
    <n v="10"/>
    <s v="Blue"/>
    <n v="1"/>
    <n v="6699"/>
    <n v="0"/>
    <n v="6700"/>
    <n v="6700"/>
    <s v="Debit/Credit Card"/>
    <x v="1"/>
    <s v="India"/>
    <x v="6"/>
    <s v="Lucknow"/>
    <s v="Value Shopper"/>
    <x v="1"/>
    <n v="3.9"/>
    <s v="Delivered"/>
    <s v="Standard"/>
    <n v="6"/>
  </r>
  <r>
    <s v="ORD200997"/>
    <s v="CUST100046"/>
    <s v="Women"/>
    <s v="18-24"/>
    <x v="437"/>
    <x v="1"/>
    <x v="12"/>
    <x v="4"/>
    <n v="9"/>
    <s v="White"/>
    <n v="3"/>
    <n v="6599"/>
    <n v="20"/>
    <n v="5280"/>
    <n v="15840"/>
    <s v="Debit/Credit Card"/>
    <x v="1"/>
    <s v="India"/>
    <x v="22"/>
    <s v="Dharmanagar"/>
    <s v="Performance Seeker"/>
    <x v="1"/>
    <n v="4.3"/>
    <s v="Delivered"/>
    <s v="Standard"/>
    <n v="4"/>
  </r>
  <r>
    <s v="ORD202384"/>
    <s v="CUST100196"/>
    <s v="Men"/>
    <s v="18-24"/>
    <x v="438"/>
    <x v="3"/>
    <x v="16"/>
    <x v="0"/>
    <n v="11"/>
    <s v="Green"/>
    <n v="1"/>
    <n v="5899"/>
    <n v="25"/>
    <n v="4420"/>
    <n v="4420"/>
    <s v="Debit/Credit Card"/>
    <x v="1"/>
    <s v="India"/>
    <x v="33"/>
    <s v="Mumbai"/>
    <s v="Performance Seeker"/>
    <x v="1"/>
    <n v="3.8"/>
    <s v="Cancelled"/>
    <s v="Standard"/>
    <n v="3"/>
  </r>
  <r>
    <s v="ORD200495"/>
    <s v="CUST100034"/>
    <s v="Men"/>
    <s v="45-54"/>
    <x v="439"/>
    <x v="1"/>
    <x v="20"/>
    <x v="2"/>
    <n v="9"/>
    <s v="Grey"/>
    <n v="1"/>
    <n v="5799"/>
    <n v="15"/>
    <n v="4930"/>
    <n v="4930"/>
    <s v="Debit/Credit Card"/>
    <x v="2"/>
    <s v="India"/>
    <x v="10"/>
    <s v="Daman"/>
    <s v="Performance Seeker"/>
    <x v="0"/>
    <n v="4.8"/>
    <s v="Cancelled"/>
    <s v="Standard"/>
    <n v="4"/>
  </r>
  <r>
    <s v="ORD202866"/>
    <s v="CUST100072"/>
    <s v="Women"/>
    <s v="35-44"/>
    <x v="440"/>
    <x v="2"/>
    <x v="4"/>
    <x v="2"/>
    <n v="10"/>
    <s v="Grey"/>
    <n v="2"/>
    <n v="7899"/>
    <n v="15"/>
    <n v="6710"/>
    <n v="13420"/>
    <s v="UPI"/>
    <x v="2"/>
    <s v="India"/>
    <x v="8"/>
    <s v="Karimnagar"/>
    <s v="Premium Shopper"/>
    <x v="1"/>
    <n v="3.4"/>
    <s v="Returned"/>
    <s v="Standard"/>
    <n v="2"/>
  </r>
  <r>
    <s v="ORD202364"/>
    <s v="CUST100583"/>
    <s v="Women"/>
    <s v="45-54"/>
    <x v="441"/>
    <x v="0"/>
    <x v="13"/>
    <x v="2"/>
    <n v="7"/>
    <s v="Black"/>
    <n v="1"/>
    <n v="7499"/>
    <n v="20"/>
    <n v="6000"/>
    <n v="6000"/>
    <s v="Debit/Credit Card"/>
    <x v="1"/>
    <s v="India"/>
    <x v="11"/>
    <s v="Kavaratti"/>
    <s v="Performance Seeker"/>
    <x v="0"/>
    <n v="3.7"/>
    <s v="Delivered"/>
    <s v="Standard"/>
    <n v="2"/>
  </r>
  <r>
    <s v="ORD201351"/>
    <s v="CUST100067"/>
    <s v="Men"/>
    <s v="35-44"/>
    <x v="442"/>
    <x v="1"/>
    <x v="20"/>
    <x v="2"/>
    <n v="11"/>
    <s v="Blue"/>
    <n v="4"/>
    <n v="4099"/>
    <n v="15"/>
    <n v="3480"/>
    <n v="13920"/>
    <s v="UPI"/>
    <x v="2"/>
    <s v="India"/>
    <x v="11"/>
    <s v="Agatti"/>
    <s v="Lifestyle Shopper"/>
    <x v="1"/>
    <n v="5"/>
    <s v="Delivered"/>
    <s v="Express"/>
    <n v="4"/>
  </r>
  <r>
    <s v="ORD201763"/>
    <s v="CUST101032"/>
    <s v="Men"/>
    <s v="18-24"/>
    <x v="442"/>
    <x v="4"/>
    <x v="6"/>
    <x v="2"/>
    <n v="8"/>
    <s v="Grey"/>
    <n v="1"/>
    <n v="9399"/>
    <n v="15"/>
    <n v="7990"/>
    <n v="7990"/>
    <s v="UPI"/>
    <x v="0"/>
    <s v="India"/>
    <x v="19"/>
    <s v="Nongpoh"/>
    <s v="Value Shopper"/>
    <x v="0"/>
    <n v="4.5999999999999996"/>
    <s v="Delivered"/>
    <s v="Standard"/>
    <n v="6"/>
  </r>
  <r>
    <s v="ORD202993"/>
    <s v="CUST100794"/>
    <s v="Unisex"/>
    <s v="25-34"/>
    <x v="442"/>
    <x v="4"/>
    <x v="26"/>
    <x v="3"/>
    <n v="7"/>
    <s v="Red"/>
    <n v="2"/>
    <n v="6299"/>
    <n v="0"/>
    <n v="6300"/>
    <n v="12600"/>
    <s v="UPI"/>
    <x v="2"/>
    <s v="India"/>
    <x v="34"/>
    <s v="Durgapur"/>
    <s v="Performance Seeker"/>
    <x v="1"/>
    <n v="4.2"/>
    <s v="Delivered"/>
    <s v="Express"/>
    <n v="3"/>
  </r>
  <r>
    <s v="ORD200413"/>
    <s v="CUST100773"/>
    <s v="Unisex"/>
    <s v="18-24"/>
    <x v="443"/>
    <x v="2"/>
    <x v="23"/>
    <x v="0"/>
    <n v="7"/>
    <s v="White"/>
    <n v="1"/>
    <n v="8199"/>
    <n v="5"/>
    <n v="7790"/>
    <n v="7790"/>
    <s v="Debit/Credit Card"/>
    <x v="1"/>
    <s v="India"/>
    <x v="24"/>
    <s v="Hubballi"/>
    <s v="Performance Seeker"/>
    <x v="0"/>
    <n v="3.7"/>
    <s v="Cancelled"/>
    <s v="Express"/>
    <n v="1"/>
  </r>
  <r>
    <s v="ORD201754"/>
    <s v="CUST100272"/>
    <s v="Unisex"/>
    <s v="25-34"/>
    <x v="443"/>
    <x v="1"/>
    <x v="1"/>
    <x v="1"/>
    <n v="8"/>
    <s v="White"/>
    <n v="1"/>
    <n v="8199"/>
    <n v="20"/>
    <n v="6560"/>
    <n v="6560"/>
    <s v="Debit/Credit Card"/>
    <x v="1"/>
    <s v="India"/>
    <x v="2"/>
    <s v="Faridabad"/>
    <s v="Lifestyle Shopper"/>
    <x v="0"/>
    <n v="3.6"/>
    <s v="Delivered"/>
    <s v="Standard"/>
    <n v="4"/>
  </r>
  <r>
    <s v="ORD200278"/>
    <s v="CUST100649"/>
    <s v="Women"/>
    <s v="18-24"/>
    <x v="444"/>
    <x v="5"/>
    <x v="30"/>
    <x v="2"/>
    <n v="7"/>
    <s v="Grey"/>
    <n v="2"/>
    <n v="9899"/>
    <n v="25"/>
    <n v="7420"/>
    <n v="14840"/>
    <s v="Debit/Credit Card"/>
    <x v="1"/>
    <s v="India"/>
    <x v="3"/>
    <s v="Kota"/>
    <s v="Lifestyle Shopper"/>
    <x v="0"/>
    <n v="2.9"/>
    <s v="Delivered"/>
    <s v="Express"/>
    <n v="2"/>
  </r>
  <r>
    <s v="ORD203077"/>
    <s v="CUST100152"/>
    <s v="Men"/>
    <s v="25-34"/>
    <x v="445"/>
    <x v="1"/>
    <x v="10"/>
    <x v="3"/>
    <n v="8"/>
    <s v="Green"/>
    <n v="1"/>
    <n v="8399"/>
    <n v="5"/>
    <n v="7980"/>
    <n v="7980"/>
    <s v="UPI"/>
    <x v="1"/>
    <s v="India"/>
    <x v="31"/>
    <s v="Chennai"/>
    <s v="Performance Seeker"/>
    <x v="1"/>
    <n v="4.3"/>
    <s v="Returned"/>
    <s v="Standard"/>
    <n v="3"/>
  </r>
  <r>
    <s v="ORD200347"/>
    <s v="CUST100057"/>
    <s v="Men"/>
    <s v="18-24"/>
    <x v="446"/>
    <x v="4"/>
    <x v="6"/>
    <x v="2"/>
    <n v="7"/>
    <s v="Red"/>
    <n v="1"/>
    <n v="8099"/>
    <n v="5"/>
    <n v="7690"/>
    <n v="7690"/>
    <s v="UPI"/>
    <x v="1"/>
    <s v="India"/>
    <x v="32"/>
    <s v="Ranchi"/>
    <s v="Comfort Shopper"/>
    <x v="1"/>
    <n v="5"/>
    <s v="Delivered"/>
    <s v="Standard"/>
    <n v="4"/>
  </r>
  <r>
    <s v="ORD202202"/>
    <s v="CUST100157"/>
    <s v="Men"/>
    <s v="45-54"/>
    <x v="447"/>
    <x v="4"/>
    <x v="9"/>
    <x v="1"/>
    <n v="7"/>
    <s v="Blue"/>
    <n v="1"/>
    <n v="7899"/>
    <n v="35"/>
    <n v="5130"/>
    <n v="5130"/>
    <s v="UPI"/>
    <x v="1"/>
    <s v="India"/>
    <x v="33"/>
    <s v="Pune"/>
    <s v="Comfort Shopper"/>
    <x v="0"/>
    <n v="4.5999999999999996"/>
    <s v="Delivered"/>
    <s v="Standard"/>
    <n v="4"/>
  </r>
  <r>
    <s v="ORD201876"/>
    <s v="CUST100893"/>
    <s v="Unisex"/>
    <s v="55+"/>
    <x v="448"/>
    <x v="0"/>
    <x v="2"/>
    <x v="2"/>
    <n v="11"/>
    <s v="Green"/>
    <n v="1"/>
    <n v="9499"/>
    <n v="20"/>
    <n v="7600"/>
    <n v="7600"/>
    <s v="Debit/Credit Card"/>
    <x v="2"/>
    <s v="India"/>
    <x v="27"/>
    <s v="Rourkela"/>
    <s v="Comfort Shopper"/>
    <x v="0"/>
    <n v="4.4000000000000004"/>
    <s v="Delivered"/>
    <s v="Standard"/>
    <n v="3"/>
  </r>
  <r>
    <s v="ORD201384"/>
    <s v="CUST100149"/>
    <s v="Women"/>
    <s v="18-24"/>
    <x v="449"/>
    <x v="4"/>
    <x v="29"/>
    <x v="2"/>
    <n v="11"/>
    <s v="Black"/>
    <n v="1"/>
    <n v="7099"/>
    <n v="25"/>
    <n v="5320"/>
    <n v="5320"/>
    <s v="UPI"/>
    <x v="1"/>
    <s v="India"/>
    <x v="14"/>
    <s v="Amritsar"/>
    <s v="Lifestyle Shopper"/>
    <x v="0"/>
    <n v="4.5999999999999996"/>
    <s v="Delivered"/>
    <s v="Express"/>
    <n v="2"/>
  </r>
  <r>
    <s v="ORD200499"/>
    <s v="CUST100043"/>
    <s v="Men"/>
    <s v="25-34"/>
    <x v="450"/>
    <x v="2"/>
    <x v="24"/>
    <x v="4"/>
    <n v="9"/>
    <s v="White"/>
    <n v="1"/>
    <n v="6899"/>
    <n v="20"/>
    <n v="5520"/>
    <n v="5520"/>
    <s v="UPI"/>
    <x v="2"/>
    <s v="India"/>
    <x v="8"/>
    <s v="Karimnagar"/>
    <s v="Performance Seeker"/>
    <x v="0"/>
    <n v="4.9000000000000004"/>
    <s v="Delivered"/>
    <s v="Standard"/>
    <n v="4"/>
  </r>
  <r>
    <s v="ORD202647"/>
    <s v="CUST100091"/>
    <s v="Men"/>
    <s v="18-24"/>
    <x v="451"/>
    <x v="5"/>
    <x v="30"/>
    <x v="2"/>
    <n v="8"/>
    <s v="Grey"/>
    <n v="1"/>
    <n v="9799"/>
    <n v="10"/>
    <n v="8820"/>
    <n v="8820"/>
    <s v="Net Banking"/>
    <x v="0"/>
    <s v="India"/>
    <x v="8"/>
    <s v="Karimnagar"/>
    <s v="Performance Seeker"/>
    <x v="2"/>
    <n v="3.2"/>
    <s v="Delivered"/>
    <s v="Express"/>
    <n v="2"/>
  </r>
  <r>
    <s v="ORD201145"/>
    <s v="CUST100935"/>
    <s v="Men"/>
    <s v="35-44"/>
    <x v="452"/>
    <x v="0"/>
    <x v="2"/>
    <x v="2"/>
    <n v="10"/>
    <s v="Green"/>
    <n v="2"/>
    <n v="5899"/>
    <n v="25"/>
    <n v="4420"/>
    <n v="8840"/>
    <s v="UPI"/>
    <x v="1"/>
    <s v="India"/>
    <x v="17"/>
    <s v="Yanam"/>
    <s v="Comfort Shopper"/>
    <x v="0"/>
    <n v="3.4"/>
    <s v="Delivered"/>
    <s v="Same Day"/>
    <n v="1"/>
  </r>
  <r>
    <s v="ORD202967"/>
    <s v="CUST100749"/>
    <s v="Unisex"/>
    <s v="18-24"/>
    <x v="452"/>
    <x v="2"/>
    <x v="25"/>
    <x v="3"/>
    <n v="10"/>
    <s v="Blue"/>
    <n v="1"/>
    <n v="6299"/>
    <n v="20"/>
    <n v="5040"/>
    <n v="5040"/>
    <s v="Debit/Credit Card"/>
    <x v="1"/>
    <s v="India"/>
    <x v="29"/>
    <s v="Tirupati"/>
    <s v="Lifestyle Shopper"/>
    <x v="0"/>
    <n v="4.8"/>
    <s v="Delivered"/>
    <s v="Standard"/>
    <n v="1"/>
  </r>
  <r>
    <s v="ORD200334"/>
    <s v="CUST100500"/>
    <s v="Men"/>
    <s v="25-34"/>
    <x v="453"/>
    <x v="1"/>
    <x v="20"/>
    <x v="2"/>
    <n v="7"/>
    <s v="Grey"/>
    <n v="1"/>
    <n v="8199"/>
    <n v="5"/>
    <n v="7790"/>
    <n v="7790"/>
    <s v="Net Banking"/>
    <x v="2"/>
    <s v="India"/>
    <x v="9"/>
    <s v="Bhagalpur"/>
    <s v="Premium Shopper"/>
    <x v="1"/>
    <n v="4.3"/>
    <s v="Delivered"/>
    <s v="Express"/>
    <n v="2"/>
  </r>
  <r>
    <s v="ORD200565"/>
    <s v="CUST100812"/>
    <s v="Men"/>
    <s v="35-44"/>
    <x v="454"/>
    <x v="5"/>
    <x v="7"/>
    <x v="1"/>
    <n v="9"/>
    <s v="Black"/>
    <n v="1"/>
    <n v="6799"/>
    <n v="0"/>
    <n v="6800"/>
    <n v="6800"/>
    <s v="UPI"/>
    <x v="1"/>
    <s v="India"/>
    <x v="35"/>
    <s v="Lunglei"/>
    <s v="Performance Seeker"/>
    <x v="0"/>
    <n v="3.9"/>
    <s v="Returned"/>
    <s v="Express"/>
    <n v="3"/>
  </r>
  <r>
    <s v="ORD200446"/>
    <s v="CUST100535"/>
    <s v="Men"/>
    <s v="18-24"/>
    <x v="455"/>
    <x v="1"/>
    <x v="1"/>
    <x v="1"/>
    <n v="7"/>
    <s v="Green"/>
    <n v="3"/>
    <n v="8399"/>
    <n v="15"/>
    <n v="7140"/>
    <n v="21420"/>
    <s v="Debit/Credit Card"/>
    <x v="1"/>
    <s v="India"/>
    <x v="0"/>
    <s v="Jorhat"/>
    <s v="Value Shopper"/>
    <x v="0"/>
    <n v="4.9000000000000004"/>
    <s v="Returned"/>
    <s v="Express"/>
    <n v="3"/>
  </r>
  <r>
    <s v="ORD201724"/>
    <s v="CUST100039"/>
    <s v="Women"/>
    <s v="35-44"/>
    <x v="455"/>
    <x v="0"/>
    <x v="2"/>
    <x v="2"/>
    <n v="8"/>
    <s v="Blue"/>
    <n v="2"/>
    <n v="6899"/>
    <n v="0"/>
    <n v="6900"/>
    <n v="13800"/>
    <s v="UPI"/>
    <x v="0"/>
    <s v="India"/>
    <x v="31"/>
    <s v="Coimbatore"/>
    <s v="Premium Shopper"/>
    <x v="0"/>
    <n v="4.5999999999999996"/>
    <s v="Delivered"/>
    <s v="Standard"/>
    <n v="7"/>
  </r>
  <r>
    <s v="ORD202565"/>
    <s v="CUST100159"/>
    <s v="Women"/>
    <s v="35-44"/>
    <x v="455"/>
    <x v="4"/>
    <x v="29"/>
    <x v="2"/>
    <n v="9"/>
    <s v="Green"/>
    <n v="2"/>
    <n v="9799"/>
    <n v="15"/>
    <n v="8330"/>
    <n v="16660"/>
    <s v="UPI"/>
    <x v="0"/>
    <s v="India"/>
    <x v="17"/>
    <s v="Yanam"/>
    <s v="Lifestyle Shopper"/>
    <x v="0"/>
    <n v="4.5999999999999996"/>
    <s v="Cancelled"/>
    <s v="Standard"/>
    <n v="3"/>
  </r>
  <r>
    <s v="ORD202932"/>
    <s v="CUST100102"/>
    <s v="Women"/>
    <s v="25-34"/>
    <x v="456"/>
    <x v="5"/>
    <x v="7"/>
    <x v="1"/>
    <n v="10"/>
    <s v="Grey"/>
    <n v="1"/>
    <n v="7999"/>
    <n v="20"/>
    <n v="6400"/>
    <n v="6400"/>
    <s v="Cash on Delivery"/>
    <x v="2"/>
    <s v="India"/>
    <x v="9"/>
    <s v="Patna"/>
    <s v="Performance Seeker"/>
    <x v="1"/>
    <n v="4.2"/>
    <s v="Delivered"/>
    <s v="Standard"/>
    <n v="3"/>
  </r>
  <r>
    <s v="ORD201489"/>
    <s v="CUST100332"/>
    <s v="Unisex"/>
    <s v="18-24"/>
    <x v="457"/>
    <x v="0"/>
    <x v="19"/>
    <x v="4"/>
    <n v="10"/>
    <s v="Red"/>
    <n v="1"/>
    <n v="3399"/>
    <n v="15"/>
    <n v="2890"/>
    <n v="2890"/>
    <s v="Debit/Credit Card"/>
    <x v="2"/>
    <s v="India"/>
    <x v="19"/>
    <s v="Nongpoh"/>
    <s v="Lifestyle Shopper"/>
    <x v="1"/>
    <n v="3.8"/>
    <s v="Cancelled"/>
    <s v="Standard"/>
    <n v="2"/>
  </r>
  <r>
    <s v="ORD200693"/>
    <s v="CUST100577"/>
    <s v="Women"/>
    <s v="45-54"/>
    <x v="458"/>
    <x v="1"/>
    <x v="20"/>
    <x v="2"/>
    <n v="10"/>
    <s v="White"/>
    <n v="1"/>
    <n v="6399"/>
    <n v="15"/>
    <n v="5440"/>
    <n v="5440"/>
    <s v="Debit/Credit Card"/>
    <x v="0"/>
    <s v="India"/>
    <x v="20"/>
    <s v="Dharamshala"/>
    <s v="Lifestyle Shopper"/>
    <x v="1"/>
    <n v="3.2"/>
    <s v="Delivered"/>
    <s v="Express"/>
    <n v="3"/>
  </r>
  <r>
    <s v="ORD200774"/>
    <s v="CUST100916"/>
    <s v="Men"/>
    <s v="45-54"/>
    <x v="458"/>
    <x v="4"/>
    <x v="6"/>
    <x v="2"/>
    <n v="9"/>
    <s v="Blue"/>
    <n v="2"/>
    <n v="8499"/>
    <n v="15"/>
    <n v="7220"/>
    <n v="14440"/>
    <s v="UPI"/>
    <x v="1"/>
    <s v="India"/>
    <x v="17"/>
    <s v="Puducherry"/>
    <s v="Value Shopper"/>
    <x v="0"/>
    <n v="3.6"/>
    <s v="Delivered"/>
    <s v="Standard"/>
    <n v="6"/>
  </r>
  <r>
    <s v="ORD201101"/>
    <s v="CUST100700"/>
    <s v="Unisex"/>
    <s v="25-34"/>
    <x v="458"/>
    <x v="5"/>
    <x v="30"/>
    <x v="2"/>
    <n v="7"/>
    <s v="Grey"/>
    <n v="1"/>
    <n v="7199"/>
    <n v="10"/>
    <n v="6480"/>
    <n v="6480"/>
    <s v="UPI"/>
    <x v="0"/>
    <s v="India"/>
    <x v="10"/>
    <s v="Amli"/>
    <s v="Performance Seeker"/>
    <x v="1"/>
    <n v="4.8"/>
    <s v="Delivered"/>
    <s v="Standard"/>
    <n v="3"/>
  </r>
  <r>
    <s v="ORD202611"/>
    <s v="CUST100054"/>
    <s v="Unisex"/>
    <s v="18-24"/>
    <x v="458"/>
    <x v="5"/>
    <x v="14"/>
    <x v="3"/>
    <n v="8"/>
    <s v="Green"/>
    <n v="1"/>
    <n v="7699"/>
    <n v="15"/>
    <n v="6540"/>
    <n v="6540"/>
    <s v="Cash on Delivery"/>
    <x v="2"/>
    <s v="India"/>
    <x v="34"/>
    <s v="Durgapur"/>
    <s v="Premium Shopper"/>
    <x v="2"/>
    <n v="3.9"/>
    <s v="Cancelled"/>
    <s v="Standard"/>
    <n v="3"/>
  </r>
  <r>
    <s v="ORD201982"/>
    <s v="CUST100027"/>
    <s v="Men"/>
    <s v="25-34"/>
    <x v="459"/>
    <x v="5"/>
    <x v="14"/>
    <x v="3"/>
    <n v="6"/>
    <s v="Blue"/>
    <n v="1"/>
    <n v="5199"/>
    <n v="25"/>
    <n v="3900"/>
    <n v="3900"/>
    <s v="UPI"/>
    <x v="0"/>
    <s v="India"/>
    <x v="33"/>
    <s v="Nagpur"/>
    <s v="Value Shopper"/>
    <x v="2"/>
    <n v="4.2"/>
    <s v="Delivered"/>
    <s v="Express"/>
    <n v="3"/>
  </r>
  <r>
    <s v="ORD200004"/>
    <s v="CUST100088"/>
    <s v="Men"/>
    <s v="25-34"/>
    <x v="460"/>
    <x v="3"/>
    <x v="11"/>
    <x v="4"/>
    <n v="11"/>
    <s v="Blue"/>
    <n v="3"/>
    <n v="6599"/>
    <n v="15"/>
    <n v="5610"/>
    <n v="16830"/>
    <s v="Cash on Delivery"/>
    <x v="1"/>
    <s v="India"/>
    <x v="17"/>
    <s v="Puducherry"/>
    <s v="Performance Seeker"/>
    <x v="1"/>
    <n v="4.9000000000000004"/>
    <s v="Delivered"/>
    <s v="Standard"/>
    <n v="4"/>
  </r>
  <r>
    <s v="ORD200725"/>
    <s v="CUST100339"/>
    <s v="Women"/>
    <s v="45-54"/>
    <x v="461"/>
    <x v="4"/>
    <x v="26"/>
    <x v="3"/>
    <n v="10"/>
    <s v="Grey"/>
    <n v="1"/>
    <n v="4499"/>
    <n v="0"/>
    <n v="4500"/>
    <n v="4500"/>
    <s v="UPI"/>
    <x v="1"/>
    <s v="India"/>
    <x v="34"/>
    <s v="Asansol"/>
    <s v="Comfort Shopper"/>
    <x v="1"/>
    <n v="4.5"/>
    <s v="Delivered"/>
    <s v="Standard"/>
    <n v="3"/>
  </r>
  <r>
    <s v="ORD200124"/>
    <s v="CUST100142"/>
    <s v="Men"/>
    <s v="25-34"/>
    <x v="462"/>
    <x v="4"/>
    <x v="9"/>
    <x v="1"/>
    <n v="11"/>
    <s v="Red"/>
    <n v="1"/>
    <n v="3899"/>
    <n v="35"/>
    <n v="2530"/>
    <n v="2530"/>
    <s v="UPI"/>
    <x v="2"/>
    <s v="India"/>
    <x v="24"/>
    <s v="Mangaluru"/>
    <s v="Premium Shopper"/>
    <x v="0"/>
    <n v="3.2"/>
    <s v="Delivered"/>
    <s v="Express"/>
    <n v="2"/>
  </r>
  <r>
    <s v="ORD202715"/>
    <s v="CUST100681"/>
    <s v="Men"/>
    <s v="45-54"/>
    <x v="463"/>
    <x v="2"/>
    <x v="23"/>
    <x v="0"/>
    <n v="8"/>
    <s v="Red"/>
    <n v="2"/>
    <n v="3699"/>
    <n v="15"/>
    <n v="3140"/>
    <n v="6280"/>
    <s v="Cash on Delivery"/>
    <x v="0"/>
    <s v="India"/>
    <x v="13"/>
    <s v="Naharlagun"/>
    <s v="Premium Shopper"/>
    <x v="0"/>
    <n v="4.2"/>
    <s v="Returned"/>
    <s v="Standard"/>
    <n v="7"/>
  </r>
  <r>
    <s v="ORD200866"/>
    <s v="CUST100063"/>
    <s v="Women"/>
    <s v="25-34"/>
    <x v="464"/>
    <x v="2"/>
    <x v="24"/>
    <x v="4"/>
    <n v="6"/>
    <s v="Green"/>
    <n v="2"/>
    <n v="7599"/>
    <n v="5"/>
    <n v="7220"/>
    <n v="14440"/>
    <s v="Net Banking"/>
    <x v="2"/>
    <s v="India"/>
    <x v="26"/>
    <s v="Thrissur"/>
    <s v="Comfort Shopper"/>
    <x v="1"/>
    <n v="4"/>
    <s v="Cancelled"/>
    <s v="Express"/>
    <n v="2"/>
  </r>
  <r>
    <s v="ORD200685"/>
    <s v="CUST100436"/>
    <s v="Women"/>
    <s v="18-24"/>
    <x v="465"/>
    <x v="0"/>
    <x v="31"/>
    <x v="1"/>
    <n v="7"/>
    <s v="White"/>
    <n v="3"/>
    <n v="5199"/>
    <n v="20"/>
    <n v="4160"/>
    <n v="12480"/>
    <s v="UPI"/>
    <x v="1"/>
    <s v="India"/>
    <x v="28"/>
    <s v="Kargil"/>
    <s v="Lifestyle Shopper"/>
    <x v="0"/>
    <n v="4.7"/>
    <s v="Delivered"/>
    <s v="Same Day"/>
    <n v="2"/>
  </r>
  <r>
    <s v="ORD200886"/>
    <s v="CUST100624"/>
    <s v="Women"/>
    <s v="45-54"/>
    <x v="466"/>
    <x v="3"/>
    <x v="28"/>
    <x v="1"/>
    <n v="10"/>
    <s v="Blue"/>
    <n v="1"/>
    <n v="5499"/>
    <n v="35"/>
    <n v="3570"/>
    <n v="3570"/>
    <s v="UPI"/>
    <x v="1"/>
    <s v="India"/>
    <x v="5"/>
    <s v="Thoubal"/>
    <s v="Lifestyle Shopper"/>
    <x v="1"/>
    <n v="4.5999999999999996"/>
    <s v="Delivered"/>
    <s v="Standard"/>
    <n v="4"/>
  </r>
  <r>
    <s v="ORD201422"/>
    <s v="CUST100076"/>
    <s v="Men"/>
    <s v="18-24"/>
    <x v="466"/>
    <x v="1"/>
    <x v="33"/>
    <x v="0"/>
    <n v="10"/>
    <s v="Green"/>
    <n v="1"/>
    <n v="6499"/>
    <n v="20"/>
    <n v="5200"/>
    <n v="5200"/>
    <s v="Debit/Credit Card"/>
    <x v="1"/>
    <s v="India"/>
    <x v="10"/>
    <s v="Diu"/>
    <s v="Performance Seeker"/>
    <x v="0"/>
    <n v="5"/>
    <s v="Delivered"/>
    <s v="Standard"/>
    <n v="6"/>
  </r>
  <r>
    <s v="ORD202145"/>
    <s v="CUST100119"/>
    <s v="Unisex"/>
    <s v="35-44"/>
    <x v="466"/>
    <x v="3"/>
    <x v="16"/>
    <x v="0"/>
    <n v="7"/>
    <s v="Black"/>
    <n v="1"/>
    <n v="5599"/>
    <n v="5"/>
    <n v="5320"/>
    <n v="5320"/>
    <s v="UPI"/>
    <x v="0"/>
    <s v="India"/>
    <x v="26"/>
    <s v="Thrissur"/>
    <s v="Value Shopper"/>
    <x v="1"/>
    <n v="3.5"/>
    <s v="Delivered"/>
    <s v="Standard"/>
    <n v="5"/>
  </r>
  <r>
    <s v="ORD201060"/>
    <s v="CUST100978"/>
    <s v="Men"/>
    <s v="18-24"/>
    <x v="467"/>
    <x v="1"/>
    <x v="1"/>
    <x v="1"/>
    <n v="8"/>
    <s v="Blue"/>
    <n v="1"/>
    <n v="7499"/>
    <n v="10"/>
    <n v="6750"/>
    <n v="6750"/>
    <s v="Debit/Credit Card"/>
    <x v="0"/>
    <s v="India"/>
    <x v="13"/>
    <s v="Pasighat"/>
    <s v="Performance Seeker"/>
    <x v="1"/>
    <n v="4.7"/>
    <s v="Delivered"/>
    <s v="Standard"/>
    <n v="2"/>
  </r>
  <r>
    <s v="ORD201494"/>
    <s v="CUST100225"/>
    <s v="Men"/>
    <s v="35-44"/>
    <x v="467"/>
    <x v="5"/>
    <x v="21"/>
    <x v="2"/>
    <n v="10"/>
    <s v="Red"/>
    <n v="1"/>
    <n v="6499"/>
    <n v="35"/>
    <n v="4220"/>
    <n v="4220"/>
    <s v="UPI"/>
    <x v="1"/>
    <s v="India"/>
    <x v="9"/>
    <s v="Bhagalpur"/>
    <s v="Value Shopper"/>
    <x v="0"/>
    <n v="4.5"/>
    <s v="Delivered"/>
    <s v="Express"/>
    <n v="2"/>
  </r>
  <r>
    <s v="ORD201580"/>
    <s v="CUST100881"/>
    <s v="Women"/>
    <s v="18-24"/>
    <x v="467"/>
    <x v="5"/>
    <x v="21"/>
    <x v="2"/>
    <n v="8"/>
    <s v="Grey"/>
    <n v="1"/>
    <n v="6999"/>
    <n v="10"/>
    <n v="6300"/>
    <n v="6300"/>
    <s v="Cash on Delivery"/>
    <x v="1"/>
    <s v="India"/>
    <x v="18"/>
    <s v="Raipur"/>
    <s v="Lifestyle Shopper"/>
    <x v="0"/>
    <n v="4.2"/>
    <s v="Returned"/>
    <s v="Standard"/>
    <n v="3"/>
  </r>
  <r>
    <s v="ORD203088"/>
    <s v="CUST100916"/>
    <s v="Women"/>
    <s v="35-44"/>
    <x v="467"/>
    <x v="1"/>
    <x v="1"/>
    <x v="1"/>
    <n v="10"/>
    <s v="Grey"/>
    <n v="1"/>
    <n v="6999"/>
    <n v="25"/>
    <n v="5250"/>
    <n v="5250"/>
    <s v="Cash on Delivery"/>
    <x v="0"/>
    <s v="India"/>
    <x v="7"/>
    <s v="Gwalior"/>
    <s v="Comfort Shopper"/>
    <x v="1"/>
    <n v="4.3"/>
    <s v="Delivered"/>
    <s v="Standard"/>
    <n v="1"/>
  </r>
  <r>
    <s v="ORD201525"/>
    <s v="CUST100026"/>
    <s v="Women"/>
    <s v="25-34"/>
    <x v="468"/>
    <x v="4"/>
    <x v="17"/>
    <x v="4"/>
    <n v="11"/>
    <s v="Black"/>
    <n v="1"/>
    <n v="7699"/>
    <n v="15"/>
    <n v="6540"/>
    <n v="6540"/>
    <s v="UPI"/>
    <x v="2"/>
    <s v="India"/>
    <x v="20"/>
    <s v="Solan"/>
    <s v="Performance Seeker"/>
    <x v="1"/>
    <n v="3.7"/>
    <s v="Delivered"/>
    <s v="Express"/>
    <n v="1"/>
  </r>
  <r>
    <s v="ORD200423"/>
    <s v="CUST101026"/>
    <s v="Men"/>
    <s v="25-34"/>
    <x v="469"/>
    <x v="4"/>
    <x v="22"/>
    <x v="0"/>
    <n v="9"/>
    <s v="Grey"/>
    <n v="1"/>
    <n v="9099"/>
    <n v="30"/>
    <n v="6370"/>
    <n v="6370"/>
    <s v="Debit/Credit Card"/>
    <x v="1"/>
    <s v="India"/>
    <x v="0"/>
    <s v="Silchar"/>
    <s v="Comfort Shopper"/>
    <x v="1"/>
    <n v="3.2"/>
    <s v="Cancelled"/>
    <s v="Express"/>
    <n v="2"/>
  </r>
  <r>
    <s v="ORD200729"/>
    <s v="CUST100777"/>
    <s v="Unisex"/>
    <s v="35-44"/>
    <x v="470"/>
    <x v="0"/>
    <x v="0"/>
    <x v="0"/>
    <n v="9"/>
    <s v="Red"/>
    <n v="1"/>
    <n v="8799"/>
    <n v="10"/>
    <n v="7920"/>
    <n v="7920"/>
    <s v="UPI"/>
    <x v="0"/>
    <s v="India"/>
    <x v="13"/>
    <s v="Tawang"/>
    <s v="Performance Seeker"/>
    <x v="1"/>
    <n v="3.6"/>
    <s v="Delivered"/>
    <s v="Express"/>
    <n v="2"/>
  </r>
  <r>
    <s v="ORD202010"/>
    <s v="CUST100528"/>
    <s v="Men"/>
    <s v="18-24"/>
    <x v="471"/>
    <x v="0"/>
    <x v="0"/>
    <x v="0"/>
    <n v="11"/>
    <s v="Green"/>
    <n v="1"/>
    <n v="7299"/>
    <n v="10"/>
    <n v="6570"/>
    <n v="6570"/>
    <s v="Debit/Credit Card"/>
    <x v="1"/>
    <s v="India"/>
    <x v="34"/>
    <s v="Kolkata"/>
    <s v="Lifestyle Shopper"/>
    <x v="1"/>
    <n v="3.3"/>
    <s v="Delivered"/>
    <s v="Express"/>
    <n v="2"/>
  </r>
  <r>
    <s v="ORD201124"/>
    <s v="CUST100871"/>
    <s v="Men"/>
    <s v="35-44"/>
    <x v="472"/>
    <x v="3"/>
    <x v="5"/>
    <x v="2"/>
    <n v="11"/>
    <s v="Blue"/>
    <n v="1"/>
    <n v="4299"/>
    <n v="0"/>
    <n v="4300"/>
    <n v="4300"/>
    <s v="Debit/Credit Card"/>
    <x v="2"/>
    <s v="India"/>
    <x v="28"/>
    <s v="Nubra"/>
    <s v="Premium Shopper"/>
    <x v="1"/>
    <n v="4.0999999999999996"/>
    <s v="Delivered"/>
    <s v="Standard"/>
    <n v="4"/>
  </r>
  <r>
    <s v="ORD200492"/>
    <s v="CUST100844"/>
    <s v="Women"/>
    <s v="25-34"/>
    <x v="473"/>
    <x v="2"/>
    <x v="32"/>
    <x v="1"/>
    <n v="9"/>
    <s v="Grey"/>
    <n v="1"/>
    <n v="7199"/>
    <n v="10"/>
    <n v="6480"/>
    <n v="6480"/>
    <s v="Debit/Credit Card"/>
    <x v="1"/>
    <s v="India"/>
    <x v="5"/>
    <s v="Thoubal"/>
    <s v="Premium Shopper"/>
    <x v="0"/>
    <n v="4.5999999999999996"/>
    <s v="Delivered"/>
    <s v="Standard"/>
    <n v="3"/>
  </r>
  <r>
    <s v="ORD200233"/>
    <s v="CUST100392"/>
    <s v="Men"/>
    <s v="25-34"/>
    <x v="474"/>
    <x v="2"/>
    <x v="32"/>
    <x v="1"/>
    <n v="8"/>
    <s v="Black"/>
    <n v="1"/>
    <n v="3299"/>
    <n v="30"/>
    <n v="2310"/>
    <n v="2310"/>
    <s v="Cash on Delivery"/>
    <x v="1"/>
    <s v="India"/>
    <x v="35"/>
    <s v="Aizawl"/>
    <s v="Value Shopper"/>
    <x v="1"/>
    <n v="3.2"/>
    <s v="Delivered"/>
    <s v="Same Day"/>
    <n v="1"/>
  </r>
  <r>
    <s v="ORD201037"/>
    <s v="CUST100138"/>
    <s v="Unisex"/>
    <s v="25-34"/>
    <x v="474"/>
    <x v="2"/>
    <x v="23"/>
    <x v="0"/>
    <n v="7"/>
    <s v="Blue"/>
    <n v="1"/>
    <n v="7699"/>
    <n v="25"/>
    <n v="5770"/>
    <n v="5770"/>
    <s v="UPI"/>
    <x v="1"/>
    <s v="India"/>
    <x v="12"/>
    <s v="Rangat"/>
    <s v="Premium Shopper"/>
    <x v="1"/>
    <n v="4.7"/>
    <s v="Delivered"/>
    <s v="Express"/>
    <n v="2"/>
  </r>
  <r>
    <s v="ORD201002"/>
    <s v="CUST100072"/>
    <s v="Women"/>
    <s v="18-24"/>
    <x v="475"/>
    <x v="2"/>
    <x v="3"/>
    <x v="2"/>
    <n v="10"/>
    <s v="White"/>
    <n v="1"/>
    <n v="3899"/>
    <n v="20"/>
    <n v="3120"/>
    <n v="3120"/>
    <s v="UPI"/>
    <x v="0"/>
    <s v="India"/>
    <x v="5"/>
    <s v="Kakching"/>
    <s v="Lifestyle Shopper"/>
    <x v="1"/>
    <n v="3.5"/>
    <s v="Delivered"/>
    <s v="Standard"/>
    <n v="7"/>
  </r>
  <r>
    <s v="ORD202232"/>
    <s v="CUST100203"/>
    <s v="Men"/>
    <s v="25-34"/>
    <x v="475"/>
    <x v="5"/>
    <x v="7"/>
    <x v="1"/>
    <n v="11"/>
    <s v="Blue"/>
    <n v="1"/>
    <n v="6899"/>
    <n v="20"/>
    <n v="5520"/>
    <n v="5520"/>
    <s v="UPI"/>
    <x v="2"/>
    <s v="India"/>
    <x v="15"/>
    <s v="Delhi"/>
    <s v="Performance Seeker"/>
    <x v="1"/>
    <n v="3.3"/>
    <s v="Delivered"/>
    <s v="Same Day"/>
    <n v="1"/>
  </r>
  <r>
    <s v="ORD200234"/>
    <s v="CUST100432"/>
    <s v="Men"/>
    <s v="25-34"/>
    <x v="476"/>
    <x v="4"/>
    <x v="22"/>
    <x v="0"/>
    <n v="10"/>
    <s v="Red"/>
    <n v="1"/>
    <n v="8099"/>
    <n v="25"/>
    <n v="6070"/>
    <n v="6070"/>
    <s v="UPI"/>
    <x v="1"/>
    <s v="India"/>
    <x v="1"/>
    <s v="Panaji"/>
    <s v="Value Shopper"/>
    <x v="0"/>
    <n v="4.4000000000000004"/>
    <s v="Delivered"/>
    <s v="Standard"/>
    <n v="3"/>
  </r>
  <r>
    <s v="ORD201544"/>
    <s v="CUST100206"/>
    <s v="Men"/>
    <s v="25-34"/>
    <x v="477"/>
    <x v="0"/>
    <x v="13"/>
    <x v="2"/>
    <n v="10"/>
    <s v="Grey"/>
    <n v="1"/>
    <n v="4199"/>
    <n v="20"/>
    <n v="3360"/>
    <n v="3360"/>
    <s v="Debit/Credit Card"/>
    <x v="1"/>
    <s v="India"/>
    <x v="22"/>
    <s v="Dharmanagar"/>
    <s v="Value Shopper"/>
    <x v="0"/>
    <n v="3.2"/>
    <s v="Delivered"/>
    <s v="Standard"/>
    <n v="4"/>
  </r>
  <r>
    <s v="ORD200431"/>
    <s v="CUST100787"/>
    <s v="Unisex"/>
    <s v="25-34"/>
    <x v="478"/>
    <x v="2"/>
    <x v="4"/>
    <x v="2"/>
    <n v="7"/>
    <s v="Green"/>
    <n v="1"/>
    <n v="7699"/>
    <n v="25"/>
    <n v="5770"/>
    <n v="5770"/>
    <s v="Net Banking"/>
    <x v="1"/>
    <s v="India"/>
    <x v="35"/>
    <s v="Lunglei"/>
    <s v="Performance Seeker"/>
    <x v="0"/>
    <n v="4.4000000000000004"/>
    <s v="Delivered"/>
    <s v="Standard"/>
    <n v="2"/>
  </r>
  <r>
    <s v="ORD202177"/>
    <s v="CUST100315"/>
    <s v="Women"/>
    <s v="18-24"/>
    <x v="478"/>
    <x v="3"/>
    <x v="16"/>
    <x v="0"/>
    <n v="6"/>
    <s v="Black"/>
    <n v="1"/>
    <n v="7099"/>
    <n v="15"/>
    <n v="6030"/>
    <n v="6030"/>
    <s v="Debit/Credit Card"/>
    <x v="1"/>
    <s v="India"/>
    <x v="13"/>
    <s v="Pasighat"/>
    <s v="Premium Shopper"/>
    <x v="1"/>
    <n v="4.7"/>
    <s v="Delivered"/>
    <s v="Standard"/>
    <n v="5"/>
  </r>
  <r>
    <s v="ORD201070"/>
    <s v="CUST100462"/>
    <s v="Men"/>
    <s v="45-54"/>
    <x v="479"/>
    <x v="2"/>
    <x v="32"/>
    <x v="1"/>
    <n v="8"/>
    <s v="Black"/>
    <n v="2"/>
    <n v="6399"/>
    <n v="20"/>
    <n v="5120"/>
    <n v="10240"/>
    <s v="UPI"/>
    <x v="1"/>
    <s v="India"/>
    <x v="11"/>
    <s v="Agatti"/>
    <s v="Value Shopper"/>
    <x v="0"/>
    <n v="3.7"/>
    <s v="Delivered"/>
    <s v="Standard"/>
    <n v="6"/>
  </r>
  <r>
    <s v="ORD202048"/>
    <s v="CUST100227"/>
    <s v="Unisex"/>
    <s v="35-44"/>
    <x v="480"/>
    <x v="3"/>
    <x v="11"/>
    <x v="4"/>
    <n v="11"/>
    <s v="Grey"/>
    <n v="1"/>
    <n v="4299"/>
    <n v="10"/>
    <n v="3870"/>
    <n v="3870"/>
    <s v="Net Banking"/>
    <x v="2"/>
    <s v="India"/>
    <x v="2"/>
    <s v="Hisar"/>
    <s v="Comfort Shopper"/>
    <x v="0"/>
    <n v="4.0999999999999996"/>
    <s v="Delivered"/>
    <s v="Standard"/>
    <n v="2"/>
  </r>
  <r>
    <s v="ORD200833"/>
    <s v="CUST100049"/>
    <s v="Men"/>
    <s v="25-34"/>
    <x v="481"/>
    <x v="0"/>
    <x v="19"/>
    <x v="4"/>
    <n v="7"/>
    <s v="Grey"/>
    <n v="1"/>
    <n v="3699"/>
    <n v="20"/>
    <n v="2960"/>
    <n v="2960"/>
    <s v="Debit/Credit Card"/>
    <x v="2"/>
    <s v="India"/>
    <x v="16"/>
    <s v="Ahmedabad"/>
    <s v="Performance Seeker"/>
    <x v="0"/>
    <n v="3.8"/>
    <s v="Delivered"/>
    <s v="Standard"/>
    <n v="6"/>
  </r>
  <r>
    <s v="ORD200125"/>
    <s v="CUST100241"/>
    <s v="Women"/>
    <s v="35-44"/>
    <x v="482"/>
    <x v="2"/>
    <x v="24"/>
    <x v="4"/>
    <n v="8"/>
    <s v="Black"/>
    <n v="1"/>
    <n v="8299"/>
    <n v="20"/>
    <n v="6640"/>
    <n v="6640"/>
    <s v="UPI"/>
    <x v="2"/>
    <s v="India"/>
    <x v="15"/>
    <s v="Delhi"/>
    <s v="Performance Seeker"/>
    <x v="1"/>
    <n v="3.1"/>
    <s v="Delivered"/>
    <s v="Express"/>
    <n v="1"/>
  </r>
  <r>
    <s v="ORD202609"/>
    <s v="CUST100297"/>
    <s v="Women"/>
    <s v="25-34"/>
    <x v="482"/>
    <x v="3"/>
    <x v="34"/>
    <x v="3"/>
    <n v="9"/>
    <s v="Red"/>
    <n v="2"/>
    <n v="6699"/>
    <n v="10"/>
    <n v="6030"/>
    <n v="12060"/>
    <s v="UPI"/>
    <x v="1"/>
    <s v="India"/>
    <x v="34"/>
    <s v="Durgapur"/>
    <s v="Performance Seeker"/>
    <x v="0"/>
    <n v="4.8"/>
    <s v="Delivered"/>
    <s v="Express"/>
    <n v="2"/>
  </r>
  <r>
    <s v="ORD201099"/>
    <s v="CUST100016"/>
    <s v="Men"/>
    <s v="25-34"/>
    <x v="483"/>
    <x v="5"/>
    <x v="21"/>
    <x v="2"/>
    <n v="8"/>
    <s v="Red"/>
    <n v="1"/>
    <n v="9899"/>
    <n v="20"/>
    <n v="7920"/>
    <n v="7920"/>
    <s v="Net Banking"/>
    <x v="1"/>
    <s v="India"/>
    <x v="19"/>
    <s v="Shillong"/>
    <s v="Value Shopper"/>
    <x v="1"/>
    <n v="3.9"/>
    <s v="Delivered"/>
    <s v="Express"/>
    <n v="2"/>
  </r>
  <r>
    <s v="ORD202535"/>
    <s v="CUST100278"/>
    <s v="Women"/>
    <s v="45-54"/>
    <x v="484"/>
    <x v="4"/>
    <x v="6"/>
    <x v="2"/>
    <n v="8"/>
    <s v="Red"/>
    <n v="1"/>
    <n v="9299"/>
    <n v="10"/>
    <n v="8370"/>
    <n v="8370"/>
    <s v="Debit/Credit Card"/>
    <x v="0"/>
    <s v="India"/>
    <x v="30"/>
    <s v="Manimajra"/>
    <s v="Lifestyle Shopper"/>
    <x v="1"/>
    <n v="3.4"/>
    <s v="Delivered"/>
    <s v="Standard"/>
    <n v="5"/>
  </r>
  <r>
    <s v="ORD202586"/>
    <s v="CUST100579"/>
    <s v="Women"/>
    <s v="25-34"/>
    <x v="485"/>
    <x v="2"/>
    <x v="23"/>
    <x v="0"/>
    <n v="6"/>
    <s v="Blue"/>
    <n v="1"/>
    <n v="6299"/>
    <n v="5"/>
    <n v="5980"/>
    <n v="5980"/>
    <s v="Cash on Delivery"/>
    <x v="2"/>
    <s v="India"/>
    <x v="13"/>
    <s v="Pasighat"/>
    <s v="Performance Seeker"/>
    <x v="0"/>
    <n v="3.6"/>
    <s v="Delivered"/>
    <s v="Express"/>
    <n v="2"/>
  </r>
  <r>
    <s v="ORD200788"/>
    <s v="CUST100278"/>
    <s v="Women"/>
    <s v="55+"/>
    <x v="486"/>
    <x v="1"/>
    <x v="1"/>
    <x v="1"/>
    <n v="8"/>
    <s v="Blue"/>
    <n v="1"/>
    <n v="7699"/>
    <n v="10"/>
    <n v="6930"/>
    <n v="6930"/>
    <s v="Debit/Credit Card"/>
    <x v="2"/>
    <s v="India"/>
    <x v="20"/>
    <s v="Dharamshala"/>
    <s v="Performance Seeker"/>
    <x v="2"/>
    <n v="2.5"/>
    <s v="Delivered"/>
    <s v="Standard"/>
    <n v="4"/>
  </r>
  <r>
    <s v="ORD201345"/>
    <s v="CUST100234"/>
    <s v="Men"/>
    <s v="25-34"/>
    <x v="486"/>
    <x v="4"/>
    <x v="29"/>
    <x v="2"/>
    <n v="10"/>
    <s v="Blue"/>
    <n v="1"/>
    <n v="6499"/>
    <n v="20"/>
    <n v="5200"/>
    <n v="5200"/>
    <s v="Debit/Credit Card"/>
    <x v="2"/>
    <s v="India"/>
    <x v="20"/>
    <s v="Shimla"/>
    <s v="Premium Shopper"/>
    <x v="0"/>
    <n v="3.7"/>
    <s v="Delivered"/>
    <s v="Standard"/>
    <n v="3"/>
  </r>
  <r>
    <s v="ORD201255"/>
    <s v="CUST100126"/>
    <s v="Women"/>
    <s v="35-44"/>
    <x v="487"/>
    <x v="3"/>
    <x v="35"/>
    <x v="2"/>
    <n v="8"/>
    <s v="White"/>
    <n v="3"/>
    <n v="8299"/>
    <n v="30"/>
    <n v="5810"/>
    <n v="17430"/>
    <s v="Debit/Credit Card"/>
    <x v="0"/>
    <s v="India"/>
    <x v="1"/>
    <s v="Panaji"/>
    <s v="Comfort Shopper"/>
    <x v="0"/>
    <n v="4"/>
    <s v="Cancelled"/>
    <s v="Standard"/>
    <n v="3"/>
  </r>
  <r>
    <s v="ORD201670"/>
    <s v="CUST101021"/>
    <s v="Men"/>
    <s v="35-44"/>
    <x v="488"/>
    <x v="4"/>
    <x v="17"/>
    <x v="4"/>
    <n v="7"/>
    <s v="Green"/>
    <n v="1"/>
    <n v="8999"/>
    <n v="15"/>
    <n v="7650"/>
    <n v="7650"/>
    <s v="Cash on Delivery"/>
    <x v="1"/>
    <s v="India"/>
    <x v="2"/>
    <s v="Panipat"/>
    <s v="Performance Seeker"/>
    <x v="0"/>
    <n v="4.8"/>
    <s v="Delivered"/>
    <s v="Express"/>
    <n v="2"/>
  </r>
  <r>
    <s v="ORD202399"/>
    <s v="CUST100067"/>
    <s v="Unisex"/>
    <s v="35-44"/>
    <x v="489"/>
    <x v="0"/>
    <x v="0"/>
    <x v="0"/>
    <n v="8"/>
    <s v="Blue"/>
    <n v="3"/>
    <n v="9399"/>
    <n v="15"/>
    <n v="7990"/>
    <n v="23970"/>
    <s v="Debit/Credit Card"/>
    <x v="2"/>
    <s v="India"/>
    <x v="22"/>
    <s v="Udaipur"/>
    <s v="Value Shopper"/>
    <x v="1"/>
    <n v="4.2"/>
    <s v="Delivered"/>
    <s v="Express"/>
    <n v="2"/>
  </r>
  <r>
    <s v="ORD202621"/>
    <s v="CUST100201"/>
    <s v="Women"/>
    <s v="45-54"/>
    <x v="489"/>
    <x v="5"/>
    <x v="15"/>
    <x v="4"/>
    <n v="11"/>
    <s v="White"/>
    <n v="1"/>
    <n v="8399"/>
    <n v="15"/>
    <n v="7140"/>
    <n v="7140"/>
    <s v="UPI"/>
    <x v="2"/>
    <s v="India"/>
    <x v="34"/>
    <s v="Kolkata"/>
    <s v="Value Shopper"/>
    <x v="1"/>
    <n v="4.3"/>
    <s v="Delivered"/>
    <s v="Standard"/>
    <n v="1"/>
  </r>
  <r>
    <s v="ORD200105"/>
    <s v="CUST100807"/>
    <s v="Men"/>
    <s v="25-34"/>
    <x v="490"/>
    <x v="3"/>
    <x v="34"/>
    <x v="3"/>
    <n v="7"/>
    <s v="Blue"/>
    <n v="1"/>
    <n v="8299"/>
    <n v="25"/>
    <n v="6220"/>
    <n v="6220"/>
    <s v="UPI"/>
    <x v="0"/>
    <s v="India"/>
    <x v="35"/>
    <s v="Aizawl"/>
    <s v="Performance Seeker"/>
    <x v="0"/>
    <n v="4.5999999999999996"/>
    <s v="Delivered"/>
    <s v="Express"/>
    <n v="2"/>
  </r>
  <r>
    <s v="ORD200537"/>
    <s v="CUST100299"/>
    <s v="Men"/>
    <s v="25-34"/>
    <x v="491"/>
    <x v="4"/>
    <x v="6"/>
    <x v="2"/>
    <n v="11"/>
    <s v="White"/>
    <n v="1"/>
    <n v="8199"/>
    <n v="35"/>
    <n v="5330"/>
    <n v="5330"/>
    <s v="UPI"/>
    <x v="2"/>
    <s v="India"/>
    <x v="14"/>
    <s v="Amritsar"/>
    <s v="Comfort Shopper"/>
    <x v="0"/>
    <n v="4.7"/>
    <s v="Cancelled"/>
    <s v="Standard"/>
    <n v="3"/>
  </r>
  <r>
    <s v="ORD202505"/>
    <s v="CUST101001"/>
    <s v="Men"/>
    <s v="25-34"/>
    <x v="492"/>
    <x v="2"/>
    <x v="4"/>
    <x v="2"/>
    <n v="9"/>
    <s v="Grey"/>
    <n v="3"/>
    <n v="5899"/>
    <n v="15"/>
    <n v="5010"/>
    <n v="15030"/>
    <s v="Debit/Credit Card"/>
    <x v="2"/>
    <s v="India"/>
    <x v="4"/>
    <s v="Gangtok"/>
    <s v="Performance Seeker"/>
    <x v="1"/>
    <n v="5"/>
    <s v="Delivered"/>
    <s v="Express"/>
    <n v="2"/>
  </r>
  <r>
    <s v="ORD202830"/>
    <s v="CUST100712"/>
    <s v="Women"/>
    <s v="35-44"/>
    <x v="492"/>
    <x v="5"/>
    <x v="15"/>
    <x v="4"/>
    <n v="10"/>
    <s v="Green"/>
    <n v="2"/>
    <n v="3899"/>
    <n v="20"/>
    <n v="3120"/>
    <n v="6240"/>
    <s v="UPI"/>
    <x v="1"/>
    <s v="India"/>
    <x v="2"/>
    <s v="Hisar"/>
    <s v="Value Shopper"/>
    <x v="0"/>
    <n v="3.2"/>
    <s v="Delivered"/>
    <s v="Standard"/>
    <n v="2"/>
  </r>
  <r>
    <s v="ORD203023"/>
    <s v="CUST100519"/>
    <s v="Men"/>
    <s v="25-34"/>
    <x v="493"/>
    <x v="0"/>
    <x v="13"/>
    <x v="2"/>
    <n v="12"/>
    <s v="Blue"/>
    <n v="1"/>
    <n v="5699"/>
    <n v="20"/>
    <n v="4560"/>
    <n v="4560"/>
    <s v="UPI"/>
    <x v="0"/>
    <s v="India"/>
    <x v="16"/>
    <s v="Surat"/>
    <s v="Value Shopper"/>
    <x v="0"/>
    <n v="4"/>
    <s v="Cancelled"/>
    <s v="Standard"/>
    <n v="4"/>
  </r>
  <r>
    <s v="ORD201095"/>
    <s v="CUST100584"/>
    <s v="Women"/>
    <s v="18-24"/>
    <x v="494"/>
    <x v="1"/>
    <x v="1"/>
    <x v="1"/>
    <n v="8"/>
    <s v="Black"/>
    <n v="1"/>
    <n v="5199"/>
    <n v="10"/>
    <n v="4680"/>
    <n v="4680"/>
    <s v="UPI"/>
    <x v="0"/>
    <s v="India"/>
    <x v="27"/>
    <s v="Bhubaneswar"/>
    <s v="Performance Seeker"/>
    <x v="0"/>
    <n v="5"/>
    <s v="Delivered"/>
    <s v="Standard"/>
    <n v="3"/>
  </r>
  <r>
    <s v="ORD200566"/>
    <s v="CUST100353"/>
    <s v="Women"/>
    <s v="45-54"/>
    <x v="495"/>
    <x v="1"/>
    <x v="1"/>
    <x v="1"/>
    <n v="11"/>
    <s v="Grey"/>
    <n v="1"/>
    <n v="5499"/>
    <n v="10"/>
    <n v="4950"/>
    <n v="4950"/>
    <s v="Debit/Credit Card"/>
    <x v="1"/>
    <s v="India"/>
    <x v="24"/>
    <s v="Bengaluru"/>
    <s v="Performance Seeker"/>
    <x v="0"/>
    <n v="4.5999999999999996"/>
    <s v="Delivered"/>
    <s v="Standard"/>
    <n v="6"/>
  </r>
  <r>
    <s v="ORD201008"/>
    <s v="CUST100509"/>
    <s v="Women"/>
    <s v="18-24"/>
    <x v="495"/>
    <x v="4"/>
    <x v="17"/>
    <x v="4"/>
    <n v="11"/>
    <s v="Blue"/>
    <n v="1"/>
    <n v="4199"/>
    <n v="20"/>
    <n v="3360"/>
    <n v="3360"/>
    <s v="Cash on Delivery"/>
    <x v="0"/>
    <s v="India"/>
    <x v="22"/>
    <s v="Agartala"/>
    <s v="Performance Seeker"/>
    <x v="0"/>
    <n v="4.8"/>
    <s v="Delivered"/>
    <s v="Standard"/>
    <n v="4"/>
  </r>
  <r>
    <s v="ORD202700"/>
    <s v="CUST100992"/>
    <s v="Women"/>
    <s v="25-34"/>
    <x v="495"/>
    <x v="2"/>
    <x v="23"/>
    <x v="0"/>
    <n v="9"/>
    <s v="Blue"/>
    <n v="1"/>
    <n v="4699"/>
    <n v="20"/>
    <n v="3760"/>
    <n v="3760"/>
    <s v="UPI"/>
    <x v="1"/>
    <s v="India"/>
    <x v="33"/>
    <s v="Nashik"/>
    <s v="Lifestyle Shopper"/>
    <x v="0"/>
    <n v="5"/>
    <s v="Delivered"/>
    <s v="Standard"/>
    <n v="2"/>
  </r>
  <r>
    <s v="ORD200345"/>
    <s v="CUST100162"/>
    <s v="Unisex"/>
    <s v="25-34"/>
    <x v="496"/>
    <x v="2"/>
    <x v="25"/>
    <x v="3"/>
    <n v="11"/>
    <s v="Green"/>
    <n v="1"/>
    <n v="3899"/>
    <n v="10"/>
    <n v="3510"/>
    <n v="3510"/>
    <s v="UPI"/>
    <x v="0"/>
    <s v="India"/>
    <x v="31"/>
    <s v="Coimbatore"/>
    <s v="Premium Shopper"/>
    <x v="1"/>
    <n v="2.4"/>
    <s v="Delivered"/>
    <s v="Standard"/>
    <n v="5"/>
  </r>
  <r>
    <s v="ORD201539"/>
    <s v="CUST100069"/>
    <s v="Women"/>
    <s v="35-44"/>
    <x v="497"/>
    <x v="2"/>
    <x v="3"/>
    <x v="2"/>
    <n v="11"/>
    <s v="Grey"/>
    <n v="1"/>
    <n v="7299"/>
    <n v="25"/>
    <n v="5470"/>
    <n v="5470"/>
    <s v="Cash on Delivery"/>
    <x v="0"/>
    <s v="India"/>
    <x v="8"/>
    <s v="Nizamabad"/>
    <s v="Performance Seeker"/>
    <x v="0"/>
    <n v="2.5"/>
    <s v="Delivered"/>
    <s v="Same Day"/>
    <n v="1"/>
  </r>
  <r>
    <s v="ORD201757"/>
    <s v="CUST100051"/>
    <s v="Women"/>
    <s v="35-44"/>
    <x v="497"/>
    <x v="1"/>
    <x v="10"/>
    <x v="3"/>
    <n v="8"/>
    <s v="Green"/>
    <n v="2"/>
    <n v="6299"/>
    <n v="20"/>
    <n v="5040"/>
    <n v="10080"/>
    <s v="UPI"/>
    <x v="1"/>
    <s v="India"/>
    <x v="13"/>
    <s v="Itanagar"/>
    <s v="Comfort Shopper"/>
    <x v="0"/>
    <n v="4.0999999999999996"/>
    <s v="Cancelled"/>
    <s v="Express"/>
    <n v="2"/>
  </r>
  <r>
    <s v="ORD201505"/>
    <s v="CUST100215"/>
    <s v="Women"/>
    <s v="18-24"/>
    <x v="498"/>
    <x v="2"/>
    <x v="32"/>
    <x v="1"/>
    <n v="7"/>
    <s v="Black"/>
    <n v="1"/>
    <n v="4999"/>
    <n v="20"/>
    <n v="4000"/>
    <n v="4000"/>
    <s v="Net Banking"/>
    <x v="0"/>
    <s v="India"/>
    <x v="30"/>
    <s v="Chandigarh"/>
    <s v="Lifestyle Shopper"/>
    <x v="1"/>
    <n v="4.3"/>
    <s v="Delivered"/>
    <s v="Standard"/>
    <n v="4"/>
  </r>
  <r>
    <s v="ORD200850"/>
    <s v="CUST100680"/>
    <s v="Men"/>
    <s v="25-34"/>
    <x v="499"/>
    <x v="1"/>
    <x v="18"/>
    <x v="2"/>
    <n v="9"/>
    <s v="Black"/>
    <n v="1"/>
    <n v="8699"/>
    <n v="30"/>
    <n v="6090"/>
    <n v="6090"/>
    <s v="Cash on Delivery"/>
    <x v="1"/>
    <s v="India"/>
    <x v="21"/>
    <s v="Kohima"/>
    <s v="Lifestyle Shopper"/>
    <x v="0"/>
    <n v="4.3"/>
    <s v="Delivered"/>
    <s v="Standard"/>
    <n v="1"/>
  </r>
  <r>
    <s v="ORD201565"/>
    <s v="CUST100012"/>
    <s v="Men"/>
    <s v="25-34"/>
    <x v="499"/>
    <x v="3"/>
    <x v="34"/>
    <x v="3"/>
    <n v="7"/>
    <s v="Green"/>
    <n v="1"/>
    <n v="6899"/>
    <n v="15"/>
    <n v="5860"/>
    <n v="5860"/>
    <s v="UPI"/>
    <x v="1"/>
    <s v="India"/>
    <x v="5"/>
    <s v="Kakching"/>
    <s v="Comfort Shopper"/>
    <x v="1"/>
    <n v="5"/>
    <s v="Delivered"/>
    <s v="Standard"/>
    <n v="5"/>
  </r>
  <r>
    <s v="ORD201136"/>
    <s v="CUST100316"/>
    <s v="Women"/>
    <s v="55+"/>
    <x v="500"/>
    <x v="3"/>
    <x v="16"/>
    <x v="0"/>
    <n v="8"/>
    <s v="Green"/>
    <n v="2"/>
    <n v="8199"/>
    <n v="10"/>
    <n v="7380"/>
    <n v="14760"/>
    <s v="UPI"/>
    <x v="0"/>
    <s v="India"/>
    <x v="2"/>
    <s v="Panipat"/>
    <s v="Lifestyle Shopper"/>
    <x v="1"/>
    <n v="4.0999999999999996"/>
    <s v="Delivered"/>
    <s v="Standard"/>
    <n v="2"/>
  </r>
  <r>
    <s v="ORD201866"/>
    <s v="CUST100220"/>
    <s v="Men"/>
    <s v="25-34"/>
    <x v="501"/>
    <x v="1"/>
    <x v="33"/>
    <x v="0"/>
    <n v="9"/>
    <s v="Black"/>
    <n v="1"/>
    <n v="7099"/>
    <n v="20"/>
    <n v="5680"/>
    <n v="5680"/>
    <s v="Debit/Credit Card"/>
    <x v="1"/>
    <s v="India"/>
    <x v="24"/>
    <s v="Hubballi"/>
    <s v="Premium Shopper"/>
    <x v="1"/>
    <n v="3.6"/>
    <s v="Delivered"/>
    <s v="Express"/>
    <n v="1"/>
  </r>
  <r>
    <s v="ORD202237"/>
    <s v="CUST100415"/>
    <s v="Women"/>
    <s v="18-24"/>
    <x v="502"/>
    <x v="1"/>
    <x v="12"/>
    <x v="4"/>
    <n v="7"/>
    <s v="Blue"/>
    <n v="1"/>
    <n v="6099"/>
    <n v="20"/>
    <n v="4880"/>
    <n v="4880"/>
    <s v="Debit/Credit Card"/>
    <x v="2"/>
    <s v="India"/>
    <x v="28"/>
    <s v="Nubra"/>
    <s v="Lifestyle Shopper"/>
    <x v="1"/>
    <n v="4.4000000000000004"/>
    <s v="Delivered"/>
    <s v="Standard"/>
    <n v="5"/>
  </r>
  <r>
    <s v="ORD202338"/>
    <s v="CUST100476"/>
    <s v="Men"/>
    <s v="25-34"/>
    <x v="502"/>
    <x v="2"/>
    <x v="24"/>
    <x v="4"/>
    <n v="10"/>
    <s v="Black"/>
    <n v="1"/>
    <n v="3899"/>
    <n v="10"/>
    <n v="3510"/>
    <n v="3510"/>
    <s v="UPI"/>
    <x v="2"/>
    <s v="India"/>
    <x v="12"/>
    <s v="Rangat"/>
    <s v="Value Shopper"/>
    <x v="1"/>
    <n v="3.7"/>
    <s v="Delivered"/>
    <s v="Same Day"/>
    <n v="1"/>
  </r>
  <r>
    <s v="ORD202692"/>
    <s v="CUST100388"/>
    <s v="Men"/>
    <s v="25-34"/>
    <x v="503"/>
    <x v="5"/>
    <x v="7"/>
    <x v="1"/>
    <n v="9"/>
    <s v="Black"/>
    <n v="2"/>
    <n v="8599"/>
    <n v="25"/>
    <n v="6450"/>
    <n v="12900"/>
    <s v="Cash on Delivery"/>
    <x v="1"/>
    <s v="India"/>
    <x v="0"/>
    <s v="Dibrugarh"/>
    <s v="Lifestyle Shopper"/>
    <x v="1"/>
    <n v="3.7"/>
    <s v="Returned"/>
    <s v="Standard"/>
    <n v="4"/>
  </r>
  <r>
    <s v="ORD200405"/>
    <s v="CUST100050"/>
    <s v="Women"/>
    <s v="35-44"/>
    <x v="504"/>
    <x v="5"/>
    <x v="7"/>
    <x v="1"/>
    <n v="7"/>
    <s v="Grey"/>
    <n v="1"/>
    <n v="4799"/>
    <n v="15"/>
    <n v="4080"/>
    <n v="4080"/>
    <s v="UPI"/>
    <x v="1"/>
    <s v="India"/>
    <x v="34"/>
    <s v="Kolkata"/>
    <s v="Comfort Shopper"/>
    <x v="1"/>
    <n v="3.5"/>
    <s v="Delivered"/>
    <s v="Standard"/>
    <n v="3"/>
  </r>
  <r>
    <s v="ORD202922"/>
    <s v="CUST100968"/>
    <s v="Women"/>
    <s v="25-34"/>
    <x v="505"/>
    <x v="1"/>
    <x v="1"/>
    <x v="1"/>
    <n v="9"/>
    <s v="White"/>
    <n v="1"/>
    <n v="7199"/>
    <n v="0"/>
    <n v="7200"/>
    <n v="7200"/>
    <s v="Debit/Credit Card"/>
    <x v="2"/>
    <s v="India"/>
    <x v="11"/>
    <s v="Kavaratti"/>
    <s v="Premium Shopper"/>
    <x v="0"/>
    <n v="3.6"/>
    <s v="Delivered"/>
    <s v="Standard"/>
    <n v="6"/>
  </r>
  <r>
    <s v="ORD200647"/>
    <s v="CUST100867"/>
    <s v="Men"/>
    <s v="18-24"/>
    <x v="506"/>
    <x v="5"/>
    <x v="7"/>
    <x v="1"/>
    <n v="11"/>
    <s v="Blue"/>
    <n v="2"/>
    <n v="5599"/>
    <n v="15"/>
    <n v="4760"/>
    <n v="9520"/>
    <s v="UPI"/>
    <x v="1"/>
    <s v="India"/>
    <x v="29"/>
    <s v="Visakhapatnam"/>
    <s v="Comfort Shopper"/>
    <x v="0"/>
    <n v="4.4000000000000004"/>
    <s v="Delivered"/>
    <s v="Express"/>
    <n v="2"/>
  </r>
  <r>
    <s v="ORD201183"/>
    <s v="CUST100858"/>
    <s v="Men"/>
    <s v="25-34"/>
    <x v="507"/>
    <x v="3"/>
    <x v="34"/>
    <x v="3"/>
    <n v="6"/>
    <s v="Black"/>
    <n v="2"/>
    <n v="8099"/>
    <n v="10"/>
    <n v="7290"/>
    <n v="14580"/>
    <s v="Net Banking"/>
    <x v="2"/>
    <s v="India"/>
    <x v="14"/>
    <s v="Jalandhar"/>
    <s v="Lifestyle Shopper"/>
    <x v="0"/>
    <n v="4.0999999999999996"/>
    <s v="Delivered"/>
    <s v="Express"/>
    <n v="1"/>
  </r>
  <r>
    <s v="ORD200467"/>
    <s v="CUST100015"/>
    <s v="Men"/>
    <s v="35-44"/>
    <x v="508"/>
    <x v="0"/>
    <x v="31"/>
    <x v="1"/>
    <n v="6"/>
    <s v="White"/>
    <n v="3"/>
    <n v="9099"/>
    <n v="10"/>
    <n v="8190"/>
    <n v="24570"/>
    <s v="UPI"/>
    <x v="2"/>
    <s v="India"/>
    <x v="34"/>
    <s v="Siliguri"/>
    <s v="Value Shopper"/>
    <x v="1"/>
    <n v="4.7"/>
    <s v="Cancelled"/>
    <s v="Express"/>
    <n v="3"/>
  </r>
  <r>
    <s v="ORD201973"/>
    <s v="CUST100321"/>
    <s v="Men"/>
    <s v="18-24"/>
    <x v="509"/>
    <x v="4"/>
    <x v="26"/>
    <x v="3"/>
    <n v="11"/>
    <s v="Grey"/>
    <n v="2"/>
    <n v="7399"/>
    <n v="15"/>
    <n v="6290"/>
    <n v="12580"/>
    <s v="UPI"/>
    <x v="2"/>
    <s v="India"/>
    <x v="34"/>
    <s v="Kolkata"/>
    <s v="Performance Seeker"/>
    <x v="0"/>
    <n v="3.5"/>
    <s v="Delivered"/>
    <s v="Express"/>
    <n v="2"/>
  </r>
  <r>
    <s v="ORD200360"/>
    <s v="CUST100598"/>
    <s v="Men"/>
    <s v="35-44"/>
    <x v="510"/>
    <x v="1"/>
    <x v="18"/>
    <x v="2"/>
    <n v="10"/>
    <s v="Green"/>
    <n v="4"/>
    <n v="5699"/>
    <n v="40"/>
    <n v="3420"/>
    <n v="13680"/>
    <s v="UPI"/>
    <x v="0"/>
    <s v="India"/>
    <x v="6"/>
    <s v="Varanasi"/>
    <s v="Comfort Shopper"/>
    <x v="1"/>
    <n v="3.8"/>
    <s v="Delivered"/>
    <s v="Standard"/>
    <n v="6"/>
  </r>
  <r>
    <s v="ORD202247"/>
    <s v="CUST100399"/>
    <s v="Unisex"/>
    <s v="25-34"/>
    <x v="510"/>
    <x v="0"/>
    <x v="8"/>
    <x v="3"/>
    <n v="7"/>
    <s v="Blue"/>
    <n v="1"/>
    <n v="6199"/>
    <n v="10"/>
    <n v="5580"/>
    <n v="5580"/>
    <s v="UPI"/>
    <x v="0"/>
    <s v="India"/>
    <x v="24"/>
    <s v="Mangaluru"/>
    <s v="Value Shopper"/>
    <x v="1"/>
    <n v="3.7"/>
    <s v="Delivered"/>
    <s v="Standard"/>
    <n v="4"/>
  </r>
  <r>
    <s v="ORD200553"/>
    <s v="CUST100857"/>
    <s v="Men"/>
    <s v="35-44"/>
    <x v="511"/>
    <x v="4"/>
    <x v="9"/>
    <x v="1"/>
    <n v="9"/>
    <s v="Red"/>
    <n v="2"/>
    <n v="9499"/>
    <n v="15"/>
    <n v="8070"/>
    <n v="16140"/>
    <s v="UPI"/>
    <x v="1"/>
    <s v="India"/>
    <x v="20"/>
    <s v="Solan"/>
    <s v="Premium Shopper"/>
    <x v="1"/>
    <n v="4.0999999999999996"/>
    <s v="Delivered"/>
    <s v="Standard"/>
    <n v="1"/>
  </r>
  <r>
    <s v="ORD201024"/>
    <s v="CUST100193"/>
    <s v="Women"/>
    <s v="18-24"/>
    <x v="511"/>
    <x v="4"/>
    <x v="17"/>
    <x v="4"/>
    <n v="10"/>
    <s v="White"/>
    <n v="1"/>
    <n v="6499"/>
    <n v="20"/>
    <n v="5200"/>
    <n v="5200"/>
    <s v="Cash on Delivery"/>
    <x v="1"/>
    <s v="India"/>
    <x v="34"/>
    <s v="Durgapur"/>
    <s v="Value Shopper"/>
    <x v="0"/>
    <n v="3.9"/>
    <s v="Cancelled"/>
    <s v="Express"/>
    <n v="2"/>
  </r>
  <r>
    <s v="ORD202153"/>
    <s v="CUST100196"/>
    <s v="Men"/>
    <s v="25-34"/>
    <x v="511"/>
    <x v="0"/>
    <x v="8"/>
    <x v="3"/>
    <n v="12"/>
    <s v="Blue"/>
    <n v="1"/>
    <n v="7999"/>
    <n v="10"/>
    <n v="7200"/>
    <n v="7200"/>
    <s v="Cash on Delivery"/>
    <x v="0"/>
    <s v="India"/>
    <x v="7"/>
    <s v="Jabalpur"/>
    <s v="Performance Seeker"/>
    <x v="1"/>
    <n v="3.4"/>
    <s v="Delivered"/>
    <s v="Standard"/>
    <n v="3"/>
  </r>
  <r>
    <s v="ORD202956"/>
    <s v="CUST100025"/>
    <s v="Men"/>
    <s v="55+"/>
    <x v="511"/>
    <x v="0"/>
    <x v="2"/>
    <x v="2"/>
    <n v="8"/>
    <s v="Black"/>
    <n v="2"/>
    <n v="8299"/>
    <n v="20"/>
    <n v="6640"/>
    <n v="13280"/>
    <s v="Net Banking"/>
    <x v="1"/>
    <s v="India"/>
    <x v="27"/>
    <s v="Berhampur"/>
    <s v="Performance Seeker"/>
    <x v="0"/>
    <n v="5"/>
    <s v="Returned"/>
    <s v="Express"/>
    <n v="3"/>
  </r>
  <r>
    <s v="ORD201236"/>
    <s v="CUST100901"/>
    <s v="Women"/>
    <s v="18-24"/>
    <x v="512"/>
    <x v="4"/>
    <x v="22"/>
    <x v="0"/>
    <n v="8"/>
    <s v="White"/>
    <n v="1"/>
    <n v="4499"/>
    <n v="15"/>
    <n v="3820"/>
    <n v="3820"/>
    <s v="UPI"/>
    <x v="2"/>
    <s v="India"/>
    <x v="12"/>
    <s v="Diglipur"/>
    <s v="Performance Seeker"/>
    <x v="1"/>
    <n v="3.6"/>
    <s v="Delivered"/>
    <s v="Standard"/>
    <n v="5"/>
  </r>
  <r>
    <s v="ORD202142"/>
    <s v="CUST100511"/>
    <s v="Women"/>
    <s v="45-54"/>
    <x v="513"/>
    <x v="3"/>
    <x v="34"/>
    <x v="3"/>
    <n v="8"/>
    <s v="Blue"/>
    <n v="1"/>
    <n v="5299"/>
    <n v="20"/>
    <n v="4240"/>
    <n v="4240"/>
    <s v="Debit/Credit Card"/>
    <x v="2"/>
    <s v="India"/>
    <x v="5"/>
    <s v="Thoubal"/>
    <s v="Comfort Shopper"/>
    <x v="1"/>
    <n v="4.5999999999999996"/>
    <s v="Delivered"/>
    <s v="Standard"/>
    <n v="4"/>
  </r>
  <r>
    <s v="ORD202554"/>
    <s v="CUST100219"/>
    <s v="Men"/>
    <s v="18-24"/>
    <x v="513"/>
    <x v="0"/>
    <x v="13"/>
    <x v="2"/>
    <n v="11"/>
    <s v="Green"/>
    <n v="2"/>
    <n v="7499"/>
    <n v="5"/>
    <n v="7120"/>
    <n v="14240"/>
    <s v="UPI"/>
    <x v="0"/>
    <s v="India"/>
    <x v="25"/>
    <s v="Jammu"/>
    <s v="Lifestyle Shopper"/>
    <x v="1"/>
    <n v="4.0999999999999996"/>
    <s v="Delivered"/>
    <s v="Standard"/>
    <n v="3"/>
  </r>
  <r>
    <s v="ORD200176"/>
    <s v="CUST100093"/>
    <s v="Men"/>
    <s v="25-34"/>
    <x v="514"/>
    <x v="4"/>
    <x v="29"/>
    <x v="2"/>
    <n v="6"/>
    <s v="Black"/>
    <n v="1"/>
    <n v="8899"/>
    <n v="25"/>
    <n v="6670"/>
    <n v="6670"/>
    <s v="Debit/Credit Card"/>
    <x v="2"/>
    <s v="India"/>
    <x v="6"/>
    <s v="Kanpur"/>
    <s v="Comfort Shopper"/>
    <x v="2"/>
    <n v="4"/>
    <s v="Delivered"/>
    <s v="Standard"/>
    <n v="2"/>
  </r>
  <r>
    <s v="ORD201444"/>
    <s v="CUST100259"/>
    <s v="Men"/>
    <s v="35-44"/>
    <x v="514"/>
    <x v="0"/>
    <x v="8"/>
    <x v="3"/>
    <n v="7"/>
    <s v="Green"/>
    <n v="2"/>
    <n v="7899"/>
    <n v="30"/>
    <n v="5530"/>
    <n v="11060"/>
    <s v="UPI"/>
    <x v="1"/>
    <s v="India"/>
    <x v="21"/>
    <s v="Dimapur"/>
    <s v="Premium Shopper"/>
    <x v="0"/>
    <n v="3.9"/>
    <s v="Delivered"/>
    <s v="Standard"/>
    <n v="5"/>
  </r>
  <r>
    <s v="ORD201810"/>
    <s v="CUST100912"/>
    <s v="Women"/>
    <s v="18-24"/>
    <x v="514"/>
    <x v="4"/>
    <x v="9"/>
    <x v="1"/>
    <n v="8"/>
    <s v="Red"/>
    <n v="1"/>
    <n v="4899"/>
    <n v="30"/>
    <n v="3430"/>
    <n v="3430"/>
    <s v="UPI"/>
    <x v="1"/>
    <s v="India"/>
    <x v="21"/>
    <s v="Mokokchung"/>
    <s v="Performance Seeker"/>
    <x v="0"/>
    <n v="2.9"/>
    <s v="Delivered"/>
    <s v="Standard"/>
    <n v="6"/>
  </r>
  <r>
    <s v="ORD200131"/>
    <s v="CUST100397"/>
    <s v="Men"/>
    <s v="45-54"/>
    <x v="515"/>
    <x v="2"/>
    <x v="4"/>
    <x v="2"/>
    <n v="8"/>
    <s v="Grey"/>
    <n v="1"/>
    <n v="3699"/>
    <n v="0"/>
    <n v="3700"/>
    <n v="3700"/>
    <s v="UPI"/>
    <x v="1"/>
    <s v="India"/>
    <x v="7"/>
    <s v="Bhopal"/>
    <s v="Comfort Shopper"/>
    <x v="1"/>
    <n v="5"/>
    <s v="Returned"/>
    <s v="Express"/>
    <n v="2"/>
  </r>
  <r>
    <s v="ORD201373"/>
    <s v="CUST100595"/>
    <s v="Men"/>
    <s v="45-54"/>
    <x v="515"/>
    <x v="3"/>
    <x v="35"/>
    <x v="2"/>
    <n v="11"/>
    <s v="White"/>
    <n v="2"/>
    <n v="7099"/>
    <n v="40"/>
    <n v="4260"/>
    <n v="8520"/>
    <s v="UPI"/>
    <x v="1"/>
    <s v="India"/>
    <x v="27"/>
    <s v="Bhubaneswar"/>
    <s v="Premium Shopper"/>
    <x v="0"/>
    <n v="5"/>
    <s v="Delivered"/>
    <s v="Same Day"/>
    <n v="1"/>
  </r>
  <r>
    <s v="ORD202404"/>
    <s v="CUST100874"/>
    <s v="Women"/>
    <s v="18-24"/>
    <x v="515"/>
    <x v="1"/>
    <x v="20"/>
    <x v="2"/>
    <n v="10"/>
    <s v="Green"/>
    <n v="1"/>
    <n v="4299"/>
    <n v="5"/>
    <n v="4080"/>
    <n v="4080"/>
    <s v="UPI"/>
    <x v="0"/>
    <s v="India"/>
    <x v="2"/>
    <s v="Hisar"/>
    <s v="Comfort Shopper"/>
    <x v="0"/>
    <n v="3.9"/>
    <s v="Delivered"/>
    <s v="Standard"/>
    <n v="2"/>
  </r>
  <r>
    <s v="ORD201509"/>
    <s v="CUST100092"/>
    <s v="Women"/>
    <s v="18-24"/>
    <x v="516"/>
    <x v="0"/>
    <x v="8"/>
    <x v="3"/>
    <n v="11"/>
    <s v="Grey"/>
    <n v="1"/>
    <n v="6899"/>
    <n v="15"/>
    <n v="5860"/>
    <n v="5860"/>
    <s v="UPI"/>
    <x v="1"/>
    <s v="India"/>
    <x v="31"/>
    <s v="Coimbatore"/>
    <s v="Value Shopper"/>
    <x v="1"/>
    <n v="3"/>
    <s v="Returned"/>
    <s v="Express"/>
    <n v="4"/>
  </r>
  <r>
    <s v="ORD200619"/>
    <s v="CUST100493"/>
    <s v="Men"/>
    <s v="55+"/>
    <x v="517"/>
    <x v="5"/>
    <x v="15"/>
    <x v="4"/>
    <n v="8"/>
    <s v="Green"/>
    <n v="1"/>
    <n v="6699"/>
    <n v="20"/>
    <n v="5360"/>
    <n v="5360"/>
    <s v="Debit/Credit Card"/>
    <x v="1"/>
    <s v="India"/>
    <x v="28"/>
    <s v="Kargil"/>
    <s v="Comfort Shopper"/>
    <x v="1"/>
    <n v="5"/>
    <s v="Delivered"/>
    <s v="Express"/>
    <n v="1"/>
  </r>
  <r>
    <s v="ORD200917"/>
    <s v="CUST100228"/>
    <s v="Women"/>
    <s v="18-24"/>
    <x v="517"/>
    <x v="5"/>
    <x v="21"/>
    <x v="2"/>
    <n v="7"/>
    <s v="White"/>
    <n v="2"/>
    <n v="8799"/>
    <n v="20"/>
    <n v="7040"/>
    <n v="14080"/>
    <s v="Net Banking"/>
    <x v="2"/>
    <s v="India"/>
    <x v="18"/>
    <s v="Raipur"/>
    <s v="Premium Shopper"/>
    <x v="1"/>
    <n v="3.5"/>
    <s v="Returned"/>
    <s v="Standard"/>
    <n v="3"/>
  </r>
  <r>
    <s v="ORD201785"/>
    <s v="CUST100492"/>
    <s v="Women"/>
    <s v="35-44"/>
    <x v="517"/>
    <x v="4"/>
    <x v="22"/>
    <x v="0"/>
    <n v="9"/>
    <s v="White"/>
    <n v="3"/>
    <n v="6699"/>
    <n v="25"/>
    <n v="5020"/>
    <n v="15060"/>
    <s v="Cash on Delivery"/>
    <x v="1"/>
    <s v="India"/>
    <x v="13"/>
    <s v="Naharlagun"/>
    <s v="Performance Seeker"/>
    <x v="0"/>
    <n v="3.7"/>
    <s v="Returned"/>
    <s v="Same Day"/>
    <n v="2"/>
  </r>
  <r>
    <s v="ORD201755"/>
    <s v="CUST100069"/>
    <s v="Women"/>
    <s v="55+"/>
    <x v="518"/>
    <x v="4"/>
    <x v="6"/>
    <x v="2"/>
    <n v="11"/>
    <s v="White"/>
    <n v="1"/>
    <n v="4999"/>
    <n v="10"/>
    <n v="4500"/>
    <n v="4500"/>
    <s v="Debit/Credit Card"/>
    <x v="2"/>
    <s v="India"/>
    <x v="5"/>
    <s v="Churachandpur"/>
    <s v="Performance Seeker"/>
    <x v="1"/>
    <n v="4.4000000000000004"/>
    <s v="Delivered"/>
    <s v="Express"/>
    <n v="2"/>
  </r>
  <r>
    <s v="ORD202927"/>
    <s v="CUST100234"/>
    <s v="Women"/>
    <s v="35-44"/>
    <x v="518"/>
    <x v="0"/>
    <x v="0"/>
    <x v="0"/>
    <n v="7"/>
    <s v="Black"/>
    <n v="3"/>
    <n v="9799"/>
    <n v="10"/>
    <n v="8820"/>
    <n v="26460"/>
    <s v="Net Banking"/>
    <x v="0"/>
    <s v="India"/>
    <x v="13"/>
    <s v="Itanagar"/>
    <s v="Performance Seeker"/>
    <x v="1"/>
    <n v="4.3"/>
    <s v="Delivered"/>
    <s v="Same Day"/>
    <n v="2"/>
  </r>
  <r>
    <s v="ORD203094"/>
    <s v="CUST100188"/>
    <s v="Unisex"/>
    <s v="35-44"/>
    <x v="518"/>
    <x v="0"/>
    <x v="31"/>
    <x v="1"/>
    <n v="11"/>
    <s v="White"/>
    <n v="1"/>
    <n v="7699"/>
    <n v="10"/>
    <n v="6930"/>
    <n v="6930"/>
    <s v="UPI"/>
    <x v="1"/>
    <s v="India"/>
    <x v="24"/>
    <s v="Mysuru"/>
    <s v="Lifestyle Shopper"/>
    <x v="1"/>
    <n v="3.3"/>
    <s v="Delivered"/>
    <s v="Express"/>
    <n v="2"/>
  </r>
  <r>
    <s v="ORD203119"/>
    <s v="CUST100254"/>
    <s v="Men"/>
    <s v="18-24"/>
    <x v="518"/>
    <x v="5"/>
    <x v="7"/>
    <x v="1"/>
    <n v="10"/>
    <s v="Grey"/>
    <n v="1"/>
    <n v="6399"/>
    <n v="25"/>
    <n v="4800"/>
    <n v="4800"/>
    <s v="UPI"/>
    <x v="1"/>
    <s v="India"/>
    <x v="20"/>
    <s v="Solan"/>
    <s v="Value Shopper"/>
    <x v="1"/>
    <n v="4.5999999999999996"/>
    <s v="Delivered"/>
    <s v="Express"/>
    <n v="3"/>
  </r>
  <r>
    <s v="ORD203006"/>
    <s v="CUST100647"/>
    <s v="Unisex"/>
    <s v="45-54"/>
    <x v="519"/>
    <x v="3"/>
    <x v="35"/>
    <x v="2"/>
    <n v="7"/>
    <s v="Red"/>
    <n v="2"/>
    <n v="4199"/>
    <n v="10"/>
    <n v="3780"/>
    <n v="7560"/>
    <s v="UPI"/>
    <x v="2"/>
    <s v="India"/>
    <x v="26"/>
    <s v="Thiruvananthapuram"/>
    <s v="Comfort Shopper"/>
    <x v="1"/>
    <n v="4.4000000000000004"/>
    <s v="Delivered"/>
    <s v="Standard"/>
    <n v="4"/>
  </r>
  <r>
    <s v="ORD200498"/>
    <s v="CUST100808"/>
    <s v="Unisex"/>
    <s v="25-34"/>
    <x v="520"/>
    <x v="3"/>
    <x v="11"/>
    <x v="4"/>
    <n v="9"/>
    <s v="Black"/>
    <n v="1"/>
    <n v="6599"/>
    <n v="5"/>
    <n v="6270"/>
    <n v="6270"/>
    <s v="UPI"/>
    <x v="2"/>
    <s v="India"/>
    <x v="33"/>
    <s v="Pune"/>
    <s v="Performance Seeker"/>
    <x v="0"/>
    <n v="3.7"/>
    <s v="Cancelled"/>
    <s v="Express"/>
    <n v="2"/>
  </r>
  <r>
    <s v="ORD201442"/>
    <s v="CUST100228"/>
    <s v="Men"/>
    <s v="25-34"/>
    <x v="520"/>
    <x v="3"/>
    <x v="5"/>
    <x v="2"/>
    <n v="8"/>
    <s v="Black"/>
    <n v="2"/>
    <n v="7399"/>
    <n v="30"/>
    <n v="5180"/>
    <n v="10360"/>
    <s v="UPI"/>
    <x v="1"/>
    <s v="India"/>
    <x v="18"/>
    <s v="Raipur"/>
    <s v="Performance Seeker"/>
    <x v="2"/>
    <n v="4.4000000000000004"/>
    <s v="Delivered"/>
    <s v="Standard"/>
    <n v="3"/>
  </r>
  <r>
    <s v="ORD201930"/>
    <s v="CUST100335"/>
    <s v="Men"/>
    <s v="25-34"/>
    <x v="521"/>
    <x v="1"/>
    <x v="10"/>
    <x v="3"/>
    <n v="7"/>
    <s v="White"/>
    <n v="1"/>
    <n v="7499"/>
    <n v="25"/>
    <n v="5620"/>
    <n v="5620"/>
    <s v="UPI"/>
    <x v="1"/>
    <s v="India"/>
    <x v="19"/>
    <s v="Nongpoh"/>
    <s v="Comfort Shopper"/>
    <x v="0"/>
    <n v="4.5"/>
    <s v="Delivered"/>
    <s v="Standard"/>
    <n v="2"/>
  </r>
  <r>
    <s v="ORD200055"/>
    <s v="CUST100144"/>
    <s v="Women"/>
    <s v="18-24"/>
    <x v="522"/>
    <x v="4"/>
    <x v="26"/>
    <x v="3"/>
    <n v="12"/>
    <s v="Blue"/>
    <n v="1"/>
    <n v="4299"/>
    <n v="15"/>
    <n v="3650"/>
    <n v="3650"/>
    <s v="UPI"/>
    <x v="0"/>
    <s v="India"/>
    <x v="6"/>
    <s v="Kanpur"/>
    <s v="Lifestyle Shopper"/>
    <x v="1"/>
    <n v="4.4000000000000004"/>
    <s v="Returned"/>
    <s v="Standard"/>
    <n v="3"/>
  </r>
  <r>
    <s v="ORD201788"/>
    <s v="CUST100670"/>
    <s v="Women"/>
    <s v="25-34"/>
    <x v="523"/>
    <x v="5"/>
    <x v="14"/>
    <x v="3"/>
    <n v="6"/>
    <s v="Red"/>
    <n v="1"/>
    <n v="8799"/>
    <n v="10"/>
    <n v="7920"/>
    <n v="7920"/>
    <s v="UPI"/>
    <x v="1"/>
    <s v="India"/>
    <x v="17"/>
    <s v="Mahe"/>
    <s v="Premium Shopper"/>
    <x v="0"/>
    <n v="4.3"/>
    <s v="Delivered"/>
    <s v="Standard"/>
    <n v="3"/>
  </r>
  <r>
    <s v="ORD200101"/>
    <s v="CUST100057"/>
    <s v="Women"/>
    <s v="45-54"/>
    <x v="524"/>
    <x v="1"/>
    <x v="1"/>
    <x v="1"/>
    <n v="8"/>
    <s v="Green"/>
    <n v="3"/>
    <n v="4299"/>
    <n v="30"/>
    <n v="3010"/>
    <n v="9030"/>
    <s v="Debit/Credit Card"/>
    <x v="1"/>
    <s v="India"/>
    <x v="1"/>
    <s v="Panaji"/>
    <s v="Lifestyle Shopper"/>
    <x v="1"/>
    <n v="4.4000000000000004"/>
    <s v="Delivered"/>
    <s v="Standard"/>
    <n v="1"/>
  </r>
  <r>
    <s v="ORD200591"/>
    <s v="CUST100627"/>
    <s v="Women"/>
    <s v="18-24"/>
    <x v="524"/>
    <x v="2"/>
    <x v="25"/>
    <x v="3"/>
    <n v="9"/>
    <s v="Blue"/>
    <n v="1"/>
    <n v="5799"/>
    <n v="10"/>
    <n v="5220"/>
    <n v="5220"/>
    <s v="Debit/Credit Card"/>
    <x v="1"/>
    <s v="India"/>
    <x v="13"/>
    <s v="Pasighat"/>
    <s v="Lifestyle Shopper"/>
    <x v="0"/>
    <n v="4.0999999999999996"/>
    <s v="Delivered"/>
    <s v="Standard"/>
    <n v="4"/>
  </r>
  <r>
    <s v="ORD201671"/>
    <s v="CUST100133"/>
    <s v="Men"/>
    <s v="18-24"/>
    <x v="524"/>
    <x v="4"/>
    <x v="6"/>
    <x v="2"/>
    <n v="8"/>
    <s v="White"/>
    <n v="2"/>
    <n v="8499"/>
    <n v="15"/>
    <n v="7220"/>
    <n v="14440"/>
    <s v="Cash on Delivery"/>
    <x v="2"/>
    <s v="India"/>
    <x v="4"/>
    <s v="Namchi"/>
    <s v="Performance Seeker"/>
    <x v="0"/>
    <n v="5"/>
    <s v="Delivered"/>
    <s v="Standard"/>
    <n v="2"/>
  </r>
  <r>
    <s v="ORD202790"/>
    <s v="CUST100055"/>
    <s v="Men"/>
    <s v="45-54"/>
    <x v="524"/>
    <x v="2"/>
    <x v="4"/>
    <x v="2"/>
    <n v="9"/>
    <s v="Blue"/>
    <n v="2"/>
    <n v="4199"/>
    <n v="10"/>
    <n v="3780"/>
    <n v="7560"/>
    <s v="Net Banking"/>
    <x v="2"/>
    <s v="India"/>
    <x v="29"/>
    <s v="Vijayawada"/>
    <s v="Comfort Shopper"/>
    <x v="0"/>
    <n v="4.5999999999999996"/>
    <s v="Delivered"/>
    <s v="Standard"/>
    <n v="5"/>
  </r>
  <r>
    <s v="ORD201408"/>
    <s v="CUST100694"/>
    <s v="Men"/>
    <s v="25-34"/>
    <x v="525"/>
    <x v="1"/>
    <x v="18"/>
    <x v="2"/>
    <n v="6"/>
    <s v="Blue"/>
    <n v="3"/>
    <n v="8499"/>
    <n v="35"/>
    <n v="5520"/>
    <n v="16560"/>
    <s v="UPI"/>
    <x v="1"/>
    <s v="India"/>
    <x v="21"/>
    <s v="Tuensang"/>
    <s v="Comfort Shopper"/>
    <x v="1"/>
    <n v="3.7"/>
    <s v="Delivered"/>
    <s v="Express"/>
    <n v="2"/>
  </r>
  <r>
    <s v="ORD202828"/>
    <s v="CUST100425"/>
    <s v="Men"/>
    <s v="45-54"/>
    <x v="525"/>
    <x v="2"/>
    <x v="25"/>
    <x v="3"/>
    <n v="10"/>
    <s v="Grey"/>
    <n v="2"/>
    <n v="8499"/>
    <n v="5"/>
    <n v="8070"/>
    <n v="16140"/>
    <s v="UPI"/>
    <x v="0"/>
    <s v="India"/>
    <x v="9"/>
    <s v="Bhagalpur"/>
    <s v="Value Shopper"/>
    <x v="0"/>
    <n v="4.5999999999999996"/>
    <s v="Delivered"/>
    <s v="Express"/>
    <n v="2"/>
  </r>
  <r>
    <s v="ORD200825"/>
    <s v="CUST100705"/>
    <s v="Unisex"/>
    <s v="45-54"/>
    <x v="526"/>
    <x v="3"/>
    <x v="34"/>
    <x v="3"/>
    <n v="9"/>
    <s v="Black"/>
    <n v="3"/>
    <n v="5499"/>
    <n v="20"/>
    <n v="4400"/>
    <n v="13200"/>
    <s v="UPI"/>
    <x v="2"/>
    <s v="India"/>
    <x v="23"/>
    <s v="Dehradun"/>
    <s v="Comfort Shopper"/>
    <x v="0"/>
    <n v="4.5999999999999996"/>
    <s v="Delivered"/>
    <s v="Standard"/>
    <n v="5"/>
  </r>
  <r>
    <s v="ORD201621"/>
    <s v="CUST100203"/>
    <s v="Women"/>
    <s v="35-44"/>
    <x v="526"/>
    <x v="3"/>
    <x v="11"/>
    <x v="4"/>
    <n v="9"/>
    <s v="Green"/>
    <n v="1"/>
    <n v="6999"/>
    <n v="30"/>
    <n v="4900"/>
    <n v="4900"/>
    <s v="UPI"/>
    <x v="2"/>
    <s v="India"/>
    <x v="26"/>
    <s v="Thiruvananthapuram"/>
    <s v="Premium Shopper"/>
    <x v="1"/>
    <n v="3.2"/>
    <s v="Delivered"/>
    <s v="Express"/>
    <n v="2"/>
  </r>
  <r>
    <s v="ORD203139"/>
    <s v="CUST100262"/>
    <s v="Women"/>
    <s v="25-34"/>
    <x v="526"/>
    <x v="4"/>
    <x v="22"/>
    <x v="0"/>
    <n v="11"/>
    <s v="Grey"/>
    <n v="2"/>
    <n v="5399"/>
    <n v="20"/>
    <n v="4320"/>
    <n v="8640"/>
    <s v="Cash on Delivery"/>
    <x v="1"/>
    <s v="India"/>
    <x v="15"/>
    <s v="Rohini"/>
    <s v="Comfort Shopper"/>
    <x v="1"/>
    <n v="3.6"/>
    <s v="Delivered"/>
    <s v="Standard"/>
    <n v="5"/>
  </r>
  <r>
    <s v="ORD200073"/>
    <s v="CUST100110"/>
    <s v="Men"/>
    <s v="55+"/>
    <x v="527"/>
    <x v="1"/>
    <x v="18"/>
    <x v="2"/>
    <n v="8"/>
    <s v="Blue"/>
    <n v="1"/>
    <n v="4299"/>
    <n v="10"/>
    <n v="3870"/>
    <n v="3870"/>
    <s v="Debit/Credit Card"/>
    <x v="1"/>
    <s v="India"/>
    <x v="0"/>
    <s v="Guwahati"/>
    <s v="Lifestyle Shopper"/>
    <x v="1"/>
    <n v="3.2"/>
    <s v="Delivered"/>
    <s v="Standard"/>
    <n v="6"/>
  </r>
  <r>
    <s v="ORD201939"/>
    <s v="CUST100460"/>
    <s v="Men"/>
    <s v="18-24"/>
    <x v="528"/>
    <x v="3"/>
    <x v="11"/>
    <x v="4"/>
    <n v="9"/>
    <s v="Grey"/>
    <n v="2"/>
    <n v="5599"/>
    <n v="20"/>
    <n v="4480"/>
    <n v="8960"/>
    <s v="UPI"/>
    <x v="1"/>
    <s v="India"/>
    <x v="27"/>
    <s v="Cuttack"/>
    <s v="Lifestyle Shopper"/>
    <x v="2"/>
    <n v="2.8"/>
    <s v="Returned"/>
    <s v="Standard"/>
    <n v="3"/>
  </r>
  <r>
    <s v="ORD202195"/>
    <s v="CUST100421"/>
    <s v="Unisex"/>
    <s v="25-34"/>
    <x v="529"/>
    <x v="5"/>
    <x v="30"/>
    <x v="2"/>
    <n v="8"/>
    <s v="Grey"/>
    <n v="2"/>
    <n v="5899"/>
    <n v="20"/>
    <n v="4720"/>
    <n v="9440"/>
    <s v="Cash on Delivery"/>
    <x v="1"/>
    <s v="India"/>
    <x v="34"/>
    <s v="Kolkata"/>
    <s v="Comfort Shopper"/>
    <x v="0"/>
    <n v="4.2"/>
    <s v="Delivered"/>
    <s v="Standard"/>
    <n v="2"/>
  </r>
  <r>
    <s v="ORD200106"/>
    <s v="CUST100461"/>
    <s v="Women"/>
    <s v="18-24"/>
    <x v="530"/>
    <x v="5"/>
    <x v="21"/>
    <x v="2"/>
    <n v="9"/>
    <s v="Green"/>
    <n v="1"/>
    <n v="5199"/>
    <n v="25"/>
    <n v="3900"/>
    <n v="3900"/>
    <s v="Debit/Credit Card"/>
    <x v="1"/>
    <s v="India"/>
    <x v="17"/>
    <s v="Puducherry"/>
    <s v="Value Shopper"/>
    <x v="0"/>
    <n v="4.5999999999999996"/>
    <s v="Delivered"/>
    <s v="Same Day"/>
    <n v="2"/>
  </r>
  <r>
    <s v="ORD202158"/>
    <s v="CUST100531"/>
    <s v="Men"/>
    <s v="25-34"/>
    <x v="530"/>
    <x v="3"/>
    <x v="35"/>
    <x v="2"/>
    <n v="9"/>
    <s v="Grey"/>
    <n v="2"/>
    <n v="7799"/>
    <n v="15"/>
    <n v="6630"/>
    <n v="13260"/>
    <s v="UPI"/>
    <x v="0"/>
    <s v="India"/>
    <x v="31"/>
    <s v="Coimbatore"/>
    <s v="Performance Seeker"/>
    <x v="1"/>
    <n v="5"/>
    <s v="Returned"/>
    <s v="Express"/>
    <n v="2"/>
  </r>
  <r>
    <s v="ORD200372"/>
    <s v="CUST100513"/>
    <s v="Men"/>
    <s v="35-44"/>
    <x v="531"/>
    <x v="4"/>
    <x v="22"/>
    <x v="0"/>
    <n v="12"/>
    <s v="Blue"/>
    <n v="1"/>
    <n v="9399"/>
    <n v="30"/>
    <n v="6580"/>
    <n v="6580"/>
    <s v="UPI"/>
    <x v="1"/>
    <s v="India"/>
    <x v="3"/>
    <s v="Jodhpur"/>
    <s v="Performance Seeker"/>
    <x v="1"/>
    <n v="3"/>
    <s v="Delivered"/>
    <s v="Standard"/>
    <n v="3"/>
  </r>
  <r>
    <s v="ORD200570"/>
    <s v="CUST100122"/>
    <s v="Unisex"/>
    <s v="45-54"/>
    <x v="531"/>
    <x v="2"/>
    <x v="32"/>
    <x v="1"/>
    <n v="9"/>
    <s v="Black"/>
    <n v="3"/>
    <n v="3899"/>
    <n v="10"/>
    <n v="3510"/>
    <n v="10530"/>
    <s v="UPI"/>
    <x v="1"/>
    <s v="India"/>
    <x v="10"/>
    <s v="Silvassa"/>
    <s v="Comfort Shopper"/>
    <x v="1"/>
    <n v="4.8"/>
    <s v="Delivered"/>
    <s v="Standard"/>
    <n v="5"/>
  </r>
  <r>
    <s v="ORD200709"/>
    <s v="CUST100338"/>
    <s v="Men"/>
    <s v="55+"/>
    <x v="531"/>
    <x v="5"/>
    <x v="27"/>
    <x v="0"/>
    <n v="10"/>
    <s v="Grey"/>
    <n v="2"/>
    <n v="7899"/>
    <n v="15"/>
    <n v="6710"/>
    <n v="13420"/>
    <s v="Debit/Credit Card"/>
    <x v="0"/>
    <s v="India"/>
    <x v="16"/>
    <s v="Surat"/>
    <s v="Comfort Shopper"/>
    <x v="1"/>
    <n v="4.5"/>
    <s v="Delivered"/>
    <s v="Standard"/>
    <n v="3"/>
  </r>
  <r>
    <s v="ORD201109"/>
    <s v="CUST100884"/>
    <s v="Men"/>
    <s v="45-54"/>
    <x v="531"/>
    <x v="4"/>
    <x v="6"/>
    <x v="2"/>
    <n v="8"/>
    <s v="Blue"/>
    <n v="1"/>
    <n v="7499"/>
    <n v="20"/>
    <n v="6000"/>
    <n v="6000"/>
    <s v="Debit/Credit Card"/>
    <x v="1"/>
    <s v="India"/>
    <x v="0"/>
    <s v="Dibrugarh"/>
    <s v="Comfort Shopper"/>
    <x v="0"/>
    <n v="4.3"/>
    <s v="Delivered"/>
    <s v="Standard"/>
    <n v="3"/>
  </r>
  <r>
    <s v="ORD202560"/>
    <s v="CUST100164"/>
    <s v="Men"/>
    <s v="45-54"/>
    <x v="531"/>
    <x v="3"/>
    <x v="11"/>
    <x v="4"/>
    <n v="8"/>
    <s v="Black"/>
    <n v="1"/>
    <n v="7599"/>
    <n v="15"/>
    <n v="6460"/>
    <n v="6460"/>
    <s v="UPI"/>
    <x v="2"/>
    <s v="India"/>
    <x v="8"/>
    <s v="Hyderabad"/>
    <s v="Value Shopper"/>
    <x v="0"/>
    <n v="4.5999999999999996"/>
    <s v="Delivered"/>
    <s v="Standard"/>
    <n v="7"/>
  </r>
  <r>
    <s v="ORD201894"/>
    <s v="CUST100379"/>
    <s v="Unisex"/>
    <s v="25-34"/>
    <x v="532"/>
    <x v="3"/>
    <x v="16"/>
    <x v="0"/>
    <n v="8"/>
    <s v="White"/>
    <n v="1"/>
    <n v="4799"/>
    <n v="15"/>
    <n v="4080"/>
    <n v="4080"/>
    <s v="Debit/Credit Card"/>
    <x v="1"/>
    <s v="India"/>
    <x v="22"/>
    <s v="Agartala"/>
    <s v="Comfort Shopper"/>
    <x v="1"/>
    <n v="5"/>
    <s v="Delivered"/>
    <s v="Standard"/>
    <n v="6"/>
  </r>
  <r>
    <s v="ORD202301"/>
    <s v="CUST100210"/>
    <s v="Men"/>
    <s v="18-24"/>
    <x v="532"/>
    <x v="0"/>
    <x v="31"/>
    <x v="1"/>
    <n v="7"/>
    <s v="Black"/>
    <n v="2"/>
    <n v="3599"/>
    <n v="20"/>
    <n v="2880"/>
    <n v="5760"/>
    <s v="UPI"/>
    <x v="2"/>
    <s v="India"/>
    <x v="6"/>
    <s v="Noida"/>
    <s v="Lifestyle Shopper"/>
    <x v="0"/>
    <n v="3.6"/>
    <s v="Delivered"/>
    <s v="Standard"/>
    <n v="2"/>
  </r>
  <r>
    <s v="ORD201282"/>
    <s v="CUST100701"/>
    <s v="Men"/>
    <s v="18-24"/>
    <x v="533"/>
    <x v="2"/>
    <x v="25"/>
    <x v="3"/>
    <n v="7"/>
    <s v="White"/>
    <n v="1"/>
    <n v="6799"/>
    <n v="30"/>
    <n v="4760"/>
    <n v="4760"/>
    <s v="Debit/Credit Card"/>
    <x v="1"/>
    <s v="India"/>
    <x v="23"/>
    <s v="Haldwani"/>
    <s v="Performance Seeker"/>
    <x v="0"/>
    <n v="3.9"/>
    <s v="Delivered"/>
    <s v="Standard"/>
    <n v="2"/>
  </r>
  <r>
    <s v="ORD200177"/>
    <s v="CUST100246"/>
    <s v="Men"/>
    <s v="45-54"/>
    <x v="534"/>
    <x v="4"/>
    <x v="29"/>
    <x v="2"/>
    <n v="6"/>
    <s v="Green"/>
    <n v="3"/>
    <n v="8599"/>
    <n v="15"/>
    <n v="7310"/>
    <n v="21930"/>
    <s v="Debit/Credit Card"/>
    <x v="1"/>
    <s v="India"/>
    <x v="11"/>
    <s v="Amini"/>
    <s v="Comfort Shopper"/>
    <x v="1"/>
    <n v="5"/>
    <s v="Returned"/>
    <s v="Express"/>
    <n v="3"/>
  </r>
  <r>
    <s v="ORD202630"/>
    <s v="CUST100394"/>
    <s v="Men"/>
    <s v="25-34"/>
    <x v="535"/>
    <x v="1"/>
    <x v="33"/>
    <x v="0"/>
    <n v="7"/>
    <s v="Blue"/>
    <n v="1"/>
    <n v="4799"/>
    <n v="20"/>
    <n v="3840"/>
    <n v="3840"/>
    <s v="UPI"/>
    <x v="1"/>
    <s v="India"/>
    <x v="31"/>
    <s v="Tiruchirappalli"/>
    <s v="Value Shopper"/>
    <x v="1"/>
    <n v="4"/>
    <s v="Delivered"/>
    <s v="Same Day"/>
    <n v="1"/>
  </r>
  <r>
    <s v="ORD200947"/>
    <s v="CUST100808"/>
    <s v="Men"/>
    <s v="18-24"/>
    <x v="536"/>
    <x v="2"/>
    <x v="3"/>
    <x v="2"/>
    <n v="10"/>
    <s v="Black"/>
    <n v="2"/>
    <n v="6999"/>
    <n v="20"/>
    <n v="5600"/>
    <n v="11200"/>
    <s v="UPI"/>
    <x v="1"/>
    <s v="India"/>
    <x v="16"/>
    <s v="Rajkot"/>
    <s v="Lifestyle Shopper"/>
    <x v="1"/>
    <n v="3.9"/>
    <s v="Delivered"/>
    <s v="Express"/>
    <n v="2"/>
  </r>
  <r>
    <s v="ORD201141"/>
    <s v="CUST100335"/>
    <s v="Unisex"/>
    <s v="18-24"/>
    <x v="537"/>
    <x v="1"/>
    <x v="12"/>
    <x v="4"/>
    <n v="9"/>
    <s v="Black"/>
    <n v="1"/>
    <n v="7399"/>
    <n v="5"/>
    <n v="7030"/>
    <n v="7030"/>
    <s v="UPI"/>
    <x v="1"/>
    <s v="India"/>
    <x v="28"/>
    <s v="Nubra"/>
    <s v="Lifestyle Shopper"/>
    <x v="1"/>
    <n v="4.4000000000000004"/>
    <s v="Delivered"/>
    <s v="Standard"/>
    <n v="2"/>
  </r>
  <r>
    <s v="ORD201045"/>
    <s v="CUST100083"/>
    <s v="Women"/>
    <s v="18-24"/>
    <x v="538"/>
    <x v="3"/>
    <x v="5"/>
    <x v="2"/>
    <n v="11"/>
    <s v="Blue"/>
    <n v="1"/>
    <n v="7699"/>
    <n v="10"/>
    <n v="6930"/>
    <n v="6930"/>
    <s v="Debit/Credit Card"/>
    <x v="2"/>
    <s v="India"/>
    <x v="8"/>
    <s v="Hyderabad"/>
    <s v="Lifestyle Shopper"/>
    <x v="1"/>
    <n v="4.8"/>
    <s v="Delivered"/>
    <s v="Standard"/>
    <n v="5"/>
  </r>
  <r>
    <s v="ORD201000"/>
    <s v="CUST100277"/>
    <s v="Women"/>
    <s v="18-24"/>
    <x v="539"/>
    <x v="4"/>
    <x v="26"/>
    <x v="3"/>
    <n v="12"/>
    <s v="Red"/>
    <n v="2"/>
    <n v="6299"/>
    <n v="15"/>
    <n v="5350"/>
    <n v="10700"/>
    <s v="UPI"/>
    <x v="1"/>
    <s v="India"/>
    <x v="16"/>
    <s v="Rajkot"/>
    <s v="Lifestyle Shopper"/>
    <x v="0"/>
    <n v="3.8"/>
    <s v="Delivered"/>
    <s v="Express"/>
    <n v="1"/>
  </r>
  <r>
    <s v="ORD202388"/>
    <s v="CUST100796"/>
    <s v="Men"/>
    <s v="18-24"/>
    <x v="539"/>
    <x v="2"/>
    <x v="32"/>
    <x v="1"/>
    <n v="8"/>
    <s v="White"/>
    <n v="1"/>
    <n v="4399"/>
    <n v="10"/>
    <n v="3960"/>
    <n v="3960"/>
    <s v="UPI"/>
    <x v="0"/>
    <s v="India"/>
    <x v="18"/>
    <s v="Korba"/>
    <s v="Value Shopper"/>
    <x v="1"/>
    <n v="4"/>
    <s v="Delivered"/>
    <s v="Standard"/>
    <n v="2"/>
  </r>
  <r>
    <s v="ORD201921"/>
    <s v="CUST100748"/>
    <s v="Women"/>
    <s v="18-24"/>
    <x v="540"/>
    <x v="4"/>
    <x v="9"/>
    <x v="1"/>
    <n v="10"/>
    <s v="Green"/>
    <n v="1"/>
    <n v="8199"/>
    <n v="35"/>
    <n v="5330"/>
    <n v="5330"/>
    <s v="Debit/Credit Card"/>
    <x v="1"/>
    <s v="India"/>
    <x v="2"/>
    <s v="Faridabad"/>
    <s v="Performance Seeker"/>
    <x v="0"/>
    <n v="4.5"/>
    <s v="Delivered"/>
    <s v="Standard"/>
    <n v="5"/>
  </r>
  <r>
    <s v="ORD202197"/>
    <s v="CUST100587"/>
    <s v="Women"/>
    <s v="45-54"/>
    <x v="541"/>
    <x v="0"/>
    <x v="8"/>
    <x v="3"/>
    <n v="8"/>
    <s v="White"/>
    <n v="1"/>
    <n v="8899"/>
    <n v="15"/>
    <n v="7560"/>
    <n v="7560"/>
    <s v="Debit/Credit Card"/>
    <x v="1"/>
    <s v="India"/>
    <x v="2"/>
    <s v="Faridabad"/>
    <s v="Comfort Shopper"/>
    <x v="0"/>
    <n v="5"/>
    <s v="Delivered"/>
    <s v="Standard"/>
    <n v="3"/>
  </r>
  <r>
    <s v="ORD202361"/>
    <s v="CUST100674"/>
    <s v="Men"/>
    <s v="45-54"/>
    <x v="542"/>
    <x v="4"/>
    <x v="26"/>
    <x v="3"/>
    <n v="8"/>
    <s v="Blue"/>
    <n v="1"/>
    <n v="6699"/>
    <n v="10"/>
    <n v="6030"/>
    <n v="6030"/>
    <s v="Debit/Credit Card"/>
    <x v="1"/>
    <s v="India"/>
    <x v="8"/>
    <s v="Karimnagar"/>
    <s v="Performance Seeker"/>
    <x v="0"/>
    <n v="4.0999999999999996"/>
    <s v="Delivered"/>
    <s v="Express"/>
    <n v="2"/>
  </r>
  <r>
    <s v="ORD200530"/>
    <s v="CUST100586"/>
    <s v="Men"/>
    <s v="45-54"/>
    <x v="543"/>
    <x v="4"/>
    <x v="17"/>
    <x v="4"/>
    <n v="9"/>
    <s v="Grey"/>
    <n v="1"/>
    <n v="7699"/>
    <n v="10"/>
    <n v="6930"/>
    <n v="6930"/>
    <s v="Debit/Credit Card"/>
    <x v="0"/>
    <s v="India"/>
    <x v="34"/>
    <s v="Asansol"/>
    <s v="Value Shopper"/>
    <x v="1"/>
    <n v="4.0999999999999996"/>
    <s v="Delivered"/>
    <s v="Standard"/>
    <n v="4"/>
  </r>
  <r>
    <s v="ORD203008"/>
    <s v="CUST100076"/>
    <s v="Men"/>
    <s v="18-24"/>
    <x v="543"/>
    <x v="2"/>
    <x v="25"/>
    <x v="3"/>
    <n v="8"/>
    <s v="White"/>
    <n v="1"/>
    <n v="6299"/>
    <n v="20"/>
    <n v="5040"/>
    <n v="5040"/>
    <s v="Debit/Credit Card"/>
    <x v="0"/>
    <s v="India"/>
    <x v="31"/>
    <s v="Chennai"/>
    <s v="Premium Shopper"/>
    <x v="1"/>
    <n v="4.5999999999999996"/>
    <s v="Cancelled"/>
    <s v="Standard"/>
    <n v="3"/>
  </r>
  <r>
    <s v="ORD200680"/>
    <s v="CUST100130"/>
    <s v="Women"/>
    <s v="55+"/>
    <x v="544"/>
    <x v="1"/>
    <x v="33"/>
    <x v="0"/>
    <n v="10"/>
    <s v="White"/>
    <n v="1"/>
    <n v="4599"/>
    <n v="15"/>
    <n v="3910"/>
    <n v="3910"/>
    <s v="UPI"/>
    <x v="1"/>
    <s v="India"/>
    <x v="25"/>
    <s v="Jammu"/>
    <s v="Performance Seeker"/>
    <x v="2"/>
    <n v="4.3"/>
    <s v="Delivered"/>
    <s v="Express"/>
    <n v="2"/>
  </r>
  <r>
    <s v="ORD200683"/>
    <s v="CUST100917"/>
    <s v="Unisex"/>
    <s v="18-24"/>
    <x v="544"/>
    <x v="0"/>
    <x v="2"/>
    <x v="2"/>
    <n v="7"/>
    <s v="Blue"/>
    <n v="1"/>
    <n v="4599"/>
    <n v="25"/>
    <n v="3450"/>
    <n v="3450"/>
    <s v="UPI"/>
    <x v="0"/>
    <s v="India"/>
    <x v="23"/>
    <s v="Haridwar"/>
    <s v="Value Shopper"/>
    <x v="0"/>
    <n v="5"/>
    <s v="Delivered"/>
    <s v="Standard"/>
    <n v="5"/>
  </r>
  <r>
    <s v="ORD200577"/>
    <s v="CUST101010"/>
    <s v="Men"/>
    <s v="25-34"/>
    <x v="545"/>
    <x v="0"/>
    <x v="0"/>
    <x v="0"/>
    <n v="10"/>
    <s v="White"/>
    <n v="1"/>
    <n v="9099"/>
    <n v="15"/>
    <n v="7730"/>
    <n v="7730"/>
    <s v="UPI"/>
    <x v="0"/>
    <s v="India"/>
    <x v="9"/>
    <s v="Gaya"/>
    <s v="Lifestyle Shopper"/>
    <x v="0"/>
    <n v="4"/>
    <s v="Delivered"/>
    <s v="Standard"/>
    <n v="2"/>
  </r>
  <r>
    <s v="ORD202105"/>
    <s v="CUST100744"/>
    <s v="Women"/>
    <s v="18-24"/>
    <x v="546"/>
    <x v="0"/>
    <x v="31"/>
    <x v="1"/>
    <n v="10"/>
    <s v="Blue"/>
    <n v="2"/>
    <n v="6299"/>
    <n v="20"/>
    <n v="5040"/>
    <n v="10080"/>
    <s v="Debit/Credit Card"/>
    <x v="1"/>
    <s v="India"/>
    <x v="31"/>
    <s v="Chennai"/>
    <s v="Performance Seeker"/>
    <x v="0"/>
    <n v="3.5"/>
    <s v="Delivered"/>
    <s v="Standard"/>
    <n v="6"/>
  </r>
  <r>
    <s v="ORD202729"/>
    <s v="CUST100137"/>
    <s v="Unisex"/>
    <s v="35-44"/>
    <x v="546"/>
    <x v="0"/>
    <x v="0"/>
    <x v="0"/>
    <n v="10"/>
    <s v="Black"/>
    <n v="2"/>
    <n v="5899"/>
    <n v="0"/>
    <n v="5900"/>
    <n v="11800"/>
    <s v="UPI"/>
    <x v="0"/>
    <s v="India"/>
    <x v="8"/>
    <s v="Warangal"/>
    <s v="Performance Seeker"/>
    <x v="0"/>
    <n v="4.0999999999999996"/>
    <s v="Returned"/>
    <s v="Express"/>
    <n v="3"/>
  </r>
  <r>
    <s v="ORD202882"/>
    <s v="CUST100508"/>
    <s v="Unisex"/>
    <s v="25-34"/>
    <x v="546"/>
    <x v="4"/>
    <x v="26"/>
    <x v="3"/>
    <n v="9"/>
    <s v="Grey"/>
    <n v="1"/>
    <n v="4599"/>
    <n v="15"/>
    <n v="3910"/>
    <n v="3910"/>
    <s v="UPI"/>
    <x v="1"/>
    <s v="India"/>
    <x v="26"/>
    <s v="Kozhikode"/>
    <s v="Performance Seeker"/>
    <x v="0"/>
    <n v="2.8"/>
    <s v="Delivered"/>
    <s v="Standard"/>
    <n v="3"/>
  </r>
  <r>
    <s v="ORD202999"/>
    <s v="CUST100094"/>
    <s v="Men"/>
    <s v="35-44"/>
    <x v="547"/>
    <x v="0"/>
    <x v="19"/>
    <x v="4"/>
    <n v="11"/>
    <s v="White"/>
    <n v="1"/>
    <n v="9099"/>
    <n v="5"/>
    <n v="8640"/>
    <n v="8640"/>
    <s v="UPI"/>
    <x v="0"/>
    <s v="India"/>
    <x v="8"/>
    <s v="Karimnagar"/>
    <s v="Lifestyle Shopper"/>
    <x v="1"/>
    <n v="3.9"/>
    <s v="Delivered"/>
    <s v="Express"/>
    <n v="2"/>
  </r>
  <r>
    <s v="ORD200128"/>
    <s v="CUST100063"/>
    <s v="Men"/>
    <s v="35-44"/>
    <x v="548"/>
    <x v="0"/>
    <x v="0"/>
    <x v="0"/>
    <n v="11"/>
    <s v="White"/>
    <n v="2"/>
    <n v="7099"/>
    <n v="5"/>
    <n v="6740"/>
    <n v="13480"/>
    <s v="Debit/Credit Card"/>
    <x v="1"/>
    <s v="India"/>
    <x v="14"/>
    <s v="Amritsar"/>
    <s v="Lifestyle Shopper"/>
    <x v="2"/>
    <n v="3.9"/>
    <s v="Delivered"/>
    <s v="Express"/>
    <n v="3"/>
  </r>
  <r>
    <s v="ORD202112"/>
    <s v="CUST100346"/>
    <s v="Men"/>
    <s v="55+"/>
    <x v="548"/>
    <x v="3"/>
    <x v="34"/>
    <x v="3"/>
    <n v="9"/>
    <s v="Black"/>
    <n v="1"/>
    <n v="4899"/>
    <n v="20"/>
    <n v="3920"/>
    <n v="3920"/>
    <s v="UPI"/>
    <x v="2"/>
    <s v="India"/>
    <x v="7"/>
    <s v="Gwalior"/>
    <s v="Comfort Shopper"/>
    <x v="1"/>
    <n v="3.4"/>
    <s v="Delivered"/>
    <s v="Standard"/>
    <n v="5"/>
  </r>
  <r>
    <s v="ORD202077"/>
    <s v="CUST100222"/>
    <s v="Men"/>
    <s v="25-34"/>
    <x v="549"/>
    <x v="3"/>
    <x v="16"/>
    <x v="0"/>
    <n v="6"/>
    <s v="Black"/>
    <n v="1"/>
    <n v="8599"/>
    <n v="15"/>
    <n v="7310"/>
    <n v="7310"/>
    <s v="UPI"/>
    <x v="1"/>
    <s v="India"/>
    <x v="24"/>
    <s v="Bengaluru"/>
    <s v="Value Shopper"/>
    <x v="0"/>
    <n v="3.7"/>
    <s v="Cancelled"/>
    <s v="Express"/>
    <n v="2"/>
  </r>
  <r>
    <s v="ORD202792"/>
    <s v="CUST100447"/>
    <s v="Women"/>
    <s v="25-34"/>
    <x v="549"/>
    <x v="1"/>
    <x v="1"/>
    <x v="1"/>
    <n v="11"/>
    <s v="Blue"/>
    <n v="1"/>
    <n v="4999"/>
    <n v="25"/>
    <n v="3750"/>
    <n v="3750"/>
    <s v="UPI"/>
    <x v="0"/>
    <s v="India"/>
    <x v="13"/>
    <s v="Naharlagun"/>
    <s v="Performance Seeker"/>
    <x v="1"/>
    <n v="4.7"/>
    <s v="Delivered"/>
    <s v="Standard"/>
    <n v="4"/>
  </r>
  <r>
    <s v="ORD200960"/>
    <s v="CUST100957"/>
    <s v="Unisex"/>
    <s v="25-34"/>
    <x v="550"/>
    <x v="1"/>
    <x v="33"/>
    <x v="0"/>
    <n v="10"/>
    <s v="Black"/>
    <n v="2"/>
    <n v="6099"/>
    <n v="15"/>
    <n v="5180"/>
    <n v="10360"/>
    <s v="UPI"/>
    <x v="0"/>
    <s v="India"/>
    <x v="35"/>
    <s v="Champhai"/>
    <s v="Premium Shopper"/>
    <x v="1"/>
    <n v="5"/>
    <s v="Delivered"/>
    <s v="Standard"/>
    <n v="4"/>
  </r>
  <r>
    <s v="ORD201223"/>
    <s v="CUST100484"/>
    <s v="Women"/>
    <s v="18-24"/>
    <x v="550"/>
    <x v="1"/>
    <x v="1"/>
    <x v="1"/>
    <n v="6"/>
    <s v="Blue"/>
    <n v="1"/>
    <n v="8199"/>
    <n v="20"/>
    <n v="6560"/>
    <n v="6560"/>
    <s v="UPI"/>
    <x v="1"/>
    <s v="India"/>
    <x v="26"/>
    <s v="Thiruvananthapuram"/>
    <s v="Value Shopper"/>
    <x v="1"/>
    <n v="3.1"/>
    <s v="Delivered"/>
    <s v="Express"/>
    <n v="3"/>
  </r>
  <r>
    <s v="ORD201267"/>
    <s v="CUST100354"/>
    <s v="Women"/>
    <s v="35-44"/>
    <x v="551"/>
    <x v="5"/>
    <x v="15"/>
    <x v="4"/>
    <n v="10"/>
    <s v="White"/>
    <n v="1"/>
    <n v="7499"/>
    <n v="0"/>
    <n v="7500"/>
    <n v="7500"/>
    <s v="Cash on Delivery"/>
    <x v="1"/>
    <s v="India"/>
    <x v="5"/>
    <s v="Imphal"/>
    <s v="Lifestyle Shopper"/>
    <x v="0"/>
    <n v="4"/>
    <s v="Delivered"/>
    <s v="Standard"/>
    <n v="3"/>
  </r>
  <r>
    <s v="ORD200675"/>
    <s v="CUST100651"/>
    <s v="Men"/>
    <s v="45-54"/>
    <x v="552"/>
    <x v="2"/>
    <x v="3"/>
    <x v="2"/>
    <n v="6"/>
    <s v="Grey"/>
    <n v="1"/>
    <n v="4999"/>
    <n v="25"/>
    <n v="3750"/>
    <n v="3750"/>
    <s v="Debit/Credit Card"/>
    <x v="0"/>
    <s v="India"/>
    <x v="31"/>
    <s v="Tiruchirappalli"/>
    <s v="Comfort Shopper"/>
    <x v="1"/>
    <n v="4.9000000000000004"/>
    <s v="Delivered"/>
    <s v="Standard"/>
    <n v="1"/>
  </r>
  <r>
    <s v="ORD202510"/>
    <s v="CUST100156"/>
    <s v="Men"/>
    <s v="18-24"/>
    <x v="552"/>
    <x v="1"/>
    <x v="10"/>
    <x v="3"/>
    <n v="8"/>
    <s v="White"/>
    <n v="2"/>
    <n v="9499"/>
    <n v="25"/>
    <n v="7120"/>
    <n v="14240"/>
    <s v="UPI"/>
    <x v="1"/>
    <s v="India"/>
    <x v="7"/>
    <s v="Indore"/>
    <s v="Performance Seeker"/>
    <x v="2"/>
    <n v="3"/>
    <s v="Delivered"/>
    <s v="Standard"/>
    <n v="4"/>
  </r>
  <r>
    <s v="ORD202679"/>
    <s v="CUST100194"/>
    <s v="Unisex"/>
    <s v="35-44"/>
    <x v="552"/>
    <x v="3"/>
    <x v="34"/>
    <x v="3"/>
    <n v="6"/>
    <s v="Grey"/>
    <n v="1"/>
    <n v="6899"/>
    <n v="20"/>
    <n v="5520"/>
    <n v="5520"/>
    <s v="UPI"/>
    <x v="0"/>
    <s v="India"/>
    <x v="6"/>
    <s v="Kanpur"/>
    <s v="Value Shopper"/>
    <x v="1"/>
    <n v="3.6"/>
    <s v="Delivered"/>
    <s v="Standard"/>
    <n v="3"/>
  </r>
  <r>
    <s v="ORD200175"/>
    <s v="CUST100715"/>
    <s v="Women"/>
    <s v="18-24"/>
    <x v="553"/>
    <x v="1"/>
    <x v="1"/>
    <x v="1"/>
    <n v="7"/>
    <s v="White"/>
    <n v="2"/>
    <n v="4299"/>
    <n v="5"/>
    <n v="4080"/>
    <n v="8160"/>
    <s v="Debit/Credit Card"/>
    <x v="1"/>
    <s v="India"/>
    <x v="30"/>
    <s v="Manimajra"/>
    <s v="Value Shopper"/>
    <x v="0"/>
    <n v="5"/>
    <s v="Returned"/>
    <s v="Express"/>
    <n v="2"/>
  </r>
  <r>
    <s v="ORD200003"/>
    <s v="CUST100222"/>
    <s v="Men"/>
    <s v="55+"/>
    <x v="554"/>
    <x v="5"/>
    <x v="21"/>
    <x v="2"/>
    <n v="8"/>
    <s v="Green"/>
    <n v="1"/>
    <n v="6499"/>
    <n v="25"/>
    <n v="4870"/>
    <n v="4870"/>
    <s v="UPI"/>
    <x v="1"/>
    <s v="India"/>
    <x v="29"/>
    <s v="Vijayawada"/>
    <s v="Value Shopper"/>
    <x v="1"/>
    <n v="3.7"/>
    <s v="Returned"/>
    <s v="Express"/>
    <n v="2"/>
  </r>
  <r>
    <s v="ORD200626"/>
    <s v="CUST100566"/>
    <s v="Unisex"/>
    <s v="35-44"/>
    <x v="554"/>
    <x v="4"/>
    <x v="29"/>
    <x v="2"/>
    <n v="8"/>
    <s v="Grey"/>
    <n v="1"/>
    <n v="4499"/>
    <n v="10"/>
    <n v="4050"/>
    <n v="4050"/>
    <s v="UPI"/>
    <x v="0"/>
    <s v="India"/>
    <x v="32"/>
    <s v="Ranchi"/>
    <s v="Performance Seeker"/>
    <x v="1"/>
    <n v="4.2"/>
    <s v="Delivered"/>
    <s v="Express"/>
    <n v="3"/>
  </r>
  <r>
    <s v="ORD200928"/>
    <s v="CUST100581"/>
    <s v="Women"/>
    <s v="18-24"/>
    <x v="554"/>
    <x v="3"/>
    <x v="34"/>
    <x v="3"/>
    <n v="12"/>
    <s v="Black"/>
    <n v="1"/>
    <n v="5399"/>
    <n v="0"/>
    <n v="5400"/>
    <n v="5400"/>
    <s v="UPI"/>
    <x v="2"/>
    <s v="India"/>
    <x v="5"/>
    <s v="Churachandpur"/>
    <s v="Performance Seeker"/>
    <x v="1"/>
    <n v="4.2"/>
    <s v="Delivered"/>
    <s v="Standard"/>
    <n v="2"/>
  </r>
  <r>
    <s v="ORD201359"/>
    <s v="CUST101007"/>
    <s v="Unisex"/>
    <s v="18-24"/>
    <x v="554"/>
    <x v="5"/>
    <x v="15"/>
    <x v="4"/>
    <n v="8"/>
    <s v="Blue"/>
    <n v="1"/>
    <n v="5599"/>
    <n v="15"/>
    <n v="4760"/>
    <n v="4760"/>
    <s v="Debit/Credit Card"/>
    <x v="1"/>
    <s v="India"/>
    <x v="31"/>
    <s v="Madurai"/>
    <s v="Lifestyle Shopper"/>
    <x v="0"/>
    <n v="4.3"/>
    <s v="Delivered"/>
    <s v="Same Day"/>
    <n v="1"/>
  </r>
  <r>
    <s v="ORD202380"/>
    <s v="CUST100499"/>
    <s v="Women"/>
    <s v="45-54"/>
    <x v="554"/>
    <x v="0"/>
    <x v="0"/>
    <x v="0"/>
    <n v="9"/>
    <s v="Grey"/>
    <n v="2"/>
    <n v="7599"/>
    <n v="15"/>
    <n v="6460"/>
    <n v="12920"/>
    <s v="UPI"/>
    <x v="1"/>
    <s v="India"/>
    <x v="32"/>
    <s v="Bokaro"/>
    <s v="Premium Shopper"/>
    <x v="0"/>
    <n v="4.5"/>
    <s v="Delivered"/>
    <s v="Express"/>
    <n v="2"/>
  </r>
  <r>
    <s v="ORD202952"/>
    <s v="CUST100073"/>
    <s v="Unisex"/>
    <s v="25-34"/>
    <x v="555"/>
    <x v="5"/>
    <x v="7"/>
    <x v="1"/>
    <n v="12"/>
    <s v="Black"/>
    <n v="1"/>
    <n v="8099"/>
    <n v="10"/>
    <n v="7290"/>
    <n v="7290"/>
    <s v="UPI"/>
    <x v="2"/>
    <s v="India"/>
    <x v="8"/>
    <s v="Karimnagar"/>
    <s v="Performance Seeker"/>
    <x v="1"/>
    <n v="4.7"/>
    <s v="Delivered"/>
    <s v="Express"/>
    <n v="4"/>
  </r>
  <r>
    <s v="ORD200102"/>
    <s v="CUST100695"/>
    <s v="Unisex"/>
    <s v="35-44"/>
    <x v="556"/>
    <x v="3"/>
    <x v="16"/>
    <x v="0"/>
    <n v="11"/>
    <s v="Grey"/>
    <n v="1"/>
    <n v="7499"/>
    <n v="15"/>
    <n v="6370"/>
    <n v="6370"/>
    <s v="UPI"/>
    <x v="0"/>
    <s v="India"/>
    <x v="7"/>
    <s v="Indore"/>
    <s v="Lifestyle Shopper"/>
    <x v="0"/>
    <n v="3.6"/>
    <s v="Delivered"/>
    <s v="Standard"/>
    <n v="4"/>
  </r>
  <r>
    <s v="ORD200540"/>
    <s v="CUST100010"/>
    <s v="Men"/>
    <s v="18-24"/>
    <x v="556"/>
    <x v="2"/>
    <x v="24"/>
    <x v="4"/>
    <n v="6"/>
    <s v="Black"/>
    <n v="1"/>
    <n v="5999"/>
    <n v="10"/>
    <n v="5400"/>
    <n v="5400"/>
    <s v="Net Banking"/>
    <x v="1"/>
    <s v="India"/>
    <x v="1"/>
    <s v="Panaji"/>
    <s v="Premium Shopper"/>
    <x v="1"/>
    <n v="4.8"/>
    <s v="Delivered"/>
    <s v="Standard"/>
    <n v="5"/>
  </r>
  <r>
    <s v="ORD202321"/>
    <s v="CUST100018"/>
    <s v="Women"/>
    <s v="35-44"/>
    <x v="556"/>
    <x v="4"/>
    <x v="17"/>
    <x v="4"/>
    <n v="9"/>
    <s v="White"/>
    <n v="2"/>
    <n v="5899"/>
    <n v="5"/>
    <n v="5600"/>
    <n v="11200"/>
    <s v="UPI"/>
    <x v="1"/>
    <s v="India"/>
    <x v="25"/>
    <s v="Anantnag"/>
    <s v="Lifestyle Shopper"/>
    <x v="1"/>
    <n v="4.5"/>
    <s v="Delivered"/>
    <s v="Express"/>
    <n v="1"/>
  </r>
  <r>
    <s v="ORD201044"/>
    <s v="CUST100755"/>
    <s v="Unisex"/>
    <s v="55+"/>
    <x v="557"/>
    <x v="1"/>
    <x v="20"/>
    <x v="2"/>
    <n v="8"/>
    <s v="Blue"/>
    <n v="2"/>
    <n v="4899"/>
    <n v="20"/>
    <n v="3920"/>
    <n v="7840"/>
    <s v="UPI"/>
    <x v="1"/>
    <s v="India"/>
    <x v="16"/>
    <s v="Vadodara"/>
    <s v="Comfort Shopper"/>
    <x v="1"/>
    <n v="3.9"/>
    <s v="Delivered"/>
    <s v="Standard"/>
    <n v="2"/>
  </r>
  <r>
    <s v="ORD201401"/>
    <s v="CUST100667"/>
    <s v="Men"/>
    <s v="25-34"/>
    <x v="557"/>
    <x v="4"/>
    <x v="29"/>
    <x v="2"/>
    <n v="7"/>
    <s v="Black"/>
    <n v="1"/>
    <n v="7799"/>
    <n v="5"/>
    <n v="7410"/>
    <n v="7410"/>
    <s v="Cash on Delivery"/>
    <x v="1"/>
    <s v="India"/>
    <x v="28"/>
    <s v="Leh"/>
    <s v="Performance Seeker"/>
    <x v="0"/>
    <n v="4.4000000000000004"/>
    <s v="Delivered"/>
    <s v="Express"/>
    <n v="2"/>
  </r>
  <r>
    <s v="ORD203031"/>
    <s v="CUST100710"/>
    <s v="Women"/>
    <s v="25-34"/>
    <x v="557"/>
    <x v="5"/>
    <x v="7"/>
    <x v="1"/>
    <n v="8"/>
    <s v="Blue"/>
    <n v="1"/>
    <n v="3999"/>
    <n v="25"/>
    <n v="3000"/>
    <n v="3000"/>
    <s v="UPI"/>
    <x v="2"/>
    <s v="India"/>
    <x v="14"/>
    <s v="Jalandhar"/>
    <s v="Performance Seeker"/>
    <x v="0"/>
    <n v="4.5"/>
    <s v="Cancelled"/>
    <s v="Standard"/>
    <n v="4"/>
  </r>
  <r>
    <s v="ORD203079"/>
    <s v="CUST100680"/>
    <s v="Women"/>
    <s v="25-34"/>
    <x v="557"/>
    <x v="4"/>
    <x v="9"/>
    <x v="1"/>
    <n v="8"/>
    <s v="Blue"/>
    <n v="1"/>
    <n v="7799"/>
    <n v="10"/>
    <n v="7020"/>
    <n v="7020"/>
    <s v="UPI"/>
    <x v="1"/>
    <s v="India"/>
    <x v="2"/>
    <s v="Panipat"/>
    <s v="Performance Seeker"/>
    <x v="1"/>
    <n v="4.3"/>
    <s v="Cancelled"/>
    <s v="Express"/>
    <n v="4"/>
  </r>
  <r>
    <s v="ORD203161"/>
    <s v="CUST100986"/>
    <s v="Men"/>
    <s v="25-34"/>
    <x v="557"/>
    <x v="0"/>
    <x v="13"/>
    <x v="2"/>
    <n v="8"/>
    <s v="Blue"/>
    <n v="2"/>
    <n v="4999"/>
    <n v="15"/>
    <n v="4250"/>
    <n v="8500"/>
    <s v="UPI"/>
    <x v="2"/>
    <s v="India"/>
    <x v="19"/>
    <s v="Tura"/>
    <s v="Value Shopper"/>
    <x v="0"/>
    <n v="3"/>
    <s v="Delivered"/>
    <s v="Express"/>
    <n v="3"/>
  </r>
  <r>
    <s v="ORD200957"/>
    <s v="CUST100293"/>
    <s v="Unisex"/>
    <s v="18-24"/>
    <x v="558"/>
    <x v="3"/>
    <x v="34"/>
    <x v="3"/>
    <n v="9"/>
    <s v="Red"/>
    <n v="1"/>
    <n v="6499"/>
    <n v="10"/>
    <n v="5850"/>
    <n v="5850"/>
    <s v="Debit/Credit Card"/>
    <x v="1"/>
    <s v="India"/>
    <x v="8"/>
    <s v="Nizamabad"/>
    <s v="Comfort Shopper"/>
    <x v="1"/>
    <n v="3.5"/>
    <s v="Returned"/>
    <s v="Standard"/>
    <n v="1"/>
  </r>
  <r>
    <s v="ORD201126"/>
    <s v="CUST100616"/>
    <s v="Unisex"/>
    <s v="45-54"/>
    <x v="558"/>
    <x v="3"/>
    <x v="35"/>
    <x v="2"/>
    <n v="10"/>
    <s v="Grey"/>
    <n v="1"/>
    <n v="4399"/>
    <n v="10"/>
    <n v="3960"/>
    <n v="3960"/>
    <s v="UPI"/>
    <x v="2"/>
    <s v="India"/>
    <x v="31"/>
    <s v="Madurai"/>
    <s v="Performance Seeker"/>
    <x v="1"/>
    <n v="3.7"/>
    <s v="Returned"/>
    <s v="Standard"/>
    <n v="5"/>
  </r>
  <r>
    <s v="ORD201630"/>
    <s v="CUST100090"/>
    <s v="Women"/>
    <s v="25-34"/>
    <x v="558"/>
    <x v="3"/>
    <x v="28"/>
    <x v="1"/>
    <n v="7"/>
    <s v="Black"/>
    <n v="1"/>
    <n v="3599"/>
    <n v="20"/>
    <n v="2880"/>
    <n v="2880"/>
    <s v="Debit/Credit Card"/>
    <x v="0"/>
    <s v="India"/>
    <x v="29"/>
    <s v="Guntur"/>
    <s v="Premium Shopper"/>
    <x v="1"/>
    <n v="2.8"/>
    <s v="Cancelled"/>
    <s v="Express"/>
    <n v="2"/>
  </r>
  <r>
    <s v="ORD203128"/>
    <s v="CUST100961"/>
    <s v="Men"/>
    <s v="25-34"/>
    <x v="558"/>
    <x v="3"/>
    <x v="11"/>
    <x v="4"/>
    <n v="7"/>
    <s v="Black"/>
    <n v="1"/>
    <n v="5899"/>
    <n v="15"/>
    <n v="5010"/>
    <n v="5010"/>
    <s v="Cash on Delivery"/>
    <x v="1"/>
    <s v="India"/>
    <x v="32"/>
    <s v="Ranchi"/>
    <s v="Performance Seeker"/>
    <x v="0"/>
    <n v="4.3"/>
    <s v="Delivered"/>
    <s v="Standard"/>
    <n v="2"/>
  </r>
  <r>
    <s v="ORD200400"/>
    <s v="CUST100268"/>
    <s v="Women"/>
    <s v="35-44"/>
    <x v="559"/>
    <x v="0"/>
    <x v="13"/>
    <x v="2"/>
    <n v="9"/>
    <s v="White"/>
    <n v="1"/>
    <n v="9499"/>
    <n v="15"/>
    <n v="8070"/>
    <n v="8070"/>
    <s v="UPI"/>
    <x v="2"/>
    <s v="India"/>
    <x v="26"/>
    <s v="Thrissur"/>
    <s v="Premium Shopper"/>
    <x v="0"/>
    <n v="3.5"/>
    <s v="Delivered"/>
    <s v="Standard"/>
    <n v="5"/>
  </r>
  <r>
    <s v="ORD201612"/>
    <s v="CUST100174"/>
    <s v="Men"/>
    <s v="35-44"/>
    <x v="559"/>
    <x v="2"/>
    <x v="3"/>
    <x v="2"/>
    <n v="9"/>
    <s v="Blue"/>
    <n v="1"/>
    <n v="8199"/>
    <n v="25"/>
    <n v="6150"/>
    <n v="6150"/>
    <s v="UPI"/>
    <x v="0"/>
    <s v="India"/>
    <x v="9"/>
    <s v="Bhagalpur"/>
    <s v="Value Shopper"/>
    <x v="0"/>
    <n v="3.4"/>
    <s v="Delivered"/>
    <s v="Express"/>
    <n v="2"/>
  </r>
  <r>
    <s v="ORD200735"/>
    <s v="CUST100308"/>
    <s v="Women"/>
    <s v="55+"/>
    <x v="560"/>
    <x v="1"/>
    <x v="33"/>
    <x v="0"/>
    <n v="12"/>
    <s v="Green"/>
    <n v="1"/>
    <n v="7599"/>
    <n v="15"/>
    <n v="6460"/>
    <n v="6460"/>
    <s v="Debit/Credit Card"/>
    <x v="0"/>
    <s v="India"/>
    <x v="17"/>
    <s v="Mahe"/>
    <s v="Lifestyle Shopper"/>
    <x v="0"/>
    <n v="3.8"/>
    <s v="Delivered"/>
    <s v="Standard"/>
    <n v="5"/>
  </r>
  <r>
    <s v="ORD201246"/>
    <s v="CUST100510"/>
    <s v="Men"/>
    <s v="55+"/>
    <x v="560"/>
    <x v="2"/>
    <x v="4"/>
    <x v="2"/>
    <n v="11"/>
    <s v="White"/>
    <n v="1"/>
    <n v="4399"/>
    <n v="5"/>
    <n v="4180"/>
    <n v="4180"/>
    <s v="UPI"/>
    <x v="1"/>
    <s v="India"/>
    <x v="3"/>
    <s v="Udaipur"/>
    <s v="Lifestyle Shopper"/>
    <x v="1"/>
    <n v="4.5999999999999996"/>
    <s v="Delivered"/>
    <s v="Express"/>
    <n v="4"/>
  </r>
  <r>
    <s v="ORD201330"/>
    <s v="CUST100228"/>
    <s v="Unisex"/>
    <s v="35-44"/>
    <x v="561"/>
    <x v="4"/>
    <x v="22"/>
    <x v="0"/>
    <n v="10"/>
    <s v="Grey"/>
    <n v="3"/>
    <n v="7799"/>
    <n v="35"/>
    <n v="5070"/>
    <n v="15210"/>
    <s v="UPI"/>
    <x v="1"/>
    <s v="India"/>
    <x v="8"/>
    <s v="Hyderabad"/>
    <s v="Value Shopper"/>
    <x v="2"/>
    <n v="4.7"/>
    <s v="Delivered"/>
    <s v="Standard"/>
    <n v="5"/>
  </r>
  <r>
    <s v="ORD201040"/>
    <s v="CUST100259"/>
    <s v="Men"/>
    <s v="45-54"/>
    <x v="562"/>
    <x v="4"/>
    <x v="6"/>
    <x v="2"/>
    <n v="8"/>
    <s v="Green"/>
    <n v="1"/>
    <n v="9699"/>
    <n v="10"/>
    <n v="8730"/>
    <n v="8730"/>
    <s v="UPI"/>
    <x v="1"/>
    <s v="India"/>
    <x v="2"/>
    <s v="Hisar"/>
    <s v="Premium Shopper"/>
    <x v="1"/>
    <n v="4.0999999999999996"/>
    <s v="Cancelled"/>
    <s v="Standard"/>
    <n v="3"/>
  </r>
  <r>
    <s v="ORD201814"/>
    <s v="CUST100188"/>
    <s v="Women"/>
    <s v="45-54"/>
    <x v="562"/>
    <x v="2"/>
    <x v="32"/>
    <x v="1"/>
    <n v="8"/>
    <s v="Black"/>
    <n v="1"/>
    <n v="4699"/>
    <n v="5"/>
    <n v="4460"/>
    <n v="4460"/>
    <s v="UPI"/>
    <x v="1"/>
    <s v="India"/>
    <x v="24"/>
    <s v="Hubballi"/>
    <s v="Comfort Shopper"/>
    <x v="2"/>
    <n v="4.2"/>
    <s v="Delivered"/>
    <s v="Express"/>
    <n v="3"/>
  </r>
  <r>
    <s v="ORD201989"/>
    <s v="CUST100536"/>
    <s v="Men"/>
    <s v="25-34"/>
    <x v="562"/>
    <x v="3"/>
    <x v="34"/>
    <x v="3"/>
    <n v="6"/>
    <s v="Black"/>
    <n v="2"/>
    <n v="6299"/>
    <n v="25"/>
    <n v="4720"/>
    <n v="9440"/>
    <s v="Debit/Credit Card"/>
    <x v="0"/>
    <s v="India"/>
    <x v="17"/>
    <s v="Karaikal"/>
    <s v="Premium Shopper"/>
    <x v="1"/>
    <n v="3.3"/>
    <s v="Delivered"/>
    <s v="Express"/>
    <n v="4"/>
  </r>
  <r>
    <s v="ORD202771"/>
    <s v="CUST100764"/>
    <s v="Unisex"/>
    <s v="25-34"/>
    <x v="563"/>
    <x v="2"/>
    <x v="25"/>
    <x v="3"/>
    <n v="7"/>
    <s v="Blue"/>
    <n v="1"/>
    <n v="3799"/>
    <n v="15"/>
    <n v="3230"/>
    <n v="3230"/>
    <s v="UPI"/>
    <x v="1"/>
    <s v="India"/>
    <x v="7"/>
    <s v="Bhopal"/>
    <s v="Value Shopper"/>
    <x v="1"/>
    <n v="4.9000000000000004"/>
    <s v="Cancelled"/>
    <s v="Standard"/>
    <n v="4"/>
  </r>
  <r>
    <s v="ORD201480"/>
    <s v="CUST100976"/>
    <s v="Men"/>
    <s v="45-54"/>
    <x v="564"/>
    <x v="1"/>
    <x v="10"/>
    <x v="3"/>
    <n v="6"/>
    <s v="Black"/>
    <n v="1"/>
    <n v="8699"/>
    <n v="15"/>
    <n v="7390"/>
    <n v="7390"/>
    <s v="UPI"/>
    <x v="2"/>
    <s v="India"/>
    <x v="3"/>
    <s v="Jodhpur"/>
    <s v="Premium Shopper"/>
    <x v="1"/>
    <n v="4.4000000000000004"/>
    <s v="Delivered"/>
    <s v="Standard"/>
    <n v="2"/>
  </r>
  <r>
    <s v="ORD200801"/>
    <s v="CUST100439"/>
    <s v="Women"/>
    <s v="18-24"/>
    <x v="565"/>
    <x v="3"/>
    <x v="5"/>
    <x v="2"/>
    <n v="10"/>
    <s v="Blue"/>
    <n v="1"/>
    <n v="6199"/>
    <n v="5"/>
    <n v="5890"/>
    <n v="5890"/>
    <s v="Debit/Credit Card"/>
    <x v="1"/>
    <s v="India"/>
    <x v="8"/>
    <s v="Nizamabad"/>
    <s v="Performance Seeker"/>
    <x v="1"/>
    <n v="3.1"/>
    <s v="Delivered"/>
    <s v="Standard"/>
    <n v="4"/>
  </r>
  <r>
    <s v="ORD201439"/>
    <s v="CUST100435"/>
    <s v="Unisex"/>
    <s v="45-54"/>
    <x v="565"/>
    <x v="4"/>
    <x v="22"/>
    <x v="0"/>
    <n v="6"/>
    <s v="Red"/>
    <n v="1"/>
    <n v="8999"/>
    <n v="20"/>
    <n v="7200"/>
    <n v="7200"/>
    <s v="Debit/Credit Card"/>
    <x v="2"/>
    <s v="India"/>
    <x v="22"/>
    <s v="Kailasahar"/>
    <s v="Premium Shopper"/>
    <x v="0"/>
    <n v="5"/>
    <s v="Delivered"/>
    <s v="Standard"/>
    <n v="3"/>
  </r>
  <r>
    <s v="ORD202193"/>
    <s v="CUST100009"/>
    <s v="Women"/>
    <s v="18-24"/>
    <x v="565"/>
    <x v="2"/>
    <x v="4"/>
    <x v="2"/>
    <n v="6"/>
    <s v="Red"/>
    <n v="2"/>
    <n v="8499"/>
    <n v="15"/>
    <n v="7220"/>
    <n v="14440"/>
    <s v="UPI"/>
    <x v="0"/>
    <s v="India"/>
    <x v="3"/>
    <s v="Jaipur"/>
    <s v="Lifestyle Shopper"/>
    <x v="1"/>
    <n v="3.6"/>
    <s v="Delivered"/>
    <s v="Standard"/>
    <n v="7"/>
  </r>
  <r>
    <s v="ORD201690"/>
    <s v="CUST100593"/>
    <s v="Women"/>
    <s v="45-54"/>
    <x v="566"/>
    <x v="0"/>
    <x v="31"/>
    <x v="1"/>
    <n v="8"/>
    <s v="White"/>
    <n v="2"/>
    <n v="8699"/>
    <n v="30"/>
    <n v="6090"/>
    <n v="12180"/>
    <s v="UPI"/>
    <x v="2"/>
    <s v="India"/>
    <x v="10"/>
    <s v="Amli"/>
    <s v="Comfort Shopper"/>
    <x v="0"/>
    <n v="4.4000000000000004"/>
    <s v="Cancelled"/>
    <s v="Express"/>
    <n v="2"/>
  </r>
  <r>
    <s v="ORD200225"/>
    <s v="CUST100117"/>
    <s v="Women"/>
    <s v="25-34"/>
    <x v="567"/>
    <x v="4"/>
    <x v="6"/>
    <x v="2"/>
    <n v="9"/>
    <s v="Black"/>
    <n v="2"/>
    <n v="7599"/>
    <n v="15"/>
    <n v="6460"/>
    <n v="12920"/>
    <s v="UPI"/>
    <x v="1"/>
    <s v="India"/>
    <x v="18"/>
    <s v="Raipur"/>
    <s v="Premium Shopper"/>
    <x v="0"/>
    <n v="3.9"/>
    <s v="Delivered"/>
    <s v="Express"/>
    <n v="4"/>
  </r>
  <r>
    <s v="ORD200365"/>
    <s v="CUST100528"/>
    <s v="Women"/>
    <s v="18-24"/>
    <x v="567"/>
    <x v="2"/>
    <x v="32"/>
    <x v="1"/>
    <n v="9"/>
    <s v="Blue"/>
    <n v="1"/>
    <n v="4799"/>
    <n v="30"/>
    <n v="3360"/>
    <n v="3360"/>
    <s v="UPI"/>
    <x v="0"/>
    <s v="India"/>
    <x v="8"/>
    <s v="Karimnagar"/>
    <s v="Lifestyle Shopper"/>
    <x v="1"/>
    <n v="5"/>
    <s v="Returned"/>
    <s v="Standard"/>
    <n v="3"/>
  </r>
  <r>
    <s v="ORD200934"/>
    <s v="CUST100778"/>
    <s v="Women"/>
    <s v="18-24"/>
    <x v="567"/>
    <x v="2"/>
    <x v="3"/>
    <x v="2"/>
    <n v="8"/>
    <s v="Green"/>
    <n v="1"/>
    <n v="3899"/>
    <n v="20"/>
    <n v="3120"/>
    <n v="3120"/>
    <s v="UPI"/>
    <x v="2"/>
    <s v="India"/>
    <x v="23"/>
    <s v="Haridwar"/>
    <s v="Premium Shopper"/>
    <x v="1"/>
    <n v="4.0999999999999996"/>
    <s v="Returned"/>
    <s v="Standard"/>
    <n v="2"/>
  </r>
  <r>
    <s v="ORD201499"/>
    <s v="CUST100252"/>
    <s v="Men"/>
    <s v="25-34"/>
    <x v="567"/>
    <x v="3"/>
    <x v="34"/>
    <x v="3"/>
    <n v="8"/>
    <s v="Blue"/>
    <n v="1"/>
    <n v="4199"/>
    <n v="20"/>
    <n v="3360"/>
    <n v="3360"/>
    <s v="Debit/Credit Card"/>
    <x v="2"/>
    <s v="India"/>
    <x v="28"/>
    <s v="Kargil"/>
    <s v="Value Shopper"/>
    <x v="0"/>
    <n v="3.7"/>
    <s v="Delivered"/>
    <s v="Standard"/>
    <n v="2"/>
  </r>
  <r>
    <s v="ORD202013"/>
    <s v="CUST100288"/>
    <s v="Men"/>
    <s v="35-44"/>
    <x v="568"/>
    <x v="2"/>
    <x v="4"/>
    <x v="2"/>
    <n v="11"/>
    <s v="Black"/>
    <n v="2"/>
    <n v="6799"/>
    <n v="20"/>
    <n v="5440"/>
    <n v="10880"/>
    <s v="Debit/Credit Card"/>
    <x v="1"/>
    <s v="India"/>
    <x v="5"/>
    <s v="Imphal"/>
    <s v="Lifestyle Shopper"/>
    <x v="0"/>
    <n v="4.5999999999999996"/>
    <s v="Delivered"/>
    <s v="Standard"/>
    <n v="7"/>
  </r>
  <r>
    <s v="ORD202113"/>
    <s v="CUST100002"/>
    <s v="Men"/>
    <s v="18-24"/>
    <x v="568"/>
    <x v="2"/>
    <x v="25"/>
    <x v="3"/>
    <n v="11"/>
    <s v="Black"/>
    <n v="2"/>
    <n v="5299"/>
    <n v="20"/>
    <n v="4240"/>
    <n v="8480"/>
    <s v="UPI"/>
    <x v="0"/>
    <s v="India"/>
    <x v="31"/>
    <s v="Coimbatore"/>
    <s v="Performance Seeker"/>
    <x v="0"/>
    <n v="5"/>
    <s v="Delivered"/>
    <s v="Standard"/>
    <n v="4"/>
  </r>
  <r>
    <s v="ORD200056"/>
    <s v="CUST100178"/>
    <s v="Men"/>
    <s v="25-34"/>
    <x v="569"/>
    <x v="3"/>
    <x v="5"/>
    <x v="2"/>
    <n v="9"/>
    <s v="Grey"/>
    <n v="1"/>
    <n v="6499"/>
    <n v="20"/>
    <n v="5200"/>
    <n v="5200"/>
    <s v="Net Banking"/>
    <x v="0"/>
    <s v="India"/>
    <x v="13"/>
    <s v="Itanagar"/>
    <s v="Performance Seeker"/>
    <x v="1"/>
    <n v="3.6"/>
    <s v="Delivered"/>
    <s v="Standard"/>
    <n v="6"/>
  </r>
  <r>
    <s v="ORD202783"/>
    <s v="CUST100420"/>
    <s v="Women"/>
    <s v="18-24"/>
    <x v="569"/>
    <x v="1"/>
    <x v="20"/>
    <x v="2"/>
    <n v="7"/>
    <s v="Grey"/>
    <n v="1"/>
    <n v="4699"/>
    <n v="40"/>
    <n v="2820"/>
    <n v="2820"/>
    <s v="Cash on Delivery"/>
    <x v="1"/>
    <s v="India"/>
    <x v="23"/>
    <s v="Rishikesh"/>
    <s v="Value Shopper"/>
    <x v="2"/>
    <n v="4.4000000000000004"/>
    <s v="Returned"/>
    <s v="Express"/>
    <n v="1"/>
  </r>
  <r>
    <s v="ORD202938"/>
    <s v="CUST100339"/>
    <s v="Men"/>
    <s v="25-34"/>
    <x v="569"/>
    <x v="2"/>
    <x v="32"/>
    <x v="1"/>
    <n v="7"/>
    <s v="White"/>
    <n v="2"/>
    <n v="4899"/>
    <n v="15"/>
    <n v="4160"/>
    <n v="8320"/>
    <s v="UPI"/>
    <x v="2"/>
    <s v="India"/>
    <x v="6"/>
    <s v="Kanpur"/>
    <s v="Lifestyle Shopper"/>
    <x v="1"/>
    <n v="4.5"/>
    <s v="Returned"/>
    <s v="Standard"/>
    <n v="4"/>
  </r>
  <r>
    <s v="ORD200121"/>
    <s v="CUST100414"/>
    <s v="Women"/>
    <s v="55+"/>
    <x v="570"/>
    <x v="5"/>
    <x v="14"/>
    <x v="3"/>
    <n v="8"/>
    <s v="Blue"/>
    <n v="2"/>
    <n v="5499"/>
    <n v="15"/>
    <n v="4670"/>
    <n v="9340"/>
    <s v="UPI"/>
    <x v="1"/>
    <s v="India"/>
    <x v="15"/>
    <s v="Delhi"/>
    <s v="Premium Shopper"/>
    <x v="1"/>
    <n v="2.7"/>
    <s v="Cancelled"/>
    <s v="Standard"/>
    <n v="2"/>
  </r>
  <r>
    <s v="ORD201510"/>
    <s v="CUST100222"/>
    <s v="Women"/>
    <s v="45-54"/>
    <x v="571"/>
    <x v="4"/>
    <x v="29"/>
    <x v="2"/>
    <n v="12"/>
    <s v="Black"/>
    <n v="1"/>
    <n v="6899"/>
    <n v="25"/>
    <n v="5170"/>
    <n v="5170"/>
    <s v="UPI"/>
    <x v="0"/>
    <s v="India"/>
    <x v="24"/>
    <s v="Mangaluru"/>
    <s v="Lifestyle Shopper"/>
    <x v="1"/>
    <n v="3.3"/>
    <s v="Delivered"/>
    <s v="Express"/>
    <n v="2"/>
  </r>
  <r>
    <s v="ORD201778"/>
    <s v="CUST100876"/>
    <s v="Women"/>
    <s v="35-44"/>
    <x v="571"/>
    <x v="3"/>
    <x v="35"/>
    <x v="2"/>
    <n v="7"/>
    <s v="Green"/>
    <n v="1"/>
    <n v="3899"/>
    <n v="10"/>
    <n v="3510"/>
    <n v="3510"/>
    <s v="Debit/Credit Card"/>
    <x v="1"/>
    <s v="India"/>
    <x v="26"/>
    <s v="Thiruvananthapuram"/>
    <s v="Performance Seeker"/>
    <x v="2"/>
    <n v="4.3"/>
    <s v="Cancelled"/>
    <s v="Same Day"/>
    <n v="1"/>
  </r>
  <r>
    <s v="ORD202772"/>
    <s v="CUST100708"/>
    <s v="Women"/>
    <s v="25-34"/>
    <x v="571"/>
    <x v="4"/>
    <x v="22"/>
    <x v="0"/>
    <n v="7"/>
    <s v="Black"/>
    <n v="1"/>
    <n v="6199"/>
    <n v="0"/>
    <n v="6200"/>
    <n v="6200"/>
    <s v="Net Banking"/>
    <x v="2"/>
    <s v="India"/>
    <x v="33"/>
    <s v="Nagpur"/>
    <s v="Premium Shopper"/>
    <x v="1"/>
    <n v="4.8"/>
    <s v="Delivered"/>
    <s v="Standard"/>
    <n v="5"/>
  </r>
  <r>
    <s v="ORD200576"/>
    <s v="CUST100067"/>
    <s v="Men"/>
    <s v="45-54"/>
    <x v="572"/>
    <x v="3"/>
    <x v="5"/>
    <x v="2"/>
    <n v="7"/>
    <s v="Green"/>
    <n v="1"/>
    <n v="6099"/>
    <n v="20"/>
    <n v="4880"/>
    <n v="4880"/>
    <s v="UPI"/>
    <x v="2"/>
    <s v="India"/>
    <x v="6"/>
    <s v="Noida"/>
    <s v="Comfort Shopper"/>
    <x v="2"/>
    <n v="4.2"/>
    <s v="Delivered"/>
    <s v="Standard"/>
    <n v="4"/>
  </r>
  <r>
    <s v="ORD202820"/>
    <s v="CUST100660"/>
    <s v="Men"/>
    <s v="25-34"/>
    <x v="572"/>
    <x v="4"/>
    <x v="29"/>
    <x v="2"/>
    <n v="8"/>
    <s v="Grey"/>
    <n v="1"/>
    <n v="7899"/>
    <n v="0"/>
    <n v="7900"/>
    <n v="7900"/>
    <s v="Net Banking"/>
    <x v="2"/>
    <s v="India"/>
    <x v="16"/>
    <s v="Surat"/>
    <s v="Comfort Shopper"/>
    <x v="0"/>
    <n v="4.5999999999999996"/>
    <s v="Cancelled"/>
    <s v="Standard"/>
    <n v="3"/>
  </r>
  <r>
    <s v="ORD202837"/>
    <s v="CUST100505"/>
    <s v="Women"/>
    <s v="35-44"/>
    <x v="572"/>
    <x v="2"/>
    <x v="32"/>
    <x v="1"/>
    <n v="8"/>
    <s v="Green"/>
    <n v="1"/>
    <n v="6099"/>
    <n v="15"/>
    <n v="5180"/>
    <n v="5180"/>
    <s v="UPI"/>
    <x v="2"/>
    <s v="India"/>
    <x v="1"/>
    <s v="Margao"/>
    <s v="Lifestyle Shopper"/>
    <x v="2"/>
    <n v="4.5"/>
    <s v="Delivered"/>
    <s v="Standard"/>
    <n v="7"/>
  </r>
  <r>
    <s v="ORD201468"/>
    <s v="CUST100686"/>
    <s v="Women"/>
    <s v="45-54"/>
    <x v="573"/>
    <x v="3"/>
    <x v="28"/>
    <x v="1"/>
    <n v="9"/>
    <s v="Blue"/>
    <n v="2"/>
    <n v="6199"/>
    <n v="20"/>
    <n v="4960"/>
    <n v="9920"/>
    <s v="Debit/Credit Card"/>
    <x v="0"/>
    <s v="India"/>
    <x v="11"/>
    <s v="Andrott"/>
    <s v="Value Shopper"/>
    <x v="0"/>
    <n v="3.7"/>
    <s v="Delivered"/>
    <s v="Standard"/>
    <n v="4"/>
  </r>
  <r>
    <s v="ORD200749"/>
    <s v="CUST100160"/>
    <s v="Women"/>
    <s v="45-54"/>
    <x v="574"/>
    <x v="5"/>
    <x v="14"/>
    <x v="3"/>
    <n v="9"/>
    <s v="Green"/>
    <n v="1"/>
    <n v="9799"/>
    <n v="15"/>
    <n v="8330"/>
    <n v="8330"/>
    <s v="Debit/Credit Card"/>
    <x v="1"/>
    <s v="India"/>
    <x v="20"/>
    <s v="Mandi"/>
    <s v="Value Shopper"/>
    <x v="0"/>
    <n v="4.3"/>
    <s v="Delivered"/>
    <s v="Express"/>
    <n v="3"/>
  </r>
  <r>
    <s v="ORD200925"/>
    <s v="CUST100131"/>
    <s v="Men"/>
    <s v="35-44"/>
    <x v="574"/>
    <x v="0"/>
    <x v="2"/>
    <x v="2"/>
    <n v="9"/>
    <s v="Green"/>
    <n v="1"/>
    <n v="4599"/>
    <n v="20"/>
    <n v="3680"/>
    <n v="3680"/>
    <s v="Cash on Delivery"/>
    <x v="0"/>
    <s v="India"/>
    <x v="32"/>
    <s v="Ranchi"/>
    <s v="Lifestyle Shopper"/>
    <x v="0"/>
    <n v="3.4"/>
    <s v="Delivered"/>
    <s v="Standard"/>
    <n v="5"/>
  </r>
  <r>
    <s v="ORD200965"/>
    <s v="CUST100443"/>
    <s v="Unisex"/>
    <s v="55+"/>
    <x v="575"/>
    <x v="1"/>
    <x v="33"/>
    <x v="0"/>
    <n v="10"/>
    <s v="Black"/>
    <n v="4"/>
    <n v="7799"/>
    <n v="15"/>
    <n v="6630"/>
    <n v="26520"/>
    <s v="UPI"/>
    <x v="2"/>
    <s v="India"/>
    <x v="9"/>
    <s v="Patna"/>
    <s v="Comfort Shopper"/>
    <x v="1"/>
    <n v="3.3"/>
    <s v="Delivered"/>
    <s v="Standard"/>
    <n v="1"/>
  </r>
  <r>
    <s v="ORD202654"/>
    <s v="CUST100426"/>
    <s v="Men"/>
    <s v="45-54"/>
    <x v="576"/>
    <x v="5"/>
    <x v="14"/>
    <x v="3"/>
    <n v="8"/>
    <s v="White"/>
    <n v="2"/>
    <n v="9799"/>
    <n v="10"/>
    <n v="8820"/>
    <n v="17640"/>
    <s v="UPI"/>
    <x v="0"/>
    <s v="India"/>
    <x v="30"/>
    <s v="Manimajra"/>
    <s v="Value Shopper"/>
    <x v="0"/>
    <n v="2.9"/>
    <s v="Delivered"/>
    <s v="Standard"/>
    <n v="5"/>
  </r>
  <r>
    <s v="ORD202745"/>
    <s v="CUST100920"/>
    <s v="Men"/>
    <s v="35-44"/>
    <x v="576"/>
    <x v="0"/>
    <x v="19"/>
    <x v="4"/>
    <n v="11"/>
    <s v="Blue"/>
    <n v="1"/>
    <n v="4899"/>
    <n v="10"/>
    <n v="4410"/>
    <n v="4410"/>
    <s v="Debit/Credit Card"/>
    <x v="1"/>
    <s v="India"/>
    <x v="24"/>
    <s v="Hubballi"/>
    <s v="Value Shopper"/>
    <x v="1"/>
    <n v="5"/>
    <s v="Cancelled"/>
    <s v="Standard"/>
    <n v="4"/>
  </r>
  <r>
    <s v="ORD200551"/>
    <s v="CUST100143"/>
    <s v="Men"/>
    <s v="25-34"/>
    <x v="577"/>
    <x v="4"/>
    <x v="22"/>
    <x v="0"/>
    <n v="8"/>
    <s v="Grey"/>
    <n v="1"/>
    <n v="8299"/>
    <n v="5"/>
    <n v="7880"/>
    <n v="7880"/>
    <s v="Cash on Delivery"/>
    <x v="1"/>
    <s v="India"/>
    <x v="34"/>
    <s v="Durgapur"/>
    <s v="Value Shopper"/>
    <x v="1"/>
    <n v="3.9"/>
    <s v="Delivered"/>
    <s v="Standard"/>
    <n v="5"/>
  </r>
  <r>
    <s v="ORD202441"/>
    <s v="CUST100314"/>
    <s v="Men"/>
    <s v="45-54"/>
    <x v="577"/>
    <x v="4"/>
    <x v="26"/>
    <x v="3"/>
    <n v="7"/>
    <s v="White"/>
    <n v="1"/>
    <n v="6199"/>
    <n v="25"/>
    <n v="4650"/>
    <n v="4650"/>
    <s v="Debit/Credit Card"/>
    <x v="2"/>
    <s v="India"/>
    <x v="24"/>
    <s v="Mangaluru"/>
    <s v="Comfort Shopper"/>
    <x v="1"/>
    <n v="4.7"/>
    <s v="Delivered"/>
    <s v="Standard"/>
    <n v="5"/>
  </r>
  <r>
    <s v="ORD202224"/>
    <s v="CUST100156"/>
    <s v="Men"/>
    <s v="25-34"/>
    <x v="578"/>
    <x v="2"/>
    <x v="4"/>
    <x v="2"/>
    <n v="11"/>
    <s v="White"/>
    <n v="2"/>
    <n v="7399"/>
    <n v="25"/>
    <n v="5550"/>
    <n v="11100"/>
    <s v="UPI"/>
    <x v="1"/>
    <s v="India"/>
    <x v="34"/>
    <s v="Durgapur"/>
    <s v="Lifestyle Shopper"/>
    <x v="2"/>
    <n v="3.1"/>
    <s v="Delivered"/>
    <s v="Express"/>
    <n v="2"/>
  </r>
  <r>
    <s v="ORD203064"/>
    <s v="CUST100911"/>
    <s v="Men"/>
    <s v="25-34"/>
    <x v="578"/>
    <x v="2"/>
    <x v="23"/>
    <x v="0"/>
    <n v="9"/>
    <s v="Green"/>
    <n v="1"/>
    <n v="3199"/>
    <n v="20"/>
    <n v="2560"/>
    <n v="2560"/>
    <s v="UPI"/>
    <x v="1"/>
    <s v="India"/>
    <x v="27"/>
    <s v="Cuttack"/>
    <s v="Premium Shopper"/>
    <x v="0"/>
    <n v="4.9000000000000004"/>
    <s v="Delivered"/>
    <s v="Standard"/>
    <n v="2"/>
  </r>
  <r>
    <s v="ORD200418"/>
    <s v="CUST100698"/>
    <s v="Men"/>
    <s v="55+"/>
    <x v="579"/>
    <x v="4"/>
    <x v="17"/>
    <x v="4"/>
    <n v="10"/>
    <s v="Blue"/>
    <n v="1"/>
    <n v="4299"/>
    <n v="20"/>
    <n v="3440"/>
    <n v="3440"/>
    <s v="Debit/Credit Card"/>
    <x v="0"/>
    <s v="India"/>
    <x v="20"/>
    <s v="Shimla"/>
    <s v="Value Shopper"/>
    <x v="0"/>
    <n v="3.7"/>
    <s v="Delivered"/>
    <s v="Same Day"/>
    <n v="1"/>
  </r>
  <r>
    <s v="ORD202385"/>
    <s v="CUST100624"/>
    <s v="Men"/>
    <s v="55+"/>
    <x v="580"/>
    <x v="0"/>
    <x v="13"/>
    <x v="2"/>
    <n v="12"/>
    <s v="Blue"/>
    <n v="1"/>
    <n v="3999"/>
    <n v="15"/>
    <n v="3400"/>
    <n v="3400"/>
    <s v="UPI"/>
    <x v="1"/>
    <s v="India"/>
    <x v="29"/>
    <s v="Tirupati"/>
    <s v="Premium Shopper"/>
    <x v="1"/>
    <n v="2.2999999999999998"/>
    <s v="Delivered"/>
    <s v="Express"/>
    <n v="2"/>
  </r>
  <r>
    <s v="ORD200765"/>
    <s v="CUST100027"/>
    <s v="Women"/>
    <s v="25-34"/>
    <x v="581"/>
    <x v="0"/>
    <x v="2"/>
    <x v="2"/>
    <n v="8"/>
    <s v="Green"/>
    <n v="2"/>
    <n v="4399"/>
    <n v="5"/>
    <n v="4180"/>
    <n v="8360"/>
    <s v="UPI"/>
    <x v="0"/>
    <s v="India"/>
    <x v="13"/>
    <s v="Tawang"/>
    <s v="Comfort Shopper"/>
    <x v="2"/>
    <n v="3.5"/>
    <s v="Delivered"/>
    <s v="Standard"/>
    <n v="1"/>
  </r>
  <r>
    <s v="ORD202325"/>
    <s v="CUST100909"/>
    <s v="Women"/>
    <s v="18-24"/>
    <x v="581"/>
    <x v="1"/>
    <x v="33"/>
    <x v="0"/>
    <n v="11"/>
    <s v="Blue"/>
    <n v="3"/>
    <n v="8999"/>
    <n v="20"/>
    <n v="7200"/>
    <n v="21600"/>
    <s v="UPI"/>
    <x v="1"/>
    <s v="India"/>
    <x v="33"/>
    <s v="Mumbai"/>
    <s v="Lifestyle Shopper"/>
    <x v="0"/>
    <n v="4.8"/>
    <s v="Delivered"/>
    <s v="Same Day"/>
    <n v="1"/>
  </r>
  <r>
    <s v="ORD202422"/>
    <s v="CUST100014"/>
    <s v="Women"/>
    <s v="18-24"/>
    <x v="581"/>
    <x v="0"/>
    <x v="2"/>
    <x v="2"/>
    <n v="10"/>
    <s v="Grey"/>
    <n v="1"/>
    <n v="4799"/>
    <n v="20"/>
    <n v="3840"/>
    <n v="3840"/>
    <s v="UPI"/>
    <x v="1"/>
    <s v="India"/>
    <x v="33"/>
    <s v="Nashik"/>
    <s v="Value Shopper"/>
    <x v="1"/>
    <n v="4.5999999999999996"/>
    <s v="Delivered"/>
    <s v="Express"/>
    <n v="2"/>
  </r>
  <r>
    <s v="ORD202702"/>
    <s v="CUST100153"/>
    <s v="Women"/>
    <s v="25-34"/>
    <x v="581"/>
    <x v="4"/>
    <x v="26"/>
    <x v="3"/>
    <n v="10"/>
    <s v="Red"/>
    <n v="3"/>
    <n v="7799"/>
    <n v="25"/>
    <n v="5850"/>
    <n v="17550"/>
    <s v="Cash on Delivery"/>
    <x v="1"/>
    <s v="India"/>
    <x v="14"/>
    <s v="Ludhiana"/>
    <s v="Performance Seeker"/>
    <x v="1"/>
    <n v="4.7"/>
    <s v="Delivered"/>
    <s v="Standard"/>
    <n v="5"/>
  </r>
  <r>
    <s v="ORD201588"/>
    <s v="CUST100683"/>
    <s v="Men"/>
    <s v="35-44"/>
    <x v="582"/>
    <x v="0"/>
    <x v="2"/>
    <x v="2"/>
    <n v="10"/>
    <s v="Black"/>
    <n v="3"/>
    <n v="6399"/>
    <n v="5"/>
    <n v="6080"/>
    <n v="18240"/>
    <s v="UPI"/>
    <x v="1"/>
    <s v="India"/>
    <x v="31"/>
    <s v="Coimbatore"/>
    <s v="Premium Shopper"/>
    <x v="0"/>
    <n v="3.7"/>
    <s v="Delivered"/>
    <s v="Standard"/>
    <n v="3"/>
  </r>
  <r>
    <s v="ORD201652"/>
    <s v="CUST100473"/>
    <s v="Men"/>
    <s v="25-34"/>
    <x v="582"/>
    <x v="0"/>
    <x v="31"/>
    <x v="1"/>
    <n v="7"/>
    <s v="Red"/>
    <n v="1"/>
    <n v="5999"/>
    <n v="25"/>
    <n v="4500"/>
    <n v="4500"/>
    <s v="UPI"/>
    <x v="0"/>
    <s v="India"/>
    <x v="12"/>
    <s v="Mayabunder"/>
    <s v="Lifestyle Shopper"/>
    <x v="0"/>
    <n v="5"/>
    <s v="Delivered"/>
    <s v="Standard"/>
    <n v="4"/>
  </r>
  <r>
    <s v="ORD202329"/>
    <s v="CUST100697"/>
    <s v="Women"/>
    <s v="45-54"/>
    <x v="582"/>
    <x v="4"/>
    <x v="6"/>
    <x v="2"/>
    <n v="6"/>
    <s v="Blue"/>
    <n v="1"/>
    <n v="7799"/>
    <n v="15"/>
    <n v="6630"/>
    <n v="6630"/>
    <s v="Debit/Credit Card"/>
    <x v="1"/>
    <s v="India"/>
    <x v="19"/>
    <s v="Tura"/>
    <s v="Performance Seeker"/>
    <x v="0"/>
    <n v="4"/>
    <s v="Delivered"/>
    <s v="Standard"/>
    <n v="6"/>
  </r>
  <r>
    <s v="ORD202707"/>
    <s v="CUST101045"/>
    <s v="Women"/>
    <s v="55+"/>
    <x v="582"/>
    <x v="2"/>
    <x v="4"/>
    <x v="2"/>
    <n v="9"/>
    <s v="Green"/>
    <n v="1"/>
    <n v="3199"/>
    <n v="15"/>
    <n v="2720"/>
    <n v="2720"/>
    <s v="UPI"/>
    <x v="1"/>
    <s v="India"/>
    <x v="13"/>
    <s v="Tawang"/>
    <s v="Performance Seeker"/>
    <x v="0"/>
    <n v="3.2"/>
    <s v="Delivered"/>
    <s v="Standard"/>
    <n v="2"/>
  </r>
  <r>
    <s v="ORD202056"/>
    <s v="CUST100559"/>
    <s v="Women"/>
    <s v="18-24"/>
    <x v="583"/>
    <x v="0"/>
    <x v="31"/>
    <x v="1"/>
    <n v="7"/>
    <s v="Red"/>
    <n v="2"/>
    <n v="6199"/>
    <n v="25"/>
    <n v="4650"/>
    <n v="9300"/>
    <s v="UPI"/>
    <x v="0"/>
    <s v="India"/>
    <x v="14"/>
    <s v="Jalandhar"/>
    <s v="Performance Seeker"/>
    <x v="0"/>
    <n v="4"/>
    <s v="Returned"/>
    <s v="Standard"/>
    <n v="2"/>
  </r>
  <r>
    <s v="ORD203140"/>
    <s v="CUST100841"/>
    <s v="Women"/>
    <s v="25-34"/>
    <x v="583"/>
    <x v="0"/>
    <x v="19"/>
    <x v="4"/>
    <n v="9"/>
    <s v="Blue"/>
    <n v="1"/>
    <n v="4499"/>
    <n v="25"/>
    <n v="3370"/>
    <n v="3370"/>
    <s v="Cash on Delivery"/>
    <x v="2"/>
    <s v="India"/>
    <x v="17"/>
    <s v="Yanam"/>
    <s v="Premium Shopper"/>
    <x v="0"/>
    <n v="5"/>
    <s v="Delivered"/>
    <s v="Express"/>
    <n v="3"/>
  </r>
  <r>
    <s v="ORD200351"/>
    <s v="CUST100382"/>
    <s v="Men"/>
    <s v="35-44"/>
    <x v="584"/>
    <x v="1"/>
    <x v="12"/>
    <x v="4"/>
    <n v="8"/>
    <s v="Blue"/>
    <n v="2"/>
    <n v="3599"/>
    <n v="20"/>
    <n v="2880"/>
    <n v="5760"/>
    <s v="Debit/Credit Card"/>
    <x v="1"/>
    <s v="India"/>
    <x v="8"/>
    <s v="Nizamabad"/>
    <s v="Value Shopper"/>
    <x v="0"/>
    <n v="4.5"/>
    <s v="Delivered"/>
    <s v="Express"/>
    <n v="3"/>
  </r>
  <r>
    <s v="ORD200448"/>
    <s v="CUST100145"/>
    <s v="Men"/>
    <s v="45-54"/>
    <x v="584"/>
    <x v="1"/>
    <x v="20"/>
    <x v="2"/>
    <n v="9"/>
    <s v="Grey"/>
    <n v="3"/>
    <n v="6799"/>
    <n v="20"/>
    <n v="5440"/>
    <n v="16320"/>
    <s v="UPI"/>
    <x v="1"/>
    <s v="India"/>
    <x v="16"/>
    <s v="Surat"/>
    <s v="Comfort Shopper"/>
    <x v="0"/>
    <n v="4.7"/>
    <s v="Delivered"/>
    <s v="Same Day"/>
    <n v="2"/>
  </r>
  <r>
    <s v="ORD200045"/>
    <s v="CUST100076"/>
    <s v="Women"/>
    <s v="25-34"/>
    <x v="585"/>
    <x v="0"/>
    <x v="0"/>
    <x v="0"/>
    <n v="6"/>
    <s v="Black"/>
    <n v="1"/>
    <n v="8599"/>
    <n v="25"/>
    <n v="6450"/>
    <n v="6450"/>
    <s v="UPI"/>
    <x v="0"/>
    <s v="India"/>
    <x v="34"/>
    <s v="Siliguri"/>
    <s v="Comfort Shopper"/>
    <x v="1"/>
    <n v="3.5"/>
    <s v="Returned"/>
    <s v="Standard"/>
    <n v="5"/>
  </r>
  <r>
    <s v="ORD200829"/>
    <s v="CUST100139"/>
    <s v="Men"/>
    <s v="18-24"/>
    <x v="585"/>
    <x v="0"/>
    <x v="2"/>
    <x v="2"/>
    <n v="8"/>
    <s v="White"/>
    <n v="2"/>
    <n v="6599"/>
    <n v="30"/>
    <n v="4620"/>
    <n v="9240"/>
    <s v="UPI"/>
    <x v="1"/>
    <s v="India"/>
    <x v="8"/>
    <s v="Nizamabad"/>
    <s v="Value Shopper"/>
    <x v="1"/>
    <n v="4.4000000000000004"/>
    <s v="Cancelled"/>
    <s v="Express"/>
    <n v="2"/>
  </r>
  <r>
    <s v="ORD201173"/>
    <s v="CUST100120"/>
    <s v="Men"/>
    <s v="18-24"/>
    <x v="585"/>
    <x v="5"/>
    <x v="21"/>
    <x v="2"/>
    <n v="11"/>
    <s v="Grey"/>
    <n v="2"/>
    <n v="8399"/>
    <n v="15"/>
    <n v="7140"/>
    <n v="14280"/>
    <s v="Cash on Delivery"/>
    <x v="1"/>
    <s v="India"/>
    <x v="35"/>
    <s v="Champhai"/>
    <s v="Performance Seeker"/>
    <x v="0"/>
    <n v="3.5"/>
    <s v="Cancelled"/>
    <s v="Standard"/>
    <n v="5"/>
  </r>
  <r>
    <s v="ORD202639"/>
    <s v="CUST100211"/>
    <s v="Unisex"/>
    <s v="55+"/>
    <x v="585"/>
    <x v="2"/>
    <x v="25"/>
    <x v="3"/>
    <n v="7"/>
    <s v="Green"/>
    <n v="1"/>
    <n v="4699"/>
    <n v="30"/>
    <n v="3290"/>
    <n v="3290"/>
    <s v="Net Banking"/>
    <x v="1"/>
    <s v="India"/>
    <x v="14"/>
    <s v="Patiala"/>
    <s v="Premium Shopper"/>
    <x v="0"/>
    <n v="4.9000000000000004"/>
    <s v="Delivered"/>
    <s v="Standard"/>
    <n v="3"/>
  </r>
  <r>
    <s v="ORD202343"/>
    <s v="CUST100820"/>
    <s v="Men"/>
    <s v="55+"/>
    <x v="586"/>
    <x v="5"/>
    <x v="21"/>
    <x v="2"/>
    <n v="6"/>
    <s v="White"/>
    <n v="1"/>
    <n v="8299"/>
    <n v="20"/>
    <n v="6640"/>
    <n v="6640"/>
    <s v="Net Banking"/>
    <x v="1"/>
    <s v="India"/>
    <x v="33"/>
    <s v="Nagpur"/>
    <s v="Lifestyle Shopper"/>
    <x v="0"/>
    <n v="3.8"/>
    <s v="Delivered"/>
    <s v="Same Day"/>
    <n v="1"/>
  </r>
  <r>
    <s v="ORD202442"/>
    <s v="CUST100292"/>
    <s v="Men"/>
    <s v="45-54"/>
    <x v="586"/>
    <x v="2"/>
    <x v="32"/>
    <x v="1"/>
    <n v="7"/>
    <s v="Green"/>
    <n v="1"/>
    <n v="5199"/>
    <n v="25"/>
    <n v="3900"/>
    <n v="3900"/>
    <s v="Debit/Credit Card"/>
    <x v="1"/>
    <s v="India"/>
    <x v="19"/>
    <s v="Tura"/>
    <s v="Value Shopper"/>
    <x v="1"/>
    <n v="3.6"/>
    <s v="Delivered"/>
    <s v="Standard"/>
    <n v="6"/>
  </r>
  <r>
    <s v="ORD201436"/>
    <s v="CUST100629"/>
    <s v="Men"/>
    <s v="45-54"/>
    <x v="587"/>
    <x v="0"/>
    <x v="13"/>
    <x v="2"/>
    <n v="7"/>
    <s v="Blue"/>
    <n v="1"/>
    <n v="7399"/>
    <n v="40"/>
    <n v="4440"/>
    <n v="4440"/>
    <s v="UPI"/>
    <x v="2"/>
    <s v="India"/>
    <x v="27"/>
    <s v="Rourkela"/>
    <s v="Performance Seeker"/>
    <x v="0"/>
    <n v="3.6"/>
    <s v="Delivered"/>
    <s v="Standard"/>
    <n v="3"/>
  </r>
  <r>
    <s v="ORD202703"/>
    <s v="CUST100392"/>
    <s v="Men"/>
    <s v="35-44"/>
    <x v="587"/>
    <x v="3"/>
    <x v="34"/>
    <x v="3"/>
    <n v="10"/>
    <s v="Red"/>
    <n v="1"/>
    <n v="7799"/>
    <n v="25"/>
    <n v="5850"/>
    <n v="5850"/>
    <s v="UPI"/>
    <x v="1"/>
    <s v="India"/>
    <x v="16"/>
    <s v="Surat"/>
    <s v="Performance Seeker"/>
    <x v="2"/>
    <n v="4"/>
    <s v="Delivered"/>
    <s v="Express"/>
    <n v="2"/>
  </r>
  <r>
    <s v="ORD201015"/>
    <s v="CUST100297"/>
    <s v="Women"/>
    <s v="18-24"/>
    <x v="588"/>
    <x v="1"/>
    <x v="10"/>
    <x v="3"/>
    <n v="10"/>
    <s v="Red"/>
    <n v="1"/>
    <n v="9099"/>
    <n v="30"/>
    <n v="6370"/>
    <n v="6370"/>
    <s v="Debit/Credit Card"/>
    <x v="0"/>
    <s v="India"/>
    <x v="33"/>
    <s v="Nagpur"/>
    <s v="Performance Seeker"/>
    <x v="1"/>
    <n v="5"/>
    <s v="Returned"/>
    <s v="Standard"/>
    <n v="3"/>
  </r>
  <r>
    <s v="ORD200120"/>
    <s v="CUST100900"/>
    <s v="Men"/>
    <s v="25-34"/>
    <x v="589"/>
    <x v="5"/>
    <x v="27"/>
    <x v="0"/>
    <n v="10"/>
    <s v="Black"/>
    <n v="3"/>
    <n v="10199"/>
    <n v="25"/>
    <n v="7650"/>
    <n v="22950"/>
    <s v="UPI"/>
    <x v="1"/>
    <s v="India"/>
    <x v="17"/>
    <s v="Karaikal"/>
    <s v="Lifestyle Shopper"/>
    <x v="1"/>
    <n v="3.5"/>
    <s v="Delivered"/>
    <s v="Standard"/>
    <n v="7"/>
  </r>
  <r>
    <s v="ORD201224"/>
    <s v="CUST100786"/>
    <s v="Men"/>
    <s v="25-34"/>
    <x v="589"/>
    <x v="5"/>
    <x v="15"/>
    <x v="4"/>
    <n v="10"/>
    <s v="Grey"/>
    <n v="1"/>
    <n v="9399"/>
    <n v="10"/>
    <n v="8460"/>
    <n v="8460"/>
    <s v="Cash on Delivery"/>
    <x v="1"/>
    <s v="India"/>
    <x v="23"/>
    <s v="Dehradun"/>
    <s v="Value Shopper"/>
    <x v="0"/>
    <n v="4.3"/>
    <s v="Delivered"/>
    <s v="Standard"/>
    <n v="5"/>
  </r>
  <r>
    <s v="ORD200612"/>
    <s v="CUST100028"/>
    <s v="Women"/>
    <s v="25-34"/>
    <x v="590"/>
    <x v="5"/>
    <x v="30"/>
    <x v="2"/>
    <n v="7"/>
    <s v="Green"/>
    <n v="1"/>
    <n v="4799"/>
    <n v="0"/>
    <n v="4800"/>
    <n v="4800"/>
    <s v="UPI"/>
    <x v="0"/>
    <s v="India"/>
    <x v="34"/>
    <s v="Asansol"/>
    <s v="Value Shopper"/>
    <x v="0"/>
    <n v="3.7"/>
    <s v="Delivered"/>
    <s v="Standard"/>
    <n v="2"/>
  </r>
  <r>
    <s v="ORD203120"/>
    <s v="CUST100019"/>
    <s v="Men"/>
    <s v="25-34"/>
    <x v="590"/>
    <x v="1"/>
    <x v="18"/>
    <x v="2"/>
    <n v="10"/>
    <s v="Black"/>
    <n v="1"/>
    <n v="8299"/>
    <n v="35"/>
    <n v="5390"/>
    <n v="5390"/>
    <s v="Debit/Credit Card"/>
    <x v="0"/>
    <s v="India"/>
    <x v="29"/>
    <s v="Vijayawada"/>
    <s v="Performance Seeker"/>
    <x v="1"/>
    <n v="3.4"/>
    <s v="Delivered"/>
    <s v="Express"/>
    <n v="4"/>
  </r>
  <r>
    <s v="ORD202065"/>
    <s v="CUST100647"/>
    <s v="Unisex"/>
    <s v="25-34"/>
    <x v="591"/>
    <x v="5"/>
    <x v="21"/>
    <x v="2"/>
    <n v="8"/>
    <s v="Grey"/>
    <n v="1"/>
    <n v="5799"/>
    <n v="0"/>
    <n v="5800"/>
    <n v="5800"/>
    <s v="Cash on Delivery"/>
    <x v="2"/>
    <s v="India"/>
    <x v="2"/>
    <s v="Panipat"/>
    <s v="Premium Shopper"/>
    <x v="1"/>
    <n v="3.8"/>
    <s v="Delivered"/>
    <s v="Express"/>
    <n v="2"/>
  </r>
  <r>
    <s v="ORD202434"/>
    <s v="CUST100521"/>
    <s v="Men"/>
    <s v="45-54"/>
    <x v="591"/>
    <x v="0"/>
    <x v="0"/>
    <x v="0"/>
    <n v="11"/>
    <s v="Blue"/>
    <n v="2"/>
    <n v="7899"/>
    <n v="20"/>
    <n v="6320"/>
    <n v="12640"/>
    <s v="UPI"/>
    <x v="0"/>
    <s v="India"/>
    <x v="8"/>
    <s v="Warangal"/>
    <s v="Comfort Shopper"/>
    <x v="0"/>
    <n v="3.9"/>
    <s v="Cancelled"/>
    <s v="Standard"/>
    <n v="6"/>
  </r>
  <r>
    <s v="ORD200443"/>
    <s v="CUST100280"/>
    <s v="Men"/>
    <s v="18-24"/>
    <x v="592"/>
    <x v="5"/>
    <x v="7"/>
    <x v="1"/>
    <n v="8"/>
    <s v="Grey"/>
    <n v="1"/>
    <n v="8699"/>
    <n v="25"/>
    <n v="6520"/>
    <n v="6520"/>
    <s v="UPI"/>
    <x v="1"/>
    <s v="India"/>
    <x v="19"/>
    <s v="Nongpoh"/>
    <s v="Comfort Shopper"/>
    <x v="0"/>
    <n v="4.8"/>
    <s v="Delivered"/>
    <s v="Standard"/>
    <n v="2"/>
  </r>
  <r>
    <s v="ORD201650"/>
    <s v="CUST100392"/>
    <s v="Men"/>
    <s v="25-34"/>
    <x v="592"/>
    <x v="4"/>
    <x v="9"/>
    <x v="1"/>
    <n v="11"/>
    <s v="Green"/>
    <n v="1"/>
    <n v="5099"/>
    <n v="15"/>
    <n v="4330"/>
    <n v="4330"/>
    <s v="Cash on Delivery"/>
    <x v="1"/>
    <s v="India"/>
    <x v="7"/>
    <s v="Jabalpur"/>
    <s v="Premium Shopper"/>
    <x v="2"/>
    <n v="3.6"/>
    <s v="Cancelled"/>
    <s v="Standard"/>
    <n v="4"/>
  </r>
  <r>
    <s v="ORD203091"/>
    <s v="CUST100114"/>
    <s v="Men"/>
    <s v="25-34"/>
    <x v="592"/>
    <x v="5"/>
    <x v="14"/>
    <x v="3"/>
    <n v="7"/>
    <s v="White"/>
    <n v="1"/>
    <n v="8699"/>
    <n v="20"/>
    <n v="6960"/>
    <n v="6960"/>
    <s v="UPI"/>
    <x v="2"/>
    <s v="India"/>
    <x v="16"/>
    <s v="Rajkot"/>
    <s v="Performance Seeker"/>
    <x v="1"/>
    <n v="4.0999999999999996"/>
    <s v="Delivered"/>
    <s v="Standard"/>
    <n v="3"/>
  </r>
  <r>
    <s v="ORD201888"/>
    <s v="CUST100134"/>
    <s v="Men"/>
    <s v="35-44"/>
    <x v="593"/>
    <x v="4"/>
    <x v="6"/>
    <x v="2"/>
    <n v="9"/>
    <s v="White"/>
    <n v="1"/>
    <n v="8599"/>
    <n v="0"/>
    <n v="8600"/>
    <n v="8600"/>
    <s v="Debit/Credit Card"/>
    <x v="1"/>
    <s v="India"/>
    <x v="9"/>
    <s v="Patna"/>
    <s v="Premium Shopper"/>
    <x v="0"/>
    <n v="3.8"/>
    <s v="Delivered"/>
    <s v="Standard"/>
    <n v="6"/>
  </r>
  <r>
    <s v="ORD202502"/>
    <s v="CUST100227"/>
    <s v="Women"/>
    <s v="25-34"/>
    <x v="593"/>
    <x v="5"/>
    <x v="7"/>
    <x v="1"/>
    <n v="11"/>
    <s v="Grey"/>
    <n v="1"/>
    <n v="7599"/>
    <n v="35"/>
    <n v="4940"/>
    <n v="4940"/>
    <s v="Net Banking"/>
    <x v="2"/>
    <s v="India"/>
    <x v="35"/>
    <s v="Kolasib"/>
    <s v="Performance Seeker"/>
    <x v="1"/>
    <n v="2.4"/>
    <s v="Delivered"/>
    <s v="Express"/>
    <n v="1"/>
  </r>
  <r>
    <s v="ORD201601"/>
    <s v="CUST100219"/>
    <s v="Men"/>
    <s v="18-24"/>
    <x v="594"/>
    <x v="3"/>
    <x v="34"/>
    <x v="3"/>
    <n v="9"/>
    <s v="Red"/>
    <n v="2"/>
    <n v="3599"/>
    <n v="30"/>
    <n v="2520"/>
    <n v="5040"/>
    <s v="UPI"/>
    <x v="1"/>
    <s v="India"/>
    <x v="17"/>
    <s v="Yanam"/>
    <s v="Comfort Shopper"/>
    <x v="1"/>
    <n v="4.3"/>
    <s v="Delivered"/>
    <s v="Express"/>
    <n v="3"/>
  </r>
  <r>
    <s v="ORD202725"/>
    <s v="CUST100435"/>
    <s v="Men"/>
    <s v="25-34"/>
    <x v="594"/>
    <x v="1"/>
    <x v="20"/>
    <x v="2"/>
    <n v="7"/>
    <s v="White"/>
    <n v="1"/>
    <n v="9399"/>
    <n v="15"/>
    <n v="7990"/>
    <n v="7990"/>
    <s v="UPI"/>
    <x v="2"/>
    <s v="India"/>
    <x v="10"/>
    <s v="Daman"/>
    <s v="Performance Seeker"/>
    <x v="1"/>
    <n v="4.9000000000000004"/>
    <s v="Returned"/>
    <s v="Express"/>
    <n v="2"/>
  </r>
  <r>
    <s v="ORD202959"/>
    <s v="CUST100048"/>
    <s v="Women"/>
    <s v="45-54"/>
    <x v="594"/>
    <x v="3"/>
    <x v="35"/>
    <x v="2"/>
    <n v="9"/>
    <s v="Blue"/>
    <n v="1"/>
    <n v="6699"/>
    <n v="15"/>
    <n v="5690"/>
    <n v="5690"/>
    <s v="Debit/Credit Card"/>
    <x v="1"/>
    <s v="India"/>
    <x v="28"/>
    <s v="Nubra"/>
    <s v="Value Shopper"/>
    <x v="2"/>
    <n v="4.3"/>
    <s v="Delivered"/>
    <s v="Standard"/>
    <n v="4"/>
  </r>
  <r>
    <s v="ORD200790"/>
    <s v="CUST100816"/>
    <s v="Women"/>
    <s v="55+"/>
    <x v="595"/>
    <x v="0"/>
    <x v="8"/>
    <x v="3"/>
    <n v="10"/>
    <s v="White"/>
    <n v="2"/>
    <n v="7599"/>
    <n v="30"/>
    <n v="5320"/>
    <n v="10640"/>
    <s v="UPI"/>
    <x v="1"/>
    <s v="India"/>
    <x v="14"/>
    <s v="Jalandhar"/>
    <s v="Premium Shopper"/>
    <x v="0"/>
    <n v="5"/>
    <s v="Returned"/>
    <s v="Standard"/>
    <n v="1"/>
  </r>
  <r>
    <s v="ORD200149"/>
    <s v="CUST100422"/>
    <s v="Men"/>
    <s v="18-24"/>
    <x v="596"/>
    <x v="5"/>
    <x v="7"/>
    <x v="1"/>
    <n v="10"/>
    <s v="Red"/>
    <n v="1"/>
    <n v="7299"/>
    <n v="5"/>
    <n v="6930"/>
    <n v="6930"/>
    <s v="UPI"/>
    <x v="1"/>
    <s v="India"/>
    <x v="28"/>
    <s v="Kargil"/>
    <s v="Performance Seeker"/>
    <x v="0"/>
    <n v="3.8"/>
    <s v="Delivered"/>
    <s v="Express"/>
    <n v="2"/>
  </r>
  <r>
    <s v="ORD200980"/>
    <s v="CUST100933"/>
    <s v="Women"/>
    <s v="55+"/>
    <x v="596"/>
    <x v="4"/>
    <x v="9"/>
    <x v="1"/>
    <n v="9"/>
    <s v="Blue"/>
    <n v="1"/>
    <n v="8599"/>
    <n v="15"/>
    <n v="7310"/>
    <n v="7310"/>
    <s v="Debit/Credit Card"/>
    <x v="2"/>
    <s v="India"/>
    <x v="22"/>
    <s v="Agartala"/>
    <s v="Performance Seeker"/>
    <x v="1"/>
    <n v="4.5999999999999996"/>
    <s v="Delivered"/>
    <s v="Standard"/>
    <n v="2"/>
  </r>
  <r>
    <s v="ORD201481"/>
    <s v="CUST100026"/>
    <s v="Women"/>
    <s v="45-54"/>
    <x v="596"/>
    <x v="2"/>
    <x v="32"/>
    <x v="1"/>
    <n v="9"/>
    <s v="Black"/>
    <n v="1"/>
    <n v="4199"/>
    <n v="10"/>
    <n v="3780"/>
    <n v="3780"/>
    <s v="Debit/Credit Card"/>
    <x v="1"/>
    <s v="India"/>
    <x v="32"/>
    <s v="Jamshedpur"/>
    <s v="Premium Shopper"/>
    <x v="1"/>
    <n v="3.8"/>
    <s v="Cancelled"/>
    <s v="Standard"/>
    <n v="4"/>
  </r>
  <r>
    <s v="ORD201517"/>
    <s v="CUST100190"/>
    <s v="Unisex"/>
    <s v="45-54"/>
    <x v="596"/>
    <x v="2"/>
    <x v="4"/>
    <x v="2"/>
    <n v="8"/>
    <s v="Blue"/>
    <n v="1"/>
    <n v="3099"/>
    <n v="20"/>
    <n v="2480"/>
    <n v="2480"/>
    <s v="UPI"/>
    <x v="1"/>
    <s v="India"/>
    <x v="20"/>
    <s v="Dharamshala"/>
    <s v="Comfort Shopper"/>
    <x v="1"/>
    <n v="4.5999999999999996"/>
    <s v="Delivered"/>
    <s v="Standard"/>
    <n v="5"/>
  </r>
  <r>
    <s v="ORD201532"/>
    <s v="CUST100170"/>
    <s v="Men"/>
    <s v="45-54"/>
    <x v="596"/>
    <x v="4"/>
    <x v="26"/>
    <x v="3"/>
    <n v="9"/>
    <s v="White"/>
    <n v="3"/>
    <n v="4999"/>
    <n v="30"/>
    <n v="3500"/>
    <n v="10500"/>
    <s v="UPI"/>
    <x v="1"/>
    <s v="India"/>
    <x v="0"/>
    <s v="Dibrugarh"/>
    <s v="Performance Seeker"/>
    <x v="0"/>
    <n v="3.9"/>
    <s v="Delivered"/>
    <s v="Standard"/>
    <n v="3"/>
  </r>
  <r>
    <s v="ORD201646"/>
    <s v="CUST100671"/>
    <s v="Women"/>
    <s v="18-24"/>
    <x v="596"/>
    <x v="0"/>
    <x v="2"/>
    <x v="2"/>
    <n v="9"/>
    <s v="Grey"/>
    <n v="1"/>
    <n v="7799"/>
    <n v="35"/>
    <n v="5070"/>
    <n v="5070"/>
    <s v="Debit/Credit Card"/>
    <x v="1"/>
    <s v="India"/>
    <x v="9"/>
    <s v="Gaya"/>
    <s v="Premium Shopper"/>
    <x v="0"/>
    <n v="3.4"/>
    <s v="Returned"/>
    <s v="Same Day"/>
    <n v="1"/>
  </r>
  <r>
    <s v="ORD202344"/>
    <s v="CUST100527"/>
    <s v="Women"/>
    <s v="45-54"/>
    <x v="596"/>
    <x v="2"/>
    <x v="32"/>
    <x v="1"/>
    <n v="8"/>
    <s v="Blue"/>
    <n v="1"/>
    <n v="2799"/>
    <n v="5"/>
    <n v="2660"/>
    <n v="2660"/>
    <s v="Debit/Credit Card"/>
    <x v="1"/>
    <s v="India"/>
    <x v="21"/>
    <s v="Tuensang"/>
    <s v="Performance Seeker"/>
    <x v="0"/>
    <n v="3.4"/>
    <s v="Delivered"/>
    <s v="Express"/>
    <n v="2"/>
  </r>
  <r>
    <s v="ORD202302"/>
    <s v="CUST100634"/>
    <s v="Women"/>
    <s v="18-24"/>
    <x v="597"/>
    <x v="0"/>
    <x v="31"/>
    <x v="1"/>
    <n v="8"/>
    <s v="Blue"/>
    <n v="1"/>
    <n v="4199"/>
    <n v="25"/>
    <n v="3150"/>
    <n v="3150"/>
    <s v="UPI"/>
    <x v="0"/>
    <s v="India"/>
    <x v="21"/>
    <s v="Tuensang"/>
    <s v="Performance Seeker"/>
    <x v="1"/>
    <n v="3.9"/>
    <s v="Cancelled"/>
    <s v="Standard"/>
    <n v="1"/>
  </r>
  <r>
    <s v="ORD202370"/>
    <s v="CUST100168"/>
    <s v="Women"/>
    <s v="55+"/>
    <x v="597"/>
    <x v="1"/>
    <x v="12"/>
    <x v="4"/>
    <n v="11"/>
    <s v="Black"/>
    <n v="1"/>
    <n v="7299"/>
    <n v="20"/>
    <n v="5840"/>
    <n v="5840"/>
    <s v="Debit/Credit Card"/>
    <x v="0"/>
    <s v="India"/>
    <x v="34"/>
    <s v="Siliguri"/>
    <s v="Comfort Shopper"/>
    <x v="0"/>
    <n v="4.0999999999999996"/>
    <s v="Delivered"/>
    <s v="Standard"/>
    <n v="4"/>
  </r>
  <r>
    <s v="ORD202641"/>
    <s v="CUST100536"/>
    <s v="Unisex"/>
    <s v="18-24"/>
    <x v="598"/>
    <x v="4"/>
    <x v="29"/>
    <x v="2"/>
    <n v="12"/>
    <s v="Blue"/>
    <n v="1"/>
    <n v="8599"/>
    <n v="40"/>
    <n v="5160"/>
    <n v="5160"/>
    <s v="UPI"/>
    <x v="1"/>
    <s v="India"/>
    <x v="11"/>
    <s v="Amini"/>
    <s v="Value Shopper"/>
    <x v="1"/>
    <n v="4.5"/>
    <s v="Returned"/>
    <s v="Same Day"/>
    <n v="1"/>
  </r>
  <r>
    <s v="ORD201832"/>
    <s v="CUST100247"/>
    <s v="Women"/>
    <s v="45-54"/>
    <x v="599"/>
    <x v="0"/>
    <x v="8"/>
    <x v="3"/>
    <n v="11"/>
    <s v="Blue"/>
    <n v="3"/>
    <n v="7399"/>
    <n v="25"/>
    <n v="5550"/>
    <n v="16650"/>
    <s v="Cash on Delivery"/>
    <x v="1"/>
    <s v="India"/>
    <x v="8"/>
    <s v="Hyderabad"/>
    <s v="Lifestyle Shopper"/>
    <x v="0"/>
    <n v="3.7"/>
    <s v="Cancelled"/>
    <s v="Express"/>
    <n v="3"/>
  </r>
  <r>
    <s v="ORD200113"/>
    <s v="CUST100467"/>
    <s v="Men"/>
    <s v="25-34"/>
    <x v="600"/>
    <x v="0"/>
    <x v="0"/>
    <x v="0"/>
    <n v="8"/>
    <s v="Black"/>
    <n v="2"/>
    <n v="8599"/>
    <n v="20"/>
    <n v="6880"/>
    <n v="13760"/>
    <s v="Cash on Delivery"/>
    <x v="0"/>
    <s v="India"/>
    <x v="34"/>
    <s v="Durgapur"/>
    <s v="Performance Seeker"/>
    <x v="2"/>
    <n v="4.5999999999999996"/>
    <s v="Cancelled"/>
    <s v="Express"/>
    <n v="1"/>
  </r>
  <r>
    <s v="ORD202517"/>
    <s v="CUST100860"/>
    <s v="Unisex"/>
    <s v="25-34"/>
    <x v="600"/>
    <x v="1"/>
    <x v="12"/>
    <x v="4"/>
    <n v="8"/>
    <s v="White"/>
    <n v="2"/>
    <n v="6699"/>
    <n v="15"/>
    <n v="5690"/>
    <n v="11380"/>
    <s v="UPI"/>
    <x v="1"/>
    <s v="India"/>
    <x v="29"/>
    <s v="Vijayawada"/>
    <s v="Lifestyle Shopper"/>
    <x v="0"/>
    <n v="4"/>
    <s v="Delivered"/>
    <s v="Express"/>
    <n v="3"/>
  </r>
  <r>
    <s v="ORD202141"/>
    <s v="CUST100253"/>
    <s v="Unisex"/>
    <s v="25-34"/>
    <x v="601"/>
    <x v="0"/>
    <x v="19"/>
    <x v="4"/>
    <n v="7"/>
    <s v="White"/>
    <n v="1"/>
    <n v="3899"/>
    <n v="20"/>
    <n v="3120"/>
    <n v="3120"/>
    <s v="UPI"/>
    <x v="1"/>
    <s v="India"/>
    <x v="3"/>
    <s v="Jodhpur"/>
    <s v="Performance Seeker"/>
    <x v="0"/>
    <n v="3"/>
    <s v="Delivered"/>
    <s v="Standard"/>
    <n v="3"/>
  </r>
  <r>
    <s v="ORD202542"/>
    <s v="CUST100010"/>
    <s v="Men"/>
    <s v="25-34"/>
    <x v="602"/>
    <x v="0"/>
    <x v="2"/>
    <x v="2"/>
    <n v="9"/>
    <s v="Grey"/>
    <n v="4"/>
    <n v="9199"/>
    <n v="5"/>
    <n v="8740"/>
    <n v="34960"/>
    <s v="UPI"/>
    <x v="0"/>
    <s v="India"/>
    <x v="25"/>
    <s v="Anantnag"/>
    <s v="Performance Seeker"/>
    <x v="1"/>
    <n v="4"/>
    <s v="Cancelled"/>
    <s v="Express"/>
    <n v="2"/>
  </r>
  <r>
    <s v="ORD200592"/>
    <s v="CUST100586"/>
    <s v="Women"/>
    <s v="25-34"/>
    <x v="603"/>
    <x v="1"/>
    <x v="10"/>
    <x v="3"/>
    <n v="8"/>
    <s v="Black"/>
    <n v="1"/>
    <n v="9199"/>
    <n v="15"/>
    <n v="7820"/>
    <n v="7820"/>
    <s v="Debit/Credit Card"/>
    <x v="2"/>
    <s v="India"/>
    <x v="26"/>
    <s v="Thrissur"/>
    <s v="Performance Seeker"/>
    <x v="1"/>
    <n v="4.4000000000000004"/>
    <s v="Delivered"/>
    <s v="Standard"/>
    <n v="5"/>
  </r>
  <r>
    <s v="ORD200751"/>
    <s v="CUST100905"/>
    <s v="Men"/>
    <s v="25-34"/>
    <x v="604"/>
    <x v="0"/>
    <x v="19"/>
    <x v="4"/>
    <n v="11"/>
    <s v="Red"/>
    <n v="2"/>
    <n v="8999"/>
    <n v="5"/>
    <n v="8550"/>
    <n v="17100"/>
    <s v="Net Banking"/>
    <x v="0"/>
    <s v="India"/>
    <x v="0"/>
    <s v="Silchar"/>
    <s v="Premium Shopper"/>
    <x v="0"/>
    <n v="4"/>
    <s v="Delivered"/>
    <s v="Express"/>
    <n v="2"/>
  </r>
  <r>
    <s v="ORD200060"/>
    <s v="CUST100028"/>
    <s v="Men"/>
    <s v="25-34"/>
    <x v="605"/>
    <x v="0"/>
    <x v="19"/>
    <x v="4"/>
    <n v="12"/>
    <s v="Blue"/>
    <n v="1"/>
    <n v="4799"/>
    <n v="25"/>
    <n v="3600"/>
    <n v="3600"/>
    <s v="UPI"/>
    <x v="0"/>
    <s v="India"/>
    <x v="23"/>
    <s v="Rishikesh"/>
    <s v="Performance Seeker"/>
    <x v="1"/>
    <n v="3.3"/>
    <s v="Delivered"/>
    <s v="Standard"/>
    <n v="5"/>
  </r>
  <r>
    <s v="ORD203096"/>
    <s v="CUST100233"/>
    <s v="Women"/>
    <s v="25-34"/>
    <x v="606"/>
    <x v="3"/>
    <x v="34"/>
    <x v="3"/>
    <n v="8"/>
    <s v="Green"/>
    <n v="3"/>
    <n v="4399"/>
    <n v="0"/>
    <n v="4400"/>
    <n v="13200"/>
    <s v="UPI"/>
    <x v="1"/>
    <s v="India"/>
    <x v="2"/>
    <s v="Faridabad"/>
    <s v="Comfort Shopper"/>
    <x v="1"/>
    <n v="3.2"/>
    <s v="Delivered"/>
    <s v="Standard"/>
    <n v="5"/>
  </r>
  <r>
    <s v="ORD201870"/>
    <s v="CUST100342"/>
    <s v="Men"/>
    <s v="25-34"/>
    <x v="607"/>
    <x v="2"/>
    <x v="25"/>
    <x v="3"/>
    <n v="8"/>
    <s v="Green"/>
    <n v="1"/>
    <n v="3299"/>
    <n v="35"/>
    <n v="2140"/>
    <n v="2140"/>
    <s v="UPI"/>
    <x v="1"/>
    <s v="India"/>
    <x v="13"/>
    <s v="Itanagar"/>
    <s v="Value Shopper"/>
    <x v="1"/>
    <n v="3.7"/>
    <s v="Delivered"/>
    <s v="Standard"/>
    <n v="5"/>
  </r>
  <r>
    <s v="ORD201542"/>
    <s v="CUST100323"/>
    <s v="Women"/>
    <s v="55+"/>
    <x v="608"/>
    <x v="0"/>
    <x v="2"/>
    <x v="2"/>
    <n v="6"/>
    <s v="Green"/>
    <n v="1"/>
    <n v="5099"/>
    <n v="20"/>
    <n v="4080"/>
    <n v="4080"/>
    <s v="UPI"/>
    <x v="1"/>
    <s v="India"/>
    <x v="34"/>
    <s v="Kolkata"/>
    <s v="Value Shopper"/>
    <x v="0"/>
    <n v="4.4000000000000004"/>
    <s v="Delivered"/>
    <s v="Express"/>
    <n v="1"/>
  </r>
  <r>
    <s v="ORD201875"/>
    <s v="CUST100528"/>
    <s v="Men"/>
    <s v="55+"/>
    <x v="608"/>
    <x v="5"/>
    <x v="14"/>
    <x v="3"/>
    <n v="10"/>
    <s v="Red"/>
    <n v="1"/>
    <n v="7599"/>
    <n v="0"/>
    <n v="7600"/>
    <n v="7600"/>
    <s v="UPI"/>
    <x v="1"/>
    <s v="India"/>
    <x v="12"/>
    <s v="Rangat"/>
    <s v="Premium Shopper"/>
    <x v="2"/>
    <n v="3.7"/>
    <s v="Returned"/>
    <s v="Express"/>
    <n v="2"/>
  </r>
  <r>
    <s v="ORD202653"/>
    <s v="CUST100513"/>
    <s v="Women"/>
    <s v="18-24"/>
    <x v="608"/>
    <x v="4"/>
    <x v="9"/>
    <x v="1"/>
    <n v="7"/>
    <s v="Red"/>
    <n v="1"/>
    <n v="7799"/>
    <n v="30"/>
    <n v="5460"/>
    <n v="5460"/>
    <s v="Cash on Delivery"/>
    <x v="2"/>
    <s v="India"/>
    <x v="18"/>
    <s v="Raipur"/>
    <s v="Performance Seeker"/>
    <x v="1"/>
    <n v="5"/>
    <s v="Delivered"/>
    <s v="Express"/>
    <n v="3"/>
  </r>
  <r>
    <s v="ORD201765"/>
    <s v="CUST100993"/>
    <s v="Women"/>
    <s v="25-34"/>
    <x v="609"/>
    <x v="2"/>
    <x v="25"/>
    <x v="3"/>
    <n v="8"/>
    <s v="Blue"/>
    <n v="1"/>
    <n v="7599"/>
    <n v="10"/>
    <n v="6840"/>
    <n v="6840"/>
    <s v="UPI"/>
    <x v="1"/>
    <s v="India"/>
    <x v="32"/>
    <s v="Ranchi"/>
    <s v="Performance Seeker"/>
    <x v="0"/>
    <n v="4.5"/>
    <s v="Delivered"/>
    <s v="Express"/>
    <n v="2"/>
  </r>
  <r>
    <s v="ORD200425"/>
    <s v="CUST100378"/>
    <s v="Women"/>
    <s v="25-34"/>
    <x v="610"/>
    <x v="0"/>
    <x v="8"/>
    <x v="3"/>
    <n v="10"/>
    <s v="Grey"/>
    <n v="2"/>
    <n v="6999"/>
    <n v="25"/>
    <n v="5250"/>
    <n v="10500"/>
    <s v="Debit/Credit Card"/>
    <x v="1"/>
    <s v="India"/>
    <x v="2"/>
    <s v="Hisar"/>
    <s v="Performance Seeker"/>
    <x v="2"/>
    <n v="4.0999999999999996"/>
    <s v="Delivered"/>
    <s v="Express"/>
    <n v="1"/>
  </r>
  <r>
    <s v="ORD201450"/>
    <s v="CUST100137"/>
    <s v="Women"/>
    <s v="45-54"/>
    <x v="610"/>
    <x v="2"/>
    <x v="25"/>
    <x v="3"/>
    <n v="9"/>
    <s v="Black"/>
    <n v="1"/>
    <n v="4399"/>
    <n v="5"/>
    <n v="4180"/>
    <n v="4180"/>
    <s v="UPI"/>
    <x v="1"/>
    <s v="India"/>
    <x v="27"/>
    <s v="Berhampur"/>
    <s v="Performance Seeker"/>
    <x v="1"/>
    <n v="3.9"/>
    <s v="Delivered"/>
    <s v="Standard"/>
    <n v="5"/>
  </r>
  <r>
    <s v="ORD200745"/>
    <s v="CUST100086"/>
    <s v="Unisex"/>
    <s v="25-34"/>
    <x v="611"/>
    <x v="2"/>
    <x v="32"/>
    <x v="1"/>
    <n v="12"/>
    <s v="Grey"/>
    <n v="1"/>
    <n v="4599"/>
    <n v="35"/>
    <n v="2990"/>
    <n v="2990"/>
    <s v="Debit/Credit Card"/>
    <x v="1"/>
    <s v="India"/>
    <x v="3"/>
    <s v="Udaipur"/>
    <s v="Performance Seeker"/>
    <x v="0"/>
    <n v="4.3"/>
    <s v="Returned"/>
    <s v="Standard"/>
    <n v="3"/>
  </r>
  <r>
    <s v="ORD201500"/>
    <s v="CUST100449"/>
    <s v="Unisex"/>
    <s v="35-44"/>
    <x v="612"/>
    <x v="3"/>
    <x v="34"/>
    <x v="3"/>
    <n v="9"/>
    <s v="Blue"/>
    <n v="1"/>
    <n v="7399"/>
    <n v="10"/>
    <n v="6660"/>
    <n v="6660"/>
    <s v="Debit/Credit Card"/>
    <x v="0"/>
    <s v="India"/>
    <x v="33"/>
    <s v="Nagpur"/>
    <s v="Premium Shopper"/>
    <x v="1"/>
    <n v="3.6"/>
    <s v="Cancelled"/>
    <s v="Same Day"/>
    <n v="1"/>
  </r>
  <r>
    <s v="ORD201741"/>
    <s v="CUST100190"/>
    <s v="Men"/>
    <s v="45-54"/>
    <x v="612"/>
    <x v="1"/>
    <x v="18"/>
    <x v="2"/>
    <n v="7"/>
    <s v="White"/>
    <n v="2"/>
    <n v="6299"/>
    <n v="10"/>
    <n v="5670"/>
    <n v="11340"/>
    <s v="UPI"/>
    <x v="1"/>
    <s v="India"/>
    <x v="20"/>
    <s v="Shimla"/>
    <s v="Premium Shopper"/>
    <x v="1"/>
    <n v="3"/>
    <s v="Delivered"/>
    <s v="Standard"/>
    <n v="7"/>
  </r>
  <r>
    <s v="ORD202910"/>
    <s v="CUST100983"/>
    <s v="Unisex"/>
    <s v="25-34"/>
    <x v="612"/>
    <x v="5"/>
    <x v="27"/>
    <x v="0"/>
    <n v="8"/>
    <s v="Grey"/>
    <n v="2"/>
    <n v="6199"/>
    <n v="15"/>
    <n v="5270"/>
    <n v="10540"/>
    <s v="Cash on Delivery"/>
    <x v="1"/>
    <s v="India"/>
    <x v="3"/>
    <s v="Jodhpur"/>
    <s v="Lifestyle Shopper"/>
    <x v="0"/>
    <n v="3.2"/>
    <s v="Returned"/>
    <s v="Standard"/>
    <n v="4"/>
  </r>
  <r>
    <s v="ORD202610"/>
    <s v="CUST100468"/>
    <s v="Men"/>
    <s v="55+"/>
    <x v="613"/>
    <x v="5"/>
    <x v="7"/>
    <x v="1"/>
    <n v="7"/>
    <s v="Blue"/>
    <n v="2"/>
    <n v="7099"/>
    <n v="15"/>
    <n v="6030"/>
    <n v="12060"/>
    <s v="Debit/Credit Card"/>
    <x v="1"/>
    <s v="India"/>
    <x v="34"/>
    <s v="Durgapur"/>
    <s v="Comfort Shopper"/>
    <x v="2"/>
    <n v="3.2"/>
    <s v="Delivered"/>
    <s v="Express"/>
    <n v="4"/>
  </r>
  <r>
    <s v="ORD200984"/>
    <s v="CUST100249"/>
    <s v="Women"/>
    <s v="45-54"/>
    <x v="614"/>
    <x v="0"/>
    <x v="13"/>
    <x v="2"/>
    <n v="9"/>
    <s v="Black"/>
    <n v="1"/>
    <n v="5099"/>
    <n v="10"/>
    <n v="4590"/>
    <n v="4590"/>
    <s v="UPI"/>
    <x v="1"/>
    <s v="India"/>
    <x v="27"/>
    <s v="Rourkela"/>
    <s v="Lifestyle Shopper"/>
    <x v="1"/>
    <n v="5"/>
    <s v="Delivered"/>
    <s v="Standard"/>
    <n v="5"/>
  </r>
  <r>
    <s v="ORD200988"/>
    <s v="CUST100417"/>
    <s v="Unisex"/>
    <s v="45-54"/>
    <x v="615"/>
    <x v="1"/>
    <x v="1"/>
    <x v="1"/>
    <n v="11"/>
    <s v="Grey"/>
    <n v="1"/>
    <n v="8699"/>
    <n v="25"/>
    <n v="6520"/>
    <n v="6520"/>
    <s v="Cash on Delivery"/>
    <x v="1"/>
    <s v="India"/>
    <x v="15"/>
    <s v="New Delhi"/>
    <s v="Performance Seeker"/>
    <x v="1"/>
    <n v="2.8"/>
    <s v="Delivered"/>
    <s v="Standard"/>
    <n v="4"/>
  </r>
  <r>
    <s v="ORD201142"/>
    <s v="CUST100147"/>
    <s v="Women"/>
    <s v="25-34"/>
    <x v="615"/>
    <x v="2"/>
    <x v="4"/>
    <x v="2"/>
    <n v="8"/>
    <s v="Grey"/>
    <n v="2"/>
    <n v="7899"/>
    <n v="25"/>
    <n v="5920"/>
    <n v="11840"/>
    <s v="Net Banking"/>
    <x v="0"/>
    <s v="India"/>
    <x v="15"/>
    <s v="Dwarka"/>
    <s v="Premium Shopper"/>
    <x v="0"/>
    <n v="4.9000000000000004"/>
    <s v="Delivered"/>
    <s v="Express"/>
    <n v="3"/>
  </r>
  <r>
    <s v="ORD200549"/>
    <s v="CUST100409"/>
    <s v="Men"/>
    <s v="45-54"/>
    <x v="616"/>
    <x v="3"/>
    <x v="5"/>
    <x v="2"/>
    <n v="10"/>
    <s v="Black"/>
    <n v="2"/>
    <n v="3499"/>
    <n v="35"/>
    <n v="2270"/>
    <n v="4540"/>
    <s v="Debit/Credit Card"/>
    <x v="1"/>
    <s v="India"/>
    <x v="22"/>
    <s v="Udaipur"/>
    <s v="Comfort Shopper"/>
    <x v="0"/>
    <n v="4.8"/>
    <s v="Delivered"/>
    <s v="Express"/>
    <n v="2"/>
  </r>
  <r>
    <s v="ORD201709"/>
    <s v="CUST100441"/>
    <s v="Men"/>
    <s v="25-34"/>
    <x v="616"/>
    <x v="5"/>
    <x v="30"/>
    <x v="2"/>
    <n v="10"/>
    <s v="Grey"/>
    <n v="1"/>
    <n v="4999"/>
    <n v="20"/>
    <n v="4000"/>
    <n v="4000"/>
    <s v="UPI"/>
    <x v="1"/>
    <s v="India"/>
    <x v="35"/>
    <s v="Champhai"/>
    <s v="Value Shopper"/>
    <x v="0"/>
    <n v="4.7"/>
    <s v="Delivered"/>
    <s v="Standard"/>
    <n v="5"/>
  </r>
  <r>
    <s v="ORD201880"/>
    <s v="CUST100394"/>
    <s v="Men"/>
    <s v="25-34"/>
    <x v="616"/>
    <x v="5"/>
    <x v="21"/>
    <x v="2"/>
    <n v="6"/>
    <s v="Grey"/>
    <n v="1"/>
    <n v="9699"/>
    <n v="30"/>
    <n v="6790"/>
    <n v="6790"/>
    <s v="Debit/Credit Card"/>
    <x v="2"/>
    <s v="India"/>
    <x v="26"/>
    <s v="Kochi"/>
    <s v="Performance Seeker"/>
    <x v="1"/>
    <n v="4.9000000000000004"/>
    <s v="Delivered"/>
    <s v="Express"/>
    <n v="1"/>
  </r>
  <r>
    <s v="ORD202494"/>
    <s v="CUST100403"/>
    <s v="Men"/>
    <s v="25-34"/>
    <x v="617"/>
    <x v="2"/>
    <x v="24"/>
    <x v="4"/>
    <n v="9"/>
    <s v="Grey"/>
    <n v="1"/>
    <n v="7999"/>
    <n v="40"/>
    <n v="4800"/>
    <n v="4800"/>
    <s v="UPI"/>
    <x v="0"/>
    <s v="India"/>
    <x v="3"/>
    <s v="Kota"/>
    <s v="Comfort Shopper"/>
    <x v="0"/>
    <n v="3.9"/>
    <s v="Delivered"/>
    <s v="Express"/>
    <n v="3"/>
  </r>
  <r>
    <s v="ORD201410"/>
    <s v="CUST100082"/>
    <s v="Women"/>
    <s v="25-34"/>
    <x v="618"/>
    <x v="1"/>
    <x v="1"/>
    <x v="1"/>
    <n v="11"/>
    <s v="Green"/>
    <n v="1"/>
    <n v="5299"/>
    <n v="15"/>
    <n v="4500"/>
    <n v="4500"/>
    <s v="UPI"/>
    <x v="0"/>
    <s v="India"/>
    <x v="20"/>
    <s v="Solan"/>
    <s v="Lifestyle Shopper"/>
    <x v="1"/>
    <n v="4"/>
    <s v="Delivered"/>
    <s v="Express"/>
    <n v="2"/>
  </r>
  <r>
    <s v="ORD201731"/>
    <s v="CUST100515"/>
    <s v="Men"/>
    <s v="25-34"/>
    <x v="618"/>
    <x v="1"/>
    <x v="10"/>
    <x v="3"/>
    <n v="10"/>
    <s v="Green"/>
    <n v="2"/>
    <n v="6799"/>
    <n v="25"/>
    <n v="5100"/>
    <n v="10200"/>
    <s v="Debit/Credit Card"/>
    <x v="1"/>
    <s v="India"/>
    <x v="23"/>
    <s v="Rishikesh"/>
    <s v="Premium Shopper"/>
    <x v="1"/>
    <n v="4.2"/>
    <s v="Delivered"/>
    <s v="Express"/>
    <n v="3"/>
  </r>
  <r>
    <s v="ORD202821"/>
    <s v="CUST100676"/>
    <s v="Unisex"/>
    <s v="25-34"/>
    <x v="618"/>
    <x v="1"/>
    <x v="1"/>
    <x v="1"/>
    <n v="10"/>
    <s v="Green"/>
    <n v="1"/>
    <n v="8299"/>
    <n v="15"/>
    <n v="7050"/>
    <n v="7050"/>
    <s v="UPI"/>
    <x v="1"/>
    <s v="India"/>
    <x v="31"/>
    <s v="Coimbatore"/>
    <s v="Lifestyle Shopper"/>
    <x v="0"/>
    <n v="4.0999999999999996"/>
    <s v="Returned"/>
    <s v="Express"/>
    <n v="3"/>
  </r>
  <r>
    <s v="ORD203099"/>
    <s v="CUST100566"/>
    <s v="Unisex"/>
    <s v="18-24"/>
    <x v="618"/>
    <x v="1"/>
    <x v="20"/>
    <x v="2"/>
    <n v="9"/>
    <s v="Red"/>
    <n v="2"/>
    <n v="4699"/>
    <n v="30"/>
    <n v="3290"/>
    <n v="6580"/>
    <s v="UPI"/>
    <x v="0"/>
    <s v="India"/>
    <x v="5"/>
    <s v="Churachandpur"/>
    <s v="Value Shopper"/>
    <x v="1"/>
    <n v="3.6"/>
    <s v="Delivered"/>
    <s v="Express"/>
    <n v="4"/>
  </r>
  <r>
    <s v="ORD200381"/>
    <s v="CUST100933"/>
    <s v="Men"/>
    <s v="18-24"/>
    <x v="619"/>
    <x v="3"/>
    <x v="34"/>
    <x v="3"/>
    <n v="7"/>
    <s v="Red"/>
    <n v="2"/>
    <n v="3699"/>
    <n v="15"/>
    <n v="3140"/>
    <n v="6280"/>
    <s v="Cash on Delivery"/>
    <x v="2"/>
    <s v="India"/>
    <x v="9"/>
    <s v="Bhagalpur"/>
    <s v="Performance Seeker"/>
    <x v="1"/>
    <n v="3.9"/>
    <s v="Delivered"/>
    <s v="Standard"/>
    <n v="5"/>
  </r>
  <r>
    <s v="ORD200585"/>
    <s v="CUST100521"/>
    <s v="Men"/>
    <s v="25-34"/>
    <x v="620"/>
    <x v="4"/>
    <x v="9"/>
    <x v="1"/>
    <n v="6"/>
    <s v="Red"/>
    <n v="1"/>
    <n v="4499"/>
    <n v="10"/>
    <n v="4050"/>
    <n v="4050"/>
    <s v="Debit/Credit Card"/>
    <x v="2"/>
    <s v="India"/>
    <x v="23"/>
    <s v="Haridwar"/>
    <s v="Value Shopper"/>
    <x v="1"/>
    <n v="2.8"/>
    <s v="Delivered"/>
    <s v="Same Day"/>
    <n v="1"/>
  </r>
  <r>
    <s v="ORD202117"/>
    <s v="CUST100012"/>
    <s v="Women"/>
    <s v="25-34"/>
    <x v="620"/>
    <x v="0"/>
    <x v="19"/>
    <x v="4"/>
    <n v="11"/>
    <s v="Red"/>
    <n v="2"/>
    <n v="6299"/>
    <n v="5"/>
    <n v="5980"/>
    <n v="11960"/>
    <s v="Net Banking"/>
    <x v="1"/>
    <s v="India"/>
    <x v="26"/>
    <s v="Thrissur"/>
    <s v="Performance Seeker"/>
    <x v="1"/>
    <n v="2.5"/>
    <s v="Returned"/>
    <s v="Standard"/>
    <n v="3"/>
  </r>
  <r>
    <s v="ORD200392"/>
    <s v="CUST100050"/>
    <s v="Women"/>
    <s v="18-24"/>
    <x v="621"/>
    <x v="5"/>
    <x v="27"/>
    <x v="0"/>
    <n v="8"/>
    <s v="White"/>
    <n v="1"/>
    <n v="6199"/>
    <n v="20"/>
    <n v="4960"/>
    <n v="4960"/>
    <s v="Debit/Credit Card"/>
    <x v="1"/>
    <s v="India"/>
    <x v="15"/>
    <s v="New Delhi"/>
    <s v="Value Shopper"/>
    <x v="1"/>
    <n v="3.6"/>
    <s v="Delivered"/>
    <s v="Express"/>
    <n v="3"/>
  </r>
  <r>
    <s v="ORD202176"/>
    <s v="CUST100072"/>
    <s v="Unisex"/>
    <s v="35-44"/>
    <x v="621"/>
    <x v="1"/>
    <x v="18"/>
    <x v="2"/>
    <n v="10"/>
    <s v="Green"/>
    <n v="1"/>
    <n v="7599"/>
    <n v="20"/>
    <n v="6080"/>
    <n v="6080"/>
    <s v="Debit/Credit Card"/>
    <x v="1"/>
    <s v="India"/>
    <x v="29"/>
    <s v="Tirupati"/>
    <s v="Comfort Shopper"/>
    <x v="2"/>
    <n v="3.7"/>
    <s v="Delivered"/>
    <s v="Express"/>
    <n v="2"/>
  </r>
  <r>
    <s v="ORD201640"/>
    <s v="CUST100018"/>
    <s v="Men"/>
    <s v="18-24"/>
    <x v="622"/>
    <x v="3"/>
    <x v="11"/>
    <x v="4"/>
    <n v="11"/>
    <s v="Grey"/>
    <n v="3"/>
    <n v="4599"/>
    <n v="0"/>
    <n v="4600"/>
    <n v="13800"/>
    <s v="UPI"/>
    <x v="1"/>
    <s v="India"/>
    <x v="6"/>
    <s v="Lucknow"/>
    <s v="Lifestyle Shopper"/>
    <x v="1"/>
    <n v="3.9"/>
    <s v="Delivered"/>
    <s v="Same Day"/>
    <n v="1"/>
  </r>
  <r>
    <s v="ORD201514"/>
    <s v="CUST100782"/>
    <s v="Men"/>
    <s v="35-44"/>
    <x v="623"/>
    <x v="5"/>
    <x v="7"/>
    <x v="1"/>
    <n v="6"/>
    <s v="Grey"/>
    <n v="2"/>
    <n v="8599"/>
    <n v="25"/>
    <n v="6450"/>
    <n v="12900"/>
    <s v="UPI"/>
    <x v="0"/>
    <s v="India"/>
    <x v="7"/>
    <s v="Bhopal"/>
    <s v="Premium Shopper"/>
    <x v="0"/>
    <n v="4.4000000000000004"/>
    <s v="Delivered"/>
    <s v="Standard"/>
    <n v="7"/>
  </r>
  <r>
    <s v="ORD200357"/>
    <s v="CUST100836"/>
    <s v="Men"/>
    <s v="45-54"/>
    <x v="624"/>
    <x v="4"/>
    <x v="22"/>
    <x v="0"/>
    <n v="11"/>
    <s v="Black"/>
    <n v="1"/>
    <n v="6999"/>
    <n v="5"/>
    <n v="6650"/>
    <n v="6650"/>
    <s v="Cash on Delivery"/>
    <x v="2"/>
    <s v="India"/>
    <x v="0"/>
    <s v="Guwahati"/>
    <s v="Performance Seeker"/>
    <x v="1"/>
    <n v="5"/>
    <s v="Returned"/>
    <s v="Standard"/>
    <n v="2"/>
  </r>
  <r>
    <s v="ORD201877"/>
    <s v="CUST100053"/>
    <s v="Women"/>
    <s v="25-34"/>
    <x v="624"/>
    <x v="0"/>
    <x v="19"/>
    <x v="4"/>
    <n v="7"/>
    <s v="Blue"/>
    <n v="1"/>
    <n v="8599"/>
    <n v="15"/>
    <n v="7310"/>
    <n v="7310"/>
    <s v="UPI"/>
    <x v="1"/>
    <s v="India"/>
    <x v="12"/>
    <s v="Mayabunder"/>
    <s v="Premium Shopper"/>
    <x v="0"/>
    <n v="4.5"/>
    <s v="Delivered"/>
    <s v="Standard"/>
    <n v="6"/>
  </r>
  <r>
    <s v="ORD201222"/>
    <s v="CUST100261"/>
    <s v="Women"/>
    <s v="55+"/>
    <x v="625"/>
    <x v="4"/>
    <x v="6"/>
    <x v="2"/>
    <n v="9"/>
    <s v="Black"/>
    <n v="1"/>
    <n v="6599"/>
    <n v="20"/>
    <n v="5280"/>
    <n v="5280"/>
    <s v="Debit/Credit Card"/>
    <x v="0"/>
    <s v="India"/>
    <x v="5"/>
    <s v="Kakching"/>
    <s v="Comfort Shopper"/>
    <x v="1"/>
    <n v="4.4000000000000004"/>
    <s v="Returned"/>
    <s v="Express"/>
    <n v="2"/>
  </r>
  <r>
    <s v="ORD201806"/>
    <s v="CUST100548"/>
    <s v="Women"/>
    <s v="25-34"/>
    <x v="626"/>
    <x v="2"/>
    <x v="32"/>
    <x v="1"/>
    <n v="8"/>
    <s v="Black"/>
    <n v="1"/>
    <n v="3299"/>
    <n v="20"/>
    <n v="2640"/>
    <n v="2640"/>
    <s v="Net Banking"/>
    <x v="2"/>
    <s v="India"/>
    <x v="2"/>
    <s v="Faridabad"/>
    <s v="Lifestyle Shopper"/>
    <x v="1"/>
    <n v="4.0999999999999996"/>
    <s v="Returned"/>
    <s v="Standard"/>
    <n v="3"/>
  </r>
  <r>
    <s v="ORD200812"/>
    <s v="CUST100927"/>
    <s v="Unisex"/>
    <s v="35-44"/>
    <x v="627"/>
    <x v="4"/>
    <x v="22"/>
    <x v="0"/>
    <n v="9"/>
    <s v="White"/>
    <n v="1"/>
    <n v="6199"/>
    <n v="20"/>
    <n v="4960"/>
    <n v="4960"/>
    <s v="Debit/Credit Card"/>
    <x v="1"/>
    <s v="India"/>
    <x v="15"/>
    <s v="Rohini"/>
    <s v="Comfort Shopper"/>
    <x v="1"/>
    <n v="3.2"/>
    <s v="Delivered"/>
    <s v="Express"/>
    <n v="1"/>
  </r>
  <r>
    <s v="ORD202814"/>
    <s v="CUST100276"/>
    <s v="Women"/>
    <s v="25-34"/>
    <x v="628"/>
    <x v="0"/>
    <x v="31"/>
    <x v="1"/>
    <n v="7"/>
    <s v="Grey"/>
    <n v="1"/>
    <n v="7299"/>
    <n v="5"/>
    <n v="6930"/>
    <n v="6930"/>
    <s v="Debit/Credit Card"/>
    <x v="2"/>
    <s v="India"/>
    <x v="32"/>
    <s v="Jamshedpur"/>
    <s v="Value Shopper"/>
    <x v="1"/>
    <n v="3.1"/>
    <s v="Delivered"/>
    <s v="Standard"/>
    <n v="1"/>
  </r>
  <r>
    <s v="ORD202842"/>
    <s v="CUST100130"/>
    <s v="Unisex"/>
    <s v="55+"/>
    <x v="628"/>
    <x v="4"/>
    <x v="29"/>
    <x v="2"/>
    <n v="10"/>
    <s v="White"/>
    <n v="1"/>
    <n v="5699"/>
    <n v="30"/>
    <n v="3990"/>
    <n v="3990"/>
    <s v="Debit/Credit Card"/>
    <x v="1"/>
    <s v="India"/>
    <x v="1"/>
    <s v="Panaji"/>
    <s v="Comfort Shopper"/>
    <x v="2"/>
    <n v="4.0999999999999996"/>
    <s v="Delivered"/>
    <s v="Express"/>
    <n v="2"/>
  </r>
  <r>
    <s v="ORD200561"/>
    <s v="CUST100439"/>
    <s v="Women"/>
    <s v="45-54"/>
    <x v="629"/>
    <x v="4"/>
    <x v="17"/>
    <x v="4"/>
    <n v="12"/>
    <s v="Red"/>
    <n v="2"/>
    <n v="5199"/>
    <n v="15"/>
    <n v="4420"/>
    <n v="8840"/>
    <s v="UPI"/>
    <x v="2"/>
    <s v="India"/>
    <x v="18"/>
    <s v="Raipur"/>
    <s v="Lifestyle Shopper"/>
    <x v="2"/>
    <n v="4.3"/>
    <s v="Delivered"/>
    <s v="Standard"/>
    <n v="4"/>
  </r>
  <r>
    <s v="ORD201403"/>
    <s v="CUST100410"/>
    <s v="Unisex"/>
    <s v="25-34"/>
    <x v="629"/>
    <x v="4"/>
    <x v="9"/>
    <x v="1"/>
    <n v="11"/>
    <s v="Green"/>
    <n v="1"/>
    <n v="5699"/>
    <n v="35"/>
    <n v="3700"/>
    <n v="3700"/>
    <s v="UPI"/>
    <x v="1"/>
    <s v="India"/>
    <x v="34"/>
    <s v="Siliguri"/>
    <s v="Comfort Shopper"/>
    <x v="1"/>
    <n v="4.3"/>
    <s v="Delivered"/>
    <s v="Standard"/>
    <n v="4"/>
  </r>
  <r>
    <s v="ORD202052"/>
    <s v="CUST100936"/>
    <s v="Men"/>
    <s v="35-44"/>
    <x v="629"/>
    <x v="4"/>
    <x v="22"/>
    <x v="0"/>
    <n v="11"/>
    <s v="Grey"/>
    <n v="1"/>
    <n v="5799"/>
    <n v="10"/>
    <n v="5220"/>
    <n v="5220"/>
    <s v="Cash on Delivery"/>
    <x v="0"/>
    <s v="India"/>
    <x v="26"/>
    <s v="Kozhikode"/>
    <s v="Comfort Shopper"/>
    <x v="0"/>
    <n v="3.2"/>
    <s v="Delivered"/>
    <s v="Standard"/>
    <n v="5"/>
  </r>
  <r>
    <s v="ORD202751"/>
    <s v="CUST100760"/>
    <s v="Men"/>
    <s v="18-24"/>
    <x v="630"/>
    <x v="1"/>
    <x v="18"/>
    <x v="2"/>
    <n v="8"/>
    <s v="White"/>
    <n v="1"/>
    <n v="5399"/>
    <n v="10"/>
    <n v="4860"/>
    <n v="4860"/>
    <s v="UPI"/>
    <x v="1"/>
    <s v="India"/>
    <x v="32"/>
    <s v="Bokaro"/>
    <s v="Lifestyle Shopper"/>
    <x v="1"/>
    <n v="3.8"/>
    <s v="Delivered"/>
    <s v="Standard"/>
    <n v="3"/>
  </r>
  <r>
    <s v="ORD201077"/>
    <s v="CUST100230"/>
    <s v="Women"/>
    <s v="25-34"/>
    <x v="631"/>
    <x v="1"/>
    <x v="33"/>
    <x v="0"/>
    <n v="6"/>
    <s v="Black"/>
    <n v="1"/>
    <n v="8499"/>
    <n v="20"/>
    <n v="6800"/>
    <n v="6800"/>
    <s v="UPI"/>
    <x v="1"/>
    <s v="India"/>
    <x v="2"/>
    <s v="Panipat"/>
    <s v="Value Shopper"/>
    <x v="1"/>
    <n v="3.6"/>
    <s v="Delivered"/>
    <s v="Standard"/>
    <n v="3"/>
  </r>
  <r>
    <s v="ORD200948"/>
    <s v="CUST100085"/>
    <s v="Unisex"/>
    <s v="25-34"/>
    <x v="632"/>
    <x v="4"/>
    <x v="17"/>
    <x v="4"/>
    <n v="8"/>
    <s v="Red"/>
    <n v="2"/>
    <n v="5499"/>
    <n v="20"/>
    <n v="4400"/>
    <n v="8800"/>
    <s v="UPI"/>
    <x v="1"/>
    <s v="India"/>
    <x v="31"/>
    <s v="Tiruchirappalli"/>
    <s v="Premium Shopper"/>
    <x v="1"/>
    <n v="4"/>
    <s v="Delivered"/>
    <s v="Standard"/>
    <n v="6"/>
  </r>
  <r>
    <s v="ORD202186"/>
    <s v="CUST100493"/>
    <s v="Unisex"/>
    <s v="18-24"/>
    <x v="632"/>
    <x v="1"/>
    <x v="33"/>
    <x v="0"/>
    <n v="11"/>
    <s v="Black"/>
    <n v="1"/>
    <n v="5599"/>
    <n v="20"/>
    <n v="4480"/>
    <n v="4480"/>
    <s v="Net Banking"/>
    <x v="1"/>
    <s v="India"/>
    <x v="30"/>
    <s v="Burail"/>
    <s v="Premium Shopper"/>
    <x v="1"/>
    <n v="3.2"/>
    <s v="Delivered"/>
    <s v="Same Day"/>
    <n v="1"/>
  </r>
  <r>
    <s v="ORD202931"/>
    <s v="CUST100084"/>
    <s v="Men"/>
    <s v="45-54"/>
    <x v="632"/>
    <x v="5"/>
    <x v="21"/>
    <x v="2"/>
    <n v="8"/>
    <s v="Red"/>
    <n v="1"/>
    <n v="9199"/>
    <n v="15"/>
    <n v="7820"/>
    <n v="7820"/>
    <s v="Debit/Credit Card"/>
    <x v="2"/>
    <s v="India"/>
    <x v="30"/>
    <s v="Daria"/>
    <s v="Lifestyle Shopper"/>
    <x v="1"/>
    <n v="3.9"/>
    <s v="Delivered"/>
    <s v="Standard"/>
    <n v="1"/>
  </r>
  <r>
    <s v="ORD200461"/>
    <s v="CUST100470"/>
    <s v="Men"/>
    <s v="25-34"/>
    <x v="633"/>
    <x v="4"/>
    <x v="22"/>
    <x v="0"/>
    <n v="8"/>
    <s v="Blue"/>
    <n v="1"/>
    <n v="4499"/>
    <n v="25"/>
    <n v="3370"/>
    <n v="3370"/>
    <s v="UPI"/>
    <x v="1"/>
    <s v="India"/>
    <x v="17"/>
    <s v="Mahe"/>
    <s v="Premium Shopper"/>
    <x v="2"/>
    <n v="3.9"/>
    <s v="Delivered"/>
    <s v="Standard"/>
    <n v="3"/>
  </r>
  <r>
    <s v="ORD201115"/>
    <s v="CUST100546"/>
    <s v="Unisex"/>
    <s v="25-34"/>
    <x v="634"/>
    <x v="0"/>
    <x v="2"/>
    <x v="2"/>
    <n v="8"/>
    <s v="White"/>
    <n v="2"/>
    <n v="4999"/>
    <n v="10"/>
    <n v="4500"/>
    <n v="9000"/>
    <s v="UPI"/>
    <x v="2"/>
    <s v="India"/>
    <x v="19"/>
    <s v="Tura"/>
    <s v="Value Shopper"/>
    <x v="0"/>
    <n v="3.6"/>
    <s v="Delivered"/>
    <s v="Standard"/>
    <n v="2"/>
  </r>
  <r>
    <s v="ORD201823"/>
    <s v="CUST100997"/>
    <s v="Men"/>
    <s v="25-34"/>
    <x v="635"/>
    <x v="2"/>
    <x v="24"/>
    <x v="4"/>
    <n v="11"/>
    <s v="Grey"/>
    <n v="1"/>
    <n v="4899"/>
    <n v="25"/>
    <n v="3670"/>
    <n v="3670"/>
    <s v="Net Banking"/>
    <x v="2"/>
    <s v="India"/>
    <x v="22"/>
    <s v="Dharmanagar"/>
    <s v="Value Shopper"/>
    <x v="0"/>
    <n v="4"/>
    <s v="Delivered"/>
    <s v="Standard"/>
    <n v="1"/>
  </r>
  <r>
    <s v="ORD202255"/>
    <s v="CUST100500"/>
    <s v="Men"/>
    <s v="18-24"/>
    <x v="635"/>
    <x v="2"/>
    <x v="25"/>
    <x v="3"/>
    <n v="9"/>
    <s v="White"/>
    <n v="1"/>
    <n v="4299"/>
    <n v="15"/>
    <n v="3650"/>
    <n v="3650"/>
    <s v="UPI"/>
    <x v="2"/>
    <s v="India"/>
    <x v="33"/>
    <s v="Mumbai"/>
    <s v="Comfort Shopper"/>
    <x v="1"/>
    <n v="4.5999999999999996"/>
    <s v="Delivered"/>
    <s v="Standard"/>
    <n v="1"/>
  </r>
  <r>
    <s v="ORD201331"/>
    <s v="CUST100661"/>
    <s v="Unisex"/>
    <s v="35-44"/>
    <x v="636"/>
    <x v="3"/>
    <x v="11"/>
    <x v="4"/>
    <n v="11"/>
    <s v="Red"/>
    <n v="2"/>
    <n v="6399"/>
    <n v="25"/>
    <n v="4800"/>
    <n v="9600"/>
    <s v="Debit/Credit Card"/>
    <x v="2"/>
    <s v="India"/>
    <x v="27"/>
    <s v="Rourkela"/>
    <s v="Lifestyle Shopper"/>
    <x v="1"/>
    <n v="3.2"/>
    <s v="Cancelled"/>
    <s v="Standard"/>
    <n v="3"/>
  </r>
  <r>
    <s v="ORD201521"/>
    <s v="CUST100405"/>
    <s v="Men"/>
    <s v="25-34"/>
    <x v="636"/>
    <x v="1"/>
    <x v="10"/>
    <x v="3"/>
    <n v="7"/>
    <s v="Red"/>
    <n v="1"/>
    <n v="5899"/>
    <n v="10"/>
    <n v="5310"/>
    <n v="5310"/>
    <s v="Cash on Delivery"/>
    <x v="0"/>
    <s v="India"/>
    <x v="33"/>
    <s v="Nagpur"/>
    <s v="Premium Shopper"/>
    <x v="1"/>
    <n v="4.8"/>
    <s v="Delivered"/>
    <s v="Standard"/>
    <n v="2"/>
  </r>
  <r>
    <s v="ORD201811"/>
    <s v="CUST100623"/>
    <s v="Women"/>
    <s v="25-34"/>
    <x v="636"/>
    <x v="4"/>
    <x v="26"/>
    <x v="3"/>
    <n v="7"/>
    <s v="Green"/>
    <n v="2"/>
    <n v="5699"/>
    <n v="0"/>
    <n v="5700"/>
    <n v="11400"/>
    <s v="Debit/Credit Card"/>
    <x v="1"/>
    <s v="India"/>
    <x v="14"/>
    <s v="Ludhiana"/>
    <s v="Comfort Shopper"/>
    <x v="0"/>
    <n v="4.0999999999999996"/>
    <s v="Delivered"/>
    <s v="Express"/>
    <n v="2"/>
  </r>
  <r>
    <s v="ORD201666"/>
    <s v="CUST100577"/>
    <s v="Unisex"/>
    <s v="18-24"/>
    <x v="637"/>
    <x v="1"/>
    <x v="12"/>
    <x v="4"/>
    <n v="9"/>
    <s v="Blue"/>
    <n v="1"/>
    <n v="3899"/>
    <n v="15"/>
    <n v="3310"/>
    <n v="3310"/>
    <s v="UPI"/>
    <x v="0"/>
    <s v="India"/>
    <x v="16"/>
    <s v="Ahmedabad"/>
    <s v="Value Shopper"/>
    <x v="2"/>
    <n v="3.8"/>
    <s v="Delivered"/>
    <s v="Express"/>
    <n v="2"/>
  </r>
  <r>
    <s v="ORD202365"/>
    <s v="CUST100513"/>
    <s v="Women"/>
    <s v="18-24"/>
    <x v="638"/>
    <x v="5"/>
    <x v="15"/>
    <x v="4"/>
    <n v="10"/>
    <s v="Grey"/>
    <n v="2"/>
    <n v="7399"/>
    <n v="30"/>
    <n v="5180"/>
    <n v="10360"/>
    <s v="UPI"/>
    <x v="2"/>
    <s v="India"/>
    <x v="28"/>
    <s v="Nubra"/>
    <s v="Value Shopper"/>
    <x v="2"/>
    <n v="3.9"/>
    <s v="Delivered"/>
    <s v="Standard"/>
    <n v="1"/>
  </r>
  <r>
    <s v="ORD200678"/>
    <s v="CUST100416"/>
    <s v="Unisex"/>
    <s v="45-54"/>
    <x v="639"/>
    <x v="0"/>
    <x v="8"/>
    <x v="3"/>
    <n v="8"/>
    <s v="Green"/>
    <n v="1"/>
    <n v="9299"/>
    <n v="25"/>
    <n v="6970"/>
    <n v="6970"/>
    <s v="Debit/Credit Card"/>
    <x v="2"/>
    <s v="India"/>
    <x v="3"/>
    <s v="Jodhpur"/>
    <s v="Premium Shopper"/>
    <x v="1"/>
    <n v="4.0999999999999996"/>
    <s v="Delivered"/>
    <s v="Standard"/>
    <n v="3"/>
  </r>
  <r>
    <s v="ORD200231"/>
    <s v="CUST100032"/>
    <s v="Men"/>
    <s v="18-24"/>
    <x v="640"/>
    <x v="0"/>
    <x v="2"/>
    <x v="2"/>
    <n v="6"/>
    <s v="White"/>
    <n v="1"/>
    <n v="7999"/>
    <n v="20"/>
    <n v="6400"/>
    <n v="6400"/>
    <s v="UPI"/>
    <x v="1"/>
    <s v="India"/>
    <x v="30"/>
    <s v="Chandigarh"/>
    <s v="Value Shopper"/>
    <x v="0"/>
    <n v="4.0999999999999996"/>
    <s v="Cancelled"/>
    <s v="Standard"/>
    <n v="4"/>
  </r>
  <r>
    <s v="ORD200097"/>
    <s v="CUST100176"/>
    <s v="Unisex"/>
    <s v="55+"/>
    <x v="641"/>
    <x v="3"/>
    <x v="5"/>
    <x v="2"/>
    <n v="7"/>
    <s v="Blue"/>
    <n v="2"/>
    <n v="6699"/>
    <n v="5"/>
    <n v="6360"/>
    <n v="12720"/>
    <s v="UPI"/>
    <x v="0"/>
    <s v="India"/>
    <x v="20"/>
    <s v="Solan"/>
    <s v="Comfort Shopper"/>
    <x v="1"/>
    <n v="3.9"/>
    <s v="Delivered"/>
    <s v="Standard"/>
    <n v="5"/>
  </r>
  <r>
    <s v="ORD202573"/>
    <s v="CUST100236"/>
    <s v="Women"/>
    <s v="25-34"/>
    <x v="641"/>
    <x v="3"/>
    <x v="5"/>
    <x v="2"/>
    <n v="7"/>
    <s v="Grey"/>
    <n v="3"/>
    <n v="7999"/>
    <n v="20"/>
    <n v="6400"/>
    <n v="19200"/>
    <s v="UPI"/>
    <x v="2"/>
    <s v="India"/>
    <x v="2"/>
    <s v="Panipat"/>
    <s v="Performance Seeker"/>
    <x v="0"/>
    <n v="3.3"/>
    <s v="Cancelled"/>
    <s v="Standard"/>
    <n v="4"/>
  </r>
  <r>
    <s v="ORD200254"/>
    <s v="CUST100168"/>
    <s v="Men"/>
    <s v="45-54"/>
    <x v="642"/>
    <x v="5"/>
    <x v="7"/>
    <x v="1"/>
    <n v="9"/>
    <s v="Red"/>
    <n v="2"/>
    <n v="5899"/>
    <n v="20"/>
    <n v="4720"/>
    <n v="9440"/>
    <s v="Cash on Delivery"/>
    <x v="2"/>
    <s v="India"/>
    <x v="1"/>
    <s v="Mapusa"/>
    <s v="Lifestyle Shopper"/>
    <x v="1"/>
    <n v="4.7"/>
    <s v="Delivered"/>
    <s v="Standard"/>
    <n v="2"/>
  </r>
  <r>
    <s v="ORD201042"/>
    <s v="CUST100039"/>
    <s v="Women"/>
    <s v="55+"/>
    <x v="642"/>
    <x v="0"/>
    <x v="2"/>
    <x v="2"/>
    <n v="11"/>
    <s v="White"/>
    <n v="1"/>
    <n v="8999"/>
    <n v="15"/>
    <n v="7650"/>
    <n v="7650"/>
    <s v="Debit/Credit Card"/>
    <x v="1"/>
    <s v="India"/>
    <x v="25"/>
    <s v="Anantnag"/>
    <s v="Comfort Shopper"/>
    <x v="1"/>
    <n v="4.7"/>
    <s v="Cancelled"/>
    <s v="Express"/>
    <n v="3"/>
  </r>
  <r>
    <s v="ORD201747"/>
    <s v="CUST100848"/>
    <s v="Men"/>
    <s v="25-34"/>
    <x v="643"/>
    <x v="2"/>
    <x v="32"/>
    <x v="1"/>
    <n v="12"/>
    <s v="Black"/>
    <n v="1"/>
    <n v="4099"/>
    <n v="10"/>
    <n v="3690"/>
    <n v="3690"/>
    <s v="UPI"/>
    <x v="2"/>
    <s v="India"/>
    <x v="12"/>
    <s v="Mayabunder"/>
    <s v="Performance Seeker"/>
    <x v="1"/>
    <n v="3.3"/>
    <s v="Delivered"/>
    <s v="Standard"/>
    <n v="7"/>
  </r>
  <r>
    <s v="ORD202767"/>
    <s v="CUST100491"/>
    <s v="Men"/>
    <s v="25-34"/>
    <x v="643"/>
    <x v="3"/>
    <x v="35"/>
    <x v="2"/>
    <n v="10"/>
    <s v="Green"/>
    <n v="2"/>
    <n v="7699"/>
    <n v="25"/>
    <n v="5770"/>
    <n v="11540"/>
    <s v="Debit/Credit Card"/>
    <x v="0"/>
    <s v="India"/>
    <x v="7"/>
    <s v="Gwalior"/>
    <s v="Performance Seeker"/>
    <x v="1"/>
    <n v="4.7"/>
    <s v="Delivered"/>
    <s v="Express"/>
    <n v="2"/>
  </r>
  <r>
    <s v="ORD200640"/>
    <s v="CUST100044"/>
    <s v="Men"/>
    <s v="35-44"/>
    <x v="644"/>
    <x v="2"/>
    <x v="32"/>
    <x v="1"/>
    <n v="10"/>
    <s v="Black"/>
    <n v="1"/>
    <n v="5599"/>
    <n v="10"/>
    <n v="5040"/>
    <n v="5040"/>
    <s v="Net Banking"/>
    <x v="1"/>
    <s v="India"/>
    <x v="4"/>
    <s v="Mangan"/>
    <s v="Performance Seeker"/>
    <x v="1"/>
    <n v="3.7"/>
    <s v="Delivered"/>
    <s v="Standard"/>
    <n v="4"/>
  </r>
  <r>
    <s v="ORD202366"/>
    <s v="CUST100470"/>
    <s v="Men"/>
    <s v="18-24"/>
    <x v="644"/>
    <x v="1"/>
    <x v="20"/>
    <x v="2"/>
    <n v="9"/>
    <s v="Black"/>
    <n v="1"/>
    <n v="6399"/>
    <n v="15"/>
    <n v="5440"/>
    <n v="5440"/>
    <s v="UPI"/>
    <x v="1"/>
    <s v="India"/>
    <x v="19"/>
    <s v="Shillong"/>
    <s v="Value Shopper"/>
    <x v="2"/>
    <n v="4.3"/>
    <s v="Delivered"/>
    <s v="Express"/>
    <n v="2"/>
  </r>
  <r>
    <s v="ORD200198"/>
    <s v="CUST100579"/>
    <s v="Men"/>
    <s v="55+"/>
    <x v="645"/>
    <x v="4"/>
    <x v="26"/>
    <x v="3"/>
    <n v="8"/>
    <s v="White"/>
    <n v="1"/>
    <n v="5699"/>
    <n v="10"/>
    <n v="5130"/>
    <n v="5130"/>
    <s v="UPI"/>
    <x v="1"/>
    <s v="India"/>
    <x v="9"/>
    <s v="Patna"/>
    <s v="Comfort Shopper"/>
    <x v="1"/>
    <n v="4.0999999999999996"/>
    <s v="Delivered"/>
    <s v="Standard"/>
    <n v="7"/>
  </r>
  <r>
    <s v="ORD202763"/>
    <s v="CUST100166"/>
    <s v="Men"/>
    <s v="25-34"/>
    <x v="645"/>
    <x v="4"/>
    <x v="22"/>
    <x v="0"/>
    <n v="8"/>
    <s v="Blue"/>
    <n v="1"/>
    <n v="9999"/>
    <n v="20"/>
    <n v="8000"/>
    <n v="8000"/>
    <s v="Debit/Credit Card"/>
    <x v="2"/>
    <s v="India"/>
    <x v="1"/>
    <s v="Mapusa"/>
    <s v="Performance Seeker"/>
    <x v="1"/>
    <n v="4.8"/>
    <s v="Cancelled"/>
    <s v="Same Day"/>
    <n v="1"/>
  </r>
  <r>
    <s v="ORD200328"/>
    <s v="CUST100161"/>
    <s v="Women"/>
    <s v="35-44"/>
    <x v="646"/>
    <x v="4"/>
    <x v="29"/>
    <x v="2"/>
    <n v="8"/>
    <s v="White"/>
    <n v="1"/>
    <n v="9199"/>
    <n v="30"/>
    <n v="6440"/>
    <n v="6440"/>
    <s v="UPI"/>
    <x v="2"/>
    <s v="India"/>
    <x v="5"/>
    <s v="Kakching"/>
    <s v="Premium Shopper"/>
    <x v="1"/>
    <n v="4.3"/>
    <s v="Delivered"/>
    <s v="Standard"/>
    <n v="4"/>
  </r>
  <r>
    <s v="ORD200954"/>
    <s v="CUST100562"/>
    <s v="Men"/>
    <s v="25-34"/>
    <x v="647"/>
    <x v="3"/>
    <x v="34"/>
    <x v="3"/>
    <n v="9"/>
    <s v="White"/>
    <n v="1"/>
    <n v="6999"/>
    <n v="10"/>
    <n v="6300"/>
    <n v="6300"/>
    <s v="Cash on Delivery"/>
    <x v="1"/>
    <s v="India"/>
    <x v="29"/>
    <s v="Guntur"/>
    <s v="Performance Seeker"/>
    <x v="0"/>
    <n v="5"/>
    <s v="Delivered"/>
    <s v="Same Day"/>
    <n v="1"/>
  </r>
  <r>
    <s v="ORD202818"/>
    <s v="CUST100445"/>
    <s v="Men"/>
    <s v="45-54"/>
    <x v="647"/>
    <x v="4"/>
    <x v="22"/>
    <x v="0"/>
    <n v="12"/>
    <s v="Grey"/>
    <n v="2"/>
    <n v="9099"/>
    <n v="0"/>
    <n v="9100"/>
    <n v="18200"/>
    <s v="UPI"/>
    <x v="0"/>
    <s v="India"/>
    <x v="16"/>
    <s v="Surat"/>
    <s v="Comfort Shopper"/>
    <x v="0"/>
    <n v="2.9"/>
    <s v="Returned"/>
    <s v="Express"/>
    <n v="3"/>
  </r>
  <r>
    <s v="ORD203146"/>
    <s v="CUST100551"/>
    <s v="Women"/>
    <s v="45-54"/>
    <x v="648"/>
    <x v="4"/>
    <x v="29"/>
    <x v="2"/>
    <n v="8"/>
    <s v="Black"/>
    <n v="1"/>
    <n v="9699"/>
    <n v="25"/>
    <n v="7270"/>
    <n v="7270"/>
    <s v="Debit/Credit Card"/>
    <x v="0"/>
    <s v="India"/>
    <x v="17"/>
    <s v="Puducherry"/>
    <s v="Value Shopper"/>
    <x v="0"/>
    <n v="4.8"/>
    <s v="Cancelled"/>
    <s v="Standard"/>
    <n v="2"/>
  </r>
  <r>
    <s v="ORD202386"/>
    <s v="CUST100885"/>
    <s v="Unisex"/>
    <s v="18-24"/>
    <x v="649"/>
    <x v="2"/>
    <x v="32"/>
    <x v="1"/>
    <n v="12"/>
    <s v="Red"/>
    <n v="1"/>
    <n v="7099"/>
    <n v="10"/>
    <n v="6390"/>
    <n v="6390"/>
    <s v="UPI"/>
    <x v="1"/>
    <s v="India"/>
    <x v="23"/>
    <s v="Rishikesh"/>
    <s v="Comfort Shopper"/>
    <x v="1"/>
    <n v="4.3"/>
    <s v="Returned"/>
    <s v="Standard"/>
    <n v="1"/>
  </r>
  <r>
    <s v="ORD200252"/>
    <s v="CUST101018"/>
    <s v="Men"/>
    <s v="25-34"/>
    <x v="650"/>
    <x v="4"/>
    <x v="9"/>
    <x v="1"/>
    <n v="9"/>
    <s v="Blue"/>
    <n v="1"/>
    <n v="4299"/>
    <n v="15"/>
    <n v="3650"/>
    <n v="3650"/>
    <s v="Debit/Credit Card"/>
    <x v="0"/>
    <s v="India"/>
    <x v="17"/>
    <s v="Puducherry"/>
    <s v="Lifestyle Shopper"/>
    <x v="0"/>
    <n v="3.4"/>
    <s v="Delivered"/>
    <s v="Standard"/>
    <n v="3"/>
  </r>
  <r>
    <s v="ORD200759"/>
    <s v="CUST100689"/>
    <s v="Men"/>
    <s v="18-24"/>
    <x v="651"/>
    <x v="3"/>
    <x v="16"/>
    <x v="0"/>
    <n v="10"/>
    <s v="White"/>
    <n v="1"/>
    <n v="4599"/>
    <n v="25"/>
    <n v="3450"/>
    <n v="3450"/>
    <s v="Cash on Delivery"/>
    <x v="1"/>
    <s v="India"/>
    <x v="29"/>
    <s v="Vijayawada"/>
    <s v="Performance Seeker"/>
    <x v="1"/>
    <n v="4"/>
    <s v="Delivered"/>
    <s v="Standard"/>
    <n v="4"/>
  </r>
  <r>
    <s v="ORD200189"/>
    <s v="CUST100114"/>
    <s v="Women"/>
    <s v="45-54"/>
    <x v="652"/>
    <x v="4"/>
    <x v="29"/>
    <x v="2"/>
    <n v="7"/>
    <s v="Green"/>
    <n v="1"/>
    <n v="8299"/>
    <n v="25"/>
    <n v="6220"/>
    <n v="6220"/>
    <s v="Debit/Credit Card"/>
    <x v="0"/>
    <s v="India"/>
    <x v="15"/>
    <s v="Delhi"/>
    <s v="Comfort Shopper"/>
    <x v="1"/>
    <n v="3.1"/>
    <s v="Cancelled"/>
    <s v="Express"/>
    <n v="2"/>
  </r>
  <r>
    <s v="ORD202419"/>
    <s v="CUST100001"/>
    <s v="Men"/>
    <s v="25-34"/>
    <x v="653"/>
    <x v="2"/>
    <x v="24"/>
    <x v="4"/>
    <n v="6"/>
    <s v="White"/>
    <n v="1"/>
    <n v="3999"/>
    <n v="15"/>
    <n v="3400"/>
    <n v="3400"/>
    <s v="UPI"/>
    <x v="0"/>
    <s v="India"/>
    <x v="27"/>
    <s v="Rourkela"/>
    <s v="Value Shopper"/>
    <x v="1"/>
    <n v="3.4"/>
    <s v="Delivered"/>
    <s v="Standard"/>
    <n v="5"/>
  </r>
  <r>
    <s v="ORD200272"/>
    <s v="CUST100764"/>
    <s v="Men"/>
    <s v="45-54"/>
    <x v="654"/>
    <x v="0"/>
    <x v="13"/>
    <x v="2"/>
    <n v="10"/>
    <s v="Green"/>
    <n v="1"/>
    <n v="8099"/>
    <n v="30"/>
    <n v="5670"/>
    <n v="5670"/>
    <s v="Debit/Credit Card"/>
    <x v="2"/>
    <s v="India"/>
    <x v="9"/>
    <s v="Gaya"/>
    <s v="Premium Shopper"/>
    <x v="1"/>
    <n v="3.9"/>
    <s v="Delivered"/>
    <s v="Standard"/>
    <n v="5"/>
  </r>
  <r>
    <s v="ORD202447"/>
    <s v="CUST100442"/>
    <s v="Men"/>
    <s v="45-54"/>
    <x v="655"/>
    <x v="3"/>
    <x v="35"/>
    <x v="2"/>
    <n v="10"/>
    <s v="Green"/>
    <n v="1"/>
    <n v="3499"/>
    <n v="10"/>
    <n v="3150"/>
    <n v="3150"/>
    <s v="UPI"/>
    <x v="1"/>
    <s v="India"/>
    <x v="5"/>
    <s v="Imphal"/>
    <s v="Value Shopper"/>
    <x v="1"/>
    <n v="4.4000000000000004"/>
    <s v="Cancelled"/>
    <s v="Express"/>
    <n v="1"/>
  </r>
  <r>
    <s v="ORD203089"/>
    <s v="CUST100352"/>
    <s v="Men"/>
    <s v="18-24"/>
    <x v="655"/>
    <x v="3"/>
    <x v="11"/>
    <x v="4"/>
    <n v="6"/>
    <s v="Black"/>
    <n v="1"/>
    <n v="5199"/>
    <n v="25"/>
    <n v="3900"/>
    <n v="3900"/>
    <s v="Debit/Credit Card"/>
    <x v="0"/>
    <s v="India"/>
    <x v="14"/>
    <s v="Jalandhar"/>
    <s v="Premium Shopper"/>
    <x v="1"/>
    <n v="3.8"/>
    <s v="Delivered"/>
    <s v="Standard"/>
    <n v="3"/>
  </r>
  <r>
    <s v="ORD202570"/>
    <s v="CUST100725"/>
    <s v="Unisex"/>
    <s v="25-34"/>
    <x v="656"/>
    <x v="2"/>
    <x v="32"/>
    <x v="1"/>
    <n v="7"/>
    <s v="White"/>
    <n v="1"/>
    <n v="3299"/>
    <n v="30"/>
    <n v="2310"/>
    <n v="2310"/>
    <s v="UPI"/>
    <x v="1"/>
    <s v="India"/>
    <x v="24"/>
    <s v="Mangaluru"/>
    <s v="Comfort Shopper"/>
    <x v="0"/>
    <n v="5"/>
    <s v="Cancelled"/>
    <s v="Standard"/>
    <n v="4"/>
  </r>
  <r>
    <s v="ORD201420"/>
    <s v="CUST100476"/>
    <s v="Men"/>
    <s v="25-34"/>
    <x v="657"/>
    <x v="4"/>
    <x v="9"/>
    <x v="1"/>
    <n v="11"/>
    <s v="Grey"/>
    <n v="1"/>
    <n v="7099"/>
    <n v="15"/>
    <n v="6030"/>
    <n v="6030"/>
    <s v="UPI"/>
    <x v="1"/>
    <s v="India"/>
    <x v="29"/>
    <s v="Tirupati"/>
    <s v="Performance Seeker"/>
    <x v="1"/>
    <n v="3.7"/>
    <s v="Delivered"/>
    <s v="Same Day"/>
    <n v="1"/>
  </r>
  <r>
    <s v="ORD202754"/>
    <s v="CUST101026"/>
    <s v="Women"/>
    <s v="35-44"/>
    <x v="658"/>
    <x v="3"/>
    <x v="5"/>
    <x v="2"/>
    <n v="10"/>
    <s v="Grey"/>
    <n v="2"/>
    <n v="7999"/>
    <n v="20"/>
    <n v="6400"/>
    <n v="12800"/>
    <s v="Debit/Credit Card"/>
    <x v="2"/>
    <s v="India"/>
    <x v="19"/>
    <s v="Tura"/>
    <s v="Premium Shopper"/>
    <x v="1"/>
    <n v="3.5"/>
    <s v="Delivered"/>
    <s v="Express"/>
    <n v="4"/>
  </r>
  <r>
    <s v="ORD201648"/>
    <s v="CUST100316"/>
    <s v="Women"/>
    <s v="25-34"/>
    <x v="659"/>
    <x v="1"/>
    <x v="1"/>
    <x v="1"/>
    <n v="8"/>
    <s v="Grey"/>
    <n v="1"/>
    <n v="3699"/>
    <n v="10"/>
    <n v="3330"/>
    <n v="3330"/>
    <s v="Debit/Credit Card"/>
    <x v="2"/>
    <s v="India"/>
    <x v="22"/>
    <s v="Dharmanagar"/>
    <s v="Performance Seeker"/>
    <x v="1"/>
    <n v="4.4000000000000004"/>
    <s v="Delivered"/>
    <s v="Same Day"/>
    <n v="1"/>
  </r>
  <r>
    <s v="ORD202674"/>
    <s v="CUST100959"/>
    <s v="Men"/>
    <s v="25-34"/>
    <x v="659"/>
    <x v="1"/>
    <x v="1"/>
    <x v="1"/>
    <n v="8"/>
    <s v="Blue"/>
    <n v="1"/>
    <n v="7099"/>
    <n v="0"/>
    <n v="7100"/>
    <n v="7100"/>
    <s v="Cash on Delivery"/>
    <x v="2"/>
    <s v="India"/>
    <x v="12"/>
    <s v="Mayabunder"/>
    <s v="Value Shopper"/>
    <x v="1"/>
    <n v="3.9"/>
    <s v="Delivered"/>
    <s v="Express"/>
    <n v="4"/>
  </r>
  <r>
    <s v="ORD200115"/>
    <s v="CUST100043"/>
    <s v="Women"/>
    <s v="25-34"/>
    <x v="660"/>
    <x v="5"/>
    <x v="30"/>
    <x v="2"/>
    <n v="7"/>
    <s v="Grey"/>
    <n v="3"/>
    <n v="5699"/>
    <n v="20"/>
    <n v="4560"/>
    <n v="13680"/>
    <s v="Debit/Credit Card"/>
    <x v="2"/>
    <s v="India"/>
    <x v="19"/>
    <s v="Nongpoh"/>
    <s v="Lifestyle Shopper"/>
    <x v="1"/>
    <n v="3.5"/>
    <s v="Delivered"/>
    <s v="Standard"/>
    <n v="2"/>
  </r>
  <r>
    <s v="ORD202940"/>
    <s v="CUST100220"/>
    <s v="Men"/>
    <s v="25-34"/>
    <x v="661"/>
    <x v="5"/>
    <x v="15"/>
    <x v="4"/>
    <n v="10"/>
    <s v="White"/>
    <n v="1"/>
    <n v="8299"/>
    <n v="20"/>
    <n v="6640"/>
    <n v="6640"/>
    <s v="UPI"/>
    <x v="1"/>
    <s v="India"/>
    <x v="20"/>
    <s v="Dharamshala"/>
    <s v="Value Shopper"/>
    <x v="2"/>
    <n v="5"/>
    <s v="Delivered"/>
    <s v="Express"/>
    <n v="2"/>
  </r>
  <r>
    <s v="ORD200734"/>
    <s v="CUST100009"/>
    <s v="Men"/>
    <s v="25-34"/>
    <x v="662"/>
    <x v="5"/>
    <x v="27"/>
    <x v="0"/>
    <n v="11"/>
    <s v="Grey"/>
    <n v="1"/>
    <n v="5199"/>
    <n v="30"/>
    <n v="3640"/>
    <n v="3640"/>
    <s v="UPI"/>
    <x v="1"/>
    <s v="India"/>
    <x v="33"/>
    <s v="Mumbai"/>
    <s v="Comfort Shopper"/>
    <x v="1"/>
    <n v="4.7"/>
    <s v="Cancelled"/>
    <s v="Standard"/>
    <n v="2"/>
  </r>
  <r>
    <s v="ORD201927"/>
    <s v="CUST100851"/>
    <s v="Women"/>
    <s v="35-44"/>
    <x v="662"/>
    <x v="3"/>
    <x v="11"/>
    <x v="4"/>
    <n v="9"/>
    <s v="Grey"/>
    <n v="1"/>
    <n v="6699"/>
    <n v="10"/>
    <n v="6030"/>
    <n v="6030"/>
    <s v="Cash on Delivery"/>
    <x v="2"/>
    <s v="India"/>
    <x v="12"/>
    <s v="Diglipur"/>
    <s v="Premium Shopper"/>
    <x v="0"/>
    <n v="5"/>
    <s v="Delivered"/>
    <s v="Standard"/>
    <n v="6"/>
  </r>
  <r>
    <s v="ORD202327"/>
    <s v="CUST100325"/>
    <s v="Women"/>
    <s v="35-44"/>
    <x v="662"/>
    <x v="0"/>
    <x v="8"/>
    <x v="3"/>
    <n v="8"/>
    <s v="Green"/>
    <n v="1"/>
    <n v="5399"/>
    <n v="25"/>
    <n v="4050"/>
    <n v="4050"/>
    <s v="UPI"/>
    <x v="0"/>
    <s v="India"/>
    <x v="25"/>
    <s v="Anantnag"/>
    <s v="Comfort Shopper"/>
    <x v="1"/>
    <n v="3.5"/>
    <s v="Delivered"/>
    <s v="Standard"/>
    <n v="4"/>
  </r>
  <r>
    <s v="ORD200945"/>
    <s v="CUST100807"/>
    <s v="Women"/>
    <s v="55+"/>
    <x v="663"/>
    <x v="4"/>
    <x v="29"/>
    <x v="2"/>
    <n v="11"/>
    <s v="Grey"/>
    <n v="1"/>
    <n v="6999"/>
    <n v="10"/>
    <n v="6300"/>
    <n v="6300"/>
    <s v="UPI"/>
    <x v="1"/>
    <s v="India"/>
    <x v="17"/>
    <s v="Mahe"/>
    <s v="Value Shopper"/>
    <x v="1"/>
    <n v="4.7"/>
    <s v="Returned"/>
    <s v="Standard"/>
    <n v="2"/>
  </r>
  <r>
    <s v="ORD202180"/>
    <s v="CUST100347"/>
    <s v="Unisex"/>
    <s v="18-24"/>
    <x v="663"/>
    <x v="5"/>
    <x v="15"/>
    <x v="4"/>
    <n v="11"/>
    <s v="Red"/>
    <n v="1"/>
    <n v="3999"/>
    <n v="0"/>
    <n v="4000"/>
    <n v="4000"/>
    <s v="Debit/Credit Card"/>
    <x v="0"/>
    <s v="India"/>
    <x v="21"/>
    <s v="Mokokchung"/>
    <s v="Value Shopper"/>
    <x v="1"/>
    <n v="3"/>
    <s v="Delivered"/>
    <s v="Same Day"/>
    <n v="1"/>
  </r>
  <r>
    <s v="ORD202895"/>
    <s v="CUST100423"/>
    <s v="Women"/>
    <s v="35-44"/>
    <x v="664"/>
    <x v="3"/>
    <x v="5"/>
    <x v="2"/>
    <n v="8"/>
    <s v="Black"/>
    <n v="2"/>
    <n v="7999"/>
    <n v="10"/>
    <n v="7200"/>
    <n v="14400"/>
    <s v="Debit/Credit Card"/>
    <x v="1"/>
    <s v="India"/>
    <x v="31"/>
    <s v="Tiruchirappalli"/>
    <s v="Premium Shopper"/>
    <x v="0"/>
    <n v="4.5999999999999996"/>
    <s v="Cancelled"/>
    <s v="Standard"/>
    <n v="3"/>
  </r>
  <r>
    <s v="ORD201980"/>
    <s v="CUST100875"/>
    <s v="Men"/>
    <s v="25-34"/>
    <x v="665"/>
    <x v="5"/>
    <x v="21"/>
    <x v="2"/>
    <n v="7"/>
    <s v="Green"/>
    <n v="1"/>
    <n v="6399"/>
    <n v="15"/>
    <n v="5440"/>
    <n v="5440"/>
    <s v="UPI"/>
    <x v="0"/>
    <s v="India"/>
    <x v="24"/>
    <s v="Hubballi"/>
    <s v="Comfort Shopper"/>
    <x v="1"/>
    <n v="4.5999999999999996"/>
    <s v="Cancelled"/>
    <s v="Express"/>
    <n v="3"/>
  </r>
  <r>
    <s v="ORD202672"/>
    <s v="CUST100158"/>
    <s v="Women"/>
    <s v="25-34"/>
    <x v="665"/>
    <x v="0"/>
    <x v="31"/>
    <x v="1"/>
    <n v="11"/>
    <s v="White"/>
    <n v="1"/>
    <n v="7599"/>
    <n v="10"/>
    <n v="6840"/>
    <n v="6840"/>
    <s v="UPI"/>
    <x v="1"/>
    <s v="India"/>
    <x v="2"/>
    <s v="Hisar"/>
    <s v="Lifestyle Shopper"/>
    <x v="1"/>
    <n v="4.0999999999999996"/>
    <s v="Delivered"/>
    <s v="Standard"/>
    <n v="3"/>
  </r>
  <r>
    <s v="ORD202868"/>
    <s v="CUST100444"/>
    <s v="Women"/>
    <s v="35-44"/>
    <x v="665"/>
    <x v="1"/>
    <x v="20"/>
    <x v="2"/>
    <n v="9"/>
    <s v="White"/>
    <n v="1"/>
    <n v="4599"/>
    <n v="25"/>
    <n v="3450"/>
    <n v="3450"/>
    <s v="Debit/Credit Card"/>
    <x v="1"/>
    <s v="India"/>
    <x v="29"/>
    <s v="Guntur"/>
    <s v="Performance Seeker"/>
    <x v="0"/>
    <n v="4.2"/>
    <s v="Cancelled"/>
    <s v="Standard"/>
    <n v="3"/>
  </r>
  <r>
    <s v="ORD200205"/>
    <s v="CUST100426"/>
    <s v="Men"/>
    <s v="25-34"/>
    <x v="666"/>
    <x v="2"/>
    <x v="3"/>
    <x v="2"/>
    <n v="6"/>
    <s v="Blue"/>
    <n v="2"/>
    <n v="5499"/>
    <n v="25"/>
    <n v="4120"/>
    <n v="8240"/>
    <s v="Cash on Delivery"/>
    <x v="2"/>
    <s v="India"/>
    <x v="8"/>
    <s v="Hyderabad"/>
    <s v="Value Shopper"/>
    <x v="1"/>
    <n v="4.4000000000000004"/>
    <s v="Cancelled"/>
    <s v="Standard"/>
    <n v="2"/>
  </r>
  <r>
    <s v="ORD200910"/>
    <s v="CUST100131"/>
    <s v="Women"/>
    <s v="18-24"/>
    <x v="667"/>
    <x v="1"/>
    <x v="12"/>
    <x v="4"/>
    <n v="7"/>
    <s v="Black"/>
    <n v="1"/>
    <n v="8399"/>
    <n v="15"/>
    <n v="7140"/>
    <n v="7140"/>
    <s v="UPI"/>
    <x v="2"/>
    <s v="India"/>
    <x v="3"/>
    <s v="Jaipur"/>
    <s v="Value Shopper"/>
    <x v="1"/>
    <n v="4.2"/>
    <s v="Delivered"/>
    <s v="Same Day"/>
    <n v="1"/>
  </r>
  <r>
    <s v="ORD202817"/>
    <s v="CUST100358"/>
    <s v="Men"/>
    <s v="45-54"/>
    <x v="668"/>
    <x v="4"/>
    <x v="6"/>
    <x v="2"/>
    <n v="10"/>
    <s v="Grey"/>
    <n v="3"/>
    <n v="6499"/>
    <n v="35"/>
    <n v="4220"/>
    <n v="12660"/>
    <s v="Cash on Delivery"/>
    <x v="1"/>
    <s v="India"/>
    <x v="9"/>
    <s v="Muzaffarpur"/>
    <s v="Lifestyle Shopper"/>
    <x v="0"/>
    <n v="4.3"/>
    <s v="Delivered"/>
    <s v="Standard"/>
    <n v="5"/>
  </r>
  <r>
    <s v="ORD201261"/>
    <s v="CUST100418"/>
    <s v="Women"/>
    <s v="18-24"/>
    <x v="669"/>
    <x v="2"/>
    <x v="25"/>
    <x v="3"/>
    <n v="12"/>
    <s v="White"/>
    <n v="1"/>
    <n v="5499"/>
    <n v="20"/>
    <n v="4400"/>
    <n v="4400"/>
    <s v="UPI"/>
    <x v="0"/>
    <s v="India"/>
    <x v="0"/>
    <s v="Silchar"/>
    <s v="Comfort Shopper"/>
    <x v="0"/>
    <n v="2.9"/>
    <s v="Delivered"/>
    <s v="Standard"/>
    <n v="2"/>
  </r>
  <r>
    <s v="ORD201758"/>
    <s v="CUST100123"/>
    <s v="Women"/>
    <s v="18-24"/>
    <x v="669"/>
    <x v="4"/>
    <x v="26"/>
    <x v="3"/>
    <n v="11"/>
    <s v="Blue"/>
    <n v="2"/>
    <n v="5599"/>
    <n v="25"/>
    <n v="4200"/>
    <n v="8400"/>
    <s v="UPI"/>
    <x v="1"/>
    <s v="India"/>
    <x v="7"/>
    <s v="Bhopal"/>
    <s v="Comfort Shopper"/>
    <x v="0"/>
    <n v="5"/>
    <s v="Delivered"/>
    <s v="Standard"/>
    <n v="4"/>
  </r>
  <r>
    <s v="ORD201016"/>
    <s v="CUST100725"/>
    <s v="Men"/>
    <s v="18-24"/>
    <x v="670"/>
    <x v="1"/>
    <x v="1"/>
    <x v="1"/>
    <n v="9"/>
    <s v="Blue"/>
    <n v="1"/>
    <n v="7599"/>
    <n v="20"/>
    <n v="6080"/>
    <n v="6080"/>
    <s v="UPI"/>
    <x v="1"/>
    <s v="India"/>
    <x v="14"/>
    <s v="Amritsar"/>
    <s v="Premium Shopper"/>
    <x v="1"/>
    <n v="3.7"/>
    <s v="Returned"/>
    <s v="Standard"/>
    <n v="4"/>
  </r>
  <r>
    <s v="ORD201087"/>
    <s v="CUST100594"/>
    <s v="Men"/>
    <s v="18-24"/>
    <x v="671"/>
    <x v="5"/>
    <x v="15"/>
    <x v="4"/>
    <n v="8"/>
    <s v="Blue"/>
    <n v="2"/>
    <n v="6699"/>
    <n v="10"/>
    <n v="6030"/>
    <n v="12060"/>
    <s v="Net Banking"/>
    <x v="0"/>
    <s v="India"/>
    <x v="17"/>
    <s v="Puducherry"/>
    <s v="Performance Seeker"/>
    <x v="0"/>
    <n v="4.2"/>
    <s v="Delivered"/>
    <s v="Express"/>
    <n v="3"/>
  </r>
  <r>
    <s v="ORD201467"/>
    <s v="CUST100242"/>
    <s v="Unisex"/>
    <s v="45-54"/>
    <x v="672"/>
    <x v="4"/>
    <x v="17"/>
    <x v="4"/>
    <n v="9"/>
    <s v="Blue"/>
    <n v="1"/>
    <n v="4199"/>
    <n v="0"/>
    <n v="4200"/>
    <n v="4200"/>
    <s v="Debit/Credit Card"/>
    <x v="1"/>
    <s v="India"/>
    <x v="15"/>
    <s v="Dwarka"/>
    <s v="Performance Seeker"/>
    <x v="2"/>
    <n v="4"/>
    <s v="Cancelled"/>
    <s v="Standard"/>
    <n v="6"/>
  </r>
  <r>
    <s v="ORD202617"/>
    <s v="CUST100722"/>
    <s v="Unisex"/>
    <s v="25-34"/>
    <x v="672"/>
    <x v="5"/>
    <x v="15"/>
    <x v="4"/>
    <n v="10"/>
    <s v="White"/>
    <n v="1"/>
    <n v="7799"/>
    <n v="20"/>
    <n v="6240"/>
    <n v="6240"/>
    <s v="UPI"/>
    <x v="1"/>
    <s v="India"/>
    <x v="14"/>
    <s v="Ludhiana"/>
    <s v="Performance Seeker"/>
    <x v="0"/>
    <n v="4.5999999999999996"/>
    <s v="Returned"/>
    <s v="Standard"/>
    <n v="1"/>
  </r>
  <r>
    <s v="ORD202800"/>
    <s v="CUST100056"/>
    <s v="Men"/>
    <s v="25-34"/>
    <x v="672"/>
    <x v="0"/>
    <x v="2"/>
    <x v="2"/>
    <n v="12"/>
    <s v="Black"/>
    <n v="1"/>
    <n v="9099"/>
    <n v="25"/>
    <n v="6820"/>
    <n v="6820"/>
    <s v="Cash on Delivery"/>
    <x v="0"/>
    <s v="India"/>
    <x v="19"/>
    <s v="Nongpoh"/>
    <s v="Lifestyle Shopper"/>
    <x v="0"/>
    <n v="4.0999999999999996"/>
    <s v="Returned"/>
    <s v="Standard"/>
    <n v="2"/>
  </r>
  <r>
    <s v="ORD203080"/>
    <s v="CUST100662"/>
    <s v="Men"/>
    <s v="45-54"/>
    <x v="672"/>
    <x v="5"/>
    <x v="21"/>
    <x v="2"/>
    <n v="9"/>
    <s v="Black"/>
    <n v="1"/>
    <n v="7299"/>
    <n v="20"/>
    <n v="5840"/>
    <n v="5840"/>
    <s v="UPI"/>
    <x v="1"/>
    <s v="India"/>
    <x v="4"/>
    <s v="Mangan"/>
    <s v="Lifestyle Shopper"/>
    <x v="1"/>
    <n v="4.4000000000000004"/>
    <s v="Delivered"/>
    <s v="Express"/>
    <n v="2"/>
  </r>
  <r>
    <s v="ORD201458"/>
    <s v="CUST100097"/>
    <s v="Unisex"/>
    <s v="45-54"/>
    <x v="673"/>
    <x v="0"/>
    <x v="19"/>
    <x v="4"/>
    <n v="7"/>
    <s v="White"/>
    <n v="3"/>
    <n v="4399"/>
    <n v="15"/>
    <n v="3740"/>
    <n v="11220"/>
    <s v="Debit/Credit Card"/>
    <x v="1"/>
    <s v="India"/>
    <x v="12"/>
    <s v="Port Blair"/>
    <s v="Lifestyle Shopper"/>
    <x v="1"/>
    <n v="4.2"/>
    <s v="Delivered"/>
    <s v="Standard"/>
    <n v="3"/>
  </r>
  <r>
    <s v="ORD202212"/>
    <s v="CUST100156"/>
    <s v="Women"/>
    <s v="35-44"/>
    <x v="673"/>
    <x v="2"/>
    <x v="24"/>
    <x v="4"/>
    <n v="10"/>
    <s v="White"/>
    <n v="1"/>
    <n v="3099"/>
    <n v="10"/>
    <n v="2790"/>
    <n v="2790"/>
    <s v="Net Banking"/>
    <x v="1"/>
    <s v="India"/>
    <x v="21"/>
    <s v="Dimapur"/>
    <s v="Comfort Shopper"/>
    <x v="2"/>
    <n v="3.9"/>
    <s v="Delivered"/>
    <s v="Express"/>
    <n v="3"/>
  </r>
  <r>
    <s v="ORD202987"/>
    <s v="CUST100691"/>
    <s v="Women"/>
    <s v="35-44"/>
    <x v="674"/>
    <x v="5"/>
    <x v="7"/>
    <x v="1"/>
    <n v="10"/>
    <s v="Black"/>
    <n v="1"/>
    <n v="3999"/>
    <n v="30"/>
    <n v="2800"/>
    <n v="2800"/>
    <s v="Debit/Credit Card"/>
    <x v="1"/>
    <s v="India"/>
    <x v="28"/>
    <s v="Diskit"/>
    <s v="Comfort Shopper"/>
    <x v="0"/>
    <n v="2.8"/>
    <s v="Delivered"/>
    <s v="Same Day"/>
    <n v="1"/>
  </r>
  <r>
    <s v="ORD201350"/>
    <s v="CUST100527"/>
    <s v="Men"/>
    <s v="25-34"/>
    <x v="675"/>
    <x v="2"/>
    <x v="25"/>
    <x v="3"/>
    <n v="7"/>
    <s v="White"/>
    <n v="2"/>
    <n v="4899"/>
    <n v="20"/>
    <n v="3920"/>
    <n v="7840"/>
    <s v="UPI"/>
    <x v="2"/>
    <s v="India"/>
    <x v="2"/>
    <s v="Hisar"/>
    <s v="Performance Seeker"/>
    <x v="1"/>
    <n v="4.7"/>
    <s v="Delivered"/>
    <s v="Standard"/>
    <n v="4"/>
  </r>
  <r>
    <s v="ORD200737"/>
    <s v="CUST100322"/>
    <s v="Unisex"/>
    <s v="25-34"/>
    <x v="676"/>
    <x v="2"/>
    <x v="25"/>
    <x v="3"/>
    <n v="9"/>
    <s v="Green"/>
    <n v="1"/>
    <n v="4599"/>
    <n v="20"/>
    <n v="3680"/>
    <n v="3680"/>
    <s v="Net Banking"/>
    <x v="2"/>
    <s v="India"/>
    <x v="30"/>
    <s v="Burail"/>
    <s v="Value Shopper"/>
    <x v="1"/>
    <n v="3.7"/>
    <s v="Cancelled"/>
    <s v="Express"/>
    <n v="3"/>
  </r>
  <r>
    <s v="ORD202072"/>
    <s v="CUST100543"/>
    <s v="Men"/>
    <s v="25-34"/>
    <x v="677"/>
    <x v="2"/>
    <x v="24"/>
    <x v="4"/>
    <n v="12"/>
    <s v="Blue"/>
    <n v="3"/>
    <n v="5499"/>
    <n v="10"/>
    <n v="4950"/>
    <n v="14850"/>
    <s v="Net Banking"/>
    <x v="1"/>
    <s v="India"/>
    <x v="26"/>
    <s v="Kozhikode"/>
    <s v="Comfort Shopper"/>
    <x v="1"/>
    <n v="4.7"/>
    <s v="Returned"/>
    <s v="Standard"/>
    <n v="4"/>
  </r>
  <r>
    <s v="ORD200428"/>
    <s v="CUST100370"/>
    <s v="Men"/>
    <s v="25-34"/>
    <x v="678"/>
    <x v="3"/>
    <x v="28"/>
    <x v="1"/>
    <n v="8"/>
    <s v="White"/>
    <n v="1"/>
    <n v="6999"/>
    <n v="25"/>
    <n v="5250"/>
    <n v="5250"/>
    <s v="Net Banking"/>
    <x v="0"/>
    <s v="India"/>
    <x v="17"/>
    <s v="Puducherry"/>
    <s v="Premium Shopper"/>
    <x v="1"/>
    <n v="4.5"/>
    <s v="Cancelled"/>
    <s v="Standard"/>
    <n v="7"/>
  </r>
  <r>
    <s v="ORD200445"/>
    <s v="CUST100607"/>
    <s v="Unisex"/>
    <s v="18-24"/>
    <x v="679"/>
    <x v="3"/>
    <x v="35"/>
    <x v="2"/>
    <n v="10"/>
    <s v="Green"/>
    <n v="2"/>
    <n v="3599"/>
    <n v="25"/>
    <n v="2700"/>
    <n v="5400"/>
    <s v="UPI"/>
    <x v="1"/>
    <s v="India"/>
    <x v="14"/>
    <s v="Amritsar"/>
    <s v="Premium Shopper"/>
    <x v="0"/>
    <n v="3.2"/>
    <s v="Cancelled"/>
    <s v="Standard"/>
    <n v="7"/>
  </r>
  <r>
    <s v="ORD201668"/>
    <s v="CUST100448"/>
    <s v="Unisex"/>
    <s v="35-44"/>
    <x v="679"/>
    <x v="2"/>
    <x v="4"/>
    <x v="2"/>
    <n v="8"/>
    <s v="Black"/>
    <n v="1"/>
    <n v="6299"/>
    <n v="35"/>
    <n v="4090"/>
    <n v="4090"/>
    <s v="UPI"/>
    <x v="1"/>
    <s v="India"/>
    <x v="34"/>
    <s v="Kolkata"/>
    <s v="Lifestyle Shopper"/>
    <x v="1"/>
    <n v="3.2"/>
    <s v="Returned"/>
    <s v="Standard"/>
    <n v="1"/>
  </r>
  <r>
    <s v="ORD200238"/>
    <s v="CUST100175"/>
    <s v="Women"/>
    <s v="18-24"/>
    <x v="680"/>
    <x v="2"/>
    <x v="4"/>
    <x v="2"/>
    <n v="9"/>
    <s v="Black"/>
    <n v="2"/>
    <n v="7199"/>
    <n v="15"/>
    <n v="6120"/>
    <n v="12240"/>
    <s v="Cash on Delivery"/>
    <x v="1"/>
    <s v="India"/>
    <x v="34"/>
    <s v="Asansol"/>
    <s v="Lifestyle Shopper"/>
    <x v="1"/>
    <n v="3.8"/>
    <s v="Delivered"/>
    <s v="Express"/>
    <n v="3"/>
  </r>
  <r>
    <s v="ORD200468"/>
    <s v="CUST100249"/>
    <s v="Men"/>
    <s v="18-24"/>
    <x v="680"/>
    <x v="5"/>
    <x v="15"/>
    <x v="4"/>
    <n v="11"/>
    <s v="Green"/>
    <n v="1"/>
    <n v="4299"/>
    <n v="20"/>
    <n v="3440"/>
    <n v="3440"/>
    <s v="Debit/Credit Card"/>
    <x v="2"/>
    <s v="India"/>
    <x v="18"/>
    <s v="Bilaspur"/>
    <s v="Performance Seeker"/>
    <x v="2"/>
    <n v="3.9"/>
    <s v="Cancelled"/>
    <s v="Express"/>
    <n v="2"/>
  </r>
  <r>
    <s v="ORD200830"/>
    <s v="CUST100232"/>
    <s v="Men"/>
    <s v="35-44"/>
    <x v="681"/>
    <x v="4"/>
    <x v="6"/>
    <x v="2"/>
    <n v="8"/>
    <s v="Blue"/>
    <n v="1"/>
    <n v="7499"/>
    <n v="15"/>
    <n v="6370"/>
    <n v="6370"/>
    <s v="UPI"/>
    <x v="2"/>
    <s v="India"/>
    <x v="25"/>
    <s v="Anantnag"/>
    <s v="Performance Seeker"/>
    <x v="0"/>
    <n v="5"/>
    <s v="Delivered"/>
    <s v="Express"/>
    <n v="2"/>
  </r>
  <r>
    <s v="ORD200879"/>
    <s v="CUST100494"/>
    <s v="Men"/>
    <s v="18-24"/>
    <x v="682"/>
    <x v="2"/>
    <x v="24"/>
    <x v="4"/>
    <n v="10"/>
    <s v="Red"/>
    <n v="1"/>
    <n v="4899"/>
    <n v="0"/>
    <n v="4900"/>
    <n v="4900"/>
    <s v="Debit/Credit Card"/>
    <x v="1"/>
    <s v="India"/>
    <x v="30"/>
    <s v="Manimajra"/>
    <s v="Lifestyle Shopper"/>
    <x v="0"/>
    <n v="4.4000000000000004"/>
    <s v="Delivered"/>
    <s v="Same Day"/>
    <n v="2"/>
  </r>
  <r>
    <s v="ORD200797"/>
    <s v="CUST100594"/>
    <s v="Unisex"/>
    <s v="25-34"/>
    <x v="683"/>
    <x v="3"/>
    <x v="34"/>
    <x v="3"/>
    <n v="7"/>
    <s v="Grey"/>
    <n v="1"/>
    <n v="4299"/>
    <n v="20"/>
    <n v="3440"/>
    <n v="3440"/>
    <s v="Cash on Delivery"/>
    <x v="1"/>
    <s v="India"/>
    <x v="3"/>
    <s v="Udaipur"/>
    <s v="Lifestyle Shopper"/>
    <x v="1"/>
    <n v="5"/>
    <s v="Delivered"/>
    <s v="Standard"/>
    <n v="4"/>
  </r>
  <r>
    <s v="ORD200898"/>
    <s v="CUST100482"/>
    <s v="Women"/>
    <s v="25-34"/>
    <x v="683"/>
    <x v="4"/>
    <x v="17"/>
    <x v="4"/>
    <n v="8"/>
    <s v="White"/>
    <n v="1"/>
    <n v="3999"/>
    <n v="20"/>
    <n v="3200"/>
    <n v="3200"/>
    <s v="Debit/Credit Card"/>
    <x v="2"/>
    <s v="India"/>
    <x v="31"/>
    <s v="Madurai"/>
    <s v="Lifestyle Shopper"/>
    <x v="1"/>
    <n v="4.5999999999999996"/>
    <s v="Delivered"/>
    <s v="Standard"/>
    <n v="6"/>
  </r>
  <r>
    <s v="ORD200525"/>
    <s v="CUST100112"/>
    <s v="Men"/>
    <s v="25-34"/>
    <x v="684"/>
    <x v="4"/>
    <x v="29"/>
    <x v="2"/>
    <n v="7"/>
    <s v="Green"/>
    <n v="1"/>
    <n v="8999"/>
    <n v="10"/>
    <n v="8100"/>
    <n v="8100"/>
    <s v="Debit/Credit Card"/>
    <x v="1"/>
    <s v="India"/>
    <x v="0"/>
    <s v="Guwahati"/>
    <s v="Lifestyle Shopper"/>
    <x v="2"/>
    <n v="3.5"/>
    <s v="Returned"/>
    <s v="Standard"/>
    <n v="2"/>
  </r>
  <r>
    <s v="ORD201372"/>
    <s v="CUST100981"/>
    <s v="Women"/>
    <s v="25-34"/>
    <x v="685"/>
    <x v="1"/>
    <x v="10"/>
    <x v="3"/>
    <n v="9"/>
    <s v="Black"/>
    <n v="1"/>
    <n v="5399"/>
    <n v="0"/>
    <n v="5400"/>
    <n v="5400"/>
    <s v="Cash on Delivery"/>
    <x v="1"/>
    <s v="India"/>
    <x v="23"/>
    <s v="Haldwani"/>
    <s v="Comfort Shopper"/>
    <x v="1"/>
    <n v="2.1"/>
    <s v="Delivered"/>
    <s v="Standard"/>
    <n v="7"/>
  </r>
  <r>
    <s v="ORD200377"/>
    <s v="CUST100761"/>
    <s v="Men"/>
    <s v="25-34"/>
    <x v="686"/>
    <x v="2"/>
    <x v="25"/>
    <x v="3"/>
    <n v="8"/>
    <s v="Blue"/>
    <n v="1"/>
    <n v="8199"/>
    <n v="15"/>
    <n v="6970"/>
    <n v="6970"/>
    <s v="UPI"/>
    <x v="1"/>
    <s v="India"/>
    <x v="9"/>
    <s v="Bhagalpur"/>
    <s v="Performance Seeker"/>
    <x v="0"/>
    <n v="4.3"/>
    <s v="Returned"/>
    <s v="Standard"/>
    <n v="2"/>
  </r>
  <r>
    <s v="ORD202691"/>
    <s v="CUST100452"/>
    <s v="Men"/>
    <s v="25-34"/>
    <x v="687"/>
    <x v="4"/>
    <x v="9"/>
    <x v="1"/>
    <n v="7"/>
    <s v="Grey"/>
    <n v="1"/>
    <n v="7899"/>
    <n v="15"/>
    <n v="6710"/>
    <n v="6710"/>
    <s v="UPI"/>
    <x v="1"/>
    <s v="India"/>
    <x v="26"/>
    <s v="Thrissur"/>
    <s v="Value Shopper"/>
    <x v="0"/>
    <n v="3.5"/>
    <s v="Returned"/>
    <s v="Standard"/>
    <n v="6"/>
  </r>
  <r>
    <s v="ORD200550"/>
    <s v="CUST100286"/>
    <s v="Men"/>
    <s v="18-24"/>
    <x v="688"/>
    <x v="0"/>
    <x v="19"/>
    <x v="4"/>
    <n v="8"/>
    <s v="Red"/>
    <n v="1"/>
    <n v="5499"/>
    <n v="20"/>
    <n v="4400"/>
    <n v="4400"/>
    <s v="UPI"/>
    <x v="2"/>
    <s v="India"/>
    <x v="20"/>
    <s v="Solan"/>
    <s v="Lifestyle Shopper"/>
    <x v="1"/>
    <n v="4.5999999999999996"/>
    <s v="Delivered"/>
    <s v="Express"/>
    <n v="2"/>
  </r>
  <r>
    <s v="ORD201284"/>
    <s v="CUST100476"/>
    <s v="Men"/>
    <s v="45-54"/>
    <x v="689"/>
    <x v="4"/>
    <x v="17"/>
    <x v="4"/>
    <n v="9"/>
    <s v="Black"/>
    <n v="1"/>
    <n v="5999"/>
    <n v="5"/>
    <n v="5700"/>
    <n v="5700"/>
    <s v="UPI"/>
    <x v="0"/>
    <s v="India"/>
    <x v="26"/>
    <s v="Kozhikode"/>
    <s v="Lifestyle Shopper"/>
    <x v="2"/>
    <n v="3.2"/>
    <s v="Delivered"/>
    <s v="Express"/>
    <n v="2"/>
  </r>
  <r>
    <s v="ORD202313"/>
    <s v="CUST100018"/>
    <s v="Unisex"/>
    <s v="25-34"/>
    <x v="689"/>
    <x v="4"/>
    <x v="17"/>
    <x v="4"/>
    <n v="7"/>
    <s v="Green"/>
    <n v="1"/>
    <n v="6799"/>
    <n v="15"/>
    <n v="5780"/>
    <n v="5780"/>
    <s v="UPI"/>
    <x v="1"/>
    <s v="India"/>
    <x v="3"/>
    <s v="Kota"/>
    <s v="Value Shopper"/>
    <x v="2"/>
    <n v="3.7"/>
    <s v="Delivered"/>
    <s v="Express"/>
    <n v="2"/>
  </r>
  <r>
    <s v="ORD202809"/>
    <s v="CUST100792"/>
    <s v="Women"/>
    <s v="25-34"/>
    <x v="690"/>
    <x v="2"/>
    <x v="32"/>
    <x v="1"/>
    <n v="6"/>
    <s v="Red"/>
    <n v="1"/>
    <n v="6499"/>
    <n v="25"/>
    <n v="4870"/>
    <n v="4870"/>
    <s v="UPI"/>
    <x v="1"/>
    <s v="India"/>
    <x v="10"/>
    <s v="Amli"/>
    <s v="Performance Seeker"/>
    <x v="1"/>
    <n v="3.7"/>
    <s v="Cancelled"/>
    <s v="Standard"/>
    <n v="5"/>
  </r>
  <r>
    <s v="ORD201305"/>
    <s v="CUST100152"/>
    <s v="Women"/>
    <s v="45-54"/>
    <x v="691"/>
    <x v="3"/>
    <x v="16"/>
    <x v="0"/>
    <n v="8"/>
    <s v="White"/>
    <n v="2"/>
    <n v="5599"/>
    <n v="15"/>
    <n v="4760"/>
    <n v="9520"/>
    <s v="Debit/Credit Card"/>
    <x v="1"/>
    <s v="India"/>
    <x v="24"/>
    <s v="Bengaluru"/>
    <s v="Lifestyle Shopper"/>
    <x v="1"/>
    <n v="3.9"/>
    <s v="Delivered"/>
    <s v="Standard"/>
    <n v="3"/>
  </r>
  <r>
    <s v="ORD202014"/>
    <s v="CUST100866"/>
    <s v="Unisex"/>
    <s v="25-34"/>
    <x v="692"/>
    <x v="2"/>
    <x v="24"/>
    <x v="4"/>
    <n v="8"/>
    <s v="White"/>
    <n v="1"/>
    <n v="6199"/>
    <n v="20"/>
    <n v="4960"/>
    <n v="4960"/>
    <s v="UPI"/>
    <x v="1"/>
    <s v="India"/>
    <x v="29"/>
    <s v="Vijayawada"/>
    <s v="Premium Shopper"/>
    <x v="0"/>
    <n v="4.5"/>
    <s v="Delivered"/>
    <s v="Standard"/>
    <n v="4"/>
  </r>
  <r>
    <s v="ORD200521"/>
    <s v="CUST100615"/>
    <s v="Unisex"/>
    <s v="25-34"/>
    <x v="693"/>
    <x v="4"/>
    <x v="17"/>
    <x v="4"/>
    <n v="9"/>
    <s v="Blue"/>
    <n v="3"/>
    <n v="5299"/>
    <n v="10"/>
    <n v="4770"/>
    <n v="14310"/>
    <s v="Debit/Credit Card"/>
    <x v="1"/>
    <s v="India"/>
    <x v="1"/>
    <s v="Margao"/>
    <s v="Lifestyle Shopper"/>
    <x v="1"/>
    <n v="4.3"/>
    <s v="Delivered"/>
    <s v="Standard"/>
    <n v="4"/>
  </r>
  <r>
    <s v="ORD200853"/>
    <s v="CUST100399"/>
    <s v="Men"/>
    <s v="45-54"/>
    <x v="693"/>
    <x v="5"/>
    <x v="27"/>
    <x v="0"/>
    <n v="7"/>
    <s v="Grey"/>
    <n v="1"/>
    <n v="5799"/>
    <n v="10"/>
    <n v="5220"/>
    <n v="5220"/>
    <s v="Cash on Delivery"/>
    <x v="1"/>
    <s v="India"/>
    <x v="7"/>
    <s v="Bhopal"/>
    <s v="Comfort Shopper"/>
    <x v="1"/>
    <n v="4.0999999999999996"/>
    <s v="Returned"/>
    <s v="Standard"/>
    <n v="3"/>
  </r>
  <r>
    <s v="ORD200300"/>
    <s v="CUST100600"/>
    <s v="Unisex"/>
    <s v="45-54"/>
    <x v="694"/>
    <x v="5"/>
    <x v="27"/>
    <x v="0"/>
    <n v="10"/>
    <s v="Black"/>
    <n v="1"/>
    <n v="8099"/>
    <n v="5"/>
    <n v="7690"/>
    <n v="7690"/>
    <s v="UPI"/>
    <x v="1"/>
    <s v="India"/>
    <x v="26"/>
    <s v="Thiruvananthapuram"/>
    <s v="Comfort Shopper"/>
    <x v="1"/>
    <n v="4.8"/>
    <s v="Delivered"/>
    <s v="Express"/>
    <n v="1"/>
  </r>
  <r>
    <s v="ORD201160"/>
    <s v="CUST100025"/>
    <s v="Men"/>
    <s v="25-34"/>
    <x v="694"/>
    <x v="0"/>
    <x v="2"/>
    <x v="2"/>
    <n v="8"/>
    <s v="Black"/>
    <n v="2"/>
    <n v="6899"/>
    <n v="15"/>
    <n v="5860"/>
    <n v="11720"/>
    <s v="UPI"/>
    <x v="2"/>
    <s v="India"/>
    <x v="34"/>
    <s v="Asansol"/>
    <s v="Premium Shopper"/>
    <x v="1"/>
    <n v="3.5"/>
    <s v="Returned"/>
    <s v="Standard"/>
    <n v="1"/>
  </r>
  <r>
    <s v="ORD202022"/>
    <s v="CUST100985"/>
    <s v="Women"/>
    <s v="18-24"/>
    <x v="694"/>
    <x v="5"/>
    <x v="7"/>
    <x v="1"/>
    <n v="11"/>
    <s v="Blue"/>
    <n v="1"/>
    <n v="4599"/>
    <n v="15"/>
    <n v="3910"/>
    <n v="3910"/>
    <s v="UPI"/>
    <x v="1"/>
    <s v="India"/>
    <x v="30"/>
    <s v="Burail"/>
    <s v="Performance Seeker"/>
    <x v="0"/>
    <n v="4.5999999999999996"/>
    <s v="Delivered"/>
    <s v="Express"/>
    <n v="1"/>
  </r>
  <r>
    <s v="ORD201419"/>
    <s v="CUST100283"/>
    <s v="Unisex"/>
    <s v="25-34"/>
    <x v="695"/>
    <x v="3"/>
    <x v="16"/>
    <x v="0"/>
    <n v="11"/>
    <s v="White"/>
    <n v="2"/>
    <n v="7899"/>
    <n v="35"/>
    <n v="5130"/>
    <n v="10260"/>
    <s v="Cash on Delivery"/>
    <x v="2"/>
    <s v="India"/>
    <x v="35"/>
    <s v="Kolasib"/>
    <s v="Performance Seeker"/>
    <x v="0"/>
    <n v="3.3"/>
    <s v="Delivered"/>
    <s v="Standard"/>
    <n v="4"/>
  </r>
  <r>
    <s v="ORD200904"/>
    <s v="CUST100474"/>
    <s v="Men"/>
    <s v="35-44"/>
    <x v="696"/>
    <x v="0"/>
    <x v="0"/>
    <x v="0"/>
    <n v="8"/>
    <s v="Black"/>
    <n v="1"/>
    <n v="5399"/>
    <n v="15"/>
    <n v="4590"/>
    <n v="4590"/>
    <s v="Debit/Credit Card"/>
    <x v="1"/>
    <s v="India"/>
    <x v="33"/>
    <s v="Nagpur"/>
    <s v="Value Shopper"/>
    <x v="0"/>
    <n v="4"/>
    <s v="Returned"/>
    <s v="Standard"/>
    <n v="7"/>
  </r>
  <r>
    <s v="ORD201782"/>
    <s v="CUST100669"/>
    <s v="Men"/>
    <s v="45-54"/>
    <x v="696"/>
    <x v="0"/>
    <x v="31"/>
    <x v="1"/>
    <n v="7"/>
    <s v="Red"/>
    <n v="2"/>
    <n v="7299"/>
    <n v="15"/>
    <n v="6200"/>
    <n v="12400"/>
    <s v="Net Banking"/>
    <x v="2"/>
    <s v="India"/>
    <x v="1"/>
    <s v="Margao"/>
    <s v="Value Shopper"/>
    <x v="1"/>
    <n v="4.5999999999999996"/>
    <s v="Cancelled"/>
    <s v="Express"/>
    <n v="1"/>
  </r>
  <r>
    <s v="ORD200389"/>
    <s v="CUST100299"/>
    <s v="Men"/>
    <s v="45-54"/>
    <x v="697"/>
    <x v="0"/>
    <x v="8"/>
    <x v="3"/>
    <n v="10"/>
    <s v="Black"/>
    <n v="3"/>
    <n v="4099"/>
    <n v="25"/>
    <n v="3070"/>
    <n v="9210"/>
    <s v="Net Banking"/>
    <x v="2"/>
    <s v="India"/>
    <x v="5"/>
    <s v="Thoubal"/>
    <s v="Value Shopper"/>
    <x v="1"/>
    <n v="4.7"/>
    <s v="Returned"/>
    <s v="Same Day"/>
    <n v="1"/>
  </r>
  <r>
    <s v="ORD201944"/>
    <s v="CUST100664"/>
    <s v="Men"/>
    <s v="18-24"/>
    <x v="697"/>
    <x v="0"/>
    <x v="19"/>
    <x v="4"/>
    <n v="8"/>
    <s v="Blue"/>
    <n v="1"/>
    <n v="5499"/>
    <n v="10"/>
    <n v="4950"/>
    <n v="4950"/>
    <s v="UPI"/>
    <x v="2"/>
    <s v="India"/>
    <x v="25"/>
    <s v="Srinagar"/>
    <s v="Premium Shopper"/>
    <x v="1"/>
    <n v="3.9"/>
    <s v="Delivered"/>
    <s v="Standard"/>
    <n v="2"/>
  </r>
  <r>
    <s v="ORD203084"/>
    <s v="CUST100419"/>
    <s v="Women"/>
    <s v="18-24"/>
    <x v="697"/>
    <x v="1"/>
    <x v="33"/>
    <x v="0"/>
    <n v="7"/>
    <s v="Red"/>
    <n v="2"/>
    <n v="6899"/>
    <n v="20"/>
    <n v="5520"/>
    <n v="11040"/>
    <s v="Cash on Delivery"/>
    <x v="0"/>
    <s v="India"/>
    <x v="0"/>
    <s v="Silchar"/>
    <s v="Premium Shopper"/>
    <x v="1"/>
    <n v="4.2"/>
    <s v="Delivered"/>
    <s v="Standard"/>
    <n v="1"/>
  </r>
  <r>
    <s v="ORD200976"/>
    <s v="CUST100444"/>
    <s v="Men"/>
    <s v="25-34"/>
    <x v="698"/>
    <x v="0"/>
    <x v="19"/>
    <x v="4"/>
    <n v="7"/>
    <s v="Green"/>
    <n v="1"/>
    <n v="4099"/>
    <n v="20"/>
    <n v="3280"/>
    <n v="3280"/>
    <s v="UPI"/>
    <x v="1"/>
    <s v="India"/>
    <x v="5"/>
    <s v="Thoubal"/>
    <s v="Performance Seeker"/>
    <x v="1"/>
    <n v="4.5"/>
    <s v="Delivered"/>
    <s v="Standard"/>
    <n v="4"/>
  </r>
  <r>
    <s v="ORD201092"/>
    <s v="CUST100642"/>
    <s v="Women"/>
    <s v="18-24"/>
    <x v="698"/>
    <x v="5"/>
    <x v="21"/>
    <x v="2"/>
    <n v="11"/>
    <s v="Black"/>
    <n v="1"/>
    <n v="6899"/>
    <n v="15"/>
    <n v="5860"/>
    <n v="5860"/>
    <s v="Cash on Delivery"/>
    <x v="1"/>
    <s v="India"/>
    <x v="18"/>
    <s v="Bilaspur"/>
    <s v="Comfort Shopper"/>
    <x v="0"/>
    <n v="4.0999999999999996"/>
    <s v="Delivered"/>
    <s v="Standard"/>
    <n v="5"/>
  </r>
  <r>
    <s v="ORD202030"/>
    <s v="CUST100462"/>
    <s v="Men"/>
    <s v="45-54"/>
    <x v="698"/>
    <x v="4"/>
    <x v="6"/>
    <x v="2"/>
    <n v="8"/>
    <s v="Green"/>
    <n v="1"/>
    <n v="6099"/>
    <n v="30"/>
    <n v="4270"/>
    <n v="4270"/>
    <s v="UPI"/>
    <x v="2"/>
    <s v="India"/>
    <x v="21"/>
    <s v="Kohima"/>
    <s v="Lifestyle Shopper"/>
    <x v="1"/>
    <n v="4.2"/>
    <s v="Cancelled"/>
    <s v="Standard"/>
    <n v="7"/>
  </r>
  <r>
    <s v="ORD202490"/>
    <s v="CUST101024"/>
    <s v="Women"/>
    <s v="18-24"/>
    <x v="698"/>
    <x v="3"/>
    <x v="35"/>
    <x v="2"/>
    <n v="8"/>
    <s v="White"/>
    <n v="4"/>
    <n v="7099"/>
    <n v="5"/>
    <n v="6740"/>
    <n v="26960"/>
    <s v="UPI"/>
    <x v="2"/>
    <s v="India"/>
    <x v="1"/>
    <s v="Mapusa"/>
    <s v="Lifestyle Shopper"/>
    <x v="0"/>
    <n v="4.4000000000000004"/>
    <s v="Delivered"/>
    <s v="Standard"/>
    <n v="6"/>
  </r>
  <r>
    <s v="ORD202260"/>
    <s v="CUST100092"/>
    <s v="Men"/>
    <s v="18-24"/>
    <x v="699"/>
    <x v="2"/>
    <x v="23"/>
    <x v="0"/>
    <n v="9"/>
    <s v="Green"/>
    <n v="1"/>
    <n v="8599"/>
    <n v="30"/>
    <n v="6020"/>
    <n v="6020"/>
    <s v="Debit/Credit Card"/>
    <x v="1"/>
    <s v="India"/>
    <x v="25"/>
    <s v="Jammu"/>
    <s v="Comfort Shopper"/>
    <x v="1"/>
    <n v="3.5"/>
    <s v="Delivered"/>
    <s v="Standard"/>
    <n v="2"/>
  </r>
  <r>
    <s v="ORD201844"/>
    <s v="CUST100268"/>
    <s v="Women"/>
    <s v="25-34"/>
    <x v="700"/>
    <x v="4"/>
    <x v="6"/>
    <x v="2"/>
    <n v="9"/>
    <s v="White"/>
    <n v="1"/>
    <n v="4399"/>
    <n v="10"/>
    <n v="3960"/>
    <n v="3960"/>
    <s v="UPI"/>
    <x v="1"/>
    <s v="India"/>
    <x v="4"/>
    <s v="Gangtok"/>
    <s v="Performance Seeker"/>
    <x v="1"/>
    <n v="4.4000000000000004"/>
    <s v="Delivered"/>
    <s v="Standard"/>
    <n v="7"/>
  </r>
  <r>
    <s v="ORD201597"/>
    <s v="CUST100011"/>
    <s v="Men"/>
    <s v="35-44"/>
    <x v="701"/>
    <x v="4"/>
    <x v="29"/>
    <x v="2"/>
    <n v="10"/>
    <s v="Grey"/>
    <n v="1"/>
    <n v="7399"/>
    <n v="5"/>
    <n v="7030"/>
    <n v="7030"/>
    <s v="Cash on Delivery"/>
    <x v="2"/>
    <s v="India"/>
    <x v="17"/>
    <s v="Mahe"/>
    <s v="Lifestyle Shopper"/>
    <x v="1"/>
    <n v="4.4000000000000004"/>
    <s v="Delivered"/>
    <s v="Standard"/>
    <n v="7"/>
  </r>
  <r>
    <s v="ORD201732"/>
    <s v="CUST100681"/>
    <s v="Women"/>
    <s v="18-24"/>
    <x v="702"/>
    <x v="4"/>
    <x v="22"/>
    <x v="0"/>
    <n v="11"/>
    <s v="Blue"/>
    <n v="3"/>
    <n v="6399"/>
    <n v="0"/>
    <n v="6400"/>
    <n v="19200"/>
    <s v="Debit/Credit Card"/>
    <x v="1"/>
    <s v="India"/>
    <x v="18"/>
    <s v="Korba"/>
    <s v="Value Shopper"/>
    <x v="1"/>
    <n v="3.2"/>
    <s v="Delivered"/>
    <s v="Standard"/>
    <n v="2"/>
  </r>
  <r>
    <s v="ORD202463"/>
    <s v="CUST100082"/>
    <s v="Unisex"/>
    <s v="18-24"/>
    <x v="702"/>
    <x v="2"/>
    <x v="25"/>
    <x v="3"/>
    <n v="8"/>
    <s v="Blue"/>
    <n v="2"/>
    <n v="8199"/>
    <n v="20"/>
    <n v="6560"/>
    <n v="13120"/>
    <s v="UPI"/>
    <x v="2"/>
    <s v="India"/>
    <x v="17"/>
    <s v="Mahe"/>
    <s v="Performance Seeker"/>
    <x v="2"/>
    <n v="3.3"/>
    <s v="Delivered"/>
    <s v="Same Day"/>
    <n v="1"/>
  </r>
  <r>
    <s v="ORD200312"/>
    <s v="CUST100159"/>
    <s v="Women"/>
    <s v="25-34"/>
    <x v="703"/>
    <x v="5"/>
    <x v="30"/>
    <x v="2"/>
    <n v="7"/>
    <s v="Black"/>
    <n v="2"/>
    <n v="4799"/>
    <n v="30"/>
    <n v="3360"/>
    <n v="6720"/>
    <s v="Net Banking"/>
    <x v="2"/>
    <s v="India"/>
    <x v="13"/>
    <s v="Pasighat"/>
    <s v="Premium Shopper"/>
    <x v="1"/>
    <n v="4.5"/>
    <s v="Delivered"/>
    <s v="Express"/>
    <n v="2"/>
  </r>
  <r>
    <s v="ORD201869"/>
    <s v="CUST100878"/>
    <s v="Men"/>
    <s v="25-34"/>
    <x v="704"/>
    <x v="5"/>
    <x v="15"/>
    <x v="4"/>
    <n v="7"/>
    <s v="White"/>
    <n v="1"/>
    <n v="4999"/>
    <n v="0"/>
    <n v="5000"/>
    <n v="5000"/>
    <s v="Debit/Credit Card"/>
    <x v="1"/>
    <s v="India"/>
    <x v="33"/>
    <s v="Nagpur"/>
    <s v="Performance Seeker"/>
    <x v="0"/>
    <n v="4"/>
    <s v="Delivered"/>
    <s v="Express"/>
    <n v="3"/>
  </r>
  <r>
    <s v="ORD202250"/>
    <s v="CUST100023"/>
    <s v="Unisex"/>
    <s v="25-34"/>
    <x v="705"/>
    <x v="0"/>
    <x v="2"/>
    <x v="2"/>
    <n v="7"/>
    <s v="Red"/>
    <n v="2"/>
    <n v="7499"/>
    <n v="30"/>
    <n v="5250"/>
    <n v="10500"/>
    <s v="UPI"/>
    <x v="2"/>
    <s v="India"/>
    <x v="16"/>
    <s v="Ahmedabad"/>
    <s v="Performance Seeker"/>
    <x v="1"/>
    <n v="4.8"/>
    <s v="Delivered"/>
    <s v="Same Day"/>
    <n v="1"/>
  </r>
  <r>
    <s v="ORD200154"/>
    <s v="CUST100074"/>
    <s v="Men"/>
    <s v="18-24"/>
    <x v="706"/>
    <x v="1"/>
    <x v="12"/>
    <x v="4"/>
    <n v="9"/>
    <s v="Red"/>
    <n v="1"/>
    <n v="4999"/>
    <n v="15"/>
    <n v="4250"/>
    <n v="4250"/>
    <s v="Debit/Credit Card"/>
    <x v="2"/>
    <s v="India"/>
    <x v="31"/>
    <s v="Coimbatore"/>
    <s v="Performance Seeker"/>
    <x v="1"/>
    <n v="3.9"/>
    <s v="Cancelled"/>
    <s v="Express"/>
    <n v="1"/>
  </r>
  <r>
    <s v="ORD200901"/>
    <s v="CUST100228"/>
    <s v="Men"/>
    <s v="25-34"/>
    <x v="706"/>
    <x v="0"/>
    <x v="2"/>
    <x v="2"/>
    <n v="9"/>
    <s v="Black"/>
    <n v="1"/>
    <n v="4999"/>
    <n v="25"/>
    <n v="3750"/>
    <n v="3750"/>
    <s v="UPI"/>
    <x v="0"/>
    <s v="India"/>
    <x v="9"/>
    <s v="Bhagalpur"/>
    <s v="Lifestyle Shopper"/>
    <x v="2"/>
    <n v="4.5"/>
    <s v="Delivered"/>
    <s v="Express"/>
    <n v="3"/>
  </r>
  <r>
    <s v="ORD202353"/>
    <s v="CUST100381"/>
    <s v="Men"/>
    <s v="55+"/>
    <x v="707"/>
    <x v="2"/>
    <x v="4"/>
    <x v="2"/>
    <n v="8"/>
    <s v="Black"/>
    <n v="1"/>
    <n v="6199"/>
    <n v="25"/>
    <n v="4650"/>
    <n v="4650"/>
    <s v="Debit/Credit Card"/>
    <x v="1"/>
    <s v="India"/>
    <x v="27"/>
    <s v="Rourkela"/>
    <s v="Comfort Shopper"/>
    <x v="0"/>
    <n v="5"/>
    <s v="Returned"/>
    <s v="Same Day"/>
    <n v="1"/>
  </r>
  <r>
    <s v="ORD202608"/>
    <s v="CUST100009"/>
    <s v="Unisex"/>
    <s v="25-34"/>
    <x v="707"/>
    <x v="5"/>
    <x v="7"/>
    <x v="1"/>
    <n v="8"/>
    <s v="Blue"/>
    <n v="2"/>
    <n v="9499"/>
    <n v="15"/>
    <n v="8070"/>
    <n v="16140"/>
    <s v="Debit/Credit Card"/>
    <x v="0"/>
    <s v="India"/>
    <x v="0"/>
    <s v="Silchar"/>
    <s v="Performance Seeker"/>
    <x v="2"/>
    <n v="2"/>
    <s v="Returned"/>
    <s v="Same Day"/>
    <n v="1"/>
  </r>
  <r>
    <s v="ORD200724"/>
    <s v="CUST100094"/>
    <s v="Men"/>
    <s v="25-34"/>
    <x v="708"/>
    <x v="0"/>
    <x v="19"/>
    <x v="4"/>
    <n v="10"/>
    <s v="Black"/>
    <n v="1"/>
    <n v="4499"/>
    <n v="35"/>
    <n v="2920"/>
    <n v="2920"/>
    <s v="Net Banking"/>
    <x v="2"/>
    <s v="India"/>
    <x v="25"/>
    <s v="Jammu"/>
    <s v="Comfort Shopper"/>
    <x v="2"/>
    <n v="3.6"/>
    <s v="Returned"/>
    <s v="Express"/>
    <n v="3"/>
  </r>
  <r>
    <s v="ORD203056"/>
    <s v="CUST100393"/>
    <s v="Men"/>
    <s v="45-54"/>
    <x v="708"/>
    <x v="4"/>
    <x v="6"/>
    <x v="2"/>
    <n v="7"/>
    <s v="White"/>
    <n v="2"/>
    <n v="6499"/>
    <n v="10"/>
    <n v="5850"/>
    <n v="11700"/>
    <s v="Net Banking"/>
    <x v="2"/>
    <s v="India"/>
    <x v="19"/>
    <s v="Nongpoh"/>
    <s v="Comfort Shopper"/>
    <x v="1"/>
    <n v="3.4"/>
    <s v="Delivered"/>
    <s v="Express"/>
    <n v="3"/>
  </r>
  <r>
    <s v="ORD202532"/>
    <s v="CUST100902"/>
    <s v="Women"/>
    <s v="55+"/>
    <x v="709"/>
    <x v="5"/>
    <x v="21"/>
    <x v="2"/>
    <n v="11"/>
    <s v="Green"/>
    <n v="2"/>
    <n v="6499"/>
    <n v="15"/>
    <n v="5520"/>
    <n v="11040"/>
    <s v="Debit/Credit Card"/>
    <x v="1"/>
    <s v="India"/>
    <x v="17"/>
    <s v="Yanam"/>
    <s v="Premium Shopper"/>
    <x v="0"/>
    <n v="3.7"/>
    <s v="Delivered"/>
    <s v="Standard"/>
    <n v="4"/>
  </r>
  <r>
    <s v="ORD200665"/>
    <s v="CUST100123"/>
    <s v="Women"/>
    <s v="25-34"/>
    <x v="710"/>
    <x v="4"/>
    <x v="26"/>
    <x v="3"/>
    <n v="11"/>
    <s v="White"/>
    <n v="1"/>
    <n v="7999"/>
    <n v="30"/>
    <n v="5600"/>
    <n v="5600"/>
    <s v="UPI"/>
    <x v="0"/>
    <s v="India"/>
    <x v="0"/>
    <s v="Jorhat"/>
    <s v="Lifestyle Shopper"/>
    <x v="1"/>
    <n v="4.5999999999999996"/>
    <s v="Delivered"/>
    <s v="Standard"/>
    <n v="3"/>
  </r>
  <r>
    <s v="ORD202997"/>
    <s v="CUST100953"/>
    <s v="Men"/>
    <s v="35-44"/>
    <x v="710"/>
    <x v="4"/>
    <x v="9"/>
    <x v="1"/>
    <n v="11"/>
    <s v="Black"/>
    <n v="1"/>
    <n v="7499"/>
    <n v="5"/>
    <n v="7120"/>
    <n v="7120"/>
    <s v="UPI"/>
    <x v="1"/>
    <s v="India"/>
    <x v="10"/>
    <s v="Diu"/>
    <s v="Lifestyle Shopper"/>
    <x v="0"/>
    <n v="3.9"/>
    <s v="Cancelled"/>
    <s v="Standard"/>
    <n v="5"/>
  </r>
  <r>
    <s v="ORD200826"/>
    <s v="CUST100367"/>
    <s v="Men"/>
    <s v="35-44"/>
    <x v="711"/>
    <x v="3"/>
    <x v="11"/>
    <x v="4"/>
    <n v="7"/>
    <s v="Black"/>
    <n v="1"/>
    <n v="5999"/>
    <n v="10"/>
    <n v="5400"/>
    <n v="5400"/>
    <s v="UPI"/>
    <x v="1"/>
    <s v="India"/>
    <x v="10"/>
    <s v="Silvassa"/>
    <s v="Comfort Shopper"/>
    <x v="1"/>
    <n v="5"/>
    <s v="Returned"/>
    <s v="Standard"/>
    <n v="3"/>
  </r>
  <r>
    <s v="ORD201243"/>
    <s v="CUST100455"/>
    <s v="Women"/>
    <s v="25-34"/>
    <x v="711"/>
    <x v="0"/>
    <x v="31"/>
    <x v="1"/>
    <n v="6"/>
    <s v="White"/>
    <n v="1"/>
    <n v="3599"/>
    <n v="30"/>
    <n v="2520"/>
    <n v="2520"/>
    <s v="Debit/Credit Card"/>
    <x v="0"/>
    <s v="India"/>
    <x v="23"/>
    <s v="Rishikesh"/>
    <s v="Performance Seeker"/>
    <x v="0"/>
    <n v="4.7"/>
    <s v="Returned"/>
    <s v="Standard"/>
    <n v="3"/>
  </r>
  <r>
    <s v="ORD201619"/>
    <s v="CUST101018"/>
    <s v="Unisex"/>
    <s v="35-44"/>
    <x v="711"/>
    <x v="1"/>
    <x v="20"/>
    <x v="2"/>
    <n v="7"/>
    <s v="Blue"/>
    <n v="1"/>
    <n v="9599"/>
    <n v="30"/>
    <n v="6720"/>
    <n v="6720"/>
    <s v="Debit/Credit Card"/>
    <x v="0"/>
    <s v="India"/>
    <x v="34"/>
    <s v="Kolkata"/>
    <s v="Premium Shopper"/>
    <x v="1"/>
    <n v="3.9"/>
    <s v="Returned"/>
    <s v="Same Day"/>
    <n v="1"/>
  </r>
  <r>
    <s v="ORD201297"/>
    <s v="CUST100148"/>
    <s v="Men"/>
    <s v="25-34"/>
    <x v="712"/>
    <x v="4"/>
    <x v="17"/>
    <x v="4"/>
    <n v="9"/>
    <s v="Red"/>
    <n v="1"/>
    <n v="4799"/>
    <n v="10"/>
    <n v="4320"/>
    <n v="4320"/>
    <s v="UPI"/>
    <x v="0"/>
    <s v="India"/>
    <x v="0"/>
    <s v="Jorhat"/>
    <s v="Value Shopper"/>
    <x v="0"/>
    <n v="4.0999999999999996"/>
    <s v="Delivered"/>
    <s v="Express"/>
    <n v="3"/>
  </r>
  <r>
    <s v="ORD201626"/>
    <s v="CUST100433"/>
    <s v="Unisex"/>
    <s v="35-44"/>
    <x v="713"/>
    <x v="0"/>
    <x v="0"/>
    <x v="0"/>
    <n v="10"/>
    <s v="Grey"/>
    <n v="1"/>
    <n v="9499"/>
    <n v="5"/>
    <n v="9020"/>
    <n v="9020"/>
    <s v="Net Banking"/>
    <x v="0"/>
    <s v="India"/>
    <x v="26"/>
    <s v="Thiruvananthapuram"/>
    <s v="Performance Seeker"/>
    <x v="1"/>
    <n v="4.8"/>
    <s v="Delivered"/>
    <s v="Standard"/>
    <n v="1"/>
  </r>
  <r>
    <s v="ORD202919"/>
    <s v="CUST100265"/>
    <s v="Women"/>
    <s v="18-24"/>
    <x v="713"/>
    <x v="0"/>
    <x v="31"/>
    <x v="1"/>
    <n v="6"/>
    <s v="Black"/>
    <n v="1"/>
    <n v="6699"/>
    <n v="10"/>
    <n v="6030"/>
    <n v="6030"/>
    <s v="Net Banking"/>
    <x v="0"/>
    <s v="India"/>
    <x v="3"/>
    <s v="Kota"/>
    <s v="Value Shopper"/>
    <x v="1"/>
    <n v="3.1"/>
    <s v="Delivered"/>
    <s v="Express"/>
    <n v="3"/>
  </r>
  <r>
    <s v="ORD202968"/>
    <s v="CUST100006"/>
    <s v="Women"/>
    <s v="35-44"/>
    <x v="713"/>
    <x v="3"/>
    <x v="5"/>
    <x v="2"/>
    <n v="11"/>
    <s v="Blue"/>
    <n v="1"/>
    <n v="3999"/>
    <n v="25"/>
    <n v="3000"/>
    <n v="3000"/>
    <s v="UPI"/>
    <x v="0"/>
    <s v="India"/>
    <x v="11"/>
    <s v="Andrott"/>
    <s v="Lifestyle Shopper"/>
    <x v="1"/>
    <n v="4.2"/>
    <s v="Cancelled"/>
    <s v="Express"/>
    <n v="1"/>
  </r>
  <r>
    <s v="ORD200982"/>
    <s v="CUST100987"/>
    <s v="Women"/>
    <s v="25-34"/>
    <x v="714"/>
    <x v="2"/>
    <x v="23"/>
    <x v="0"/>
    <n v="10"/>
    <s v="Grey"/>
    <n v="2"/>
    <n v="3499"/>
    <n v="40"/>
    <n v="2100"/>
    <n v="4200"/>
    <s v="Debit/Credit Card"/>
    <x v="1"/>
    <s v="India"/>
    <x v="11"/>
    <s v="Kavaratti"/>
    <s v="Comfort Shopper"/>
    <x v="0"/>
    <n v="4.4000000000000004"/>
    <s v="Delivered"/>
    <s v="Express"/>
    <n v="3"/>
  </r>
  <r>
    <s v="ORD200994"/>
    <s v="CUST100061"/>
    <s v="Men"/>
    <s v="18-24"/>
    <x v="715"/>
    <x v="2"/>
    <x v="3"/>
    <x v="2"/>
    <n v="9"/>
    <s v="Black"/>
    <n v="2"/>
    <n v="4499"/>
    <n v="10"/>
    <n v="4050"/>
    <n v="8100"/>
    <s v="Cash on Delivery"/>
    <x v="0"/>
    <s v="India"/>
    <x v="0"/>
    <s v="Jorhat"/>
    <s v="Value Shopper"/>
    <x v="1"/>
    <n v="5"/>
    <s v="Delivered"/>
    <s v="Standard"/>
    <n v="2"/>
  </r>
  <r>
    <s v="ORD200912"/>
    <s v="CUST100822"/>
    <s v="Unisex"/>
    <s v="18-24"/>
    <x v="716"/>
    <x v="0"/>
    <x v="13"/>
    <x v="2"/>
    <n v="10"/>
    <s v="White"/>
    <n v="1"/>
    <n v="9399"/>
    <n v="0"/>
    <n v="9400"/>
    <n v="9400"/>
    <s v="UPI"/>
    <x v="0"/>
    <s v="India"/>
    <x v="14"/>
    <s v="Amritsar"/>
    <s v="Lifestyle Shopper"/>
    <x v="1"/>
    <n v="2.8"/>
    <s v="Delivered"/>
    <s v="Express"/>
    <n v="3"/>
  </r>
  <r>
    <s v="ORD202727"/>
    <s v="CUST100285"/>
    <s v="Women"/>
    <s v="18-24"/>
    <x v="716"/>
    <x v="1"/>
    <x v="20"/>
    <x v="2"/>
    <n v="10"/>
    <s v="Blue"/>
    <n v="1"/>
    <n v="8599"/>
    <n v="20"/>
    <n v="6880"/>
    <n v="6880"/>
    <s v="Cash on Delivery"/>
    <x v="0"/>
    <s v="India"/>
    <x v="27"/>
    <s v="Berhampur"/>
    <s v="Comfort Shopper"/>
    <x v="0"/>
    <n v="3.1"/>
    <s v="Cancelled"/>
    <s v="Standard"/>
    <n v="5"/>
  </r>
  <r>
    <s v="ORD200839"/>
    <s v="CUST101040"/>
    <s v="Women"/>
    <s v="35-44"/>
    <x v="717"/>
    <x v="3"/>
    <x v="34"/>
    <x v="3"/>
    <n v="11"/>
    <s v="Black"/>
    <n v="1"/>
    <n v="3699"/>
    <n v="25"/>
    <n v="2770"/>
    <n v="2770"/>
    <s v="UPI"/>
    <x v="1"/>
    <s v="India"/>
    <x v="16"/>
    <s v="Surat"/>
    <s v="Comfort Shopper"/>
    <x v="0"/>
    <n v="4.5"/>
    <s v="Delivered"/>
    <s v="Standard"/>
    <n v="3"/>
  </r>
  <r>
    <s v="ORD201196"/>
    <s v="CUST100483"/>
    <s v="Men"/>
    <s v="35-44"/>
    <x v="718"/>
    <x v="0"/>
    <x v="31"/>
    <x v="1"/>
    <n v="8"/>
    <s v="Grey"/>
    <n v="1"/>
    <n v="7299"/>
    <n v="20"/>
    <n v="5840"/>
    <n v="5840"/>
    <s v="Debit/Credit Card"/>
    <x v="1"/>
    <s v="India"/>
    <x v="32"/>
    <s v="Bokaro"/>
    <s v="Lifestyle Shopper"/>
    <x v="0"/>
    <n v="4"/>
    <s v="Delivered"/>
    <s v="Express"/>
    <n v="4"/>
  </r>
  <r>
    <s v="ORD202209"/>
    <s v="CUST100477"/>
    <s v="Women"/>
    <s v="35-44"/>
    <x v="719"/>
    <x v="0"/>
    <x v="31"/>
    <x v="1"/>
    <n v="8"/>
    <s v="Blue"/>
    <n v="3"/>
    <n v="6499"/>
    <n v="10"/>
    <n v="5850"/>
    <n v="17550"/>
    <s v="UPI"/>
    <x v="1"/>
    <s v="India"/>
    <x v="19"/>
    <s v="Nongpoh"/>
    <s v="Lifestyle Shopper"/>
    <x v="0"/>
    <n v="3.7"/>
    <s v="Delivered"/>
    <s v="Express"/>
    <n v="4"/>
  </r>
  <r>
    <s v="ORD200573"/>
    <s v="CUST100443"/>
    <s v="Women"/>
    <s v="55+"/>
    <x v="720"/>
    <x v="0"/>
    <x v="31"/>
    <x v="1"/>
    <n v="11"/>
    <s v="Green"/>
    <n v="2"/>
    <n v="3999"/>
    <n v="10"/>
    <n v="3600"/>
    <n v="7200"/>
    <s v="Debit/Credit Card"/>
    <x v="1"/>
    <s v="India"/>
    <x v="11"/>
    <s v="Kavaratti"/>
    <s v="Value Shopper"/>
    <x v="1"/>
    <n v="3.7"/>
    <s v="Delivered"/>
    <s v="Standard"/>
    <n v="3"/>
  </r>
  <r>
    <s v="ORD202612"/>
    <s v="CUST100269"/>
    <s v="Men"/>
    <s v="35-44"/>
    <x v="720"/>
    <x v="3"/>
    <x v="11"/>
    <x v="4"/>
    <n v="10"/>
    <s v="Green"/>
    <n v="1"/>
    <n v="6699"/>
    <n v="10"/>
    <n v="6030"/>
    <n v="6030"/>
    <s v="Cash on Delivery"/>
    <x v="1"/>
    <s v="India"/>
    <x v="35"/>
    <s v="Champhai"/>
    <s v="Value Shopper"/>
    <x v="0"/>
    <n v="4"/>
    <s v="Returned"/>
    <s v="Standard"/>
    <n v="2"/>
  </r>
  <r>
    <s v="ORD200449"/>
    <s v="CUST100695"/>
    <s v="Women"/>
    <s v="18-24"/>
    <x v="721"/>
    <x v="1"/>
    <x v="12"/>
    <x v="4"/>
    <n v="6"/>
    <s v="Blue"/>
    <n v="1"/>
    <n v="8199"/>
    <n v="5"/>
    <n v="7790"/>
    <n v="7790"/>
    <s v="UPI"/>
    <x v="0"/>
    <s v="India"/>
    <x v="28"/>
    <s v="Leh"/>
    <s v="Performance Seeker"/>
    <x v="1"/>
    <n v="4.7"/>
    <s v="Delivered"/>
    <s v="Standard"/>
    <n v="7"/>
  </r>
  <r>
    <s v="ORD202451"/>
    <s v="CUST100320"/>
    <s v="Men"/>
    <s v="45-54"/>
    <x v="721"/>
    <x v="0"/>
    <x v="31"/>
    <x v="1"/>
    <n v="10"/>
    <s v="Blue"/>
    <n v="1"/>
    <n v="4299"/>
    <n v="25"/>
    <n v="3220"/>
    <n v="3220"/>
    <s v="Cash on Delivery"/>
    <x v="1"/>
    <s v="India"/>
    <x v="15"/>
    <s v="Delhi"/>
    <s v="Comfort Shopper"/>
    <x v="1"/>
    <n v="5"/>
    <s v="Delivered"/>
    <s v="Express"/>
    <n v="1"/>
  </r>
  <r>
    <s v="ORD201779"/>
    <s v="CUST100601"/>
    <s v="Men"/>
    <s v="35-44"/>
    <x v="722"/>
    <x v="4"/>
    <x v="17"/>
    <x v="4"/>
    <n v="8"/>
    <s v="White"/>
    <n v="1"/>
    <n v="7999"/>
    <n v="10"/>
    <n v="7200"/>
    <n v="7200"/>
    <s v="Debit/Credit Card"/>
    <x v="1"/>
    <s v="India"/>
    <x v="5"/>
    <s v="Kakching"/>
    <s v="Value Shopper"/>
    <x v="0"/>
    <n v="4"/>
    <s v="Delivered"/>
    <s v="Standard"/>
    <n v="6"/>
  </r>
  <r>
    <s v="ORD201817"/>
    <s v="CUST100327"/>
    <s v="Unisex"/>
    <s v="35-44"/>
    <x v="722"/>
    <x v="2"/>
    <x v="32"/>
    <x v="1"/>
    <n v="11"/>
    <s v="Grey"/>
    <n v="1"/>
    <n v="4099"/>
    <n v="10"/>
    <n v="3690"/>
    <n v="3690"/>
    <s v="UPI"/>
    <x v="2"/>
    <s v="India"/>
    <x v="6"/>
    <s v="Kanpur"/>
    <s v="Comfort Shopper"/>
    <x v="1"/>
    <n v="3.8"/>
    <s v="Delivered"/>
    <s v="Standard"/>
    <n v="7"/>
  </r>
  <r>
    <s v="ORD200209"/>
    <s v="CUST100699"/>
    <s v="Men"/>
    <s v="35-44"/>
    <x v="723"/>
    <x v="1"/>
    <x v="1"/>
    <x v="1"/>
    <n v="8"/>
    <s v="Black"/>
    <n v="1"/>
    <n v="7599"/>
    <n v="15"/>
    <n v="6460"/>
    <n v="6460"/>
    <s v="Debit/Credit Card"/>
    <x v="1"/>
    <s v="India"/>
    <x v="34"/>
    <s v="Asansol"/>
    <s v="Comfort Shopper"/>
    <x v="1"/>
    <n v="3.7"/>
    <s v="Delivered"/>
    <s v="Express"/>
    <n v="3"/>
  </r>
  <r>
    <s v="ORD201647"/>
    <s v="CUST100419"/>
    <s v="Men"/>
    <s v="25-34"/>
    <x v="723"/>
    <x v="3"/>
    <x v="35"/>
    <x v="2"/>
    <n v="11"/>
    <s v="Green"/>
    <n v="1"/>
    <n v="4499"/>
    <n v="15"/>
    <n v="3820"/>
    <n v="3820"/>
    <s v="Cash on Delivery"/>
    <x v="1"/>
    <s v="India"/>
    <x v="24"/>
    <s v="Mysuru"/>
    <s v="Value Shopper"/>
    <x v="1"/>
    <n v="3.9"/>
    <s v="Delivered"/>
    <s v="Same Day"/>
    <n v="1"/>
  </r>
  <r>
    <s v="ORD202841"/>
    <s v="CUST100078"/>
    <s v="Women"/>
    <s v="35-44"/>
    <x v="724"/>
    <x v="1"/>
    <x v="1"/>
    <x v="1"/>
    <n v="10"/>
    <s v="Green"/>
    <n v="1"/>
    <n v="3999"/>
    <n v="15"/>
    <n v="3400"/>
    <n v="3400"/>
    <s v="Debit/Credit Card"/>
    <x v="2"/>
    <s v="India"/>
    <x v="9"/>
    <s v="Muzaffarpur"/>
    <s v="Comfort Shopper"/>
    <x v="0"/>
    <n v="5"/>
    <s v="Delivered"/>
    <s v="Standard"/>
    <n v="4"/>
  </r>
  <r>
    <s v="ORD200670"/>
    <s v="CUST100363"/>
    <s v="Women"/>
    <s v="35-44"/>
    <x v="725"/>
    <x v="5"/>
    <x v="30"/>
    <x v="2"/>
    <n v="11"/>
    <s v="Grey"/>
    <n v="1"/>
    <n v="5299"/>
    <n v="5"/>
    <n v="5030"/>
    <n v="5030"/>
    <s v="UPI"/>
    <x v="2"/>
    <s v="India"/>
    <x v="32"/>
    <s v="Ranchi"/>
    <s v="Performance Seeker"/>
    <x v="0"/>
    <n v="3.4"/>
    <s v="Delivered"/>
    <s v="Standard"/>
    <n v="3"/>
  </r>
  <r>
    <s v="ORD202233"/>
    <s v="CUST100378"/>
    <s v="Men"/>
    <s v="25-34"/>
    <x v="726"/>
    <x v="2"/>
    <x v="25"/>
    <x v="3"/>
    <n v="7"/>
    <s v="White"/>
    <n v="3"/>
    <n v="4299"/>
    <n v="20"/>
    <n v="3440"/>
    <n v="10320"/>
    <s v="UPI"/>
    <x v="2"/>
    <s v="India"/>
    <x v="29"/>
    <s v="Guntur"/>
    <s v="Value Shopper"/>
    <x v="2"/>
    <n v="4.5999999999999996"/>
    <s v="Delivered"/>
    <s v="Standard"/>
    <n v="3"/>
  </r>
  <r>
    <s v="ORD202503"/>
    <s v="CUST100335"/>
    <s v="Women"/>
    <s v="25-34"/>
    <x v="727"/>
    <x v="4"/>
    <x v="17"/>
    <x v="4"/>
    <n v="7"/>
    <s v="White"/>
    <n v="1"/>
    <n v="6599"/>
    <n v="10"/>
    <n v="5940"/>
    <n v="5940"/>
    <s v="UPI"/>
    <x v="1"/>
    <s v="India"/>
    <x v="10"/>
    <s v="Silvassa"/>
    <s v="Premium Shopper"/>
    <x v="1"/>
    <n v="4.0999999999999996"/>
    <s v="Delivered"/>
    <s v="Standard"/>
    <n v="5"/>
  </r>
  <r>
    <s v="ORD202306"/>
    <s v="CUST100102"/>
    <s v="Women"/>
    <s v="25-34"/>
    <x v="728"/>
    <x v="2"/>
    <x v="23"/>
    <x v="0"/>
    <n v="6"/>
    <s v="Black"/>
    <n v="1"/>
    <n v="7699"/>
    <n v="15"/>
    <n v="6540"/>
    <n v="6540"/>
    <s v="UPI"/>
    <x v="1"/>
    <s v="India"/>
    <x v="23"/>
    <s v="Haridwar"/>
    <s v="Lifestyle Shopper"/>
    <x v="2"/>
    <n v="5"/>
    <s v="Delivered"/>
    <s v="Same Day"/>
    <n v="2"/>
  </r>
  <r>
    <s v="ORD201144"/>
    <s v="CUST100201"/>
    <s v="Men"/>
    <s v="25-34"/>
    <x v="729"/>
    <x v="0"/>
    <x v="2"/>
    <x v="2"/>
    <n v="9"/>
    <s v="Green"/>
    <n v="2"/>
    <n v="7599"/>
    <n v="35"/>
    <n v="4940"/>
    <n v="9880"/>
    <s v="Debit/Credit Card"/>
    <x v="1"/>
    <s v="India"/>
    <x v="21"/>
    <s v="Tuensang"/>
    <s v="Lifestyle Shopper"/>
    <x v="1"/>
    <n v="3.7"/>
    <s v="Delivered"/>
    <s v="Standard"/>
    <n v="4"/>
  </r>
  <r>
    <s v="ORD202823"/>
    <s v="CUST100499"/>
    <s v="Women"/>
    <s v="25-34"/>
    <x v="730"/>
    <x v="5"/>
    <x v="15"/>
    <x v="4"/>
    <n v="8"/>
    <s v="White"/>
    <n v="1"/>
    <n v="5099"/>
    <n v="20"/>
    <n v="4080"/>
    <n v="4080"/>
    <s v="UPI"/>
    <x v="0"/>
    <s v="India"/>
    <x v="2"/>
    <s v="Faridabad"/>
    <s v="Performance Seeker"/>
    <x v="1"/>
    <n v="3.5"/>
    <s v="Delivered"/>
    <s v="Express"/>
    <n v="3"/>
  </r>
  <r>
    <s v="ORD202312"/>
    <s v="CUST100422"/>
    <s v="Men"/>
    <s v="18-24"/>
    <x v="731"/>
    <x v="2"/>
    <x v="3"/>
    <x v="2"/>
    <n v="9"/>
    <s v="Red"/>
    <n v="2"/>
    <n v="5999"/>
    <n v="20"/>
    <n v="4800"/>
    <n v="9600"/>
    <s v="UPI"/>
    <x v="0"/>
    <s v="India"/>
    <x v="24"/>
    <s v="Hubballi"/>
    <s v="Performance Seeker"/>
    <x v="1"/>
    <n v="4.7"/>
    <s v="Delivered"/>
    <s v="Express"/>
    <n v="2"/>
  </r>
  <r>
    <s v="ORD202847"/>
    <s v="CUST100540"/>
    <s v="Men"/>
    <s v="45-54"/>
    <x v="731"/>
    <x v="3"/>
    <x v="5"/>
    <x v="2"/>
    <n v="8"/>
    <s v="Blue"/>
    <n v="1"/>
    <n v="8599"/>
    <n v="25"/>
    <n v="6450"/>
    <n v="6450"/>
    <s v="UPI"/>
    <x v="1"/>
    <s v="India"/>
    <x v="19"/>
    <s v="Shillong"/>
    <s v="Comfort Shopper"/>
    <x v="1"/>
    <n v="4.7"/>
    <s v="Delivered"/>
    <s v="Standard"/>
    <n v="5"/>
  </r>
  <r>
    <s v="ORD200617"/>
    <s v="CUST100390"/>
    <s v="Women"/>
    <s v="18-24"/>
    <x v="732"/>
    <x v="0"/>
    <x v="2"/>
    <x v="2"/>
    <n v="8"/>
    <s v="Black"/>
    <n v="2"/>
    <n v="7499"/>
    <n v="35"/>
    <n v="4870"/>
    <n v="9740"/>
    <s v="UPI"/>
    <x v="2"/>
    <s v="India"/>
    <x v="33"/>
    <s v="Nashik"/>
    <s v="Lifestyle Shopper"/>
    <x v="1"/>
    <n v="4.3"/>
    <s v="Cancelled"/>
    <s v="Express"/>
    <n v="2"/>
  </r>
  <r>
    <s v="ORD202708"/>
    <s v="CUST100808"/>
    <s v="Men"/>
    <s v="45-54"/>
    <x v="732"/>
    <x v="5"/>
    <x v="27"/>
    <x v="0"/>
    <n v="7"/>
    <s v="Red"/>
    <n v="1"/>
    <n v="4599"/>
    <n v="10"/>
    <n v="4140"/>
    <n v="4140"/>
    <s v="UPI"/>
    <x v="1"/>
    <s v="India"/>
    <x v="27"/>
    <s v="Rourkela"/>
    <s v="Performance Seeker"/>
    <x v="1"/>
    <n v="5"/>
    <s v="Cancelled"/>
    <s v="Express"/>
    <n v="2"/>
  </r>
  <r>
    <s v="ORD200477"/>
    <s v="CUST100099"/>
    <s v="Women"/>
    <s v="55+"/>
    <x v="733"/>
    <x v="2"/>
    <x v="4"/>
    <x v="2"/>
    <n v="9"/>
    <s v="Black"/>
    <n v="2"/>
    <n v="5299"/>
    <n v="5"/>
    <n v="5030"/>
    <n v="10060"/>
    <s v="Net Banking"/>
    <x v="1"/>
    <s v="India"/>
    <x v="9"/>
    <s v="Bhagalpur"/>
    <s v="Lifestyle Shopper"/>
    <x v="0"/>
    <n v="3.1"/>
    <s v="Delivered"/>
    <s v="Standard"/>
    <n v="3"/>
  </r>
  <r>
    <s v="ORD200950"/>
    <s v="CUST100810"/>
    <s v="Men"/>
    <s v="35-44"/>
    <x v="733"/>
    <x v="0"/>
    <x v="19"/>
    <x v="4"/>
    <n v="8"/>
    <s v="Green"/>
    <n v="1"/>
    <n v="8899"/>
    <n v="10"/>
    <n v="8010"/>
    <n v="8010"/>
    <s v="UPI"/>
    <x v="1"/>
    <s v="India"/>
    <x v="17"/>
    <s v="Puducherry"/>
    <s v="Premium Shopper"/>
    <x v="1"/>
    <n v="4.5"/>
    <s v="Delivered"/>
    <s v="Express"/>
    <n v="2"/>
  </r>
  <r>
    <s v="ORD201971"/>
    <s v="CUST101026"/>
    <s v="Men"/>
    <s v="35-44"/>
    <x v="734"/>
    <x v="0"/>
    <x v="31"/>
    <x v="1"/>
    <n v="6"/>
    <s v="Grey"/>
    <n v="1"/>
    <n v="6899"/>
    <n v="25"/>
    <n v="5170"/>
    <n v="5170"/>
    <s v="Debit/Credit Card"/>
    <x v="2"/>
    <s v="India"/>
    <x v="2"/>
    <s v="Faridabad"/>
    <s v="Performance Seeker"/>
    <x v="2"/>
    <n v="4"/>
    <s v="Delivered"/>
    <s v="Standard"/>
    <n v="6"/>
  </r>
  <r>
    <s v="ORD202620"/>
    <s v="CUST100075"/>
    <s v="Men"/>
    <s v="18-24"/>
    <x v="734"/>
    <x v="4"/>
    <x v="29"/>
    <x v="2"/>
    <n v="7"/>
    <s v="Black"/>
    <n v="1"/>
    <n v="8199"/>
    <n v="25"/>
    <n v="6150"/>
    <n v="6150"/>
    <s v="UPI"/>
    <x v="2"/>
    <s v="India"/>
    <x v="22"/>
    <s v="Kailasahar"/>
    <s v="Lifestyle Shopper"/>
    <x v="0"/>
    <n v="3.8"/>
    <s v="Returned"/>
    <s v="Standard"/>
    <n v="5"/>
  </r>
  <r>
    <s v="ORD200599"/>
    <s v="CUST100708"/>
    <s v="Men"/>
    <s v="25-34"/>
    <x v="735"/>
    <x v="1"/>
    <x v="10"/>
    <x v="3"/>
    <n v="6"/>
    <s v="White"/>
    <n v="1"/>
    <n v="5799"/>
    <n v="5"/>
    <n v="5510"/>
    <n v="5510"/>
    <s v="UPI"/>
    <x v="1"/>
    <s v="India"/>
    <x v="23"/>
    <s v="Dehradun"/>
    <s v="Performance Seeker"/>
    <x v="1"/>
    <n v="4.3"/>
    <s v="Delivered"/>
    <s v="Standard"/>
    <n v="1"/>
  </r>
  <r>
    <s v="ORD200555"/>
    <s v="CUST100182"/>
    <s v="Men"/>
    <s v="45-54"/>
    <x v="736"/>
    <x v="3"/>
    <x v="16"/>
    <x v="0"/>
    <n v="8"/>
    <s v="White"/>
    <n v="1"/>
    <n v="7899"/>
    <n v="15"/>
    <n v="6710"/>
    <n v="6710"/>
    <s v="Debit/Credit Card"/>
    <x v="0"/>
    <s v="India"/>
    <x v="23"/>
    <s v="Haridwar"/>
    <s v="Value Shopper"/>
    <x v="1"/>
    <n v="5"/>
    <s v="Returned"/>
    <s v="Standard"/>
    <n v="5"/>
  </r>
  <r>
    <s v="ORD200528"/>
    <s v="CUST100579"/>
    <s v="Women"/>
    <s v="25-34"/>
    <x v="737"/>
    <x v="4"/>
    <x v="17"/>
    <x v="4"/>
    <n v="6"/>
    <s v="White"/>
    <n v="1"/>
    <n v="6099"/>
    <n v="15"/>
    <n v="5180"/>
    <n v="5180"/>
    <s v="UPI"/>
    <x v="1"/>
    <s v="India"/>
    <x v="35"/>
    <s v="Aizawl"/>
    <s v="Lifestyle Shopper"/>
    <x v="1"/>
    <n v="4.4000000000000004"/>
    <s v="Cancelled"/>
    <s v="Standard"/>
    <n v="3"/>
  </r>
  <r>
    <s v="ORD201057"/>
    <s v="CUST100305"/>
    <s v="Men"/>
    <s v="25-34"/>
    <x v="737"/>
    <x v="4"/>
    <x v="6"/>
    <x v="2"/>
    <n v="8"/>
    <s v="White"/>
    <n v="1"/>
    <n v="8099"/>
    <n v="25"/>
    <n v="6070"/>
    <n v="6070"/>
    <s v="Net Banking"/>
    <x v="1"/>
    <s v="India"/>
    <x v="7"/>
    <s v="Jabalpur"/>
    <s v="Performance Seeker"/>
    <x v="1"/>
    <n v="3.3"/>
    <s v="Returned"/>
    <s v="Express"/>
    <n v="2"/>
  </r>
  <r>
    <s v="ORD201935"/>
    <s v="CUST100300"/>
    <s v="Women"/>
    <s v="18-24"/>
    <x v="737"/>
    <x v="3"/>
    <x v="16"/>
    <x v="0"/>
    <n v="7"/>
    <s v="White"/>
    <n v="1"/>
    <n v="6999"/>
    <n v="15"/>
    <n v="5950"/>
    <n v="5950"/>
    <s v="UPI"/>
    <x v="0"/>
    <s v="India"/>
    <x v="20"/>
    <s v="Mandi"/>
    <s v="Lifestyle Shopper"/>
    <x v="0"/>
    <n v="5"/>
    <s v="Delivered"/>
    <s v="Standard"/>
    <n v="2"/>
  </r>
  <r>
    <s v="ORD202479"/>
    <s v="CUST100024"/>
    <s v="Women"/>
    <s v="35-44"/>
    <x v="738"/>
    <x v="4"/>
    <x v="17"/>
    <x v="4"/>
    <n v="7"/>
    <s v="Green"/>
    <n v="3"/>
    <n v="7799"/>
    <n v="20"/>
    <n v="6240"/>
    <n v="18720"/>
    <s v="UPI"/>
    <x v="0"/>
    <s v="India"/>
    <x v="13"/>
    <s v="Itanagar"/>
    <s v="Value Shopper"/>
    <x v="0"/>
    <n v="2.7"/>
    <s v="Delivered"/>
    <s v="Standard"/>
    <n v="5"/>
  </r>
  <r>
    <s v="ORD201033"/>
    <s v="CUST100624"/>
    <s v="Women"/>
    <s v="55+"/>
    <x v="739"/>
    <x v="0"/>
    <x v="2"/>
    <x v="2"/>
    <n v="11"/>
    <s v="Red"/>
    <n v="1"/>
    <n v="5099"/>
    <n v="20"/>
    <n v="4080"/>
    <n v="4080"/>
    <s v="UPI"/>
    <x v="0"/>
    <s v="India"/>
    <x v="27"/>
    <s v="Cuttack"/>
    <s v="Value Shopper"/>
    <x v="2"/>
    <n v="4.2"/>
    <s v="Delivered"/>
    <s v="Standard"/>
    <n v="2"/>
  </r>
  <r>
    <s v="ORD201245"/>
    <s v="CUST100705"/>
    <s v="Men"/>
    <s v="35-44"/>
    <x v="740"/>
    <x v="4"/>
    <x v="22"/>
    <x v="0"/>
    <n v="7"/>
    <s v="White"/>
    <n v="1"/>
    <n v="5399"/>
    <n v="15"/>
    <n v="4590"/>
    <n v="4590"/>
    <s v="UPI"/>
    <x v="2"/>
    <s v="India"/>
    <x v="33"/>
    <s v="Nashik"/>
    <s v="Premium Shopper"/>
    <x v="1"/>
    <n v="5"/>
    <s v="Delivered"/>
    <s v="Standard"/>
    <n v="4"/>
  </r>
  <r>
    <s v="ORD201511"/>
    <s v="CUST100156"/>
    <s v="Men"/>
    <s v="55+"/>
    <x v="740"/>
    <x v="3"/>
    <x v="5"/>
    <x v="2"/>
    <n v="11"/>
    <s v="Grey"/>
    <n v="1"/>
    <n v="4999"/>
    <n v="15"/>
    <n v="4250"/>
    <n v="4250"/>
    <s v="Debit/Credit Card"/>
    <x v="0"/>
    <s v="India"/>
    <x v="16"/>
    <s v="Rajkot"/>
    <s v="Performance Seeker"/>
    <x v="2"/>
    <n v="4.7"/>
    <s v="Delivered"/>
    <s v="Standard"/>
    <n v="7"/>
  </r>
  <r>
    <s v="ORD201617"/>
    <s v="CUST100823"/>
    <s v="Women"/>
    <s v="45-54"/>
    <x v="741"/>
    <x v="1"/>
    <x v="33"/>
    <x v="0"/>
    <n v="11"/>
    <s v="White"/>
    <n v="1"/>
    <n v="5999"/>
    <n v="35"/>
    <n v="3900"/>
    <n v="3900"/>
    <s v="Debit/Credit Card"/>
    <x v="2"/>
    <s v="India"/>
    <x v="8"/>
    <s v="Karimnagar"/>
    <s v="Value Shopper"/>
    <x v="0"/>
    <n v="4"/>
    <s v="Delivered"/>
    <s v="Standard"/>
    <n v="3"/>
  </r>
  <r>
    <s v="ORD202645"/>
    <s v="CUST100549"/>
    <s v="Men"/>
    <s v="35-44"/>
    <x v="741"/>
    <x v="5"/>
    <x v="7"/>
    <x v="1"/>
    <n v="7"/>
    <s v="Blue"/>
    <n v="2"/>
    <n v="7399"/>
    <n v="15"/>
    <n v="6290"/>
    <n v="12580"/>
    <s v="Debit/Credit Card"/>
    <x v="1"/>
    <s v="India"/>
    <x v="31"/>
    <s v="Tiruchirappalli"/>
    <s v="Performance Seeker"/>
    <x v="1"/>
    <n v="3"/>
    <s v="Cancelled"/>
    <s v="Standard"/>
    <n v="3"/>
  </r>
  <r>
    <s v="ORD202299"/>
    <s v="CUST100674"/>
    <s v="Women"/>
    <s v="25-34"/>
    <x v="742"/>
    <x v="2"/>
    <x v="24"/>
    <x v="4"/>
    <n v="9"/>
    <s v="Grey"/>
    <n v="2"/>
    <n v="3799"/>
    <n v="15"/>
    <n v="3230"/>
    <n v="6460"/>
    <s v="Debit/Credit Card"/>
    <x v="1"/>
    <s v="India"/>
    <x v="31"/>
    <s v="Coimbatore"/>
    <s v="Comfort Shopper"/>
    <x v="1"/>
    <n v="4.9000000000000004"/>
    <s v="Delivered"/>
    <s v="Same Day"/>
    <n v="1"/>
  </r>
  <r>
    <s v="ORD202051"/>
    <s v="CUST100776"/>
    <s v="Men"/>
    <s v="18-24"/>
    <x v="743"/>
    <x v="4"/>
    <x v="6"/>
    <x v="2"/>
    <n v="8"/>
    <s v="Red"/>
    <n v="4"/>
    <n v="6799"/>
    <n v="0"/>
    <n v="6800"/>
    <n v="27200"/>
    <s v="Net Banking"/>
    <x v="2"/>
    <s v="India"/>
    <x v="33"/>
    <s v="Pune"/>
    <s v="Lifestyle Shopper"/>
    <x v="1"/>
    <n v="4.5"/>
    <s v="Cancelled"/>
    <s v="Standard"/>
    <n v="3"/>
  </r>
  <r>
    <s v="ORD201834"/>
    <s v="CUST100285"/>
    <s v="Men"/>
    <s v="55+"/>
    <x v="744"/>
    <x v="2"/>
    <x v="24"/>
    <x v="4"/>
    <n v="11"/>
    <s v="Grey"/>
    <n v="3"/>
    <n v="8399"/>
    <n v="0"/>
    <n v="8400"/>
    <n v="25200"/>
    <s v="Cash on Delivery"/>
    <x v="1"/>
    <s v="India"/>
    <x v="34"/>
    <s v="Asansol"/>
    <s v="Premium Shopper"/>
    <x v="1"/>
    <n v="3.4"/>
    <s v="Delivered"/>
    <s v="Express"/>
    <n v="3"/>
  </r>
  <r>
    <s v="ORD202951"/>
    <s v="CUST100416"/>
    <s v="Men"/>
    <s v="25-34"/>
    <x v="744"/>
    <x v="0"/>
    <x v="2"/>
    <x v="2"/>
    <n v="6"/>
    <s v="Grey"/>
    <n v="1"/>
    <n v="5599"/>
    <n v="15"/>
    <n v="4760"/>
    <n v="4760"/>
    <s v="UPI"/>
    <x v="1"/>
    <s v="India"/>
    <x v="5"/>
    <s v="Churachandpur"/>
    <s v="Premium Shopper"/>
    <x v="1"/>
    <n v="5"/>
    <s v="Returned"/>
    <s v="Standard"/>
    <n v="5"/>
  </r>
  <r>
    <s v="ORD200632"/>
    <s v="CUST100122"/>
    <s v="Women"/>
    <s v="35-44"/>
    <x v="745"/>
    <x v="5"/>
    <x v="14"/>
    <x v="3"/>
    <n v="11"/>
    <s v="Grey"/>
    <n v="1"/>
    <n v="4799"/>
    <n v="25"/>
    <n v="3600"/>
    <n v="3600"/>
    <s v="Net Banking"/>
    <x v="2"/>
    <s v="India"/>
    <x v="23"/>
    <s v="Rishikesh"/>
    <s v="Premium Shopper"/>
    <x v="1"/>
    <n v="3"/>
    <s v="Cancelled"/>
    <s v="Express"/>
    <n v="3"/>
  </r>
  <r>
    <s v="ORD202597"/>
    <s v="CUST100750"/>
    <s v="Women"/>
    <s v="18-24"/>
    <x v="746"/>
    <x v="1"/>
    <x v="10"/>
    <x v="3"/>
    <n v="6"/>
    <s v="Black"/>
    <n v="3"/>
    <n v="5999"/>
    <n v="10"/>
    <n v="5400"/>
    <n v="16200"/>
    <s v="Debit/Credit Card"/>
    <x v="0"/>
    <s v="India"/>
    <x v="8"/>
    <s v="Karimnagar"/>
    <s v="Lifestyle Shopper"/>
    <x v="1"/>
    <n v="4.5"/>
    <s v="Delivered"/>
    <s v="Standard"/>
    <n v="2"/>
  </r>
  <r>
    <s v="ORD200277"/>
    <s v="CUST100062"/>
    <s v="Unisex"/>
    <s v="18-24"/>
    <x v="747"/>
    <x v="4"/>
    <x v="29"/>
    <x v="2"/>
    <n v="11"/>
    <s v="Grey"/>
    <n v="3"/>
    <n v="5199"/>
    <n v="15"/>
    <n v="4420"/>
    <n v="13260"/>
    <s v="UPI"/>
    <x v="0"/>
    <s v="India"/>
    <x v="18"/>
    <s v="Raipur"/>
    <s v="Performance Seeker"/>
    <x v="1"/>
    <n v="4"/>
    <s v="Returned"/>
    <s v="Express"/>
    <n v="2"/>
  </r>
  <r>
    <s v="ORD202400"/>
    <s v="CUST100785"/>
    <s v="Men"/>
    <s v="18-24"/>
    <x v="748"/>
    <x v="2"/>
    <x v="32"/>
    <x v="1"/>
    <n v="11"/>
    <s v="Black"/>
    <n v="1"/>
    <n v="7399"/>
    <n v="30"/>
    <n v="5180"/>
    <n v="5180"/>
    <s v="Debit/Credit Card"/>
    <x v="1"/>
    <s v="India"/>
    <x v="32"/>
    <s v="Jamshedpur"/>
    <s v="Value Shopper"/>
    <x v="1"/>
    <n v="5"/>
    <s v="Delivered"/>
    <s v="Standard"/>
    <n v="5"/>
  </r>
  <r>
    <s v="ORD200353"/>
    <s v="CUST100742"/>
    <s v="Women"/>
    <s v="25-34"/>
    <x v="749"/>
    <x v="3"/>
    <x v="34"/>
    <x v="3"/>
    <n v="6"/>
    <s v="White"/>
    <n v="1"/>
    <n v="4699"/>
    <n v="35"/>
    <n v="3050"/>
    <n v="3050"/>
    <s v="UPI"/>
    <x v="2"/>
    <s v="India"/>
    <x v="0"/>
    <s v="Guwahati"/>
    <s v="Performance Seeker"/>
    <x v="0"/>
    <n v="4.3"/>
    <s v="Returned"/>
    <s v="Standard"/>
    <n v="6"/>
  </r>
  <r>
    <s v="ORD201975"/>
    <s v="CUST100234"/>
    <s v="Men"/>
    <s v="45-54"/>
    <x v="750"/>
    <x v="0"/>
    <x v="0"/>
    <x v="0"/>
    <n v="10"/>
    <s v="White"/>
    <n v="2"/>
    <n v="7799"/>
    <n v="10"/>
    <n v="7020"/>
    <n v="14040"/>
    <s v="UPI"/>
    <x v="1"/>
    <s v="India"/>
    <x v="33"/>
    <s v="Nagpur"/>
    <s v="Comfort Shopper"/>
    <x v="1"/>
    <n v="3.6"/>
    <s v="Delivered"/>
    <s v="Standard"/>
    <n v="5"/>
  </r>
  <r>
    <s v="ORD202118"/>
    <s v="CUST100272"/>
    <s v="Men"/>
    <s v="35-44"/>
    <x v="750"/>
    <x v="1"/>
    <x v="20"/>
    <x v="2"/>
    <n v="8"/>
    <s v="Green"/>
    <n v="1"/>
    <n v="8199"/>
    <n v="15"/>
    <n v="6970"/>
    <n v="6970"/>
    <s v="Debit/Credit Card"/>
    <x v="1"/>
    <s v="India"/>
    <x v="8"/>
    <s v="Karimnagar"/>
    <s v="Premium Shopper"/>
    <x v="1"/>
    <n v="3.3"/>
    <s v="Delivered"/>
    <s v="Standard"/>
    <n v="6"/>
  </r>
  <r>
    <s v="ORD202566"/>
    <s v="CUST100627"/>
    <s v="Unisex"/>
    <s v="18-24"/>
    <x v="751"/>
    <x v="3"/>
    <x v="5"/>
    <x v="2"/>
    <n v="9"/>
    <s v="Black"/>
    <n v="1"/>
    <n v="8699"/>
    <n v="15"/>
    <n v="7390"/>
    <n v="7390"/>
    <s v="Debit/Credit Card"/>
    <x v="2"/>
    <s v="India"/>
    <x v="27"/>
    <s v="Bhubaneswar"/>
    <s v="Lifestyle Shopper"/>
    <x v="1"/>
    <n v="3.3"/>
    <s v="Cancelled"/>
    <s v="Express"/>
    <n v="2"/>
  </r>
  <r>
    <s v="ORD200974"/>
    <s v="CUST100482"/>
    <s v="Men"/>
    <s v="35-44"/>
    <x v="752"/>
    <x v="3"/>
    <x v="35"/>
    <x v="2"/>
    <n v="8"/>
    <s v="Grey"/>
    <n v="1"/>
    <n v="5699"/>
    <n v="30"/>
    <n v="3990"/>
    <n v="3990"/>
    <s v="UPI"/>
    <x v="0"/>
    <s v="India"/>
    <x v="24"/>
    <s v="Mangaluru"/>
    <s v="Comfort Shopper"/>
    <x v="1"/>
    <n v="5"/>
    <s v="Delivered"/>
    <s v="Express"/>
    <n v="3"/>
  </r>
  <r>
    <s v="ORD201117"/>
    <s v="CUST100590"/>
    <s v="Men"/>
    <s v="18-24"/>
    <x v="752"/>
    <x v="0"/>
    <x v="19"/>
    <x v="4"/>
    <n v="9"/>
    <s v="Grey"/>
    <n v="1"/>
    <n v="9099"/>
    <n v="20"/>
    <n v="7280"/>
    <n v="7280"/>
    <s v="Cash on Delivery"/>
    <x v="2"/>
    <s v="India"/>
    <x v="17"/>
    <s v="Karaikal"/>
    <s v="Lifestyle Shopper"/>
    <x v="1"/>
    <n v="4.0999999999999996"/>
    <s v="Cancelled"/>
    <s v="Standard"/>
    <n v="2"/>
  </r>
  <r>
    <s v="ORD202474"/>
    <s v="CUST100284"/>
    <s v="Women"/>
    <s v="35-44"/>
    <x v="752"/>
    <x v="0"/>
    <x v="8"/>
    <x v="3"/>
    <n v="10"/>
    <s v="Grey"/>
    <n v="1"/>
    <n v="7399"/>
    <n v="10"/>
    <n v="6660"/>
    <n v="6660"/>
    <s v="Debit/Credit Card"/>
    <x v="1"/>
    <s v="India"/>
    <x v="25"/>
    <s v="Srinagar"/>
    <s v="Lifestyle Shopper"/>
    <x v="2"/>
    <n v="4.0999999999999996"/>
    <s v="Delivered"/>
    <s v="Standard"/>
    <n v="3"/>
  </r>
  <r>
    <s v="ORD200074"/>
    <s v="CUST100307"/>
    <s v="Women"/>
    <s v="25-34"/>
    <x v="753"/>
    <x v="5"/>
    <x v="30"/>
    <x v="2"/>
    <n v="9"/>
    <s v="Grey"/>
    <n v="2"/>
    <n v="8799"/>
    <n v="35"/>
    <n v="5720"/>
    <n v="11440"/>
    <s v="Debit/Credit Card"/>
    <x v="1"/>
    <s v="India"/>
    <x v="29"/>
    <s v="Vijayawada"/>
    <s v="Performance Seeker"/>
    <x v="1"/>
    <n v="4.5999999999999996"/>
    <s v="Returned"/>
    <s v="Standard"/>
    <n v="7"/>
  </r>
  <r>
    <s v="ORD200315"/>
    <s v="CUST100082"/>
    <s v="Men"/>
    <s v="25-34"/>
    <x v="753"/>
    <x v="5"/>
    <x v="27"/>
    <x v="0"/>
    <n v="7"/>
    <s v="White"/>
    <n v="1"/>
    <n v="5799"/>
    <n v="30"/>
    <n v="4060"/>
    <n v="4060"/>
    <s v="UPI"/>
    <x v="2"/>
    <s v="India"/>
    <x v="5"/>
    <s v="Imphal"/>
    <s v="Performance Seeker"/>
    <x v="2"/>
    <n v="4.4000000000000004"/>
    <s v="Returned"/>
    <s v="Express"/>
    <n v="3"/>
  </r>
  <r>
    <s v="ORD201195"/>
    <s v="CUST100108"/>
    <s v="Men"/>
    <s v="35-44"/>
    <x v="753"/>
    <x v="4"/>
    <x v="29"/>
    <x v="2"/>
    <n v="7"/>
    <s v="Grey"/>
    <n v="1"/>
    <n v="4499"/>
    <n v="5"/>
    <n v="4270"/>
    <n v="4270"/>
    <s v="UPI"/>
    <x v="0"/>
    <s v="India"/>
    <x v="34"/>
    <s v="Kolkata"/>
    <s v="Premium Shopper"/>
    <x v="1"/>
    <n v="3.9"/>
    <s v="Delivered"/>
    <s v="Express"/>
    <n v="2"/>
  </r>
  <r>
    <s v="ORD202163"/>
    <s v="CUST100571"/>
    <s v="Unisex"/>
    <s v="35-44"/>
    <x v="754"/>
    <x v="3"/>
    <x v="34"/>
    <x v="3"/>
    <n v="11"/>
    <s v="White"/>
    <n v="1"/>
    <n v="4699"/>
    <n v="15"/>
    <n v="3990"/>
    <n v="3990"/>
    <s v="UPI"/>
    <x v="0"/>
    <s v="India"/>
    <x v="16"/>
    <s v="Rajkot"/>
    <s v="Performance Seeker"/>
    <x v="0"/>
    <n v="3.9"/>
    <s v="Delivered"/>
    <s v="Standard"/>
    <n v="3"/>
  </r>
  <r>
    <s v="ORD203085"/>
    <s v="CUST100430"/>
    <s v="Men"/>
    <s v="25-34"/>
    <x v="754"/>
    <x v="1"/>
    <x v="1"/>
    <x v="1"/>
    <n v="12"/>
    <s v="Grey"/>
    <n v="1"/>
    <n v="9199"/>
    <n v="5"/>
    <n v="8740"/>
    <n v="8740"/>
    <s v="Debit/Credit Card"/>
    <x v="1"/>
    <s v="India"/>
    <x v="18"/>
    <s v="Raipur"/>
    <s v="Value Shopper"/>
    <x v="0"/>
    <n v="3.1"/>
    <s v="Cancelled"/>
    <s v="Express"/>
    <n v="2"/>
  </r>
  <r>
    <s v="ORD200816"/>
    <s v="CUST100366"/>
    <s v="Men"/>
    <s v="35-44"/>
    <x v="755"/>
    <x v="0"/>
    <x v="2"/>
    <x v="2"/>
    <n v="10"/>
    <s v="Blue"/>
    <n v="3"/>
    <n v="5799"/>
    <n v="20"/>
    <n v="4640"/>
    <n v="13920"/>
    <s v="Net Banking"/>
    <x v="1"/>
    <s v="India"/>
    <x v="32"/>
    <s v="Dhanbad"/>
    <s v="Performance Seeker"/>
    <x v="0"/>
    <n v="4.5"/>
    <s v="Delivered"/>
    <s v="Same Day"/>
    <n v="1"/>
  </r>
  <r>
    <s v="ORD200964"/>
    <s v="CUST100320"/>
    <s v="Women"/>
    <s v="35-44"/>
    <x v="756"/>
    <x v="3"/>
    <x v="16"/>
    <x v="0"/>
    <n v="10"/>
    <s v="Black"/>
    <n v="1"/>
    <n v="6499"/>
    <n v="15"/>
    <n v="5520"/>
    <n v="5520"/>
    <s v="Debit/Credit Card"/>
    <x v="0"/>
    <s v="India"/>
    <x v="23"/>
    <s v="Haldwani"/>
    <s v="Premium Shopper"/>
    <x v="1"/>
    <n v="5"/>
    <s v="Delivered"/>
    <s v="Express"/>
    <n v="3"/>
  </r>
  <r>
    <s v="ORD202078"/>
    <s v="CUST100252"/>
    <s v="Men"/>
    <s v="35-44"/>
    <x v="757"/>
    <x v="2"/>
    <x v="4"/>
    <x v="2"/>
    <n v="11"/>
    <s v="White"/>
    <n v="3"/>
    <n v="7899"/>
    <n v="35"/>
    <n v="5130"/>
    <n v="15390"/>
    <s v="UPI"/>
    <x v="0"/>
    <s v="India"/>
    <x v="24"/>
    <s v="Hubballi"/>
    <s v="Performance Seeker"/>
    <x v="1"/>
    <n v="3.8"/>
    <s v="Delivered"/>
    <s v="Standard"/>
    <n v="6"/>
  </r>
  <r>
    <s v="ORD201327"/>
    <s v="CUST100596"/>
    <s v="Unisex"/>
    <s v="25-34"/>
    <x v="758"/>
    <x v="1"/>
    <x v="20"/>
    <x v="2"/>
    <n v="8"/>
    <s v="Grey"/>
    <n v="1"/>
    <n v="7999"/>
    <n v="0"/>
    <n v="8000"/>
    <n v="8000"/>
    <s v="UPI"/>
    <x v="2"/>
    <s v="India"/>
    <x v="26"/>
    <s v="Kochi"/>
    <s v="Value Shopper"/>
    <x v="1"/>
    <n v="4.0999999999999996"/>
    <s v="Delivered"/>
    <s v="Standard"/>
    <n v="5"/>
  </r>
  <r>
    <s v="ORD200206"/>
    <s v="CUST100860"/>
    <s v="Women"/>
    <s v="35-44"/>
    <x v="759"/>
    <x v="0"/>
    <x v="13"/>
    <x v="2"/>
    <n v="9"/>
    <s v="Grey"/>
    <n v="1"/>
    <n v="5399"/>
    <n v="20"/>
    <n v="4320"/>
    <n v="4320"/>
    <s v="Debit/Credit Card"/>
    <x v="1"/>
    <s v="India"/>
    <x v="8"/>
    <s v="Warangal"/>
    <s v="Premium Shopper"/>
    <x v="1"/>
    <n v="4.2"/>
    <s v="Delivered"/>
    <s v="Standard"/>
    <n v="4"/>
  </r>
  <r>
    <s v="ORD200429"/>
    <s v="CUST100439"/>
    <s v="Men"/>
    <s v="18-24"/>
    <x v="760"/>
    <x v="0"/>
    <x v="19"/>
    <x v="4"/>
    <n v="7"/>
    <s v="Blue"/>
    <n v="2"/>
    <n v="3999"/>
    <n v="5"/>
    <n v="3800"/>
    <n v="7600"/>
    <s v="Debit/Credit Card"/>
    <x v="2"/>
    <s v="India"/>
    <x v="19"/>
    <s v="Shillong"/>
    <s v="Performance Seeker"/>
    <x v="2"/>
    <n v="4.5"/>
    <s v="Delivered"/>
    <s v="Standard"/>
    <n v="6"/>
  </r>
  <r>
    <s v="ORD201524"/>
    <s v="CUST101042"/>
    <s v="Men"/>
    <s v="18-24"/>
    <x v="761"/>
    <x v="2"/>
    <x v="3"/>
    <x v="2"/>
    <n v="9"/>
    <s v="Black"/>
    <n v="1"/>
    <n v="5399"/>
    <n v="20"/>
    <n v="4320"/>
    <n v="4320"/>
    <s v="Debit/Credit Card"/>
    <x v="0"/>
    <s v="India"/>
    <x v="24"/>
    <s v="Bengaluru"/>
    <s v="Value Shopper"/>
    <x v="0"/>
    <n v="4.3"/>
    <s v="Delivered"/>
    <s v="Standard"/>
    <n v="7"/>
  </r>
  <r>
    <s v="ORD202204"/>
    <s v="CUST100225"/>
    <s v="Men"/>
    <s v="18-24"/>
    <x v="761"/>
    <x v="3"/>
    <x v="34"/>
    <x v="3"/>
    <n v="11"/>
    <s v="Blue"/>
    <n v="1"/>
    <n v="5599"/>
    <n v="35"/>
    <n v="3640"/>
    <n v="3640"/>
    <s v="Net Banking"/>
    <x v="1"/>
    <s v="India"/>
    <x v="12"/>
    <s v="Rangat"/>
    <s v="Performance Seeker"/>
    <x v="1"/>
    <n v="4.5"/>
    <s v="Delivered"/>
    <s v="Express"/>
    <n v="3"/>
  </r>
  <r>
    <s v="ORD200420"/>
    <s v="CUST100257"/>
    <s v="Women"/>
    <s v="35-44"/>
    <x v="762"/>
    <x v="4"/>
    <x v="22"/>
    <x v="0"/>
    <n v="11"/>
    <s v="White"/>
    <n v="2"/>
    <n v="5599"/>
    <n v="15"/>
    <n v="4760"/>
    <n v="9520"/>
    <s v="UPI"/>
    <x v="1"/>
    <s v="India"/>
    <x v="32"/>
    <s v="Jamshedpur"/>
    <s v="Lifestyle Shopper"/>
    <x v="0"/>
    <n v="3.6"/>
    <s v="Returned"/>
    <s v="Standard"/>
    <n v="2"/>
  </r>
  <r>
    <s v="ORD201997"/>
    <s v="CUST100631"/>
    <s v="Women"/>
    <s v="45-54"/>
    <x v="762"/>
    <x v="1"/>
    <x v="10"/>
    <x v="3"/>
    <n v="10"/>
    <s v="Grey"/>
    <n v="1"/>
    <n v="6599"/>
    <n v="35"/>
    <n v="4290"/>
    <n v="4290"/>
    <s v="Debit/Credit Card"/>
    <x v="1"/>
    <s v="India"/>
    <x v="2"/>
    <s v="Faridabad"/>
    <s v="Performance Seeker"/>
    <x v="1"/>
    <n v="3.8"/>
    <s v="Cancelled"/>
    <s v="Standard"/>
    <n v="5"/>
  </r>
  <r>
    <s v="ORD201344"/>
    <s v="CUST100880"/>
    <s v="Men"/>
    <s v="35-44"/>
    <x v="763"/>
    <x v="5"/>
    <x v="7"/>
    <x v="1"/>
    <n v="6"/>
    <s v="Green"/>
    <n v="1"/>
    <n v="7799"/>
    <n v="15"/>
    <n v="6630"/>
    <n v="6630"/>
    <s v="Debit/Credit Card"/>
    <x v="1"/>
    <s v="India"/>
    <x v="16"/>
    <s v="Rajkot"/>
    <s v="Premium Shopper"/>
    <x v="0"/>
    <n v="4"/>
    <s v="Returned"/>
    <s v="Express"/>
    <n v="4"/>
  </r>
  <r>
    <s v="ORD201704"/>
    <s v="CUST100026"/>
    <s v="Men"/>
    <s v="25-34"/>
    <x v="763"/>
    <x v="5"/>
    <x v="30"/>
    <x v="2"/>
    <n v="12"/>
    <s v="Black"/>
    <n v="1"/>
    <n v="7199"/>
    <n v="25"/>
    <n v="5400"/>
    <n v="5400"/>
    <s v="Debit/Credit Card"/>
    <x v="0"/>
    <s v="India"/>
    <x v="25"/>
    <s v="Anantnag"/>
    <s v="Comfort Shopper"/>
    <x v="2"/>
    <n v="3.8"/>
    <s v="Delivered"/>
    <s v="Standard"/>
    <n v="4"/>
  </r>
  <r>
    <s v="ORD202860"/>
    <s v="CUST100739"/>
    <s v="Women"/>
    <s v="45-54"/>
    <x v="763"/>
    <x v="4"/>
    <x v="6"/>
    <x v="2"/>
    <n v="8"/>
    <s v="Blue"/>
    <n v="1"/>
    <n v="7199"/>
    <n v="30"/>
    <n v="5040"/>
    <n v="5040"/>
    <s v="UPI"/>
    <x v="0"/>
    <s v="India"/>
    <x v="32"/>
    <s v="Bokaro"/>
    <s v="Lifestyle Shopper"/>
    <x v="0"/>
    <n v="4.0999999999999996"/>
    <s v="Delivered"/>
    <s v="Express"/>
    <n v="3"/>
  </r>
  <r>
    <s v="ORD202379"/>
    <s v="CUST100391"/>
    <s v="Men"/>
    <s v="55+"/>
    <x v="764"/>
    <x v="3"/>
    <x v="35"/>
    <x v="2"/>
    <n v="10"/>
    <s v="Grey"/>
    <n v="1"/>
    <n v="7599"/>
    <n v="10"/>
    <n v="6840"/>
    <n v="6840"/>
    <s v="UPI"/>
    <x v="2"/>
    <s v="India"/>
    <x v="30"/>
    <s v="Daria"/>
    <s v="Lifestyle Shopper"/>
    <x v="1"/>
    <n v="5"/>
    <s v="Delivered"/>
    <s v="Express"/>
    <n v="1"/>
  </r>
  <r>
    <s v="ORD201110"/>
    <s v="CUST100362"/>
    <s v="Unisex"/>
    <s v="18-24"/>
    <x v="765"/>
    <x v="3"/>
    <x v="16"/>
    <x v="0"/>
    <n v="12"/>
    <s v="Black"/>
    <n v="1"/>
    <n v="7199"/>
    <n v="20"/>
    <n v="5760"/>
    <n v="5760"/>
    <s v="Cash on Delivery"/>
    <x v="2"/>
    <s v="India"/>
    <x v="16"/>
    <s v="Surat"/>
    <s v="Performance Seeker"/>
    <x v="0"/>
    <n v="4.5999999999999996"/>
    <s v="Returned"/>
    <s v="Express"/>
    <n v="2"/>
  </r>
  <r>
    <s v="ORD202680"/>
    <s v="CUST100508"/>
    <s v="Men"/>
    <s v="25-34"/>
    <x v="765"/>
    <x v="1"/>
    <x v="1"/>
    <x v="1"/>
    <n v="9"/>
    <s v="Green"/>
    <n v="2"/>
    <n v="6699"/>
    <n v="10"/>
    <n v="6030"/>
    <n v="12060"/>
    <s v="UPI"/>
    <x v="1"/>
    <s v="India"/>
    <x v="11"/>
    <s v="Agatti"/>
    <s v="Lifestyle Shopper"/>
    <x v="1"/>
    <n v="5"/>
    <s v="Delivered"/>
    <s v="Standard"/>
    <n v="7"/>
  </r>
  <r>
    <s v="ORD201086"/>
    <s v="CUST100306"/>
    <s v="Women"/>
    <s v="35-44"/>
    <x v="766"/>
    <x v="4"/>
    <x v="29"/>
    <x v="2"/>
    <n v="8"/>
    <s v="Blue"/>
    <n v="2"/>
    <n v="8299"/>
    <n v="15"/>
    <n v="7050"/>
    <n v="14100"/>
    <s v="UPI"/>
    <x v="1"/>
    <s v="India"/>
    <x v="31"/>
    <s v="Chennai"/>
    <s v="Value Shopper"/>
    <x v="1"/>
    <n v="4.5999999999999996"/>
    <s v="Delivered"/>
    <s v="Express"/>
    <n v="2"/>
  </r>
  <r>
    <s v="ORD202457"/>
    <s v="CUST100320"/>
    <s v="Women"/>
    <s v="18-24"/>
    <x v="767"/>
    <x v="1"/>
    <x v="1"/>
    <x v="1"/>
    <n v="10"/>
    <s v="Blue"/>
    <n v="1"/>
    <n v="8299"/>
    <n v="10"/>
    <n v="7470"/>
    <n v="7470"/>
    <s v="UPI"/>
    <x v="1"/>
    <s v="India"/>
    <x v="8"/>
    <s v="Hyderabad"/>
    <s v="Lifestyle Shopper"/>
    <x v="2"/>
    <n v="2.8"/>
    <s v="Returned"/>
    <s v="Standard"/>
    <n v="3"/>
  </r>
  <r>
    <s v="ORD201722"/>
    <s v="CUST100287"/>
    <s v="Men"/>
    <s v="25-34"/>
    <x v="768"/>
    <x v="2"/>
    <x v="23"/>
    <x v="0"/>
    <n v="9"/>
    <s v="Black"/>
    <n v="2"/>
    <n v="5199"/>
    <n v="5"/>
    <n v="4940"/>
    <n v="9880"/>
    <s v="Debit/Credit Card"/>
    <x v="2"/>
    <s v="India"/>
    <x v="29"/>
    <s v="Tirupati"/>
    <s v="Comfort Shopper"/>
    <x v="0"/>
    <n v="4.5999999999999996"/>
    <s v="Cancelled"/>
    <s v="Standard"/>
    <n v="5"/>
  </r>
  <r>
    <s v="ORD200802"/>
    <s v="CUST100863"/>
    <s v="Unisex"/>
    <s v="25-34"/>
    <x v="769"/>
    <x v="0"/>
    <x v="31"/>
    <x v="1"/>
    <n v="8"/>
    <s v="Red"/>
    <n v="1"/>
    <n v="4899"/>
    <n v="25"/>
    <n v="3670"/>
    <n v="3670"/>
    <s v="UPI"/>
    <x v="1"/>
    <s v="India"/>
    <x v="6"/>
    <s v="Varanasi"/>
    <s v="Performance Seeker"/>
    <x v="1"/>
    <n v="3"/>
    <s v="Delivered"/>
    <s v="Same Day"/>
    <n v="1"/>
  </r>
  <r>
    <s v="ORD200628"/>
    <s v="CUST100653"/>
    <s v="Women"/>
    <s v="35-44"/>
    <x v="770"/>
    <x v="2"/>
    <x v="23"/>
    <x v="0"/>
    <n v="9"/>
    <s v="White"/>
    <n v="1"/>
    <n v="8099"/>
    <n v="25"/>
    <n v="6070"/>
    <n v="6070"/>
    <s v="Debit/Credit Card"/>
    <x v="0"/>
    <s v="India"/>
    <x v="4"/>
    <s v="Namchi"/>
    <s v="Lifestyle Shopper"/>
    <x v="0"/>
    <n v="3.6"/>
    <s v="Delivered"/>
    <s v="Standard"/>
    <n v="6"/>
  </r>
  <r>
    <s v="ORD200030"/>
    <s v="CUST100131"/>
    <s v="Unisex"/>
    <s v="45-54"/>
    <x v="771"/>
    <x v="5"/>
    <x v="21"/>
    <x v="2"/>
    <n v="11"/>
    <s v="Green"/>
    <n v="1"/>
    <n v="6499"/>
    <n v="25"/>
    <n v="4870"/>
    <n v="4870"/>
    <s v="Net Banking"/>
    <x v="1"/>
    <s v="India"/>
    <x v="11"/>
    <s v="Kavaratti"/>
    <s v="Comfort Shopper"/>
    <x v="1"/>
    <n v="2.7"/>
    <s v="Delivered"/>
    <s v="Express"/>
    <n v="2"/>
  </r>
  <r>
    <s v="ORD201318"/>
    <s v="CUST100406"/>
    <s v="Men"/>
    <s v="25-34"/>
    <x v="772"/>
    <x v="4"/>
    <x v="9"/>
    <x v="1"/>
    <n v="12"/>
    <s v="White"/>
    <n v="3"/>
    <n v="6299"/>
    <n v="5"/>
    <n v="5980"/>
    <n v="17940"/>
    <s v="UPI"/>
    <x v="2"/>
    <s v="India"/>
    <x v="6"/>
    <s v="Kanpur"/>
    <s v="Lifestyle Shopper"/>
    <x v="1"/>
    <n v="4.2"/>
    <s v="Delivered"/>
    <s v="Express"/>
    <n v="3"/>
  </r>
  <r>
    <s v="ORD202020"/>
    <s v="CUST100038"/>
    <s v="Women"/>
    <s v="35-44"/>
    <x v="772"/>
    <x v="1"/>
    <x v="33"/>
    <x v="0"/>
    <n v="9"/>
    <s v="Blue"/>
    <n v="1"/>
    <n v="5599"/>
    <n v="15"/>
    <n v="4760"/>
    <n v="4760"/>
    <s v="UPI"/>
    <x v="1"/>
    <s v="India"/>
    <x v="29"/>
    <s v="Vijayawada"/>
    <s v="Comfort Shopper"/>
    <x v="0"/>
    <n v="3.6"/>
    <s v="Delivered"/>
    <s v="Standard"/>
    <n v="3"/>
  </r>
  <r>
    <s v="ORD202537"/>
    <s v="CUST100844"/>
    <s v="Women"/>
    <s v="25-34"/>
    <x v="772"/>
    <x v="5"/>
    <x v="14"/>
    <x v="3"/>
    <n v="11"/>
    <s v="Red"/>
    <n v="1"/>
    <n v="5999"/>
    <n v="10"/>
    <n v="5400"/>
    <n v="5400"/>
    <s v="UPI"/>
    <x v="1"/>
    <s v="India"/>
    <x v="10"/>
    <s v="Diu"/>
    <s v="Value Shopper"/>
    <x v="1"/>
    <n v="5"/>
    <s v="Returned"/>
    <s v="Standard"/>
    <n v="3"/>
  </r>
  <r>
    <s v="ORD201358"/>
    <s v="CUST100424"/>
    <s v="Women"/>
    <s v="25-34"/>
    <x v="773"/>
    <x v="4"/>
    <x v="29"/>
    <x v="2"/>
    <n v="11"/>
    <s v="White"/>
    <n v="1"/>
    <n v="7199"/>
    <n v="0"/>
    <n v="7200"/>
    <n v="7200"/>
    <s v="Debit/Credit Card"/>
    <x v="0"/>
    <s v="India"/>
    <x v="31"/>
    <s v="Madurai"/>
    <s v="Performance Seeker"/>
    <x v="2"/>
    <n v="3.8"/>
    <s v="Delivered"/>
    <s v="Express"/>
    <n v="3"/>
  </r>
  <r>
    <s v="ORD201541"/>
    <s v="CUST100023"/>
    <s v="Men"/>
    <s v="35-44"/>
    <x v="773"/>
    <x v="0"/>
    <x v="0"/>
    <x v="0"/>
    <n v="6"/>
    <s v="White"/>
    <n v="1"/>
    <n v="8499"/>
    <n v="25"/>
    <n v="6370"/>
    <n v="6370"/>
    <s v="Debit/Credit Card"/>
    <x v="0"/>
    <s v="India"/>
    <x v="3"/>
    <s v="Udaipur"/>
    <s v="Premium Shopper"/>
    <x v="2"/>
    <n v="4.5"/>
    <s v="Cancelled"/>
    <s v="Express"/>
    <n v="2"/>
  </r>
  <r>
    <s v="ORD200657"/>
    <s v="CUST100716"/>
    <s v="Women"/>
    <s v="35-44"/>
    <x v="774"/>
    <x v="5"/>
    <x v="14"/>
    <x v="3"/>
    <n v="8"/>
    <s v="Green"/>
    <n v="1"/>
    <n v="5399"/>
    <n v="30"/>
    <n v="3780"/>
    <n v="3780"/>
    <s v="Debit/Credit Card"/>
    <x v="2"/>
    <s v="India"/>
    <x v="10"/>
    <s v="Daman"/>
    <s v="Comfort Shopper"/>
    <x v="0"/>
    <n v="3.6"/>
    <s v="Delivered"/>
    <s v="Express"/>
    <n v="2"/>
  </r>
  <r>
    <s v="ORD201188"/>
    <s v="CUST100550"/>
    <s v="Men"/>
    <s v="35-44"/>
    <x v="774"/>
    <x v="3"/>
    <x v="5"/>
    <x v="2"/>
    <n v="9"/>
    <s v="Black"/>
    <n v="1"/>
    <n v="6799"/>
    <n v="40"/>
    <n v="4080"/>
    <n v="4080"/>
    <s v="UPI"/>
    <x v="0"/>
    <s v="India"/>
    <x v="22"/>
    <s v="Agartala"/>
    <s v="Premium Shopper"/>
    <x v="0"/>
    <n v="3.2"/>
    <s v="Delivered"/>
    <s v="Standard"/>
    <n v="5"/>
  </r>
  <r>
    <s v="ORD202711"/>
    <s v="CUST100108"/>
    <s v="Men"/>
    <s v="55+"/>
    <x v="774"/>
    <x v="1"/>
    <x v="1"/>
    <x v="1"/>
    <n v="11"/>
    <s v="White"/>
    <n v="1"/>
    <n v="8399"/>
    <n v="5"/>
    <n v="7980"/>
    <n v="7980"/>
    <s v="UPI"/>
    <x v="1"/>
    <s v="India"/>
    <x v="6"/>
    <s v="Varanasi"/>
    <s v="Comfort Shopper"/>
    <x v="2"/>
    <n v="2.8"/>
    <s v="Delivered"/>
    <s v="Standard"/>
    <n v="5"/>
  </r>
  <r>
    <s v="ORD201279"/>
    <s v="CUST100641"/>
    <s v="Men"/>
    <s v="45-54"/>
    <x v="775"/>
    <x v="3"/>
    <x v="16"/>
    <x v="0"/>
    <n v="9"/>
    <s v="Green"/>
    <n v="1"/>
    <n v="6699"/>
    <n v="30"/>
    <n v="4690"/>
    <n v="4690"/>
    <s v="UPI"/>
    <x v="0"/>
    <s v="India"/>
    <x v="15"/>
    <s v="Rohini"/>
    <s v="Comfort Shopper"/>
    <x v="1"/>
    <n v="3"/>
    <s v="Cancelled"/>
    <s v="Standard"/>
    <n v="5"/>
  </r>
  <r>
    <s v="ORD200308"/>
    <s v="CUST100891"/>
    <s v="Unisex"/>
    <s v="18-24"/>
    <x v="776"/>
    <x v="1"/>
    <x v="12"/>
    <x v="4"/>
    <n v="12"/>
    <s v="Black"/>
    <n v="1"/>
    <n v="3899"/>
    <n v="20"/>
    <n v="3120"/>
    <n v="3120"/>
    <s v="UPI"/>
    <x v="2"/>
    <s v="India"/>
    <x v="4"/>
    <s v="Gangtok"/>
    <s v="Lifestyle Shopper"/>
    <x v="0"/>
    <n v="3.5"/>
    <s v="Delivered"/>
    <s v="Same Day"/>
    <n v="1"/>
  </r>
  <r>
    <s v="ORD201258"/>
    <s v="CUST100383"/>
    <s v="Women"/>
    <s v="45-54"/>
    <x v="776"/>
    <x v="5"/>
    <x v="7"/>
    <x v="1"/>
    <n v="11"/>
    <s v="Black"/>
    <n v="1"/>
    <n v="7499"/>
    <n v="15"/>
    <n v="6370"/>
    <n v="6370"/>
    <s v="Debit/Credit Card"/>
    <x v="2"/>
    <s v="India"/>
    <x v="14"/>
    <s v="Ludhiana"/>
    <s v="Value Shopper"/>
    <x v="0"/>
    <n v="3.6"/>
    <s v="Delivered"/>
    <s v="Standard"/>
    <n v="6"/>
  </r>
  <r>
    <s v="ORD202642"/>
    <s v="CUST100351"/>
    <s v="Women"/>
    <s v="35-44"/>
    <x v="776"/>
    <x v="4"/>
    <x v="22"/>
    <x v="0"/>
    <n v="10"/>
    <s v="Blue"/>
    <n v="1"/>
    <n v="4499"/>
    <n v="30"/>
    <n v="3150"/>
    <n v="3150"/>
    <s v="UPI"/>
    <x v="1"/>
    <s v="India"/>
    <x v="33"/>
    <s v="Pune"/>
    <s v="Comfort Shopper"/>
    <x v="1"/>
    <n v="3.7"/>
    <s v="Cancelled"/>
    <s v="Express"/>
    <n v="4"/>
  </r>
  <r>
    <s v="ORD202921"/>
    <s v="CUST100261"/>
    <s v="Men"/>
    <s v="25-34"/>
    <x v="776"/>
    <x v="0"/>
    <x v="0"/>
    <x v="0"/>
    <n v="12"/>
    <s v="Green"/>
    <n v="1"/>
    <n v="5599"/>
    <n v="25"/>
    <n v="4200"/>
    <n v="4200"/>
    <s v="Debit/Credit Card"/>
    <x v="2"/>
    <s v="India"/>
    <x v="8"/>
    <s v="Karimnagar"/>
    <s v="Comfort Shopper"/>
    <x v="1"/>
    <n v="4.5999999999999996"/>
    <s v="Cancelled"/>
    <s v="Standard"/>
    <n v="4"/>
  </r>
  <r>
    <s v="ORD200378"/>
    <s v="CUST100248"/>
    <s v="Unisex"/>
    <s v="25-34"/>
    <x v="777"/>
    <x v="2"/>
    <x v="4"/>
    <x v="2"/>
    <n v="8"/>
    <s v="Red"/>
    <n v="1"/>
    <n v="6299"/>
    <n v="0"/>
    <n v="6300"/>
    <n v="6300"/>
    <s v="Debit/Credit Card"/>
    <x v="0"/>
    <s v="India"/>
    <x v="14"/>
    <s v="Amritsar"/>
    <s v="Performance Seeker"/>
    <x v="0"/>
    <n v="4.4000000000000004"/>
    <s v="Delivered"/>
    <s v="Standard"/>
    <n v="2"/>
  </r>
  <r>
    <s v="ORD202253"/>
    <s v="CUST100055"/>
    <s v="Women"/>
    <s v="18-24"/>
    <x v="777"/>
    <x v="2"/>
    <x v="24"/>
    <x v="4"/>
    <n v="10"/>
    <s v="Green"/>
    <n v="1"/>
    <n v="8399"/>
    <n v="20"/>
    <n v="6720"/>
    <n v="6720"/>
    <s v="Net Banking"/>
    <x v="1"/>
    <s v="India"/>
    <x v="2"/>
    <s v="Hisar"/>
    <s v="Performance Seeker"/>
    <x v="1"/>
    <n v="4"/>
    <s v="Delivered"/>
    <s v="Standard"/>
    <n v="5"/>
  </r>
  <r>
    <s v="ORD202170"/>
    <s v="CUST100252"/>
    <s v="Unisex"/>
    <s v="55+"/>
    <x v="778"/>
    <x v="4"/>
    <x v="17"/>
    <x v="4"/>
    <n v="8"/>
    <s v="Green"/>
    <n v="2"/>
    <n v="8999"/>
    <n v="15"/>
    <n v="7650"/>
    <n v="15300"/>
    <s v="UPI"/>
    <x v="1"/>
    <s v="India"/>
    <x v="29"/>
    <s v="Guntur"/>
    <s v="Comfort Shopper"/>
    <x v="1"/>
    <n v="5"/>
    <s v="Delivered"/>
    <s v="Standard"/>
    <n v="5"/>
  </r>
  <r>
    <s v="ORD202431"/>
    <s v="CUST100531"/>
    <s v="Men"/>
    <s v="25-34"/>
    <x v="778"/>
    <x v="0"/>
    <x v="13"/>
    <x v="2"/>
    <n v="9"/>
    <s v="Black"/>
    <n v="3"/>
    <n v="7899"/>
    <n v="20"/>
    <n v="6320"/>
    <n v="18960"/>
    <s v="UPI"/>
    <x v="1"/>
    <s v="India"/>
    <x v="27"/>
    <s v="Berhampur"/>
    <s v="Lifestyle Shopper"/>
    <x v="1"/>
    <n v="3.7"/>
    <s v="Delivered"/>
    <s v="Express"/>
    <n v="3"/>
  </r>
  <r>
    <s v="ORD200625"/>
    <s v="CUST100170"/>
    <s v="Men"/>
    <s v="45-54"/>
    <x v="779"/>
    <x v="5"/>
    <x v="30"/>
    <x v="2"/>
    <n v="8"/>
    <s v="Grey"/>
    <n v="1"/>
    <n v="5999"/>
    <n v="10"/>
    <n v="5400"/>
    <n v="5400"/>
    <s v="Debit/Credit Card"/>
    <x v="0"/>
    <s v="India"/>
    <x v="16"/>
    <s v="Surat"/>
    <s v="Comfort Shopper"/>
    <x v="1"/>
    <n v="3.8"/>
    <s v="Returned"/>
    <s v="Standard"/>
    <n v="3"/>
  </r>
  <r>
    <s v="ORD202081"/>
    <s v="CUST100498"/>
    <s v="Men"/>
    <s v="45-54"/>
    <x v="779"/>
    <x v="5"/>
    <x v="30"/>
    <x v="2"/>
    <n v="10"/>
    <s v="White"/>
    <n v="1"/>
    <n v="7799"/>
    <n v="25"/>
    <n v="5850"/>
    <n v="5850"/>
    <s v="Cash on Delivery"/>
    <x v="1"/>
    <s v="India"/>
    <x v="31"/>
    <s v="Chennai"/>
    <s v="Value Shopper"/>
    <x v="1"/>
    <n v="3.3"/>
    <s v="Delivered"/>
    <s v="Standard"/>
    <n v="5"/>
  </r>
  <r>
    <s v="ORD202420"/>
    <s v="CUST100435"/>
    <s v="Men"/>
    <s v="35-44"/>
    <x v="779"/>
    <x v="2"/>
    <x v="25"/>
    <x v="3"/>
    <n v="8"/>
    <s v="Blue"/>
    <n v="1"/>
    <n v="5499"/>
    <n v="20"/>
    <n v="4400"/>
    <n v="4400"/>
    <s v="Debit/Credit Card"/>
    <x v="1"/>
    <s v="India"/>
    <x v="2"/>
    <s v="Gurugram"/>
    <s v="Premium Shopper"/>
    <x v="1"/>
    <n v="4"/>
    <s v="Delivered"/>
    <s v="Express"/>
    <n v="3"/>
  </r>
  <r>
    <s v="ORD202807"/>
    <s v="CUST100566"/>
    <s v="Unisex"/>
    <s v="18-24"/>
    <x v="779"/>
    <x v="4"/>
    <x v="26"/>
    <x v="3"/>
    <n v="7"/>
    <s v="Green"/>
    <n v="1"/>
    <n v="5799"/>
    <n v="25"/>
    <n v="4350"/>
    <n v="4350"/>
    <s v="Cash on Delivery"/>
    <x v="0"/>
    <s v="India"/>
    <x v="30"/>
    <s v="Chandigarh"/>
    <s v="Performance Seeker"/>
    <x v="2"/>
    <n v="4.2"/>
    <s v="Delivered"/>
    <s v="Standard"/>
    <n v="5"/>
  </r>
  <r>
    <s v="ORD200010"/>
    <s v="CUST100496"/>
    <s v="Unisex"/>
    <s v="25-34"/>
    <x v="780"/>
    <x v="0"/>
    <x v="8"/>
    <x v="3"/>
    <n v="9"/>
    <s v="White"/>
    <n v="1"/>
    <n v="8099"/>
    <n v="0"/>
    <n v="8100"/>
    <n v="8100"/>
    <s v="UPI"/>
    <x v="1"/>
    <s v="India"/>
    <x v="34"/>
    <s v="Kolkata"/>
    <s v="Value Shopper"/>
    <x v="0"/>
    <n v="3.7"/>
    <s v="Delivered"/>
    <s v="Standard"/>
    <n v="3"/>
  </r>
  <r>
    <s v="ORD202070"/>
    <s v="CUST100051"/>
    <s v="Women"/>
    <s v="25-34"/>
    <x v="780"/>
    <x v="1"/>
    <x v="18"/>
    <x v="2"/>
    <n v="9"/>
    <s v="White"/>
    <n v="1"/>
    <n v="7599"/>
    <n v="5"/>
    <n v="7220"/>
    <n v="7220"/>
    <s v="Debit/Credit Card"/>
    <x v="1"/>
    <s v="India"/>
    <x v="0"/>
    <s v="Dibrugarh"/>
    <s v="Lifestyle Shopper"/>
    <x v="1"/>
    <n v="4.4000000000000004"/>
    <s v="Returned"/>
    <s v="Express"/>
    <n v="2"/>
  </r>
  <r>
    <s v="ORD201797"/>
    <s v="CUST100684"/>
    <s v="Women"/>
    <s v="25-34"/>
    <x v="781"/>
    <x v="3"/>
    <x v="28"/>
    <x v="1"/>
    <n v="6"/>
    <s v="Grey"/>
    <n v="2"/>
    <n v="2999"/>
    <n v="20"/>
    <n v="2400"/>
    <n v="4800"/>
    <s v="UPI"/>
    <x v="1"/>
    <s v="India"/>
    <x v="6"/>
    <s v="Varanasi"/>
    <s v="Performance Seeker"/>
    <x v="0"/>
    <n v="4.4000000000000004"/>
    <s v="Delivered"/>
    <s v="Standard"/>
    <n v="4"/>
  </r>
  <r>
    <s v="ORD200142"/>
    <s v="CUST100496"/>
    <s v="Men"/>
    <s v="18-24"/>
    <x v="782"/>
    <x v="3"/>
    <x v="34"/>
    <x v="3"/>
    <n v="8"/>
    <s v="Blue"/>
    <n v="1"/>
    <n v="3799"/>
    <n v="25"/>
    <n v="2850"/>
    <n v="2850"/>
    <s v="Cash on Delivery"/>
    <x v="1"/>
    <s v="India"/>
    <x v="25"/>
    <s v="Srinagar"/>
    <s v="Value Shopper"/>
    <x v="1"/>
    <n v="4.2"/>
    <s v="Cancelled"/>
    <s v="Standard"/>
    <n v="4"/>
  </r>
  <r>
    <s v="ORD201214"/>
    <s v="CUST100636"/>
    <s v="Women"/>
    <s v="35-44"/>
    <x v="782"/>
    <x v="0"/>
    <x v="0"/>
    <x v="0"/>
    <n v="11"/>
    <s v="Black"/>
    <n v="1"/>
    <n v="4099"/>
    <n v="20"/>
    <n v="3280"/>
    <n v="3280"/>
    <s v="UPI"/>
    <x v="1"/>
    <s v="India"/>
    <x v="22"/>
    <s v="Agartala"/>
    <s v="Premium Shopper"/>
    <x v="1"/>
    <n v="3.8"/>
    <s v="Returned"/>
    <s v="Express"/>
    <n v="3"/>
  </r>
  <r>
    <s v="ORD202330"/>
    <s v="CUST100664"/>
    <s v="Men"/>
    <s v="35-44"/>
    <x v="783"/>
    <x v="5"/>
    <x v="27"/>
    <x v="0"/>
    <n v="10"/>
    <s v="Red"/>
    <n v="1"/>
    <n v="5199"/>
    <n v="0"/>
    <n v="5200"/>
    <n v="5200"/>
    <s v="Cash on Delivery"/>
    <x v="2"/>
    <s v="India"/>
    <x v="10"/>
    <s v="Amli"/>
    <s v="Value Shopper"/>
    <x v="1"/>
    <n v="5"/>
    <s v="Delivered"/>
    <s v="Standard"/>
    <n v="6"/>
  </r>
  <r>
    <s v="ORD200058"/>
    <s v="CUST100854"/>
    <s v="Women"/>
    <s v="45-54"/>
    <x v="784"/>
    <x v="5"/>
    <x v="7"/>
    <x v="1"/>
    <n v="11"/>
    <s v="Grey"/>
    <n v="3"/>
    <n v="6399"/>
    <n v="20"/>
    <n v="5120"/>
    <n v="15360"/>
    <s v="Debit/Credit Card"/>
    <x v="1"/>
    <s v="India"/>
    <x v="8"/>
    <s v="Hyderabad"/>
    <s v="Premium Shopper"/>
    <x v="0"/>
    <n v="3.9"/>
    <s v="Returned"/>
    <s v="Standard"/>
    <n v="5"/>
  </r>
  <r>
    <s v="ORD201841"/>
    <s v="CUST100837"/>
    <s v="Women"/>
    <s v="25-34"/>
    <x v="784"/>
    <x v="4"/>
    <x v="22"/>
    <x v="0"/>
    <n v="9"/>
    <s v="Black"/>
    <n v="1"/>
    <n v="6699"/>
    <n v="20"/>
    <n v="5360"/>
    <n v="5360"/>
    <s v="UPI"/>
    <x v="1"/>
    <s v="India"/>
    <x v="26"/>
    <s v="Kochi"/>
    <s v="Comfort Shopper"/>
    <x v="0"/>
    <n v="2.9"/>
    <s v="Delivered"/>
    <s v="Express"/>
    <n v="2"/>
  </r>
  <r>
    <s v="ORD202421"/>
    <s v="CUST100167"/>
    <s v="Men"/>
    <s v="25-34"/>
    <x v="784"/>
    <x v="3"/>
    <x v="16"/>
    <x v="0"/>
    <n v="10"/>
    <s v="White"/>
    <n v="1"/>
    <n v="8199"/>
    <n v="20"/>
    <n v="6560"/>
    <n v="6560"/>
    <s v="UPI"/>
    <x v="0"/>
    <s v="India"/>
    <x v="32"/>
    <s v="Ranchi"/>
    <s v="Value Shopper"/>
    <x v="0"/>
    <n v="2.7"/>
    <s v="Delivered"/>
    <s v="Standard"/>
    <n v="7"/>
  </r>
  <r>
    <s v="ORD202519"/>
    <s v="CUST100144"/>
    <s v="Men"/>
    <s v="45-54"/>
    <x v="785"/>
    <x v="0"/>
    <x v="13"/>
    <x v="2"/>
    <n v="10"/>
    <s v="Black"/>
    <n v="1"/>
    <n v="6099"/>
    <n v="20"/>
    <n v="4880"/>
    <n v="4880"/>
    <s v="Debit/Credit Card"/>
    <x v="2"/>
    <s v="India"/>
    <x v="15"/>
    <s v="New Delhi"/>
    <s v="Comfort Shopper"/>
    <x v="2"/>
    <n v="4.8"/>
    <s v="Delivered"/>
    <s v="Standard"/>
    <n v="3"/>
  </r>
  <r>
    <s v="ORD201379"/>
    <s v="CUST100260"/>
    <s v="Women"/>
    <s v="25-34"/>
    <x v="786"/>
    <x v="1"/>
    <x v="10"/>
    <x v="3"/>
    <n v="8"/>
    <s v="White"/>
    <n v="1"/>
    <n v="9499"/>
    <n v="10"/>
    <n v="8550"/>
    <n v="8550"/>
    <s v="Cash on Delivery"/>
    <x v="2"/>
    <s v="India"/>
    <x v="31"/>
    <s v="Tiruchirappalli"/>
    <s v="Comfort Shopper"/>
    <x v="1"/>
    <n v="4.0999999999999996"/>
    <s v="Delivered"/>
    <s v="Standard"/>
    <n v="2"/>
  </r>
  <r>
    <s v="ORD202652"/>
    <s v="CUST100863"/>
    <s v="Women"/>
    <s v="25-34"/>
    <x v="786"/>
    <x v="1"/>
    <x v="12"/>
    <x v="4"/>
    <n v="9"/>
    <s v="Green"/>
    <n v="1"/>
    <n v="6499"/>
    <n v="20"/>
    <n v="5200"/>
    <n v="5200"/>
    <s v="Debit/Credit Card"/>
    <x v="1"/>
    <s v="India"/>
    <x v="6"/>
    <s v="Varanasi"/>
    <s v="Value Shopper"/>
    <x v="1"/>
    <n v="3.8"/>
    <s v="Delivered"/>
    <s v="Express"/>
    <n v="2"/>
  </r>
  <r>
    <s v="ORD202844"/>
    <s v="CUST100644"/>
    <s v="Women"/>
    <s v="18-24"/>
    <x v="786"/>
    <x v="1"/>
    <x v="20"/>
    <x v="2"/>
    <n v="8"/>
    <s v="Green"/>
    <n v="3"/>
    <n v="9799"/>
    <n v="5"/>
    <n v="9310"/>
    <n v="27930"/>
    <s v="Debit/Credit Card"/>
    <x v="0"/>
    <s v="India"/>
    <x v="24"/>
    <s v="Bengaluru"/>
    <s v="Comfort Shopper"/>
    <x v="0"/>
    <n v="3.2"/>
    <s v="Delivered"/>
    <s v="Standard"/>
    <n v="5"/>
  </r>
  <r>
    <s v="ORD200459"/>
    <s v="CUST100280"/>
    <s v="Women"/>
    <s v="45-54"/>
    <x v="787"/>
    <x v="0"/>
    <x v="13"/>
    <x v="2"/>
    <n v="6"/>
    <s v="Green"/>
    <n v="1"/>
    <n v="7399"/>
    <n v="5"/>
    <n v="7030"/>
    <n v="7030"/>
    <s v="Debit/Credit Card"/>
    <x v="2"/>
    <s v="India"/>
    <x v="4"/>
    <s v="Mangan"/>
    <s v="Comfort Shopper"/>
    <x v="1"/>
    <n v="4.0999999999999996"/>
    <s v="Cancelled"/>
    <s v="Standard"/>
    <n v="2"/>
  </r>
  <r>
    <s v="ORD200466"/>
    <s v="CUST100552"/>
    <s v="Men"/>
    <s v="18-24"/>
    <x v="788"/>
    <x v="5"/>
    <x v="14"/>
    <x v="3"/>
    <n v="10"/>
    <s v="White"/>
    <n v="1"/>
    <n v="7399"/>
    <n v="40"/>
    <n v="4440"/>
    <n v="4440"/>
    <s v="UPI"/>
    <x v="0"/>
    <s v="India"/>
    <x v="16"/>
    <s v="Surat"/>
    <s v="Premium Shopper"/>
    <x v="0"/>
    <n v="3.6"/>
    <s v="Cancelled"/>
    <s v="Standard"/>
    <n v="5"/>
  </r>
  <r>
    <s v="ORD201907"/>
    <s v="CUST100023"/>
    <s v="Men"/>
    <s v="55+"/>
    <x v="788"/>
    <x v="0"/>
    <x v="13"/>
    <x v="2"/>
    <n v="10"/>
    <s v="Black"/>
    <n v="1"/>
    <n v="5199"/>
    <n v="5"/>
    <n v="4940"/>
    <n v="4940"/>
    <s v="UPI"/>
    <x v="1"/>
    <s v="India"/>
    <x v="19"/>
    <s v="Jowai"/>
    <s v="Premium Shopper"/>
    <x v="2"/>
    <n v="4.2"/>
    <s v="Delivered"/>
    <s v="Express"/>
    <n v="3"/>
  </r>
  <r>
    <s v="ORD200531"/>
    <s v="CUST100735"/>
    <s v="Unisex"/>
    <s v="45-54"/>
    <x v="789"/>
    <x v="4"/>
    <x v="6"/>
    <x v="2"/>
    <n v="9"/>
    <s v="White"/>
    <n v="1"/>
    <n v="5499"/>
    <n v="30"/>
    <n v="3850"/>
    <n v="3850"/>
    <s v="Debit/Credit Card"/>
    <x v="2"/>
    <s v="India"/>
    <x v="5"/>
    <s v="Imphal"/>
    <s v="Comfort Shopper"/>
    <x v="0"/>
    <n v="4.7"/>
    <s v="Delivered"/>
    <s v="Standard"/>
    <n v="3"/>
  </r>
  <r>
    <s v="ORD202352"/>
    <s v="CUST100359"/>
    <s v="Men"/>
    <s v="18-24"/>
    <x v="789"/>
    <x v="5"/>
    <x v="30"/>
    <x v="2"/>
    <n v="7"/>
    <s v="Grey"/>
    <n v="3"/>
    <n v="8899"/>
    <n v="20"/>
    <n v="7120"/>
    <n v="21360"/>
    <s v="Debit/Credit Card"/>
    <x v="2"/>
    <s v="India"/>
    <x v="10"/>
    <s v="Amli"/>
    <s v="Value Shopper"/>
    <x v="1"/>
    <n v="5"/>
    <s v="Delivered"/>
    <s v="Standard"/>
    <n v="5"/>
  </r>
  <r>
    <s v="ORD202194"/>
    <s v="CUST100403"/>
    <s v="Women"/>
    <s v="18-24"/>
    <x v="790"/>
    <x v="1"/>
    <x v="12"/>
    <x v="4"/>
    <n v="10"/>
    <s v="Green"/>
    <n v="1"/>
    <n v="8099"/>
    <n v="20"/>
    <n v="6480"/>
    <n v="6480"/>
    <s v="UPI"/>
    <x v="1"/>
    <s v="India"/>
    <x v="35"/>
    <s v="Aizawl"/>
    <s v="Lifestyle Shopper"/>
    <x v="1"/>
    <n v="4.5"/>
    <s v="Cancelled"/>
    <s v="Same Day"/>
    <n v="1"/>
  </r>
  <r>
    <s v="ORD203019"/>
    <s v="CUST100182"/>
    <s v="Men"/>
    <s v="18-24"/>
    <x v="790"/>
    <x v="2"/>
    <x v="24"/>
    <x v="4"/>
    <n v="10"/>
    <s v="White"/>
    <n v="1"/>
    <n v="4399"/>
    <n v="20"/>
    <n v="3520"/>
    <n v="3520"/>
    <s v="UPI"/>
    <x v="2"/>
    <s v="India"/>
    <x v="11"/>
    <s v="Kavaratti"/>
    <s v="Premium Shopper"/>
    <x v="1"/>
    <n v="4.9000000000000004"/>
    <s v="Delivered"/>
    <s v="Standard"/>
    <n v="6"/>
  </r>
  <r>
    <s v="ORD200316"/>
    <s v="CUST100330"/>
    <s v="Unisex"/>
    <s v="18-24"/>
    <x v="791"/>
    <x v="5"/>
    <x v="7"/>
    <x v="1"/>
    <n v="11"/>
    <s v="Blue"/>
    <n v="1"/>
    <n v="4799"/>
    <n v="35"/>
    <n v="3120"/>
    <n v="3120"/>
    <s v="UPI"/>
    <x v="1"/>
    <s v="India"/>
    <x v="20"/>
    <s v="Dharamshala"/>
    <s v="Lifestyle Shopper"/>
    <x v="1"/>
    <n v="3"/>
    <s v="Cancelled"/>
    <s v="Standard"/>
    <n v="5"/>
  </r>
  <r>
    <s v="ORD201726"/>
    <s v="CUST100200"/>
    <s v="Women"/>
    <s v="25-34"/>
    <x v="791"/>
    <x v="5"/>
    <x v="7"/>
    <x v="1"/>
    <n v="10"/>
    <s v="Green"/>
    <n v="3"/>
    <n v="7999"/>
    <n v="10"/>
    <n v="7200"/>
    <n v="21600"/>
    <s v="UPI"/>
    <x v="2"/>
    <s v="India"/>
    <x v="34"/>
    <s v="Asansol"/>
    <s v="Premium Shopper"/>
    <x v="0"/>
    <n v="3.8"/>
    <s v="Delivered"/>
    <s v="Standard"/>
    <n v="4"/>
  </r>
  <r>
    <s v="ORD202556"/>
    <s v="CUST100541"/>
    <s v="Men"/>
    <s v="55+"/>
    <x v="792"/>
    <x v="4"/>
    <x v="22"/>
    <x v="0"/>
    <n v="12"/>
    <s v="Black"/>
    <n v="1"/>
    <n v="9099"/>
    <n v="10"/>
    <n v="8190"/>
    <n v="8190"/>
    <s v="Cash on Delivery"/>
    <x v="0"/>
    <s v="India"/>
    <x v="14"/>
    <s v="Jalandhar"/>
    <s v="Lifestyle Shopper"/>
    <x v="1"/>
    <n v="4.0999999999999996"/>
    <s v="Delivered"/>
    <s v="Express"/>
    <n v="3"/>
  </r>
  <r>
    <s v="ORD201981"/>
    <s v="CUST100854"/>
    <s v="Men"/>
    <s v="25-34"/>
    <x v="793"/>
    <x v="3"/>
    <x v="34"/>
    <x v="3"/>
    <n v="10"/>
    <s v="Black"/>
    <n v="1"/>
    <n v="3899"/>
    <n v="15"/>
    <n v="3310"/>
    <n v="3310"/>
    <s v="UPI"/>
    <x v="1"/>
    <s v="India"/>
    <x v="12"/>
    <s v="Port Blair"/>
    <s v="Lifestyle Shopper"/>
    <x v="1"/>
    <n v="5"/>
    <s v="Delivered"/>
    <s v="Standard"/>
    <n v="3"/>
  </r>
  <r>
    <s v="ORD202241"/>
    <s v="CUST100064"/>
    <s v="Unisex"/>
    <s v="25-34"/>
    <x v="793"/>
    <x v="1"/>
    <x v="10"/>
    <x v="3"/>
    <n v="7"/>
    <s v="Black"/>
    <n v="3"/>
    <n v="5499"/>
    <n v="15"/>
    <n v="4670"/>
    <n v="14010"/>
    <s v="Debit/Credit Card"/>
    <x v="2"/>
    <s v="India"/>
    <x v="8"/>
    <s v="Karimnagar"/>
    <s v="Lifestyle Shopper"/>
    <x v="1"/>
    <n v="4.8"/>
    <s v="Delivered"/>
    <s v="Standard"/>
    <n v="4"/>
  </r>
  <r>
    <s v="ORD202853"/>
    <s v="CUST100200"/>
    <s v="Women"/>
    <s v="25-34"/>
    <x v="793"/>
    <x v="4"/>
    <x v="22"/>
    <x v="0"/>
    <n v="10"/>
    <s v="Blue"/>
    <n v="1"/>
    <n v="7699"/>
    <n v="25"/>
    <n v="5770"/>
    <n v="5770"/>
    <s v="Debit/Credit Card"/>
    <x v="0"/>
    <s v="India"/>
    <x v="28"/>
    <s v="Leh"/>
    <s v="Comfort Shopper"/>
    <x v="1"/>
    <n v="4.3"/>
    <s v="Delivered"/>
    <s v="Express"/>
    <n v="1"/>
  </r>
  <r>
    <s v="ORD201781"/>
    <s v="CUST100744"/>
    <s v="Unisex"/>
    <s v="25-34"/>
    <x v="794"/>
    <x v="3"/>
    <x v="28"/>
    <x v="1"/>
    <n v="7"/>
    <s v="Green"/>
    <n v="2"/>
    <n v="6699"/>
    <n v="20"/>
    <n v="5360"/>
    <n v="10720"/>
    <s v="Cash on Delivery"/>
    <x v="1"/>
    <s v="India"/>
    <x v="34"/>
    <s v="Kolkata"/>
    <s v="Performance Seeker"/>
    <x v="1"/>
    <n v="3.7"/>
    <s v="Delivered"/>
    <s v="Standard"/>
    <n v="1"/>
  </r>
  <r>
    <s v="ORD201986"/>
    <s v="CUST100086"/>
    <s v="Women"/>
    <s v="18-24"/>
    <x v="795"/>
    <x v="3"/>
    <x v="11"/>
    <x v="4"/>
    <n v="9"/>
    <s v="Red"/>
    <n v="1"/>
    <n v="5999"/>
    <n v="20"/>
    <n v="4800"/>
    <n v="4800"/>
    <s v="Debit/Credit Card"/>
    <x v="1"/>
    <s v="India"/>
    <x v="27"/>
    <s v="Rourkela"/>
    <s v="Performance Seeker"/>
    <x v="1"/>
    <n v="4.0999999999999996"/>
    <s v="Delivered"/>
    <s v="Express"/>
    <n v="2"/>
  </r>
  <r>
    <s v="ORD202747"/>
    <s v="CUST100304"/>
    <s v="Unisex"/>
    <s v="35-44"/>
    <x v="795"/>
    <x v="4"/>
    <x v="26"/>
    <x v="3"/>
    <n v="9"/>
    <s v="White"/>
    <n v="2"/>
    <n v="5699"/>
    <n v="20"/>
    <n v="4560"/>
    <n v="9120"/>
    <s v="Debit/Credit Card"/>
    <x v="0"/>
    <s v="India"/>
    <x v="31"/>
    <s v="Tiruchirappalli"/>
    <s v="Comfort Shopper"/>
    <x v="0"/>
    <n v="5"/>
    <s v="Delivered"/>
    <s v="Standard"/>
    <n v="1"/>
  </r>
  <r>
    <s v="ORD202786"/>
    <s v="CUST100013"/>
    <s v="Men"/>
    <s v="25-34"/>
    <x v="795"/>
    <x v="4"/>
    <x v="17"/>
    <x v="4"/>
    <n v="7"/>
    <s v="Red"/>
    <n v="1"/>
    <n v="6399"/>
    <n v="20"/>
    <n v="5120"/>
    <n v="5120"/>
    <s v="Debit/Credit Card"/>
    <x v="1"/>
    <s v="India"/>
    <x v="13"/>
    <s v="Tawang"/>
    <s v="Lifestyle Shopper"/>
    <x v="2"/>
    <n v="2.9"/>
    <s v="Delivered"/>
    <s v="Same Day"/>
    <n v="1"/>
  </r>
  <r>
    <s v="ORD202429"/>
    <s v="CUST100790"/>
    <s v="Women"/>
    <s v="35-44"/>
    <x v="796"/>
    <x v="3"/>
    <x v="5"/>
    <x v="2"/>
    <n v="11"/>
    <s v="Grey"/>
    <n v="1"/>
    <n v="7399"/>
    <n v="0"/>
    <n v="7400"/>
    <n v="7400"/>
    <s v="Cash on Delivery"/>
    <x v="1"/>
    <s v="India"/>
    <x v="16"/>
    <s v="Vadodara"/>
    <s v="Performance Seeker"/>
    <x v="0"/>
    <n v="4.5"/>
    <s v="Delivered"/>
    <s v="Standard"/>
    <n v="2"/>
  </r>
  <r>
    <s v="ORD202498"/>
    <s v="CUST100442"/>
    <s v="Unisex"/>
    <s v="25-34"/>
    <x v="796"/>
    <x v="2"/>
    <x v="4"/>
    <x v="2"/>
    <n v="8"/>
    <s v="Black"/>
    <n v="1"/>
    <n v="6499"/>
    <n v="15"/>
    <n v="5520"/>
    <n v="5520"/>
    <s v="Debit/Credit Card"/>
    <x v="0"/>
    <s v="India"/>
    <x v="14"/>
    <s v="Patiala"/>
    <s v="Value Shopper"/>
    <x v="1"/>
    <n v="2.6"/>
    <s v="Delivered"/>
    <s v="Express"/>
    <n v="3"/>
  </r>
  <r>
    <s v="ORD202909"/>
    <s v="CUST101014"/>
    <s v="Women"/>
    <s v="25-34"/>
    <x v="796"/>
    <x v="2"/>
    <x v="25"/>
    <x v="3"/>
    <n v="11"/>
    <s v="White"/>
    <n v="1"/>
    <n v="4099"/>
    <n v="20"/>
    <n v="3280"/>
    <n v="3280"/>
    <s v="Debit/Credit Card"/>
    <x v="1"/>
    <s v="India"/>
    <x v="4"/>
    <s v="Namchi"/>
    <s v="Premium Shopper"/>
    <x v="0"/>
    <n v="4.2"/>
    <s v="Cancelled"/>
    <s v="Express"/>
    <n v="2"/>
  </r>
  <r>
    <s v="ORD202495"/>
    <s v="CUST100305"/>
    <s v="Women"/>
    <s v="25-34"/>
    <x v="797"/>
    <x v="3"/>
    <x v="5"/>
    <x v="2"/>
    <n v="9"/>
    <s v="Red"/>
    <n v="1"/>
    <n v="6099"/>
    <n v="20"/>
    <n v="4880"/>
    <n v="4880"/>
    <s v="UPI"/>
    <x v="1"/>
    <s v="India"/>
    <x v="21"/>
    <s v="Kohima"/>
    <s v="Value Shopper"/>
    <x v="1"/>
    <n v="4.5999999999999996"/>
    <s v="Delivered"/>
    <s v="Standard"/>
    <n v="5"/>
  </r>
  <r>
    <s v="ORD202798"/>
    <s v="CUST100112"/>
    <s v="Women"/>
    <s v="25-34"/>
    <x v="798"/>
    <x v="3"/>
    <x v="11"/>
    <x v="4"/>
    <n v="7"/>
    <s v="White"/>
    <n v="1"/>
    <n v="6499"/>
    <n v="10"/>
    <n v="5850"/>
    <n v="5850"/>
    <s v="Debit/Credit Card"/>
    <x v="1"/>
    <s v="India"/>
    <x v="1"/>
    <s v="Mapusa"/>
    <s v="Performance Seeker"/>
    <x v="2"/>
    <n v="4.3"/>
    <s v="Returned"/>
    <s v="Standard"/>
    <n v="5"/>
  </r>
  <r>
    <s v="ORD200200"/>
    <s v="CUST100109"/>
    <s v="Men"/>
    <s v="25-34"/>
    <x v="799"/>
    <x v="5"/>
    <x v="14"/>
    <x v="3"/>
    <n v="9"/>
    <s v="Red"/>
    <n v="1"/>
    <n v="5799"/>
    <n v="10"/>
    <n v="5220"/>
    <n v="5220"/>
    <s v="UPI"/>
    <x v="2"/>
    <s v="India"/>
    <x v="29"/>
    <s v="Vijayawada"/>
    <s v="Performance Seeker"/>
    <x v="2"/>
    <n v="4"/>
    <s v="Delivered"/>
    <s v="Standard"/>
    <n v="2"/>
  </r>
  <r>
    <s v="ORD200609"/>
    <s v="CUST100379"/>
    <s v="Women"/>
    <s v="25-34"/>
    <x v="800"/>
    <x v="4"/>
    <x v="29"/>
    <x v="2"/>
    <n v="8"/>
    <s v="White"/>
    <n v="1"/>
    <n v="8099"/>
    <n v="15"/>
    <n v="6880"/>
    <n v="6880"/>
    <s v="Cash on Delivery"/>
    <x v="1"/>
    <s v="India"/>
    <x v="29"/>
    <s v="Visakhapatnam"/>
    <s v="Value Shopper"/>
    <x v="1"/>
    <n v="4.3"/>
    <s v="Delivered"/>
    <s v="Express"/>
    <n v="3"/>
  </r>
  <r>
    <s v="ORD201795"/>
    <s v="CUST100211"/>
    <s v="Men"/>
    <s v="18-24"/>
    <x v="800"/>
    <x v="4"/>
    <x v="17"/>
    <x v="4"/>
    <n v="7"/>
    <s v="Grey"/>
    <n v="1"/>
    <n v="8599"/>
    <n v="15"/>
    <n v="7310"/>
    <n v="7310"/>
    <s v="Debit/Credit Card"/>
    <x v="1"/>
    <s v="India"/>
    <x v="17"/>
    <s v="Yanam"/>
    <s v="Premium Shopper"/>
    <x v="1"/>
    <n v="4.0999999999999996"/>
    <s v="Cancelled"/>
    <s v="Express"/>
    <n v="2"/>
  </r>
  <r>
    <s v="ORD202143"/>
    <s v="CUST100058"/>
    <s v="Men"/>
    <s v="25-34"/>
    <x v="800"/>
    <x v="2"/>
    <x v="32"/>
    <x v="1"/>
    <n v="11"/>
    <s v="Black"/>
    <n v="2"/>
    <n v="8099"/>
    <n v="10"/>
    <n v="7290"/>
    <n v="14580"/>
    <s v="Net Banking"/>
    <x v="2"/>
    <s v="India"/>
    <x v="1"/>
    <s v="Panaji"/>
    <s v="Comfort Shopper"/>
    <x v="1"/>
    <n v="3.9"/>
    <s v="Returned"/>
    <s v="Express"/>
    <n v="2"/>
  </r>
  <r>
    <s v="ORD202765"/>
    <s v="CUST100167"/>
    <s v="Men"/>
    <s v="25-34"/>
    <x v="800"/>
    <x v="4"/>
    <x v="22"/>
    <x v="0"/>
    <n v="11"/>
    <s v="Blue"/>
    <n v="1"/>
    <n v="6799"/>
    <n v="20"/>
    <n v="5440"/>
    <n v="5440"/>
    <s v="UPI"/>
    <x v="2"/>
    <s v="India"/>
    <x v="23"/>
    <s v="Haldwani"/>
    <s v="Value Shopper"/>
    <x v="1"/>
    <n v="3.1"/>
    <s v="Cancelled"/>
    <s v="Express"/>
    <n v="1"/>
  </r>
  <r>
    <s v="ORD201029"/>
    <s v="CUST100140"/>
    <s v="Women"/>
    <s v="45-54"/>
    <x v="801"/>
    <x v="4"/>
    <x v="29"/>
    <x v="2"/>
    <n v="10"/>
    <s v="Grey"/>
    <n v="1"/>
    <n v="6999"/>
    <n v="10"/>
    <n v="6300"/>
    <n v="6300"/>
    <s v="Debit/Credit Card"/>
    <x v="2"/>
    <s v="India"/>
    <x v="8"/>
    <s v="Nizamabad"/>
    <s v="Value Shopper"/>
    <x v="0"/>
    <n v="4.4000000000000004"/>
    <s v="Cancelled"/>
    <s v="Express"/>
    <n v="3"/>
  </r>
  <r>
    <s v="ORD200091"/>
    <s v="CUST100507"/>
    <s v="Men"/>
    <s v="45-54"/>
    <x v="802"/>
    <x v="3"/>
    <x v="35"/>
    <x v="2"/>
    <n v="11"/>
    <s v="Black"/>
    <n v="1"/>
    <n v="5999"/>
    <n v="10"/>
    <n v="5400"/>
    <n v="5400"/>
    <s v="UPI"/>
    <x v="2"/>
    <s v="India"/>
    <x v="31"/>
    <s v="Chennai"/>
    <s v="Comfort Shopper"/>
    <x v="0"/>
    <n v="3.8"/>
    <s v="Returned"/>
    <s v="Standard"/>
    <n v="2"/>
  </r>
  <r>
    <s v="ORD202296"/>
    <s v="CUST100286"/>
    <s v="Men"/>
    <s v="45-54"/>
    <x v="802"/>
    <x v="0"/>
    <x v="0"/>
    <x v="0"/>
    <n v="7"/>
    <s v="White"/>
    <n v="2"/>
    <n v="7199"/>
    <n v="25"/>
    <n v="5400"/>
    <n v="10800"/>
    <s v="UPI"/>
    <x v="1"/>
    <s v="India"/>
    <x v="32"/>
    <s v="Ranchi"/>
    <s v="Value Shopper"/>
    <x v="1"/>
    <n v="4.5999999999999996"/>
    <s v="Delivered"/>
    <s v="Same Day"/>
    <n v="1"/>
  </r>
  <r>
    <s v="ORD202872"/>
    <s v="CUST100511"/>
    <s v="Unisex"/>
    <s v="18-24"/>
    <x v="802"/>
    <x v="2"/>
    <x v="25"/>
    <x v="3"/>
    <n v="9"/>
    <s v="Green"/>
    <n v="1"/>
    <n v="7299"/>
    <n v="30"/>
    <n v="5110"/>
    <n v="5110"/>
    <s v="UPI"/>
    <x v="0"/>
    <s v="India"/>
    <x v="10"/>
    <s v="Amli"/>
    <s v="Performance Seeker"/>
    <x v="1"/>
    <n v="2.7"/>
    <s v="Returned"/>
    <s v="Standard"/>
    <n v="4"/>
  </r>
  <r>
    <s v="ORD200242"/>
    <s v="CUST100086"/>
    <s v="Men"/>
    <s v="45-54"/>
    <x v="803"/>
    <x v="3"/>
    <x v="34"/>
    <x v="3"/>
    <n v="8"/>
    <s v="Blue"/>
    <n v="2"/>
    <n v="5399"/>
    <n v="25"/>
    <n v="4050"/>
    <n v="8100"/>
    <s v="UPI"/>
    <x v="1"/>
    <s v="India"/>
    <x v="12"/>
    <s v="Mayabunder"/>
    <s v="Comfort Shopper"/>
    <x v="1"/>
    <n v="4.4000000000000004"/>
    <s v="Delivered"/>
    <s v="Standard"/>
    <n v="5"/>
  </r>
  <r>
    <s v="ORD200409"/>
    <s v="CUST100147"/>
    <s v="Women"/>
    <s v="35-44"/>
    <x v="803"/>
    <x v="1"/>
    <x v="18"/>
    <x v="2"/>
    <n v="11"/>
    <s v="Grey"/>
    <n v="2"/>
    <n v="9699"/>
    <n v="25"/>
    <n v="7270"/>
    <n v="14540"/>
    <s v="Debit/Credit Card"/>
    <x v="0"/>
    <s v="India"/>
    <x v="11"/>
    <s v="Amini"/>
    <s v="Comfort Shopper"/>
    <x v="1"/>
    <n v="4.2"/>
    <s v="Delivered"/>
    <s v="Express"/>
    <n v="2"/>
  </r>
  <r>
    <s v="ORD200092"/>
    <s v="CUST100941"/>
    <s v="Women"/>
    <s v="25-34"/>
    <x v="804"/>
    <x v="0"/>
    <x v="0"/>
    <x v="0"/>
    <n v="7"/>
    <s v="Green"/>
    <n v="1"/>
    <n v="4699"/>
    <n v="15"/>
    <n v="3990"/>
    <n v="3990"/>
    <s v="UPI"/>
    <x v="2"/>
    <s v="India"/>
    <x v="15"/>
    <s v="Delhi"/>
    <s v="Value Shopper"/>
    <x v="0"/>
    <n v="3.2"/>
    <s v="Delivered"/>
    <s v="Standard"/>
    <n v="5"/>
  </r>
  <r>
    <s v="ORD200704"/>
    <s v="CUST100094"/>
    <s v="Men"/>
    <s v="35-44"/>
    <x v="804"/>
    <x v="4"/>
    <x v="22"/>
    <x v="0"/>
    <n v="7"/>
    <s v="Grey"/>
    <n v="1"/>
    <n v="6099"/>
    <n v="20"/>
    <n v="4880"/>
    <n v="4880"/>
    <s v="UPI"/>
    <x v="1"/>
    <s v="India"/>
    <x v="12"/>
    <s v="Diglipur"/>
    <s v="Value Shopper"/>
    <x v="2"/>
    <n v="5"/>
    <s v="Delivered"/>
    <s v="Standard"/>
    <n v="2"/>
  </r>
  <r>
    <s v="ORD200858"/>
    <s v="CUST100265"/>
    <s v="Women"/>
    <s v="45-54"/>
    <x v="804"/>
    <x v="3"/>
    <x v="11"/>
    <x v="4"/>
    <n v="11"/>
    <s v="Blue"/>
    <n v="1"/>
    <n v="7299"/>
    <n v="5"/>
    <n v="6930"/>
    <n v="6930"/>
    <s v="Debit/Credit Card"/>
    <x v="1"/>
    <s v="India"/>
    <x v="22"/>
    <s v="Dharmanagar"/>
    <s v="Performance Seeker"/>
    <x v="1"/>
    <n v="3.5"/>
    <s v="Delivered"/>
    <s v="Standard"/>
    <n v="2"/>
  </r>
  <r>
    <s v="ORD200453"/>
    <s v="CUST100238"/>
    <s v="Men"/>
    <s v="25-34"/>
    <x v="805"/>
    <x v="4"/>
    <x v="9"/>
    <x v="1"/>
    <n v="11"/>
    <s v="Blue"/>
    <n v="1"/>
    <n v="5899"/>
    <n v="5"/>
    <n v="5600"/>
    <n v="5600"/>
    <s v="UPI"/>
    <x v="1"/>
    <s v="India"/>
    <x v="24"/>
    <s v="Bengaluru"/>
    <s v="Lifestyle Shopper"/>
    <x v="1"/>
    <n v="4.3"/>
    <s v="Delivered"/>
    <s v="Standard"/>
    <n v="3"/>
  </r>
  <r>
    <s v="ORD200883"/>
    <s v="CUST100843"/>
    <s v="Men"/>
    <s v="18-24"/>
    <x v="805"/>
    <x v="3"/>
    <x v="16"/>
    <x v="0"/>
    <n v="8"/>
    <s v="Blue"/>
    <n v="2"/>
    <n v="8899"/>
    <n v="15"/>
    <n v="7560"/>
    <n v="15120"/>
    <s v="UPI"/>
    <x v="2"/>
    <s v="India"/>
    <x v="23"/>
    <s v="Haldwani"/>
    <s v="Premium Shopper"/>
    <x v="0"/>
    <n v="4.0999999999999996"/>
    <s v="Cancelled"/>
    <s v="Express"/>
    <n v="1"/>
  </r>
  <r>
    <s v="ORD201987"/>
    <s v="CUST100439"/>
    <s v="Unisex"/>
    <s v="35-44"/>
    <x v="805"/>
    <x v="4"/>
    <x v="22"/>
    <x v="0"/>
    <n v="10"/>
    <s v="White"/>
    <n v="1"/>
    <n v="7999"/>
    <n v="10"/>
    <n v="7200"/>
    <n v="7200"/>
    <s v="UPI"/>
    <x v="2"/>
    <s v="India"/>
    <x v="16"/>
    <s v="Ahmedabad"/>
    <s v="Value Shopper"/>
    <x v="2"/>
    <n v="4.5999999999999996"/>
    <s v="Returned"/>
    <s v="Standard"/>
    <n v="4"/>
  </r>
  <r>
    <s v="ORD202150"/>
    <s v="CUST100840"/>
    <s v="Men"/>
    <s v="18-24"/>
    <x v="805"/>
    <x v="5"/>
    <x v="7"/>
    <x v="1"/>
    <n v="10"/>
    <s v="Red"/>
    <n v="2"/>
    <n v="6599"/>
    <n v="15"/>
    <n v="5610"/>
    <n v="11220"/>
    <s v="UPI"/>
    <x v="1"/>
    <s v="India"/>
    <x v="33"/>
    <s v="Pune"/>
    <s v="Performance Seeker"/>
    <x v="1"/>
    <n v="3.3"/>
    <s v="Delivered"/>
    <s v="Standard"/>
    <n v="5"/>
  </r>
  <r>
    <s v="ORD201639"/>
    <s v="CUST100115"/>
    <s v="Men"/>
    <s v="35-44"/>
    <x v="806"/>
    <x v="4"/>
    <x v="6"/>
    <x v="2"/>
    <n v="6"/>
    <s v="Black"/>
    <n v="1"/>
    <n v="8699"/>
    <n v="15"/>
    <n v="7390"/>
    <n v="7390"/>
    <s v="Cash on Delivery"/>
    <x v="1"/>
    <s v="India"/>
    <x v="24"/>
    <s v="Hubballi"/>
    <s v="Lifestyle Shopper"/>
    <x v="1"/>
    <n v="3.8"/>
    <s v="Delivered"/>
    <s v="Standard"/>
    <n v="3"/>
  </r>
  <r>
    <s v="ORD202762"/>
    <s v="CUST100174"/>
    <s v="Unisex"/>
    <s v="55+"/>
    <x v="806"/>
    <x v="2"/>
    <x v="32"/>
    <x v="1"/>
    <n v="9"/>
    <s v="Black"/>
    <n v="1"/>
    <n v="4999"/>
    <n v="35"/>
    <n v="3250"/>
    <n v="3250"/>
    <s v="UPI"/>
    <x v="0"/>
    <s v="India"/>
    <x v="6"/>
    <s v="Lucknow"/>
    <s v="Comfort Shopper"/>
    <x v="1"/>
    <n v="4.8"/>
    <s v="Delivered"/>
    <s v="Express"/>
    <n v="4"/>
  </r>
  <r>
    <s v="ORD202902"/>
    <s v="CUST100046"/>
    <s v="Women"/>
    <s v="35-44"/>
    <x v="807"/>
    <x v="0"/>
    <x v="31"/>
    <x v="1"/>
    <n v="9"/>
    <s v="Black"/>
    <n v="1"/>
    <n v="7399"/>
    <n v="15"/>
    <n v="6290"/>
    <n v="6290"/>
    <s v="Debit/Credit Card"/>
    <x v="0"/>
    <s v="India"/>
    <x v="20"/>
    <s v="Mandi"/>
    <s v="Comfort Shopper"/>
    <x v="1"/>
    <n v="5"/>
    <s v="Delivered"/>
    <s v="Standard"/>
    <n v="5"/>
  </r>
  <r>
    <s v="ORD200854"/>
    <s v="CUST100785"/>
    <s v="Unisex"/>
    <s v="45-54"/>
    <x v="808"/>
    <x v="1"/>
    <x v="10"/>
    <x v="3"/>
    <n v="7"/>
    <s v="Black"/>
    <n v="1"/>
    <n v="6599"/>
    <n v="20"/>
    <n v="5280"/>
    <n v="5280"/>
    <s v="UPI"/>
    <x v="1"/>
    <s v="India"/>
    <x v="22"/>
    <s v="Dharmanagar"/>
    <s v="Lifestyle Shopper"/>
    <x v="1"/>
    <n v="3.4"/>
    <s v="Delivered"/>
    <s v="Standard"/>
    <n v="6"/>
  </r>
  <r>
    <s v="ORD202071"/>
    <s v="CUST100751"/>
    <s v="Women"/>
    <s v="35-44"/>
    <x v="808"/>
    <x v="4"/>
    <x v="6"/>
    <x v="2"/>
    <n v="8"/>
    <s v="Red"/>
    <n v="1"/>
    <n v="8799"/>
    <n v="25"/>
    <n v="6600"/>
    <n v="6600"/>
    <s v="UPI"/>
    <x v="1"/>
    <s v="India"/>
    <x v="14"/>
    <s v="Ludhiana"/>
    <s v="Value Shopper"/>
    <x v="0"/>
    <n v="4.8"/>
    <s v="Delivered"/>
    <s v="Standard"/>
    <n v="2"/>
  </r>
  <r>
    <s v="ORD201230"/>
    <s v="CUST100429"/>
    <s v="Unisex"/>
    <s v="55+"/>
    <x v="809"/>
    <x v="5"/>
    <x v="21"/>
    <x v="2"/>
    <n v="9"/>
    <s v="Red"/>
    <n v="1"/>
    <n v="7499"/>
    <n v="15"/>
    <n v="6370"/>
    <n v="6370"/>
    <s v="Net Banking"/>
    <x v="1"/>
    <s v="India"/>
    <x v="3"/>
    <s v="Jodhpur"/>
    <s v="Value Shopper"/>
    <x v="0"/>
    <n v="3.3"/>
    <s v="Delivered"/>
    <s v="Express"/>
    <n v="2"/>
  </r>
  <r>
    <s v="ORD200532"/>
    <s v="CUST100783"/>
    <s v="Men"/>
    <s v="45-54"/>
    <x v="810"/>
    <x v="3"/>
    <x v="34"/>
    <x v="3"/>
    <n v="10"/>
    <s v="Grey"/>
    <n v="2"/>
    <n v="7799"/>
    <n v="35"/>
    <n v="5070"/>
    <n v="10140"/>
    <s v="Debit/Credit Card"/>
    <x v="0"/>
    <s v="India"/>
    <x v="34"/>
    <s v="Durgapur"/>
    <s v="Premium Shopper"/>
    <x v="0"/>
    <n v="4.2"/>
    <s v="Returned"/>
    <s v="Standard"/>
    <n v="1"/>
  </r>
  <r>
    <s v="ORD201019"/>
    <s v="CUST100217"/>
    <s v="Unisex"/>
    <s v="18-24"/>
    <x v="811"/>
    <x v="2"/>
    <x v="23"/>
    <x v="0"/>
    <n v="8"/>
    <s v="Grey"/>
    <n v="1"/>
    <n v="5099"/>
    <n v="15"/>
    <n v="4330"/>
    <n v="4330"/>
    <s v="Cash on Delivery"/>
    <x v="1"/>
    <s v="India"/>
    <x v="31"/>
    <s v="Tiruchirappalli"/>
    <s v="Performance Seeker"/>
    <x v="0"/>
    <n v="4.3"/>
    <s v="Delivered"/>
    <s v="Express"/>
    <n v="2"/>
  </r>
  <r>
    <s v="ORD202001"/>
    <s v="CUST100785"/>
    <s v="Men"/>
    <s v="45-54"/>
    <x v="811"/>
    <x v="4"/>
    <x v="22"/>
    <x v="0"/>
    <n v="8"/>
    <s v="Grey"/>
    <n v="1"/>
    <n v="6499"/>
    <n v="15"/>
    <n v="5520"/>
    <n v="5520"/>
    <s v="Debit/Credit Card"/>
    <x v="1"/>
    <s v="India"/>
    <x v="17"/>
    <s v="Karaikal"/>
    <s v="Performance Seeker"/>
    <x v="2"/>
    <n v="4.3"/>
    <s v="Delivered"/>
    <s v="Standard"/>
    <n v="5"/>
  </r>
  <r>
    <s v="ORD200237"/>
    <s v="CUST100668"/>
    <s v="Men"/>
    <s v="55+"/>
    <x v="812"/>
    <x v="2"/>
    <x v="25"/>
    <x v="3"/>
    <n v="7"/>
    <s v="Grey"/>
    <n v="2"/>
    <n v="4899"/>
    <n v="10"/>
    <n v="4410"/>
    <n v="8820"/>
    <s v="Debit/Credit Card"/>
    <x v="2"/>
    <s v="India"/>
    <x v="9"/>
    <s v="Muzaffarpur"/>
    <s v="Lifestyle Shopper"/>
    <x v="0"/>
    <n v="4.5"/>
    <s v="Returned"/>
    <s v="Express"/>
    <n v="2"/>
  </r>
  <r>
    <s v="ORD201592"/>
    <s v="CUST100012"/>
    <s v="Men"/>
    <s v="45-54"/>
    <x v="812"/>
    <x v="3"/>
    <x v="34"/>
    <x v="3"/>
    <n v="12"/>
    <s v="White"/>
    <n v="2"/>
    <n v="6099"/>
    <n v="0"/>
    <n v="6100"/>
    <n v="12200"/>
    <s v="UPI"/>
    <x v="2"/>
    <s v="India"/>
    <x v="7"/>
    <s v="Bhopal"/>
    <s v="Lifestyle Shopper"/>
    <x v="2"/>
    <n v="4.5999999999999996"/>
    <s v="Returned"/>
    <s v="Standard"/>
    <n v="4"/>
  </r>
  <r>
    <s v="ORD202547"/>
    <s v="CUST100456"/>
    <s v="Women"/>
    <s v="35-44"/>
    <x v="812"/>
    <x v="2"/>
    <x v="23"/>
    <x v="0"/>
    <n v="7"/>
    <s v="Red"/>
    <n v="1"/>
    <n v="3999"/>
    <n v="20"/>
    <n v="3200"/>
    <n v="3200"/>
    <s v="UPI"/>
    <x v="0"/>
    <s v="India"/>
    <x v="8"/>
    <s v="Nizamabad"/>
    <s v="Performance Seeker"/>
    <x v="0"/>
    <n v="4.5999999999999996"/>
    <s v="Returned"/>
    <s v="Standard"/>
    <n v="3"/>
  </r>
  <r>
    <s v="ORD202865"/>
    <s v="CUST100083"/>
    <s v="Men"/>
    <s v="55+"/>
    <x v="812"/>
    <x v="0"/>
    <x v="31"/>
    <x v="1"/>
    <n v="9"/>
    <s v="White"/>
    <n v="3"/>
    <n v="4899"/>
    <n v="10"/>
    <n v="4410"/>
    <n v="13230"/>
    <s v="UPI"/>
    <x v="2"/>
    <s v="India"/>
    <x v="29"/>
    <s v="Tirupati"/>
    <s v="Performance Seeker"/>
    <x v="1"/>
    <n v="3.6"/>
    <s v="Delivered"/>
    <s v="Express"/>
    <n v="2"/>
  </r>
  <r>
    <s v="ORD200364"/>
    <s v="CUST100766"/>
    <s v="Women"/>
    <s v="45-54"/>
    <x v="813"/>
    <x v="2"/>
    <x v="3"/>
    <x v="2"/>
    <n v="10"/>
    <s v="Black"/>
    <n v="1"/>
    <n v="7299"/>
    <n v="10"/>
    <n v="6570"/>
    <n v="6570"/>
    <s v="UPI"/>
    <x v="2"/>
    <s v="India"/>
    <x v="3"/>
    <s v="Jaipur"/>
    <s v="Premium Shopper"/>
    <x v="1"/>
    <n v="3.8"/>
    <s v="Cancelled"/>
    <s v="Express"/>
    <n v="2"/>
  </r>
  <r>
    <s v="ORD202293"/>
    <s v="CUST100671"/>
    <s v="Men"/>
    <s v="25-34"/>
    <x v="813"/>
    <x v="2"/>
    <x v="32"/>
    <x v="1"/>
    <n v="7"/>
    <s v="Black"/>
    <n v="2"/>
    <n v="5799"/>
    <n v="10"/>
    <n v="5220"/>
    <n v="10440"/>
    <s v="UPI"/>
    <x v="1"/>
    <s v="India"/>
    <x v="26"/>
    <s v="Kochi"/>
    <s v="Value Shopper"/>
    <x v="1"/>
    <n v="2.6"/>
    <s v="Delivered"/>
    <s v="Express"/>
    <n v="3"/>
  </r>
  <r>
    <s v="ORD202788"/>
    <s v="CUST101045"/>
    <s v="Men"/>
    <s v="25-34"/>
    <x v="813"/>
    <x v="4"/>
    <x v="29"/>
    <x v="2"/>
    <n v="9"/>
    <s v="Black"/>
    <n v="1"/>
    <n v="4999"/>
    <n v="25"/>
    <n v="3750"/>
    <n v="3750"/>
    <s v="UPI"/>
    <x v="2"/>
    <s v="India"/>
    <x v="13"/>
    <s v="Naharlagun"/>
    <s v="Lifestyle Shopper"/>
    <x v="1"/>
    <n v="3.9"/>
    <s v="Delivered"/>
    <s v="Standard"/>
    <n v="3"/>
  </r>
  <r>
    <s v="ORD202985"/>
    <s v="CUST100459"/>
    <s v="Unisex"/>
    <s v="35-44"/>
    <x v="813"/>
    <x v="4"/>
    <x v="17"/>
    <x v="4"/>
    <n v="9"/>
    <s v="White"/>
    <n v="1"/>
    <n v="5199"/>
    <n v="15"/>
    <n v="4420"/>
    <n v="4420"/>
    <s v="Debit/Credit Card"/>
    <x v="2"/>
    <s v="India"/>
    <x v="15"/>
    <s v="New Delhi"/>
    <s v="Comfort Shopper"/>
    <x v="0"/>
    <n v="4.7"/>
    <s v="Delivered"/>
    <s v="Express"/>
    <n v="2"/>
  </r>
  <r>
    <s v="ORD200554"/>
    <s v="CUST100011"/>
    <s v="Unisex"/>
    <s v="45-54"/>
    <x v="814"/>
    <x v="2"/>
    <x v="25"/>
    <x v="3"/>
    <n v="8"/>
    <s v="Red"/>
    <n v="2"/>
    <n v="3999"/>
    <n v="10"/>
    <n v="3600"/>
    <n v="7200"/>
    <s v="UPI"/>
    <x v="0"/>
    <s v="India"/>
    <x v="3"/>
    <s v="Udaipur"/>
    <s v="Value Shopper"/>
    <x v="2"/>
    <n v="3.9"/>
    <s v="Delivered"/>
    <s v="Standard"/>
    <n v="4"/>
  </r>
  <r>
    <s v="ORD200702"/>
    <s v="CUST100506"/>
    <s v="Women"/>
    <s v="45-54"/>
    <x v="815"/>
    <x v="3"/>
    <x v="34"/>
    <x v="3"/>
    <n v="10"/>
    <s v="Blue"/>
    <n v="1"/>
    <n v="4699"/>
    <n v="35"/>
    <n v="3050"/>
    <n v="3050"/>
    <s v="Debit/Credit Card"/>
    <x v="1"/>
    <s v="India"/>
    <x v="8"/>
    <s v="Hyderabad"/>
    <s v="Premium Shopper"/>
    <x v="0"/>
    <n v="3.7"/>
    <s v="Delivered"/>
    <s v="Express"/>
    <n v="4"/>
  </r>
  <r>
    <s v="ORD200043"/>
    <s v="CUST100584"/>
    <s v="Women"/>
    <s v="35-44"/>
    <x v="816"/>
    <x v="1"/>
    <x v="1"/>
    <x v="1"/>
    <n v="8"/>
    <s v="Blue"/>
    <n v="1"/>
    <n v="8899"/>
    <n v="15"/>
    <n v="7560"/>
    <n v="7560"/>
    <s v="UPI"/>
    <x v="1"/>
    <s v="India"/>
    <x v="30"/>
    <s v="Daria"/>
    <s v="Comfort Shopper"/>
    <x v="1"/>
    <n v="3.4"/>
    <s v="Delivered"/>
    <s v="Standard"/>
    <n v="4"/>
  </r>
  <r>
    <s v="ORD200800"/>
    <s v="CUST100734"/>
    <s v="Women"/>
    <s v="25-34"/>
    <x v="816"/>
    <x v="0"/>
    <x v="0"/>
    <x v="0"/>
    <n v="9"/>
    <s v="Grey"/>
    <n v="1"/>
    <n v="4999"/>
    <n v="0"/>
    <n v="5000"/>
    <n v="5000"/>
    <s v="UPI"/>
    <x v="2"/>
    <s v="India"/>
    <x v="14"/>
    <s v="Amritsar"/>
    <s v="Premium Shopper"/>
    <x v="0"/>
    <n v="4.2"/>
    <s v="Delivered"/>
    <s v="Standard"/>
    <n v="4"/>
  </r>
  <r>
    <s v="ORD200888"/>
    <s v="CUST100150"/>
    <s v="Women"/>
    <s v="45-54"/>
    <x v="817"/>
    <x v="5"/>
    <x v="30"/>
    <x v="2"/>
    <n v="8"/>
    <s v="Black"/>
    <n v="2"/>
    <n v="4999"/>
    <n v="0"/>
    <n v="5000"/>
    <n v="10000"/>
    <s v="Debit/Credit Card"/>
    <x v="2"/>
    <s v="India"/>
    <x v="11"/>
    <s v="Kavaratti"/>
    <s v="Premium Shopper"/>
    <x v="1"/>
    <n v="3.5"/>
    <s v="Cancelled"/>
    <s v="Standard"/>
    <n v="5"/>
  </r>
  <r>
    <s v="ORD201437"/>
    <s v="CUST100020"/>
    <s v="Unisex"/>
    <s v="25-34"/>
    <x v="817"/>
    <x v="2"/>
    <x v="32"/>
    <x v="1"/>
    <n v="11"/>
    <s v="White"/>
    <n v="1"/>
    <n v="7199"/>
    <n v="0"/>
    <n v="7200"/>
    <n v="7200"/>
    <s v="UPI"/>
    <x v="2"/>
    <s v="India"/>
    <x v="1"/>
    <s v="Vasco da Gama"/>
    <s v="Lifestyle Shopper"/>
    <x v="0"/>
    <n v="4.5"/>
    <s v="Delivered"/>
    <s v="Standard"/>
    <n v="5"/>
  </r>
  <r>
    <s v="ORD201884"/>
    <s v="CUST100797"/>
    <s v="Women"/>
    <s v="18-24"/>
    <x v="817"/>
    <x v="5"/>
    <x v="7"/>
    <x v="1"/>
    <n v="10"/>
    <s v="Blue"/>
    <n v="3"/>
    <n v="9299"/>
    <n v="40"/>
    <n v="5580"/>
    <n v="16740"/>
    <s v="UPI"/>
    <x v="2"/>
    <s v="India"/>
    <x v="24"/>
    <s v="Mysuru"/>
    <s v="Performance Seeker"/>
    <x v="0"/>
    <n v="4.3"/>
    <s v="Delivered"/>
    <s v="Standard"/>
    <n v="7"/>
  </r>
  <r>
    <s v="ORD200087"/>
    <s v="CUST100759"/>
    <s v="Men"/>
    <s v="35-44"/>
    <x v="818"/>
    <x v="0"/>
    <x v="2"/>
    <x v="2"/>
    <n v="10"/>
    <s v="Black"/>
    <n v="2"/>
    <n v="8599"/>
    <n v="35"/>
    <n v="5590"/>
    <n v="11180"/>
    <s v="Debit/Credit Card"/>
    <x v="2"/>
    <s v="India"/>
    <x v="2"/>
    <s v="Panipat"/>
    <s v="Performance Seeker"/>
    <x v="1"/>
    <n v="4.5"/>
    <s v="Returned"/>
    <s v="Same Day"/>
    <n v="1"/>
  </r>
  <r>
    <s v="ORD200841"/>
    <s v="CUST100185"/>
    <s v="Women"/>
    <s v="45-54"/>
    <x v="818"/>
    <x v="0"/>
    <x v="31"/>
    <x v="1"/>
    <n v="7"/>
    <s v="Green"/>
    <n v="1"/>
    <n v="5499"/>
    <n v="35"/>
    <n v="3570"/>
    <n v="3570"/>
    <s v="UPI"/>
    <x v="1"/>
    <s v="India"/>
    <x v="5"/>
    <s v="Churachandpur"/>
    <s v="Comfort Shopper"/>
    <x v="1"/>
    <n v="4.7"/>
    <s v="Delivered"/>
    <s v="Standard"/>
    <n v="4"/>
  </r>
  <r>
    <s v="ORD200162"/>
    <s v="CUST100758"/>
    <s v="Women"/>
    <s v="35-44"/>
    <x v="819"/>
    <x v="1"/>
    <x v="18"/>
    <x v="2"/>
    <n v="8"/>
    <s v="White"/>
    <n v="3"/>
    <n v="8499"/>
    <n v="20"/>
    <n v="6800"/>
    <n v="20400"/>
    <s v="Debit/Credit Card"/>
    <x v="1"/>
    <s v="India"/>
    <x v="30"/>
    <s v="Burail"/>
    <s v="Comfort Shopper"/>
    <x v="1"/>
    <n v="3.4"/>
    <s v="Delivered"/>
    <s v="Standard"/>
    <n v="3"/>
  </r>
  <r>
    <s v="ORD201642"/>
    <s v="CUST101011"/>
    <s v="Men"/>
    <s v="25-34"/>
    <x v="819"/>
    <x v="0"/>
    <x v="19"/>
    <x v="4"/>
    <n v="6"/>
    <s v="Black"/>
    <n v="1"/>
    <n v="3699"/>
    <n v="25"/>
    <n v="2770"/>
    <n v="2770"/>
    <s v="Cash on Delivery"/>
    <x v="0"/>
    <s v="India"/>
    <x v="33"/>
    <s v="Mumbai"/>
    <s v="Premium Shopper"/>
    <x v="1"/>
    <n v="3.2"/>
    <s v="Delivered"/>
    <s v="Standard"/>
    <n v="6"/>
  </r>
  <r>
    <s v="ORD202333"/>
    <s v="CUST100517"/>
    <s v="Men"/>
    <s v="45-54"/>
    <x v="819"/>
    <x v="1"/>
    <x v="18"/>
    <x v="2"/>
    <n v="7"/>
    <s v="White"/>
    <n v="1"/>
    <n v="9799"/>
    <n v="20"/>
    <n v="7840"/>
    <n v="7840"/>
    <s v="Debit/Credit Card"/>
    <x v="0"/>
    <s v="India"/>
    <x v="15"/>
    <s v="Rohini"/>
    <s v="Value Shopper"/>
    <x v="1"/>
    <n v="5"/>
    <s v="Delivered"/>
    <s v="Standard"/>
    <n v="2"/>
  </r>
  <r>
    <s v="ORD200049"/>
    <s v="CUST100665"/>
    <s v="Men"/>
    <s v="45-54"/>
    <x v="820"/>
    <x v="5"/>
    <x v="30"/>
    <x v="2"/>
    <n v="9"/>
    <s v="Green"/>
    <n v="1"/>
    <n v="6599"/>
    <n v="10"/>
    <n v="5940"/>
    <n v="5940"/>
    <s v="UPI"/>
    <x v="1"/>
    <s v="India"/>
    <x v="5"/>
    <s v="Kakching"/>
    <s v="Performance Seeker"/>
    <x v="0"/>
    <n v="3.6"/>
    <s v="Cancelled"/>
    <s v="Standard"/>
    <n v="3"/>
  </r>
  <r>
    <s v="ORD200843"/>
    <s v="CUST100881"/>
    <s v="Women"/>
    <s v="45-54"/>
    <x v="820"/>
    <x v="2"/>
    <x v="4"/>
    <x v="2"/>
    <n v="6"/>
    <s v="Grey"/>
    <n v="1"/>
    <n v="3499"/>
    <n v="15"/>
    <n v="2970"/>
    <n v="2970"/>
    <s v="UPI"/>
    <x v="1"/>
    <s v="India"/>
    <x v="0"/>
    <s v="Silchar"/>
    <s v="Performance Seeker"/>
    <x v="1"/>
    <n v="4.0999999999999996"/>
    <s v="Delivered"/>
    <s v="Express"/>
    <n v="2"/>
  </r>
  <r>
    <s v="ORD201216"/>
    <s v="CUST100920"/>
    <s v="Men"/>
    <s v="35-44"/>
    <x v="820"/>
    <x v="2"/>
    <x v="25"/>
    <x v="3"/>
    <n v="10"/>
    <s v="Red"/>
    <n v="1"/>
    <n v="5599"/>
    <n v="10"/>
    <n v="5040"/>
    <n v="5040"/>
    <s v="UPI"/>
    <x v="0"/>
    <s v="India"/>
    <x v="35"/>
    <s v="Champhai"/>
    <s v="Performance Seeker"/>
    <x v="2"/>
    <n v="3.3"/>
    <s v="Cancelled"/>
    <s v="Standard"/>
    <n v="5"/>
  </r>
  <r>
    <s v="ORD200072"/>
    <s v="CUST100710"/>
    <s v="Men"/>
    <s v="25-34"/>
    <x v="821"/>
    <x v="3"/>
    <x v="11"/>
    <x v="4"/>
    <n v="10"/>
    <s v="Grey"/>
    <n v="1"/>
    <n v="6399"/>
    <n v="15"/>
    <n v="5440"/>
    <n v="5440"/>
    <s v="UPI"/>
    <x v="2"/>
    <s v="India"/>
    <x v="18"/>
    <s v="Bilaspur"/>
    <s v="Lifestyle Shopper"/>
    <x v="1"/>
    <n v="4.5"/>
    <s v="Cancelled"/>
    <s v="Standard"/>
    <n v="3"/>
  </r>
  <r>
    <s v="ORD200464"/>
    <s v="CUST100256"/>
    <s v="Men"/>
    <s v="35-44"/>
    <x v="821"/>
    <x v="4"/>
    <x v="17"/>
    <x v="4"/>
    <n v="7"/>
    <s v="Black"/>
    <n v="2"/>
    <n v="6399"/>
    <n v="40"/>
    <n v="3840"/>
    <n v="7680"/>
    <s v="UPI"/>
    <x v="1"/>
    <s v="India"/>
    <x v="24"/>
    <s v="Mangaluru"/>
    <s v="Premium Shopper"/>
    <x v="1"/>
    <n v="3.8"/>
    <s v="Delivered"/>
    <s v="Standard"/>
    <n v="3"/>
  </r>
  <r>
    <s v="ORD202148"/>
    <s v="CUST100563"/>
    <s v="Women"/>
    <s v="55+"/>
    <x v="821"/>
    <x v="5"/>
    <x v="15"/>
    <x v="4"/>
    <n v="8"/>
    <s v="Black"/>
    <n v="1"/>
    <n v="4499"/>
    <n v="25"/>
    <n v="3370"/>
    <n v="3370"/>
    <s v="Debit/Credit Card"/>
    <x v="1"/>
    <s v="India"/>
    <x v="0"/>
    <s v="Silchar"/>
    <s v="Comfort Shopper"/>
    <x v="0"/>
    <n v="3.5"/>
    <s v="Delivered"/>
    <s v="Express"/>
    <n v="2"/>
  </r>
  <r>
    <s v="ORD202552"/>
    <s v="CUST100865"/>
    <s v="Unisex"/>
    <s v="25-34"/>
    <x v="821"/>
    <x v="4"/>
    <x v="17"/>
    <x v="4"/>
    <n v="7"/>
    <s v="Black"/>
    <n v="1"/>
    <n v="7899"/>
    <n v="30"/>
    <n v="5530"/>
    <n v="5530"/>
    <s v="Debit/Credit Card"/>
    <x v="1"/>
    <s v="India"/>
    <x v="11"/>
    <s v="Agatti"/>
    <s v="Lifestyle Shopper"/>
    <x v="0"/>
    <n v="4"/>
    <s v="Returned"/>
    <s v="Standard"/>
    <n v="2"/>
  </r>
  <r>
    <s v="ORD202769"/>
    <s v="CUST100916"/>
    <s v="Women"/>
    <s v="55+"/>
    <x v="821"/>
    <x v="3"/>
    <x v="35"/>
    <x v="2"/>
    <n v="6"/>
    <s v="Grey"/>
    <n v="1"/>
    <n v="8599"/>
    <n v="10"/>
    <n v="7740"/>
    <n v="7740"/>
    <s v="Debit/Credit Card"/>
    <x v="1"/>
    <s v="India"/>
    <x v="34"/>
    <s v="Asansol"/>
    <s v="Comfort Shopper"/>
    <x v="1"/>
    <n v="4.0999999999999996"/>
    <s v="Delivered"/>
    <s v="Standard"/>
    <n v="4"/>
  </r>
  <r>
    <s v="ORD200015"/>
    <s v="CUST100665"/>
    <s v="Men"/>
    <s v="35-44"/>
    <x v="822"/>
    <x v="5"/>
    <x v="27"/>
    <x v="0"/>
    <n v="9"/>
    <s v="Grey"/>
    <n v="2"/>
    <n v="6799"/>
    <n v="25"/>
    <n v="5100"/>
    <n v="10200"/>
    <s v="Debit/Credit Card"/>
    <x v="1"/>
    <s v="India"/>
    <x v="0"/>
    <s v="Silchar"/>
    <s v="Comfort Shopper"/>
    <x v="1"/>
    <n v="3.5"/>
    <s v="Delivered"/>
    <s v="Express"/>
    <n v="1"/>
  </r>
  <r>
    <s v="ORD200417"/>
    <s v="CUST100630"/>
    <s v="Women"/>
    <s v="35-44"/>
    <x v="822"/>
    <x v="5"/>
    <x v="21"/>
    <x v="2"/>
    <n v="12"/>
    <s v="White"/>
    <n v="2"/>
    <n v="9599"/>
    <n v="15"/>
    <n v="8160"/>
    <n v="16320"/>
    <s v="UPI"/>
    <x v="0"/>
    <s v="India"/>
    <x v="15"/>
    <s v="Delhi"/>
    <s v="Value Shopper"/>
    <x v="1"/>
    <n v="3.7"/>
    <s v="Delivered"/>
    <s v="Express"/>
    <n v="2"/>
  </r>
  <r>
    <s v="ORD201678"/>
    <s v="CUST100923"/>
    <s v="Women"/>
    <s v="35-44"/>
    <x v="822"/>
    <x v="3"/>
    <x v="28"/>
    <x v="1"/>
    <n v="7"/>
    <s v="White"/>
    <n v="1"/>
    <n v="6199"/>
    <n v="20"/>
    <n v="4960"/>
    <n v="4960"/>
    <s v="UPI"/>
    <x v="1"/>
    <s v="India"/>
    <x v="5"/>
    <s v="Kakching"/>
    <s v="Premium Shopper"/>
    <x v="0"/>
    <n v="5"/>
    <s v="Cancelled"/>
    <s v="Standard"/>
    <n v="7"/>
  </r>
  <r>
    <s v="ORD200862"/>
    <s v="CUST100396"/>
    <s v="Men"/>
    <s v="18-24"/>
    <x v="823"/>
    <x v="2"/>
    <x v="23"/>
    <x v="0"/>
    <n v="9"/>
    <s v="Black"/>
    <n v="4"/>
    <n v="4099"/>
    <n v="10"/>
    <n v="3690"/>
    <n v="14760"/>
    <s v="UPI"/>
    <x v="2"/>
    <s v="India"/>
    <x v="34"/>
    <s v="Siliguri"/>
    <s v="Premium Shopper"/>
    <x v="1"/>
    <n v="3.4"/>
    <s v="Delivered"/>
    <s v="Standard"/>
    <n v="5"/>
  </r>
  <r>
    <s v="ORD202016"/>
    <s v="CUST100283"/>
    <s v="Men"/>
    <s v="45-54"/>
    <x v="823"/>
    <x v="0"/>
    <x v="0"/>
    <x v="0"/>
    <n v="7"/>
    <s v="Blue"/>
    <n v="1"/>
    <n v="8099"/>
    <n v="0"/>
    <n v="8100"/>
    <n v="8100"/>
    <s v="UPI"/>
    <x v="1"/>
    <s v="India"/>
    <x v="9"/>
    <s v="Gaya"/>
    <s v="Value Shopper"/>
    <x v="1"/>
    <n v="3.4"/>
    <s v="Delivered"/>
    <s v="Standard"/>
    <n v="2"/>
  </r>
  <r>
    <s v="ORD202748"/>
    <s v="CUST101003"/>
    <s v="Women"/>
    <s v="25-34"/>
    <x v="824"/>
    <x v="1"/>
    <x v="12"/>
    <x v="4"/>
    <n v="7"/>
    <s v="White"/>
    <n v="1"/>
    <n v="7699"/>
    <n v="20"/>
    <n v="6160"/>
    <n v="6160"/>
    <s v="UPI"/>
    <x v="1"/>
    <s v="India"/>
    <x v="25"/>
    <s v="Anantnag"/>
    <s v="Value Shopper"/>
    <x v="0"/>
    <n v="3"/>
    <s v="Delivered"/>
    <s v="Express"/>
    <n v="1"/>
  </r>
  <r>
    <s v="ORD201655"/>
    <s v="CUST100751"/>
    <s v="Unisex"/>
    <s v="35-44"/>
    <x v="825"/>
    <x v="0"/>
    <x v="31"/>
    <x v="1"/>
    <n v="7"/>
    <s v="Red"/>
    <n v="1"/>
    <n v="7399"/>
    <n v="15"/>
    <n v="6290"/>
    <n v="6290"/>
    <s v="UPI"/>
    <x v="1"/>
    <s v="India"/>
    <x v="8"/>
    <s v="Warangal"/>
    <s v="Comfort Shopper"/>
    <x v="1"/>
    <n v="4"/>
    <s v="Delivered"/>
    <s v="Express"/>
    <n v="2"/>
  </r>
  <r>
    <s v="ORD200267"/>
    <s v="CUST100074"/>
    <s v="Men"/>
    <s v="35-44"/>
    <x v="826"/>
    <x v="4"/>
    <x v="9"/>
    <x v="1"/>
    <n v="10"/>
    <s v="Blue"/>
    <n v="1"/>
    <n v="6999"/>
    <n v="20"/>
    <n v="5600"/>
    <n v="5600"/>
    <s v="Debit/Credit Card"/>
    <x v="1"/>
    <s v="India"/>
    <x v="22"/>
    <s v="Dharmanagar"/>
    <s v="Value Shopper"/>
    <x v="1"/>
    <n v="3.2"/>
    <s v="Delivered"/>
    <s v="Standard"/>
    <n v="4"/>
  </r>
  <r>
    <s v="ORD200070"/>
    <s v="CUST100057"/>
    <s v="Unisex"/>
    <s v="25-34"/>
    <x v="827"/>
    <x v="1"/>
    <x v="1"/>
    <x v="1"/>
    <n v="6"/>
    <s v="Blue"/>
    <n v="2"/>
    <n v="4999"/>
    <n v="30"/>
    <n v="3500"/>
    <n v="7000"/>
    <s v="UPI"/>
    <x v="2"/>
    <s v="India"/>
    <x v="29"/>
    <s v="Visakhapatnam"/>
    <s v="Lifestyle Shopper"/>
    <x v="2"/>
    <n v="4.3"/>
    <s v="Cancelled"/>
    <s v="Standard"/>
    <n v="5"/>
  </r>
  <r>
    <s v="ORD200331"/>
    <s v="CUST100243"/>
    <s v="Men"/>
    <s v="25-34"/>
    <x v="827"/>
    <x v="0"/>
    <x v="13"/>
    <x v="2"/>
    <n v="8"/>
    <s v="Grey"/>
    <n v="1"/>
    <n v="5799"/>
    <n v="10"/>
    <n v="5220"/>
    <n v="5220"/>
    <s v="Debit/Credit Card"/>
    <x v="2"/>
    <s v="India"/>
    <x v="34"/>
    <s v="Siliguri"/>
    <s v="Performance Seeker"/>
    <x v="1"/>
    <n v="4.0999999999999996"/>
    <s v="Delivered"/>
    <s v="Standard"/>
    <n v="3"/>
  </r>
  <r>
    <s v="ORD202011"/>
    <s v="CUST100160"/>
    <s v="Women"/>
    <s v="35-44"/>
    <x v="828"/>
    <x v="3"/>
    <x v="11"/>
    <x v="4"/>
    <n v="6"/>
    <s v="Green"/>
    <n v="1"/>
    <n v="5799"/>
    <n v="10"/>
    <n v="5220"/>
    <n v="5220"/>
    <s v="UPI"/>
    <x v="1"/>
    <s v="India"/>
    <x v="17"/>
    <s v="Karaikal"/>
    <s v="Premium Shopper"/>
    <x v="1"/>
    <n v="4.5"/>
    <s v="Delivered"/>
    <s v="Express"/>
    <n v="1"/>
  </r>
  <r>
    <s v="ORD203121"/>
    <s v="CUST100797"/>
    <s v="Men"/>
    <s v="25-34"/>
    <x v="828"/>
    <x v="3"/>
    <x v="11"/>
    <x v="4"/>
    <n v="11"/>
    <s v="Grey"/>
    <n v="1"/>
    <n v="3299"/>
    <n v="25"/>
    <n v="2470"/>
    <n v="2470"/>
    <s v="Cash on Delivery"/>
    <x v="1"/>
    <s v="India"/>
    <x v="9"/>
    <s v="Patna"/>
    <s v="Comfort Shopper"/>
    <x v="1"/>
    <n v="3.4"/>
    <s v="Cancelled"/>
    <s v="Standard"/>
    <n v="3"/>
  </r>
  <r>
    <s v="ORD200019"/>
    <s v="CUST100802"/>
    <s v="Men"/>
    <s v="35-44"/>
    <x v="829"/>
    <x v="4"/>
    <x v="29"/>
    <x v="2"/>
    <n v="12"/>
    <s v="Grey"/>
    <n v="1"/>
    <n v="7599"/>
    <n v="20"/>
    <n v="6080"/>
    <n v="6080"/>
    <s v="UPI"/>
    <x v="1"/>
    <s v="India"/>
    <x v="2"/>
    <s v="Panipat"/>
    <s v="Premium Shopper"/>
    <x v="0"/>
    <n v="3.6"/>
    <s v="Delivered"/>
    <s v="Express"/>
    <n v="3"/>
  </r>
  <r>
    <s v="ORD200382"/>
    <s v="CUST100682"/>
    <s v="Men"/>
    <s v="25-34"/>
    <x v="829"/>
    <x v="4"/>
    <x v="6"/>
    <x v="2"/>
    <n v="8"/>
    <s v="White"/>
    <n v="1"/>
    <n v="9799"/>
    <n v="10"/>
    <n v="8820"/>
    <n v="8820"/>
    <s v="Debit/Credit Card"/>
    <x v="1"/>
    <s v="India"/>
    <x v="16"/>
    <s v="Rajkot"/>
    <s v="Premium Shopper"/>
    <x v="0"/>
    <n v="4.3"/>
    <s v="Delivered"/>
    <s v="Standard"/>
    <n v="3"/>
  </r>
  <r>
    <s v="ORD201533"/>
    <s v="CUST100743"/>
    <s v="Men"/>
    <s v="25-34"/>
    <x v="829"/>
    <x v="0"/>
    <x v="2"/>
    <x v="2"/>
    <n v="10"/>
    <s v="Grey"/>
    <n v="2"/>
    <n v="4799"/>
    <n v="15"/>
    <n v="4080"/>
    <n v="8160"/>
    <s v="UPI"/>
    <x v="2"/>
    <s v="India"/>
    <x v="18"/>
    <s v="Raipur"/>
    <s v="Performance Seeker"/>
    <x v="0"/>
    <n v="3.4"/>
    <s v="Delivered"/>
    <s v="Express"/>
    <n v="2"/>
  </r>
  <r>
    <s v="ORD200986"/>
    <s v="CUST100550"/>
    <s v="Men"/>
    <s v="35-44"/>
    <x v="830"/>
    <x v="4"/>
    <x v="26"/>
    <x v="3"/>
    <n v="7"/>
    <s v="White"/>
    <n v="1"/>
    <n v="8899"/>
    <n v="20"/>
    <n v="7120"/>
    <n v="7120"/>
    <s v="UPI"/>
    <x v="1"/>
    <s v="India"/>
    <x v="14"/>
    <s v="Patiala"/>
    <s v="Premium Shopper"/>
    <x v="1"/>
    <n v="4"/>
    <s v="Delivered"/>
    <s v="Express"/>
    <n v="2"/>
  </r>
  <r>
    <s v="ORD202746"/>
    <s v="CUST100626"/>
    <s v="Men"/>
    <s v="55+"/>
    <x v="831"/>
    <x v="1"/>
    <x v="18"/>
    <x v="2"/>
    <n v="9"/>
    <s v="Grey"/>
    <n v="1"/>
    <n v="4599"/>
    <n v="20"/>
    <n v="3680"/>
    <n v="3680"/>
    <s v="Debit/Credit Card"/>
    <x v="2"/>
    <s v="India"/>
    <x v="8"/>
    <s v="Karimnagar"/>
    <s v="Performance Seeker"/>
    <x v="0"/>
    <n v="3.1"/>
    <s v="Delivered"/>
    <s v="Express"/>
    <n v="3"/>
  </r>
  <r>
    <s v="ORD200962"/>
    <s v="CUST100721"/>
    <s v="Men"/>
    <s v="35-44"/>
    <x v="832"/>
    <x v="0"/>
    <x v="31"/>
    <x v="1"/>
    <n v="6"/>
    <s v="Black"/>
    <n v="3"/>
    <n v="8399"/>
    <n v="0"/>
    <n v="8400"/>
    <n v="25200"/>
    <s v="Debit/Credit Card"/>
    <x v="1"/>
    <s v="India"/>
    <x v="33"/>
    <s v="Mumbai"/>
    <s v="Premium Shopper"/>
    <x v="1"/>
    <n v="4.0999999999999996"/>
    <s v="Cancelled"/>
    <s v="Standard"/>
    <n v="2"/>
  </r>
  <r>
    <s v="ORD200422"/>
    <s v="CUST100114"/>
    <s v="Women"/>
    <s v="25-34"/>
    <x v="833"/>
    <x v="0"/>
    <x v="13"/>
    <x v="2"/>
    <n v="6"/>
    <s v="Red"/>
    <n v="1"/>
    <n v="7699"/>
    <n v="15"/>
    <n v="6540"/>
    <n v="6540"/>
    <s v="Debit/Credit Card"/>
    <x v="0"/>
    <s v="India"/>
    <x v="25"/>
    <s v="Anantnag"/>
    <s v="Premium Shopper"/>
    <x v="2"/>
    <n v="3.3"/>
    <s v="Delivered"/>
    <s v="Express"/>
    <n v="2"/>
  </r>
  <r>
    <s v="ORD202883"/>
    <s v="CUST100128"/>
    <s v="Women"/>
    <s v="35-44"/>
    <x v="833"/>
    <x v="2"/>
    <x v="4"/>
    <x v="2"/>
    <n v="10"/>
    <s v="White"/>
    <n v="1"/>
    <n v="3599"/>
    <n v="25"/>
    <n v="2700"/>
    <n v="2700"/>
    <s v="UPI"/>
    <x v="0"/>
    <s v="India"/>
    <x v="27"/>
    <s v="Cuttack"/>
    <s v="Premium Shopper"/>
    <x v="0"/>
    <n v="4.4000000000000004"/>
    <s v="Delivered"/>
    <s v="Express"/>
    <n v="4"/>
  </r>
  <r>
    <s v="ORD202977"/>
    <s v="CUST100436"/>
    <s v="Women"/>
    <s v="35-44"/>
    <x v="833"/>
    <x v="0"/>
    <x v="31"/>
    <x v="1"/>
    <n v="7"/>
    <s v="Grey"/>
    <n v="1"/>
    <n v="5999"/>
    <n v="0"/>
    <n v="6000"/>
    <n v="6000"/>
    <s v="Debit/Credit Card"/>
    <x v="1"/>
    <s v="India"/>
    <x v="27"/>
    <s v="Bhubaneswar"/>
    <s v="Performance Seeker"/>
    <x v="1"/>
    <n v="3.9"/>
    <s v="Delivered"/>
    <s v="Express"/>
    <n v="2"/>
  </r>
  <r>
    <s v="ORD202458"/>
    <s v="CUST100267"/>
    <s v="Men"/>
    <s v="45-54"/>
    <x v="834"/>
    <x v="0"/>
    <x v="8"/>
    <x v="3"/>
    <n v="9"/>
    <s v="Green"/>
    <n v="2"/>
    <n v="4499"/>
    <n v="15"/>
    <n v="3820"/>
    <n v="7640"/>
    <s v="Debit/Credit Card"/>
    <x v="2"/>
    <s v="India"/>
    <x v="20"/>
    <s v="Shimla"/>
    <s v="Premium Shopper"/>
    <x v="1"/>
    <n v="4.0999999999999996"/>
    <s v="Delivered"/>
    <s v="Standard"/>
    <n v="4"/>
  </r>
  <r>
    <s v="ORD201518"/>
    <s v="CUST100492"/>
    <s v="Women"/>
    <s v="18-24"/>
    <x v="835"/>
    <x v="2"/>
    <x v="3"/>
    <x v="2"/>
    <n v="9"/>
    <s v="Red"/>
    <n v="1"/>
    <n v="3599"/>
    <n v="10"/>
    <n v="3240"/>
    <n v="3240"/>
    <s v="UPI"/>
    <x v="1"/>
    <s v="India"/>
    <x v="26"/>
    <s v="Kozhikode"/>
    <s v="Performance Seeker"/>
    <x v="1"/>
    <n v="4.7"/>
    <s v="Cancelled"/>
    <s v="Standard"/>
    <n v="7"/>
  </r>
  <r>
    <s v="ORD203144"/>
    <s v="CUST100437"/>
    <s v="Women"/>
    <s v="18-24"/>
    <x v="836"/>
    <x v="2"/>
    <x v="24"/>
    <x v="4"/>
    <n v="11"/>
    <s v="White"/>
    <n v="1"/>
    <n v="6199"/>
    <n v="25"/>
    <n v="4650"/>
    <n v="4650"/>
    <s v="UPI"/>
    <x v="2"/>
    <s v="India"/>
    <x v="7"/>
    <s v="Indore"/>
    <s v="Performance Seeker"/>
    <x v="0"/>
    <n v="5"/>
    <s v="Delivered"/>
    <s v="Standard"/>
    <n v="4"/>
  </r>
  <r>
    <s v="ORD202942"/>
    <s v="CUST100001"/>
    <s v="Women"/>
    <s v="25-34"/>
    <x v="837"/>
    <x v="3"/>
    <x v="5"/>
    <x v="2"/>
    <n v="11"/>
    <s v="Black"/>
    <n v="1"/>
    <n v="3599"/>
    <n v="0"/>
    <n v="3600"/>
    <n v="3600"/>
    <s v="Debit/Credit Card"/>
    <x v="2"/>
    <s v="India"/>
    <x v="14"/>
    <s v="Ludhiana"/>
    <s v="Performance Seeker"/>
    <x v="1"/>
    <n v="4.7"/>
    <s v="Returned"/>
    <s v="Standard"/>
    <n v="4"/>
  </r>
  <r>
    <s v="ORD200065"/>
    <s v="CUST100233"/>
    <s v="Women"/>
    <s v="45-54"/>
    <x v="838"/>
    <x v="0"/>
    <x v="2"/>
    <x v="2"/>
    <n v="7"/>
    <s v="Red"/>
    <n v="1"/>
    <n v="8399"/>
    <n v="20"/>
    <n v="6720"/>
    <n v="6720"/>
    <s v="UPI"/>
    <x v="1"/>
    <s v="India"/>
    <x v="6"/>
    <s v="Lucknow"/>
    <s v="Value Shopper"/>
    <x v="1"/>
    <n v="4.2"/>
    <s v="Returned"/>
    <s v="Standard"/>
    <n v="4"/>
  </r>
  <r>
    <s v="ORD202526"/>
    <s v="CUST100444"/>
    <s v="Men"/>
    <s v="18-24"/>
    <x v="839"/>
    <x v="5"/>
    <x v="14"/>
    <x v="3"/>
    <n v="10"/>
    <s v="White"/>
    <n v="1"/>
    <n v="5599"/>
    <n v="5"/>
    <n v="5320"/>
    <n v="5320"/>
    <s v="UPI"/>
    <x v="2"/>
    <s v="India"/>
    <x v="29"/>
    <s v="Vijayawada"/>
    <s v="Value Shopper"/>
    <x v="1"/>
    <n v="3.8"/>
    <s v="Delivered"/>
    <s v="Standard"/>
    <n v="5"/>
  </r>
  <r>
    <s v="ORD201168"/>
    <s v="CUST100272"/>
    <s v="Men"/>
    <s v="45-54"/>
    <x v="840"/>
    <x v="1"/>
    <x v="12"/>
    <x v="4"/>
    <n v="11"/>
    <s v="Black"/>
    <n v="1"/>
    <n v="7199"/>
    <n v="0"/>
    <n v="7200"/>
    <n v="7200"/>
    <s v="UPI"/>
    <x v="1"/>
    <s v="India"/>
    <x v="4"/>
    <s v="Mangan"/>
    <s v="Premium Shopper"/>
    <x v="1"/>
    <n v="3.8"/>
    <s v="Delivered"/>
    <s v="Standard"/>
    <n v="3"/>
  </r>
  <r>
    <s v="ORD201402"/>
    <s v="CUST100408"/>
    <s v="Unisex"/>
    <s v="18-24"/>
    <x v="841"/>
    <x v="3"/>
    <x v="16"/>
    <x v="0"/>
    <n v="8"/>
    <s v="Black"/>
    <n v="3"/>
    <n v="5999"/>
    <n v="10"/>
    <n v="5400"/>
    <n v="16200"/>
    <s v="Net Banking"/>
    <x v="1"/>
    <s v="India"/>
    <x v="25"/>
    <s v="Anantnag"/>
    <s v="Comfort Shopper"/>
    <x v="0"/>
    <n v="4.7"/>
    <s v="Delivered"/>
    <s v="Standard"/>
    <n v="2"/>
  </r>
  <r>
    <s v="ORD202619"/>
    <s v="CUST100569"/>
    <s v="Unisex"/>
    <s v="25-34"/>
    <x v="841"/>
    <x v="2"/>
    <x v="25"/>
    <x v="3"/>
    <n v="8"/>
    <s v="Grey"/>
    <n v="1"/>
    <n v="6899"/>
    <n v="20"/>
    <n v="5520"/>
    <n v="5520"/>
    <s v="UPI"/>
    <x v="1"/>
    <s v="India"/>
    <x v="2"/>
    <s v="Panipat"/>
    <s v="Performance Seeker"/>
    <x v="1"/>
    <n v="3.7"/>
    <s v="Delivered"/>
    <s v="Standard"/>
    <n v="3"/>
  </r>
  <r>
    <s v="ORD202600"/>
    <s v="CUST100606"/>
    <s v="Unisex"/>
    <s v="18-24"/>
    <x v="842"/>
    <x v="3"/>
    <x v="11"/>
    <x v="4"/>
    <n v="10"/>
    <s v="Blue"/>
    <n v="1"/>
    <n v="3099"/>
    <n v="10"/>
    <n v="2790"/>
    <n v="2790"/>
    <s v="UPI"/>
    <x v="1"/>
    <s v="India"/>
    <x v="26"/>
    <s v="Thrissur"/>
    <s v="Performance Seeker"/>
    <x v="0"/>
    <n v="3.9"/>
    <s v="Returned"/>
    <s v="Standard"/>
    <n v="2"/>
  </r>
  <r>
    <s v="ORD202644"/>
    <s v="CUST100521"/>
    <s v="Women"/>
    <s v="25-34"/>
    <x v="843"/>
    <x v="3"/>
    <x v="16"/>
    <x v="0"/>
    <n v="11"/>
    <s v="White"/>
    <n v="2"/>
    <n v="7099"/>
    <n v="25"/>
    <n v="5320"/>
    <n v="10640"/>
    <s v="UPI"/>
    <x v="2"/>
    <s v="India"/>
    <x v="25"/>
    <s v="Srinagar"/>
    <s v="Premium Shopper"/>
    <x v="1"/>
    <n v="3.9"/>
    <s v="Delivered"/>
    <s v="Standard"/>
    <n v="6"/>
  </r>
  <r>
    <s v="ORD201773"/>
    <s v="CUST100022"/>
    <s v="Unisex"/>
    <s v="35-44"/>
    <x v="844"/>
    <x v="2"/>
    <x v="32"/>
    <x v="1"/>
    <n v="10"/>
    <s v="Blue"/>
    <n v="2"/>
    <n v="8199"/>
    <n v="25"/>
    <n v="6150"/>
    <n v="12300"/>
    <s v="Cash on Delivery"/>
    <x v="0"/>
    <s v="India"/>
    <x v="23"/>
    <s v="Haldwani"/>
    <s v="Lifestyle Shopper"/>
    <x v="2"/>
    <n v="3.7"/>
    <s v="Cancelled"/>
    <s v="Express"/>
    <n v="2"/>
  </r>
  <r>
    <s v="ORD201948"/>
    <s v="CUST100266"/>
    <s v="Unisex"/>
    <s v="35-44"/>
    <x v="845"/>
    <x v="1"/>
    <x v="18"/>
    <x v="2"/>
    <n v="9"/>
    <s v="Grey"/>
    <n v="1"/>
    <n v="5399"/>
    <n v="10"/>
    <n v="4860"/>
    <n v="4860"/>
    <s v="Debit/Credit Card"/>
    <x v="0"/>
    <s v="India"/>
    <x v="30"/>
    <s v="Burail"/>
    <s v="Premium Shopper"/>
    <x v="0"/>
    <n v="4.3"/>
    <s v="Delivered"/>
    <s v="Standard"/>
    <n v="3"/>
  </r>
  <r>
    <s v="ORD202323"/>
    <s v="CUST100523"/>
    <s v="Unisex"/>
    <s v="45-54"/>
    <x v="845"/>
    <x v="2"/>
    <x v="32"/>
    <x v="1"/>
    <n v="8"/>
    <s v="Green"/>
    <n v="4"/>
    <n v="5999"/>
    <n v="10"/>
    <n v="5400"/>
    <n v="21600"/>
    <s v="UPI"/>
    <x v="2"/>
    <s v="India"/>
    <x v="18"/>
    <s v="Bhilai"/>
    <s v="Lifestyle Shopper"/>
    <x v="0"/>
    <n v="4.3"/>
    <s v="Delivered"/>
    <s v="Express"/>
    <n v="3"/>
  </r>
  <r>
    <s v="ORD200909"/>
    <s v="CUST100954"/>
    <s v="Unisex"/>
    <s v="18-24"/>
    <x v="846"/>
    <x v="2"/>
    <x v="24"/>
    <x v="4"/>
    <n v="9"/>
    <s v="Black"/>
    <n v="1"/>
    <n v="3399"/>
    <n v="25"/>
    <n v="2550"/>
    <n v="2550"/>
    <s v="UPI"/>
    <x v="1"/>
    <s v="India"/>
    <x v="15"/>
    <s v="Dwarka"/>
    <s v="Value Shopper"/>
    <x v="0"/>
    <n v="4.4000000000000004"/>
    <s v="Delivered"/>
    <s v="Standard"/>
    <n v="3"/>
  </r>
  <r>
    <s v="ORD201104"/>
    <s v="CUST100638"/>
    <s v="Women"/>
    <s v="45-54"/>
    <x v="847"/>
    <x v="4"/>
    <x v="17"/>
    <x v="4"/>
    <n v="7"/>
    <s v="Red"/>
    <n v="1"/>
    <n v="6899"/>
    <n v="15"/>
    <n v="5860"/>
    <n v="5860"/>
    <s v="UPI"/>
    <x v="2"/>
    <s v="India"/>
    <x v="10"/>
    <s v="Diu"/>
    <s v="Comfort Shopper"/>
    <x v="1"/>
    <n v="4.8"/>
    <s v="Cancelled"/>
    <s v="Standard"/>
    <n v="5"/>
  </r>
  <r>
    <s v="ORD202095"/>
    <s v="CUST100530"/>
    <s v="Unisex"/>
    <s v="35-44"/>
    <x v="847"/>
    <x v="2"/>
    <x v="32"/>
    <x v="1"/>
    <n v="7"/>
    <s v="Blue"/>
    <n v="1"/>
    <n v="6999"/>
    <n v="20"/>
    <n v="5600"/>
    <n v="5600"/>
    <s v="UPI"/>
    <x v="2"/>
    <s v="India"/>
    <x v="13"/>
    <s v="Tawang"/>
    <s v="Premium Shopper"/>
    <x v="0"/>
    <n v="2.8"/>
    <s v="Delivered"/>
    <s v="Express"/>
    <n v="2"/>
  </r>
  <r>
    <s v="ORD202146"/>
    <s v="CUST100784"/>
    <s v="Unisex"/>
    <s v="25-34"/>
    <x v="848"/>
    <x v="4"/>
    <x v="26"/>
    <x v="3"/>
    <n v="11"/>
    <s v="Blue"/>
    <n v="1"/>
    <n v="4699"/>
    <n v="25"/>
    <n v="3520"/>
    <n v="3520"/>
    <s v="UPI"/>
    <x v="1"/>
    <s v="India"/>
    <x v="5"/>
    <s v="Imphal"/>
    <s v="Premium Shopper"/>
    <x v="0"/>
    <n v="3.6"/>
    <s v="Delivered"/>
    <s v="Express"/>
    <n v="1"/>
  </r>
  <r>
    <s v="ORD200059"/>
    <s v="CUST100476"/>
    <s v="Men"/>
    <s v="35-44"/>
    <x v="849"/>
    <x v="2"/>
    <x v="3"/>
    <x v="2"/>
    <n v="6"/>
    <s v="Blue"/>
    <n v="1"/>
    <n v="7999"/>
    <n v="10"/>
    <n v="7200"/>
    <n v="7200"/>
    <s v="Debit/Credit Card"/>
    <x v="2"/>
    <s v="India"/>
    <x v="19"/>
    <s v="Nongpoh"/>
    <s v="Lifestyle Shopper"/>
    <x v="2"/>
    <n v="4.7"/>
    <s v="Delivered"/>
    <s v="Standard"/>
    <n v="6"/>
  </r>
  <r>
    <s v="ORD202955"/>
    <s v="CUST100366"/>
    <s v="Women"/>
    <s v="25-34"/>
    <x v="850"/>
    <x v="5"/>
    <x v="27"/>
    <x v="0"/>
    <n v="6"/>
    <s v="Green"/>
    <n v="1"/>
    <n v="5899"/>
    <n v="10"/>
    <n v="5310"/>
    <n v="5310"/>
    <s v="UPI"/>
    <x v="1"/>
    <s v="India"/>
    <x v="29"/>
    <s v="Tirupati"/>
    <s v="Lifestyle Shopper"/>
    <x v="1"/>
    <n v="4.2"/>
    <s v="Delivered"/>
    <s v="Standard"/>
    <n v="6"/>
  </r>
  <r>
    <s v="ORD201719"/>
    <s v="CUST100286"/>
    <s v="Men"/>
    <s v="45-54"/>
    <x v="851"/>
    <x v="1"/>
    <x v="10"/>
    <x v="3"/>
    <n v="11"/>
    <s v="Black"/>
    <n v="1"/>
    <n v="5899"/>
    <n v="15"/>
    <n v="5010"/>
    <n v="5010"/>
    <s v="Debit/Credit Card"/>
    <x v="2"/>
    <s v="India"/>
    <x v="17"/>
    <s v="Mahe"/>
    <s v="Performance Seeker"/>
    <x v="2"/>
    <n v="3.3"/>
    <s v="Delivered"/>
    <s v="Express"/>
    <n v="2"/>
  </r>
  <r>
    <s v="ORD200273"/>
    <s v="CUST100264"/>
    <s v="Men"/>
    <s v="35-44"/>
    <x v="852"/>
    <x v="2"/>
    <x v="32"/>
    <x v="1"/>
    <n v="8"/>
    <s v="Black"/>
    <n v="1"/>
    <n v="3099"/>
    <n v="15"/>
    <n v="2630"/>
    <n v="2630"/>
    <s v="UPI"/>
    <x v="1"/>
    <s v="India"/>
    <x v="2"/>
    <s v="Hisar"/>
    <s v="Value Shopper"/>
    <x v="1"/>
    <n v="3.6"/>
    <s v="Cancelled"/>
    <s v="Standard"/>
    <n v="6"/>
  </r>
  <r>
    <s v="ORD201165"/>
    <s v="CUST100025"/>
    <s v="Men"/>
    <s v="25-34"/>
    <x v="853"/>
    <x v="3"/>
    <x v="28"/>
    <x v="1"/>
    <n v="7"/>
    <s v="Black"/>
    <n v="2"/>
    <n v="6199"/>
    <n v="5"/>
    <n v="5890"/>
    <n v="11780"/>
    <s v="UPI"/>
    <x v="1"/>
    <s v="India"/>
    <x v="23"/>
    <s v="Rishikesh"/>
    <s v="Comfort Shopper"/>
    <x v="1"/>
    <n v="4.3"/>
    <s v="Delivered"/>
    <s v="Express"/>
    <n v="3"/>
  </r>
  <r>
    <s v="ORD201342"/>
    <s v="CUST100105"/>
    <s v="Men"/>
    <s v="18-24"/>
    <x v="853"/>
    <x v="1"/>
    <x v="12"/>
    <x v="4"/>
    <n v="7"/>
    <s v="White"/>
    <n v="1"/>
    <n v="4899"/>
    <n v="20"/>
    <n v="3920"/>
    <n v="3920"/>
    <s v="Debit/Credit Card"/>
    <x v="2"/>
    <s v="India"/>
    <x v="24"/>
    <s v="Bengaluru"/>
    <s v="Value Shopper"/>
    <x v="0"/>
    <n v="4.7"/>
    <s v="Delivered"/>
    <s v="Standard"/>
    <n v="3"/>
  </r>
  <r>
    <s v="ORD201653"/>
    <s v="CUST100453"/>
    <s v="Men"/>
    <s v="25-34"/>
    <x v="854"/>
    <x v="3"/>
    <x v="11"/>
    <x v="4"/>
    <n v="8"/>
    <s v="Blue"/>
    <n v="3"/>
    <n v="7399"/>
    <n v="15"/>
    <n v="6290"/>
    <n v="18870"/>
    <s v="Cash on Delivery"/>
    <x v="2"/>
    <s v="India"/>
    <x v="33"/>
    <s v="Nashik"/>
    <s v="Performance Seeker"/>
    <x v="2"/>
    <n v="4.5"/>
    <s v="Delivered"/>
    <s v="Express"/>
    <n v="3"/>
  </r>
  <r>
    <s v="ORD201853"/>
    <s v="CUST100174"/>
    <s v="Women"/>
    <s v="35-44"/>
    <x v="854"/>
    <x v="0"/>
    <x v="0"/>
    <x v="0"/>
    <n v="12"/>
    <s v="Blue"/>
    <n v="2"/>
    <n v="4599"/>
    <n v="10"/>
    <n v="4140"/>
    <n v="8280"/>
    <s v="UPI"/>
    <x v="2"/>
    <s v="India"/>
    <x v="10"/>
    <s v="Diu"/>
    <s v="Comfort Shopper"/>
    <x v="1"/>
    <n v="3.6"/>
    <s v="Delivered"/>
    <s v="Standard"/>
    <n v="5"/>
  </r>
  <r>
    <s v="ORD201896"/>
    <s v="CUST100082"/>
    <s v="Men"/>
    <s v="35-44"/>
    <x v="855"/>
    <x v="4"/>
    <x v="26"/>
    <x v="3"/>
    <n v="8"/>
    <s v="Blue"/>
    <n v="1"/>
    <n v="4399"/>
    <n v="20"/>
    <n v="3520"/>
    <n v="3520"/>
    <s v="Debit/Credit Card"/>
    <x v="0"/>
    <s v="India"/>
    <x v="18"/>
    <s v="Bilaspur"/>
    <s v="Lifestyle Shopper"/>
    <x v="2"/>
    <n v="4"/>
    <s v="Returned"/>
    <s v="Express"/>
    <n v="2"/>
  </r>
  <r>
    <s v="ORD202243"/>
    <s v="CUST100086"/>
    <s v="Unisex"/>
    <s v="18-24"/>
    <x v="856"/>
    <x v="0"/>
    <x v="13"/>
    <x v="2"/>
    <n v="8"/>
    <s v="White"/>
    <n v="2"/>
    <n v="6099"/>
    <n v="15"/>
    <n v="5180"/>
    <n v="10360"/>
    <s v="Debit/Credit Card"/>
    <x v="0"/>
    <s v="India"/>
    <x v="13"/>
    <s v="Pasighat"/>
    <s v="Value Shopper"/>
    <x v="2"/>
    <n v="3.2"/>
    <s v="Cancelled"/>
    <s v="Standard"/>
    <n v="4"/>
  </r>
  <r>
    <s v="ORD201125"/>
    <s v="CUST100876"/>
    <s v="Women"/>
    <s v="45-54"/>
    <x v="857"/>
    <x v="0"/>
    <x v="13"/>
    <x v="2"/>
    <n v="8"/>
    <s v="Blue"/>
    <n v="1"/>
    <n v="6099"/>
    <n v="5"/>
    <n v="5790"/>
    <n v="5790"/>
    <s v="UPI"/>
    <x v="1"/>
    <s v="India"/>
    <x v="18"/>
    <s v="Bilaspur"/>
    <s v="Performance Seeker"/>
    <x v="2"/>
    <n v="4.8"/>
    <s v="Returned"/>
    <s v="Standard"/>
    <n v="2"/>
  </r>
  <r>
    <s v="ORD202412"/>
    <s v="CUST100380"/>
    <s v="Women"/>
    <s v="18-24"/>
    <x v="858"/>
    <x v="5"/>
    <x v="15"/>
    <x v="4"/>
    <n v="7"/>
    <s v="Red"/>
    <n v="1"/>
    <n v="7899"/>
    <n v="5"/>
    <n v="7500"/>
    <n v="7500"/>
    <s v="Debit/Credit Card"/>
    <x v="1"/>
    <s v="India"/>
    <x v="33"/>
    <s v="Nagpur"/>
    <s v="Premium Shopper"/>
    <x v="0"/>
    <n v="4.2"/>
    <s v="Delivered"/>
    <s v="Standard"/>
    <n v="4"/>
  </r>
  <r>
    <s v="ORD202813"/>
    <s v="CUST100321"/>
    <s v="Women"/>
    <s v="35-44"/>
    <x v="858"/>
    <x v="1"/>
    <x v="10"/>
    <x v="3"/>
    <n v="10"/>
    <s v="Grey"/>
    <n v="2"/>
    <n v="6299"/>
    <n v="10"/>
    <n v="5670"/>
    <n v="11340"/>
    <s v="UPI"/>
    <x v="0"/>
    <s v="India"/>
    <x v="9"/>
    <s v="Gaya"/>
    <s v="Performance Seeker"/>
    <x v="1"/>
    <n v="3.6"/>
    <s v="Delivered"/>
    <s v="Express"/>
    <n v="2"/>
  </r>
  <r>
    <s v="ORD200012"/>
    <s v="CUST100096"/>
    <s v="Women"/>
    <s v="25-34"/>
    <x v="859"/>
    <x v="2"/>
    <x v="24"/>
    <x v="4"/>
    <n v="7"/>
    <s v="Red"/>
    <n v="1"/>
    <n v="3499"/>
    <n v="20"/>
    <n v="2800"/>
    <n v="2800"/>
    <s v="UPI"/>
    <x v="1"/>
    <s v="India"/>
    <x v="27"/>
    <s v="Rourkela"/>
    <s v="Lifestyle Shopper"/>
    <x v="0"/>
    <n v="3.2"/>
    <s v="Cancelled"/>
    <s v="Same Day"/>
    <n v="1"/>
  </r>
  <r>
    <s v="ORD200190"/>
    <s v="CUST100245"/>
    <s v="Women"/>
    <s v="25-34"/>
    <x v="859"/>
    <x v="3"/>
    <x v="34"/>
    <x v="3"/>
    <n v="8"/>
    <s v="Blue"/>
    <n v="2"/>
    <n v="8399"/>
    <n v="15"/>
    <n v="7140"/>
    <n v="14280"/>
    <s v="Debit/Credit Card"/>
    <x v="1"/>
    <s v="India"/>
    <x v="2"/>
    <s v="Gurugram"/>
    <s v="Performance Seeker"/>
    <x v="1"/>
    <n v="3.8"/>
    <s v="Delivered"/>
    <s v="Standard"/>
    <n v="4"/>
  </r>
  <r>
    <s v="ORD200507"/>
    <s v="CUST100675"/>
    <s v="Women"/>
    <s v="25-34"/>
    <x v="860"/>
    <x v="4"/>
    <x v="29"/>
    <x v="2"/>
    <n v="10"/>
    <s v="Grey"/>
    <n v="1"/>
    <n v="7199"/>
    <n v="10"/>
    <n v="6480"/>
    <n v="6480"/>
    <s v="UPI"/>
    <x v="1"/>
    <s v="India"/>
    <x v="30"/>
    <s v="Manimajra"/>
    <s v="Performance Seeker"/>
    <x v="0"/>
    <n v="5"/>
    <s v="Delivered"/>
    <s v="Standard"/>
    <n v="4"/>
  </r>
  <r>
    <s v="ORD201013"/>
    <s v="CUST100165"/>
    <s v="Men"/>
    <s v="35-44"/>
    <x v="860"/>
    <x v="5"/>
    <x v="30"/>
    <x v="2"/>
    <n v="12"/>
    <s v="Black"/>
    <n v="1"/>
    <n v="7299"/>
    <n v="15"/>
    <n v="6200"/>
    <n v="6200"/>
    <s v="Debit/Credit Card"/>
    <x v="1"/>
    <s v="India"/>
    <x v="12"/>
    <s v="Rangat"/>
    <s v="Premium Shopper"/>
    <x v="1"/>
    <n v="4.4000000000000004"/>
    <s v="Delivered"/>
    <s v="Standard"/>
    <n v="5"/>
  </r>
  <r>
    <s v="ORD200646"/>
    <s v="CUST100832"/>
    <s v="Men"/>
    <s v="25-34"/>
    <x v="861"/>
    <x v="5"/>
    <x v="30"/>
    <x v="2"/>
    <n v="7"/>
    <s v="White"/>
    <n v="1"/>
    <n v="5499"/>
    <n v="15"/>
    <n v="4670"/>
    <n v="4670"/>
    <s v="UPI"/>
    <x v="1"/>
    <s v="India"/>
    <x v="13"/>
    <s v="Tawang"/>
    <s v="Lifestyle Shopper"/>
    <x v="0"/>
    <n v="5"/>
    <s v="Delivered"/>
    <s v="Standard"/>
    <n v="3"/>
  </r>
  <r>
    <s v="ORD202183"/>
    <s v="CUST100066"/>
    <s v="Women"/>
    <s v="35-44"/>
    <x v="861"/>
    <x v="0"/>
    <x v="2"/>
    <x v="2"/>
    <n v="8"/>
    <s v="Green"/>
    <n v="1"/>
    <n v="5699"/>
    <n v="30"/>
    <n v="3990"/>
    <n v="3990"/>
    <s v="UPI"/>
    <x v="1"/>
    <s v="India"/>
    <x v="24"/>
    <s v="Hubballi"/>
    <s v="Comfort Shopper"/>
    <x v="1"/>
    <n v="2.1"/>
    <s v="Delivered"/>
    <s v="Same Day"/>
    <n v="1"/>
  </r>
  <r>
    <s v="ORD202267"/>
    <s v="CUST100828"/>
    <s v="Women"/>
    <s v="25-34"/>
    <x v="862"/>
    <x v="5"/>
    <x v="27"/>
    <x v="0"/>
    <n v="10"/>
    <s v="Green"/>
    <n v="1"/>
    <n v="5599"/>
    <n v="20"/>
    <n v="4480"/>
    <n v="4480"/>
    <s v="UPI"/>
    <x v="0"/>
    <s v="India"/>
    <x v="10"/>
    <s v="Diu"/>
    <s v="Premium Shopper"/>
    <x v="0"/>
    <n v="3.9"/>
    <s v="Delivered"/>
    <s v="Same Day"/>
    <n v="2"/>
  </r>
  <r>
    <s v="ORD202966"/>
    <s v="CUST100803"/>
    <s v="Women"/>
    <s v="35-44"/>
    <x v="863"/>
    <x v="2"/>
    <x v="4"/>
    <x v="2"/>
    <n v="6"/>
    <s v="White"/>
    <n v="1"/>
    <n v="4699"/>
    <n v="20"/>
    <n v="3760"/>
    <n v="3760"/>
    <s v="UPI"/>
    <x v="0"/>
    <s v="India"/>
    <x v="2"/>
    <s v="Hisar"/>
    <s v="Value Shopper"/>
    <x v="0"/>
    <n v="5"/>
    <s v="Delivered"/>
    <s v="Standard"/>
    <n v="3"/>
  </r>
  <r>
    <s v="ORD200845"/>
    <s v="CUST100654"/>
    <s v="Women"/>
    <s v="45-54"/>
    <x v="864"/>
    <x v="1"/>
    <x v="10"/>
    <x v="3"/>
    <n v="9"/>
    <s v="Blue"/>
    <n v="1"/>
    <n v="4299"/>
    <n v="10"/>
    <n v="3870"/>
    <n v="3870"/>
    <s v="Debit/Credit Card"/>
    <x v="1"/>
    <s v="India"/>
    <x v="34"/>
    <s v="Siliguri"/>
    <s v="Performance Seeker"/>
    <x v="1"/>
    <n v="3"/>
    <s v="Delivered"/>
    <s v="Standard"/>
    <n v="4"/>
  </r>
  <r>
    <s v="ORD201149"/>
    <s v="CUST100687"/>
    <s v="Men"/>
    <s v="18-24"/>
    <x v="865"/>
    <x v="3"/>
    <x v="35"/>
    <x v="2"/>
    <n v="8"/>
    <s v="Black"/>
    <n v="1"/>
    <n v="6499"/>
    <n v="25"/>
    <n v="4870"/>
    <n v="4870"/>
    <s v="UPI"/>
    <x v="2"/>
    <s v="India"/>
    <x v="1"/>
    <s v="Mapusa"/>
    <s v="Value Shopper"/>
    <x v="1"/>
    <n v="4"/>
    <s v="Delivered"/>
    <s v="Express"/>
    <n v="2"/>
  </r>
  <r>
    <s v="ORD200139"/>
    <s v="CUST100671"/>
    <s v="Women"/>
    <s v="45-54"/>
    <x v="866"/>
    <x v="4"/>
    <x v="6"/>
    <x v="2"/>
    <n v="8"/>
    <s v="Black"/>
    <n v="2"/>
    <n v="8199"/>
    <n v="10"/>
    <n v="7380"/>
    <n v="14760"/>
    <s v="Debit/Credit Card"/>
    <x v="2"/>
    <s v="India"/>
    <x v="3"/>
    <s v="Kota"/>
    <s v="Lifestyle Shopper"/>
    <x v="1"/>
    <n v="3.8"/>
    <s v="Delivered"/>
    <s v="Standard"/>
    <n v="5"/>
  </r>
  <r>
    <s v="ORD200601"/>
    <s v="CUST100029"/>
    <s v="Unisex"/>
    <s v="25-34"/>
    <x v="867"/>
    <x v="1"/>
    <x v="18"/>
    <x v="2"/>
    <n v="8"/>
    <s v="Grey"/>
    <n v="1"/>
    <n v="6599"/>
    <n v="25"/>
    <n v="4950"/>
    <n v="4950"/>
    <s v="UPI"/>
    <x v="2"/>
    <s v="India"/>
    <x v="16"/>
    <s v="Surat"/>
    <s v="Performance Seeker"/>
    <x v="2"/>
    <n v="4"/>
    <s v="Delivered"/>
    <s v="Express"/>
    <n v="4"/>
  </r>
  <r>
    <s v="ORD200227"/>
    <s v="CUST100376"/>
    <s v="Men"/>
    <s v="25-34"/>
    <x v="868"/>
    <x v="2"/>
    <x v="4"/>
    <x v="2"/>
    <n v="7"/>
    <s v="White"/>
    <n v="3"/>
    <n v="7199"/>
    <n v="25"/>
    <n v="5400"/>
    <n v="16200"/>
    <s v="UPI"/>
    <x v="2"/>
    <s v="India"/>
    <x v="24"/>
    <s v="Hubballi"/>
    <s v="Lifestyle Shopper"/>
    <x v="1"/>
    <n v="3"/>
    <s v="Delivered"/>
    <s v="Standard"/>
    <n v="4"/>
  </r>
  <r>
    <s v="ORD201512"/>
    <s v="CUST100124"/>
    <s v="Men"/>
    <s v="18-24"/>
    <x v="868"/>
    <x v="4"/>
    <x v="6"/>
    <x v="2"/>
    <n v="9"/>
    <s v="Red"/>
    <n v="1"/>
    <n v="5799"/>
    <n v="35"/>
    <n v="3770"/>
    <n v="3770"/>
    <s v="UPI"/>
    <x v="2"/>
    <s v="India"/>
    <x v="31"/>
    <s v="Tiruchirappalli"/>
    <s v="Lifestyle Shopper"/>
    <x v="1"/>
    <n v="4.5999999999999996"/>
    <s v="Returned"/>
    <s v="Same Day"/>
    <n v="1"/>
  </r>
  <r>
    <s v="ORD200388"/>
    <s v="CUST100677"/>
    <s v="Women"/>
    <s v="35-44"/>
    <x v="869"/>
    <x v="0"/>
    <x v="8"/>
    <x v="3"/>
    <n v="12"/>
    <s v="Grey"/>
    <n v="1"/>
    <n v="4799"/>
    <n v="20"/>
    <n v="3840"/>
    <n v="3840"/>
    <s v="Net Banking"/>
    <x v="1"/>
    <s v="India"/>
    <x v="2"/>
    <s v="Faridabad"/>
    <s v="Premium Shopper"/>
    <x v="0"/>
    <n v="3.4"/>
    <s v="Delivered"/>
    <s v="Standard"/>
    <n v="3"/>
  </r>
  <r>
    <s v="ORD202187"/>
    <s v="CUST100935"/>
    <s v="Men"/>
    <s v="45-54"/>
    <x v="870"/>
    <x v="0"/>
    <x v="19"/>
    <x v="4"/>
    <n v="6"/>
    <s v="Blue"/>
    <n v="3"/>
    <n v="5299"/>
    <n v="15"/>
    <n v="4500"/>
    <n v="13500"/>
    <s v="UPI"/>
    <x v="2"/>
    <s v="India"/>
    <x v="6"/>
    <s v="Noida"/>
    <s v="Performance Seeker"/>
    <x v="1"/>
    <n v="4"/>
    <s v="Cancelled"/>
    <s v="Standard"/>
    <n v="2"/>
  </r>
  <r>
    <s v="ORD202863"/>
    <s v="CUST100107"/>
    <s v="Women"/>
    <s v="35-44"/>
    <x v="870"/>
    <x v="3"/>
    <x v="5"/>
    <x v="2"/>
    <n v="7"/>
    <s v="Red"/>
    <n v="1"/>
    <n v="7099"/>
    <n v="15"/>
    <n v="6030"/>
    <n v="6030"/>
    <s v="UPI"/>
    <x v="1"/>
    <s v="India"/>
    <x v="10"/>
    <s v="Amli"/>
    <s v="Premium Shopper"/>
    <x v="0"/>
    <n v="4.3"/>
    <s v="Delivered"/>
    <s v="Standard"/>
    <n v="6"/>
  </r>
  <r>
    <s v="ORD203016"/>
    <s v="CUST100483"/>
    <s v="Women"/>
    <s v="18-24"/>
    <x v="870"/>
    <x v="2"/>
    <x v="4"/>
    <x v="2"/>
    <n v="7"/>
    <s v="White"/>
    <n v="3"/>
    <n v="7999"/>
    <n v="15"/>
    <n v="6800"/>
    <n v="20400"/>
    <s v="UPI"/>
    <x v="2"/>
    <s v="India"/>
    <x v="25"/>
    <s v="Jammu"/>
    <s v="Value Shopper"/>
    <x v="1"/>
    <n v="3.9"/>
    <s v="Delivered"/>
    <s v="Standard"/>
    <n v="5"/>
  </r>
  <r>
    <s v="ORD203005"/>
    <s v="CUST100237"/>
    <s v="Men"/>
    <s v="55+"/>
    <x v="871"/>
    <x v="2"/>
    <x v="24"/>
    <x v="4"/>
    <n v="12"/>
    <s v="Red"/>
    <n v="1"/>
    <n v="8199"/>
    <n v="15"/>
    <n v="6970"/>
    <n v="6970"/>
    <s v="UPI"/>
    <x v="2"/>
    <s v="India"/>
    <x v="15"/>
    <s v="Rohini"/>
    <s v="Premium Shopper"/>
    <x v="1"/>
    <n v="3.7"/>
    <s v="Cancelled"/>
    <s v="Express"/>
    <n v="2"/>
  </r>
  <r>
    <s v="ORD200103"/>
    <s v="CUST100046"/>
    <s v="Men"/>
    <s v="35-44"/>
    <x v="872"/>
    <x v="0"/>
    <x v="13"/>
    <x v="2"/>
    <n v="8"/>
    <s v="Grey"/>
    <n v="1"/>
    <n v="7599"/>
    <n v="5"/>
    <n v="7220"/>
    <n v="7220"/>
    <s v="Cash on Delivery"/>
    <x v="1"/>
    <s v="India"/>
    <x v="13"/>
    <s v="Naharlagun"/>
    <s v="Premium Shopper"/>
    <x v="2"/>
    <n v="4.3"/>
    <s v="Cancelled"/>
    <s v="Standard"/>
    <n v="2"/>
  </r>
  <r>
    <s v="ORD203010"/>
    <s v="CUST100989"/>
    <s v="Men"/>
    <s v="18-24"/>
    <x v="872"/>
    <x v="5"/>
    <x v="30"/>
    <x v="2"/>
    <n v="6"/>
    <s v="Grey"/>
    <n v="1"/>
    <n v="5699"/>
    <n v="25"/>
    <n v="4270"/>
    <n v="4270"/>
    <s v="Debit/Credit Card"/>
    <x v="2"/>
    <s v="India"/>
    <x v="9"/>
    <s v="Gaya"/>
    <s v="Lifestyle Shopper"/>
    <x v="0"/>
    <n v="4.5999999999999996"/>
    <s v="Returned"/>
    <s v="Standard"/>
    <n v="6"/>
  </r>
  <r>
    <s v="ORD201492"/>
    <s v="CUST100319"/>
    <s v="Women"/>
    <s v="45-54"/>
    <x v="873"/>
    <x v="2"/>
    <x v="23"/>
    <x v="0"/>
    <n v="9"/>
    <s v="Blue"/>
    <n v="1"/>
    <n v="8799"/>
    <n v="5"/>
    <n v="8360"/>
    <n v="8360"/>
    <s v="UPI"/>
    <x v="1"/>
    <s v="India"/>
    <x v="34"/>
    <s v="Kolkata"/>
    <s v="Value Shopper"/>
    <x v="1"/>
    <n v="3.7"/>
    <s v="Delivered"/>
    <s v="Standard"/>
    <n v="7"/>
  </r>
  <r>
    <s v="ORD201803"/>
    <s v="CUST100392"/>
    <s v="Women"/>
    <s v="18-24"/>
    <x v="873"/>
    <x v="4"/>
    <x v="26"/>
    <x v="3"/>
    <n v="12"/>
    <s v="White"/>
    <n v="1"/>
    <n v="7299"/>
    <n v="25"/>
    <n v="5470"/>
    <n v="5470"/>
    <s v="UPI"/>
    <x v="1"/>
    <s v="India"/>
    <x v="28"/>
    <s v="Leh"/>
    <s v="Value Shopper"/>
    <x v="2"/>
    <n v="3.9"/>
    <s v="Delivered"/>
    <s v="Standard"/>
    <n v="3"/>
  </r>
  <r>
    <s v="ORD200214"/>
    <s v="CUST100110"/>
    <s v="Women"/>
    <s v="45-54"/>
    <x v="874"/>
    <x v="2"/>
    <x v="32"/>
    <x v="1"/>
    <n v="11"/>
    <s v="Red"/>
    <n v="1"/>
    <n v="7199"/>
    <n v="20"/>
    <n v="5760"/>
    <n v="5760"/>
    <s v="UPI"/>
    <x v="1"/>
    <s v="India"/>
    <x v="3"/>
    <s v="Udaipur"/>
    <s v="Comfort Shopper"/>
    <x v="2"/>
    <n v="4.5999999999999996"/>
    <s v="Delivered"/>
    <s v="Standard"/>
    <n v="3"/>
  </r>
  <r>
    <s v="ORD201447"/>
    <s v="CUST100312"/>
    <s v="Men"/>
    <s v="35-44"/>
    <x v="875"/>
    <x v="5"/>
    <x v="15"/>
    <x v="4"/>
    <n v="10"/>
    <s v="Black"/>
    <n v="1"/>
    <n v="5799"/>
    <n v="15"/>
    <n v="4930"/>
    <n v="4930"/>
    <s v="Cash on Delivery"/>
    <x v="0"/>
    <s v="India"/>
    <x v="33"/>
    <s v="Nagpur"/>
    <s v="Comfort Shopper"/>
    <x v="1"/>
    <n v="3.3"/>
    <s v="Delivered"/>
    <s v="Express"/>
    <n v="4"/>
  </r>
  <r>
    <s v="ORD201575"/>
    <s v="CUST100735"/>
    <s v="Men"/>
    <s v="18-24"/>
    <x v="875"/>
    <x v="3"/>
    <x v="5"/>
    <x v="2"/>
    <n v="11"/>
    <s v="Black"/>
    <n v="2"/>
    <n v="6599"/>
    <n v="10"/>
    <n v="5940"/>
    <n v="11880"/>
    <s v="UPI"/>
    <x v="2"/>
    <s v="India"/>
    <x v="34"/>
    <s v="Durgapur"/>
    <s v="Premium Shopper"/>
    <x v="1"/>
    <n v="3.7"/>
    <s v="Delivered"/>
    <s v="Standard"/>
    <n v="4"/>
  </r>
  <r>
    <s v="ORD201857"/>
    <s v="CUST100062"/>
    <s v="Men"/>
    <s v="25-34"/>
    <x v="875"/>
    <x v="0"/>
    <x v="19"/>
    <x v="4"/>
    <n v="10"/>
    <s v="Black"/>
    <n v="1"/>
    <n v="3599"/>
    <n v="20"/>
    <n v="2880"/>
    <n v="2880"/>
    <s v="Debit/Credit Card"/>
    <x v="2"/>
    <s v="India"/>
    <x v="24"/>
    <s v="Mysuru"/>
    <s v="Lifestyle Shopper"/>
    <x v="1"/>
    <n v="4.5"/>
    <s v="Delivered"/>
    <s v="Standard"/>
    <n v="5"/>
  </r>
  <r>
    <s v="ORD202688"/>
    <s v="CUST100579"/>
    <s v="Women"/>
    <s v="35-44"/>
    <x v="875"/>
    <x v="1"/>
    <x v="1"/>
    <x v="1"/>
    <n v="10"/>
    <s v="Grey"/>
    <n v="2"/>
    <n v="6899"/>
    <n v="15"/>
    <n v="5860"/>
    <n v="11720"/>
    <s v="Debit/Credit Card"/>
    <x v="1"/>
    <s v="India"/>
    <x v="19"/>
    <s v="Shillong"/>
    <s v="Comfort Shopper"/>
    <x v="2"/>
    <n v="4.0999999999999996"/>
    <s v="Delivered"/>
    <s v="Standard"/>
    <n v="3"/>
  </r>
  <r>
    <s v="ORD202054"/>
    <s v="CUST100075"/>
    <s v="Men"/>
    <s v="25-34"/>
    <x v="876"/>
    <x v="0"/>
    <x v="31"/>
    <x v="1"/>
    <n v="8"/>
    <s v="Blue"/>
    <n v="2"/>
    <n v="7799"/>
    <n v="20"/>
    <n v="6240"/>
    <n v="12480"/>
    <s v="Debit/Credit Card"/>
    <x v="1"/>
    <s v="India"/>
    <x v="9"/>
    <s v="Muzaffarpur"/>
    <s v="Comfort Shopper"/>
    <x v="1"/>
    <n v="3.8"/>
    <s v="Delivered"/>
    <s v="Standard"/>
    <n v="4"/>
  </r>
  <r>
    <s v="ORD201353"/>
    <s v="CUST100139"/>
    <s v="Men"/>
    <s v="35-44"/>
    <x v="877"/>
    <x v="0"/>
    <x v="8"/>
    <x v="3"/>
    <n v="6"/>
    <s v="Black"/>
    <n v="1"/>
    <n v="4399"/>
    <n v="15"/>
    <n v="3740"/>
    <n v="3740"/>
    <s v="Debit/Credit Card"/>
    <x v="2"/>
    <s v="India"/>
    <x v="4"/>
    <s v="Namchi"/>
    <s v="Lifestyle Shopper"/>
    <x v="2"/>
    <n v="3.2"/>
    <s v="Cancelled"/>
    <s v="Standard"/>
    <n v="4"/>
  </r>
  <r>
    <s v="ORD202793"/>
    <s v="CUST100321"/>
    <s v="Men"/>
    <s v="25-34"/>
    <x v="877"/>
    <x v="2"/>
    <x v="32"/>
    <x v="1"/>
    <n v="7"/>
    <s v="Red"/>
    <n v="2"/>
    <n v="6699"/>
    <n v="0"/>
    <n v="6700"/>
    <n v="13400"/>
    <s v="UPI"/>
    <x v="0"/>
    <s v="India"/>
    <x v="33"/>
    <s v="Nashik"/>
    <s v="Performance Seeker"/>
    <x v="1"/>
    <n v="3.9"/>
    <s v="Delivered"/>
    <s v="Standard"/>
    <n v="2"/>
  </r>
  <r>
    <s v="ORD200256"/>
    <s v="CUST100084"/>
    <s v="Unisex"/>
    <s v="18-24"/>
    <x v="878"/>
    <x v="0"/>
    <x v="2"/>
    <x v="2"/>
    <n v="9"/>
    <s v="Green"/>
    <n v="2"/>
    <n v="5299"/>
    <n v="20"/>
    <n v="4240"/>
    <n v="8480"/>
    <s v="Cash on Delivery"/>
    <x v="1"/>
    <s v="India"/>
    <x v="29"/>
    <s v="Tirupati"/>
    <s v="Value Shopper"/>
    <x v="1"/>
    <n v="3"/>
    <s v="Returned"/>
    <s v="Standard"/>
    <n v="3"/>
  </r>
  <r>
    <s v="ORD200488"/>
    <s v="CUST100867"/>
    <s v="Women"/>
    <s v="25-34"/>
    <x v="878"/>
    <x v="5"/>
    <x v="15"/>
    <x v="4"/>
    <n v="11"/>
    <s v="Black"/>
    <n v="1"/>
    <n v="7399"/>
    <n v="10"/>
    <n v="6660"/>
    <n v="6660"/>
    <s v="Debit/Credit Card"/>
    <x v="1"/>
    <s v="India"/>
    <x v="34"/>
    <s v="Asansol"/>
    <s v="Performance Seeker"/>
    <x v="1"/>
    <n v="3.4"/>
    <s v="Delivered"/>
    <s v="Standard"/>
    <n v="2"/>
  </r>
  <r>
    <s v="ORD201332"/>
    <s v="CUST100007"/>
    <s v="Unisex"/>
    <s v="25-34"/>
    <x v="878"/>
    <x v="4"/>
    <x v="9"/>
    <x v="1"/>
    <n v="6"/>
    <s v="Black"/>
    <n v="1"/>
    <n v="7899"/>
    <n v="15"/>
    <n v="6710"/>
    <n v="6710"/>
    <s v="UPI"/>
    <x v="1"/>
    <s v="India"/>
    <x v="12"/>
    <s v="Rangat"/>
    <s v="Premium Shopper"/>
    <x v="1"/>
    <n v="4.0999999999999996"/>
    <s v="Delivered"/>
    <s v="Express"/>
    <n v="2"/>
  </r>
  <r>
    <s v="ORD202894"/>
    <s v="CUST100854"/>
    <s v="Women"/>
    <s v="35-44"/>
    <x v="878"/>
    <x v="5"/>
    <x v="14"/>
    <x v="3"/>
    <n v="10"/>
    <s v="Grey"/>
    <n v="2"/>
    <n v="4999"/>
    <n v="25"/>
    <n v="3750"/>
    <n v="7500"/>
    <s v="UPI"/>
    <x v="1"/>
    <s v="India"/>
    <x v="10"/>
    <s v="Silvassa"/>
    <s v="Premium Shopper"/>
    <x v="1"/>
    <n v="4.9000000000000004"/>
    <s v="Delivered"/>
    <s v="Standard"/>
    <n v="4"/>
  </r>
  <r>
    <s v="ORD201819"/>
    <s v="CUST100572"/>
    <s v="Men"/>
    <s v="25-34"/>
    <x v="879"/>
    <x v="1"/>
    <x v="33"/>
    <x v="0"/>
    <n v="10"/>
    <s v="Red"/>
    <n v="1"/>
    <n v="8499"/>
    <n v="10"/>
    <n v="7650"/>
    <n v="7650"/>
    <s v="UPI"/>
    <x v="2"/>
    <s v="India"/>
    <x v="8"/>
    <s v="Hyderabad"/>
    <s v="Value Shopper"/>
    <x v="1"/>
    <n v="2.9"/>
    <s v="Delivered"/>
    <s v="Standard"/>
    <n v="5"/>
  </r>
  <r>
    <s v="ORD202045"/>
    <s v="CUST100892"/>
    <s v="Men"/>
    <s v="25-34"/>
    <x v="880"/>
    <x v="1"/>
    <x v="1"/>
    <x v="1"/>
    <n v="10"/>
    <s v="Green"/>
    <n v="1"/>
    <n v="4899"/>
    <n v="15"/>
    <n v="4160"/>
    <n v="4160"/>
    <s v="Debit/Credit Card"/>
    <x v="2"/>
    <s v="India"/>
    <x v="30"/>
    <s v="Chandigarh"/>
    <s v="Comfort Shopper"/>
    <x v="1"/>
    <n v="4.3"/>
    <s v="Delivered"/>
    <s v="Standard"/>
    <n v="4"/>
  </r>
  <r>
    <s v="ORD203025"/>
    <s v="CUST100227"/>
    <s v="Women"/>
    <s v="35-44"/>
    <x v="880"/>
    <x v="1"/>
    <x v="12"/>
    <x v="4"/>
    <n v="7"/>
    <s v="Black"/>
    <n v="1"/>
    <n v="3499"/>
    <n v="5"/>
    <n v="3320"/>
    <n v="3320"/>
    <s v="UPI"/>
    <x v="1"/>
    <s v="India"/>
    <x v="21"/>
    <s v="Dimapur"/>
    <s v="Performance Seeker"/>
    <x v="1"/>
    <n v="3.1"/>
    <s v="Cancelled"/>
    <s v="Standard"/>
    <n v="4"/>
  </r>
  <r>
    <s v="ORD201942"/>
    <s v="CUST100298"/>
    <s v="Men"/>
    <s v="18-24"/>
    <x v="881"/>
    <x v="2"/>
    <x v="3"/>
    <x v="2"/>
    <n v="12"/>
    <s v="Blue"/>
    <n v="2"/>
    <n v="6899"/>
    <n v="25"/>
    <n v="5170"/>
    <n v="10340"/>
    <s v="UPI"/>
    <x v="1"/>
    <s v="India"/>
    <x v="13"/>
    <s v="Itanagar"/>
    <s v="Performance Seeker"/>
    <x v="1"/>
    <n v="3.6"/>
    <s v="Delivered"/>
    <s v="Express"/>
    <n v="2"/>
  </r>
  <r>
    <s v="ORD201965"/>
    <s v="CUST100651"/>
    <s v="Unisex"/>
    <s v="35-44"/>
    <x v="881"/>
    <x v="1"/>
    <x v="20"/>
    <x v="2"/>
    <n v="7"/>
    <s v="White"/>
    <n v="4"/>
    <n v="5399"/>
    <n v="5"/>
    <n v="5130"/>
    <n v="20520"/>
    <s v="UPI"/>
    <x v="1"/>
    <s v="India"/>
    <x v="19"/>
    <s v="Shillong"/>
    <s v="Lifestyle Shopper"/>
    <x v="2"/>
    <n v="4.5999999999999996"/>
    <s v="Cancelled"/>
    <s v="Standard"/>
    <n v="5"/>
  </r>
  <r>
    <s v="ORD201553"/>
    <s v="CUST100430"/>
    <s v="Women"/>
    <s v="18-24"/>
    <x v="882"/>
    <x v="4"/>
    <x v="26"/>
    <x v="3"/>
    <n v="8"/>
    <s v="Green"/>
    <n v="1"/>
    <n v="7199"/>
    <n v="20"/>
    <n v="5760"/>
    <n v="5760"/>
    <s v="UPI"/>
    <x v="2"/>
    <s v="India"/>
    <x v="16"/>
    <s v="Rajkot"/>
    <s v="Value Shopper"/>
    <x v="1"/>
    <n v="3.9"/>
    <s v="Delivered"/>
    <s v="Express"/>
    <n v="3"/>
  </r>
  <r>
    <s v="ORD201654"/>
    <s v="CUST100465"/>
    <s v="Women"/>
    <s v="25-34"/>
    <x v="883"/>
    <x v="3"/>
    <x v="11"/>
    <x v="4"/>
    <n v="10"/>
    <s v="White"/>
    <n v="1"/>
    <n v="7999"/>
    <n v="10"/>
    <n v="7200"/>
    <n v="7200"/>
    <s v="UPI"/>
    <x v="1"/>
    <s v="India"/>
    <x v="1"/>
    <s v="Margao"/>
    <s v="Lifestyle Shopper"/>
    <x v="2"/>
    <n v="4"/>
    <s v="Cancelled"/>
    <s v="Express"/>
    <n v="2"/>
  </r>
  <r>
    <s v="ORD203130"/>
    <s v="CUST100069"/>
    <s v="Women"/>
    <s v="18-24"/>
    <x v="883"/>
    <x v="0"/>
    <x v="0"/>
    <x v="0"/>
    <n v="10"/>
    <s v="Green"/>
    <n v="1"/>
    <n v="7099"/>
    <n v="5"/>
    <n v="6740"/>
    <n v="6740"/>
    <s v="UPI"/>
    <x v="0"/>
    <s v="India"/>
    <x v="27"/>
    <s v="Berhampur"/>
    <s v="Comfort Shopper"/>
    <x v="1"/>
    <n v="4.2"/>
    <s v="Delivered"/>
    <s v="Same Day"/>
    <n v="1"/>
  </r>
  <r>
    <s v="ORD201963"/>
    <s v="CUST100322"/>
    <s v="Men"/>
    <s v="25-34"/>
    <x v="884"/>
    <x v="2"/>
    <x v="25"/>
    <x v="3"/>
    <n v="8"/>
    <s v="Green"/>
    <n v="1"/>
    <n v="4299"/>
    <n v="15"/>
    <n v="3650"/>
    <n v="3650"/>
    <s v="Debit/Credit Card"/>
    <x v="1"/>
    <s v="India"/>
    <x v="5"/>
    <s v="Kakching"/>
    <s v="Lifestyle Shopper"/>
    <x v="1"/>
    <n v="3.3"/>
    <s v="Delivered"/>
    <s v="Standard"/>
    <n v="4"/>
  </r>
  <r>
    <s v="ORD200100"/>
    <s v="CUST100723"/>
    <s v="Women"/>
    <s v="25-34"/>
    <x v="885"/>
    <x v="1"/>
    <x v="20"/>
    <x v="2"/>
    <n v="6"/>
    <s v="Green"/>
    <n v="1"/>
    <n v="4499"/>
    <n v="15"/>
    <n v="3820"/>
    <n v="3820"/>
    <s v="UPI"/>
    <x v="1"/>
    <s v="India"/>
    <x v="34"/>
    <s v="Siliguri"/>
    <s v="Value Shopper"/>
    <x v="2"/>
    <n v="3.9"/>
    <s v="Delivered"/>
    <s v="Standard"/>
    <n v="4"/>
  </r>
  <r>
    <s v="ORD200618"/>
    <s v="CUST100302"/>
    <s v="Women"/>
    <s v="25-34"/>
    <x v="885"/>
    <x v="3"/>
    <x v="11"/>
    <x v="4"/>
    <n v="12"/>
    <s v="Black"/>
    <n v="1"/>
    <n v="6699"/>
    <n v="5"/>
    <n v="6360"/>
    <n v="6360"/>
    <s v="UPI"/>
    <x v="1"/>
    <s v="India"/>
    <x v="1"/>
    <s v="Mapusa"/>
    <s v="Premium Shopper"/>
    <x v="0"/>
    <n v="4.5"/>
    <s v="Delivered"/>
    <s v="Standard"/>
    <n v="3"/>
  </r>
  <r>
    <s v="ORD201367"/>
    <s v="CUST100083"/>
    <s v="Women"/>
    <s v="25-34"/>
    <x v="885"/>
    <x v="1"/>
    <x v="18"/>
    <x v="2"/>
    <n v="9"/>
    <s v="White"/>
    <n v="1"/>
    <n v="5699"/>
    <n v="25"/>
    <n v="4270"/>
    <n v="4270"/>
    <s v="UPI"/>
    <x v="2"/>
    <s v="India"/>
    <x v="27"/>
    <s v="Berhampur"/>
    <s v="Performance Seeker"/>
    <x v="2"/>
    <n v="4.5"/>
    <s v="Delivered"/>
    <s v="Express"/>
    <n v="1"/>
  </r>
  <r>
    <s v="ORD201438"/>
    <s v="CUST100875"/>
    <s v="Men"/>
    <s v="55+"/>
    <x v="886"/>
    <x v="2"/>
    <x v="24"/>
    <x v="4"/>
    <n v="7"/>
    <s v="Blue"/>
    <n v="1"/>
    <n v="3799"/>
    <n v="15"/>
    <n v="3230"/>
    <n v="3230"/>
    <s v="UPI"/>
    <x v="1"/>
    <s v="India"/>
    <x v="16"/>
    <s v="Rajkot"/>
    <s v="Lifestyle Shopper"/>
    <x v="2"/>
    <n v="3.9"/>
    <s v="Delivered"/>
    <s v="Standard"/>
    <n v="6"/>
  </r>
  <r>
    <s v="ORD200029"/>
    <s v="CUST100852"/>
    <s v="Women"/>
    <s v="35-44"/>
    <x v="887"/>
    <x v="1"/>
    <x v="18"/>
    <x v="2"/>
    <n v="10"/>
    <s v="Grey"/>
    <n v="1"/>
    <n v="5799"/>
    <n v="15"/>
    <n v="4930"/>
    <n v="4930"/>
    <s v="UPI"/>
    <x v="2"/>
    <s v="India"/>
    <x v="14"/>
    <s v="Ludhiana"/>
    <s v="Comfort Shopper"/>
    <x v="0"/>
    <n v="4.0999999999999996"/>
    <s v="Delivered"/>
    <s v="Standard"/>
    <n v="5"/>
  </r>
  <r>
    <s v="ORD202086"/>
    <s v="CUST100297"/>
    <s v="Men"/>
    <s v="18-24"/>
    <x v="888"/>
    <x v="1"/>
    <x v="18"/>
    <x v="2"/>
    <n v="9"/>
    <s v="Green"/>
    <n v="2"/>
    <n v="7299"/>
    <n v="5"/>
    <n v="6930"/>
    <n v="13860"/>
    <s v="UPI"/>
    <x v="2"/>
    <s v="India"/>
    <x v="32"/>
    <s v="Jamshedpur"/>
    <s v="Value Shopper"/>
    <x v="1"/>
    <n v="3.6"/>
    <s v="Delivered"/>
    <s v="Standard"/>
    <n v="4"/>
  </r>
  <r>
    <s v="ORD201835"/>
    <s v="CUST100780"/>
    <s v="Unisex"/>
    <s v="25-34"/>
    <x v="889"/>
    <x v="5"/>
    <x v="7"/>
    <x v="1"/>
    <n v="10"/>
    <s v="Black"/>
    <n v="1"/>
    <n v="5999"/>
    <n v="30"/>
    <n v="4200"/>
    <n v="4200"/>
    <s v="Debit/Credit Card"/>
    <x v="0"/>
    <s v="India"/>
    <x v="32"/>
    <s v="Jamshedpur"/>
    <s v="Performance Seeker"/>
    <x v="0"/>
    <n v="4.8"/>
    <s v="Delivered"/>
    <s v="Standard"/>
    <n v="3"/>
  </r>
  <r>
    <s v="ORD202799"/>
    <s v="CUST100621"/>
    <s v="Women"/>
    <s v="25-34"/>
    <x v="889"/>
    <x v="0"/>
    <x v="2"/>
    <x v="2"/>
    <n v="10"/>
    <s v="Red"/>
    <n v="4"/>
    <n v="9199"/>
    <n v="10"/>
    <n v="8280"/>
    <n v="33120"/>
    <s v="UPI"/>
    <x v="1"/>
    <s v="India"/>
    <x v="28"/>
    <s v="Diskit"/>
    <s v="Performance Seeker"/>
    <x v="1"/>
    <n v="3.4"/>
    <s v="Cancelled"/>
    <s v="Express"/>
    <n v="3"/>
  </r>
  <r>
    <s v="ORD202972"/>
    <s v="CUST100793"/>
    <s v="Men"/>
    <s v="25-34"/>
    <x v="889"/>
    <x v="4"/>
    <x v="29"/>
    <x v="2"/>
    <n v="8"/>
    <s v="White"/>
    <n v="1"/>
    <n v="6699"/>
    <n v="35"/>
    <n v="4350"/>
    <n v="4350"/>
    <s v="UPI"/>
    <x v="2"/>
    <s v="India"/>
    <x v="10"/>
    <s v="Diu"/>
    <s v="Performance Seeker"/>
    <x v="1"/>
    <n v="3.5"/>
    <s v="Delivered"/>
    <s v="Express"/>
    <n v="4"/>
  </r>
  <r>
    <s v="ORD203150"/>
    <s v="CUST100899"/>
    <s v="Women"/>
    <s v="25-34"/>
    <x v="890"/>
    <x v="3"/>
    <x v="11"/>
    <x v="4"/>
    <n v="8"/>
    <s v="Blue"/>
    <n v="1"/>
    <n v="4299"/>
    <n v="10"/>
    <n v="3870"/>
    <n v="3870"/>
    <s v="Cash on Delivery"/>
    <x v="1"/>
    <s v="India"/>
    <x v="33"/>
    <s v="Pune"/>
    <s v="Value Shopper"/>
    <x v="1"/>
    <n v="3.2"/>
    <s v="Delivered"/>
    <s v="Standard"/>
    <n v="2"/>
  </r>
  <r>
    <s v="ORD200753"/>
    <s v="CUST100079"/>
    <s v="Men"/>
    <s v="35-44"/>
    <x v="891"/>
    <x v="1"/>
    <x v="33"/>
    <x v="0"/>
    <n v="12"/>
    <s v="Grey"/>
    <n v="1"/>
    <n v="6199"/>
    <n v="10"/>
    <n v="5580"/>
    <n v="5580"/>
    <s v="Debit/Credit Card"/>
    <x v="1"/>
    <s v="India"/>
    <x v="8"/>
    <s v="Nizamabad"/>
    <s v="Premium Shopper"/>
    <x v="1"/>
    <n v="3.8"/>
    <s v="Delivered"/>
    <s v="Express"/>
    <n v="3"/>
  </r>
  <r>
    <s v="ORD200944"/>
    <s v="CUST100607"/>
    <s v="Women"/>
    <s v="45-54"/>
    <x v="892"/>
    <x v="5"/>
    <x v="15"/>
    <x v="4"/>
    <n v="8"/>
    <s v="White"/>
    <n v="2"/>
    <n v="8599"/>
    <n v="15"/>
    <n v="7310"/>
    <n v="14620"/>
    <s v="UPI"/>
    <x v="2"/>
    <s v="India"/>
    <x v="30"/>
    <s v="Burail"/>
    <s v="Value Shopper"/>
    <x v="1"/>
    <n v="3.6"/>
    <s v="Cancelled"/>
    <s v="Standard"/>
    <n v="2"/>
  </r>
  <r>
    <s v="ORD201881"/>
    <s v="CUST100443"/>
    <s v="Women"/>
    <s v="25-34"/>
    <x v="892"/>
    <x v="3"/>
    <x v="16"/>
    <x v="0"/>
    <n v="7"/>
    <s v="White"/>
    <n v="1"/>
    <n v="6999"/>
    <n v="5"/>
    <n v="6650"/>
    <n v="6650"/>
    <s v="UPI"/>
    <x v="0"/>
    <s v="India"/>
    <x v="35"/>
    <s v="Champhai"/>
    <s v="Value Shopper"/>
    <x v="2"/>
    <n v="5"/>
    <s v="Delivered"/>
    <s v="Express"/>
    <n v="2"/>
  </r>
  <r>
    <s v="ORD202318"/>
    <s v="CUST100094"/>
    <s v="Men"/>
    <s v="35-44"/>
    <x v="892"/>
    <x v="4"/>
    <x v="26"/>
    <x v="3"/>
    <n v="10"/>
    <s v="Red"/>
    <n v="2"/>
    <n v="6199"/>
    <n v="0"/>
    <n v="6200"/>
    <n v="12400"/>
    <s v="UPI"/>
    <x v="1"/>
    <s v="India"/>
    <x v="27"/>
    <s v="Bhubaneswar"/>
    <s v="Comfort Shopper"/>
    <x v="2"/>
    <n v="3.8"/>
    <s v="Delivered"/>
    <s v="Same Day"/>
    <n v="1"/>
  </r>
  <r>
    <s v="ORD202496"/>
    <s v="CUST100468"/>
    <s v="Unisex"/>
    <s v="25-34"/>
    <x v="893"/>
    <x v="1"/>
    <x v="18"/>
    <x v="2"/>
    <n v="6"/>
    <s v="Red"/>
    <n v="3"/>
    <n v="9199"/>
    <n v="5"/>
    <n v="8740"/>
    <n v="26220"/>
    <s v="UPI"/>
    <x v="1"/>
    <s v="India"/>
    <x v="33"/>
    <s v="Nagpur"/>
    <s v="Lifestyle Shopper"/>
    <x v="2"/>
    <n v="4"/>
    <s v="Delivered"/>
    <s v="Express"/>
    <n v="3"/>
  </r>
  <r>
    <s v="ORD201585"/>
    <s v="CUST100204"/>
    <s v="Women"/>
    <s v="18-24"/>
    <x v="894"/>
    <x v="2"/>
    <x v="32"/>
    <x v="1"/>
    <n v="6"/>
    <s v="White"/>
    <n v="1"/>
    <n v="4399"/>
    <n v="20"/>
    <n v="3520"/>
    <n v="3520"/>
    <s v="UPI"/>
    <x v="1"/>
    <s v="India"/>
    <x v="26"/>
    <s v="Kozhikode"/>
    <s v="Lifestyle Shopper"/>
    <x v="0"/>
    <n v="3"/>
    <s v="Delivered"/>
    <s v="Express"/>
    <n v="2"/>
  </r>
  <r>
    <s v="ORD202278"/>
    <s v="CUST100363"/>
    <s v="Men"/>
    <s v="35-44"/>
    <x v="895"/>
    <x v="0"/>
    <x v="13"/>
    <x v="2"/>
    <n v="11"/>
    <s v="Blue"/>
    <n v="1"/>
    <n v="7999"/>
    <n v="10"/>
    <n v="7200"/>
    <n v="7200"/>
    <s v="UPI"/>
    <x v="0"/>
    <s v="India"/>
    <x v="30"/>
    <s v="Chandigarh"/>
    <s v="Premium Shopper"/>
    <x v="1"/>
    <n v="3.4"/>
    <s v="Returned"/>
    <s v="Standard"/>
    <n v="6"/>
  </r>
  <r>
    <s v="ORD200613"/>
    <s v="CUST101050"/>
    <s v="Unisex"/>
    <s v="18-24"/>
    <x v="896"/>
    <x v="1"/>
    <x v="10"/>
    <x v="3"/>
    <n v="8"/>
    <s v="Green"/>
    <n v="1"/>
    <n v="6499"/>
    <n v="5"/>
    <n v="6170"/>
    <n v="6170"/>
    <s v="UPI"/>
    <x v="1"/>
    <s v="India"/>
    <x v="18"/>
    <s v="Bhilai"/>
    <s v="Lifestyle Shopper"/>
    <x v="1"/>
    <n v="3.9"/>
    <s v="Returned"/>
    <s v="Standard"/>
    <n v="5"/>
  </r>
  <r>
    <s v="ORD200603"/>
    <s v="CUST100064"/>
    <s v="Women"/>
    <s v="35-44"/>
    <x v="897"/>
    <x v="4"/>
    <x v="9"/>
    <x v="1"/>
    <n v="8"/>
    <s v="Green"/>
    <n v="1"/>
    <n v="9399"/>
    <n v="25"/>
    <n v="7050"/>
    <n v="7050"/>
    <s v="UPI"/>
    <x v="1"/>
    <s v="India"/>
    <x v="10"/>
    <s v="Daman"/>
    <s v="Performance Seeker"/>
    <x v="1"/>
    <n v="2.6"/>
    <s v="Delivered"/>
    <s v="Express"/>
    <n v="3"/>
  </r>
  <r>
    <s v="ORD202280"/>
    <s v="CUST100109"/>
    <s v="Men"/>
    <s v="35-44"/>
    <x v="897"/>
    <x v="3"/>
    <x v="28"/>
    <x v="1"/>
    <n v="10"/>
    <s v="Blue"/>
    <n v="1"/>
    <n v="4499"/>
    <n v="10"/>
    <n v="4050"/>
    <n v="4050"/>
    <s v="UPI"/>
    <x v="2"/>
    <s v="India"/>
    <x v="5"/>
    <s v="Churachandpur"/>
    <s v="Value Shopper"/>
    <x v="2"/>
    <n v="3.8"/>
    <s v="Delivered"/>
    <s v="Standard"/>
    <n v="6"/>
  </r>
  <r>
    <s v="ORD200018"/>
    <s v="CUST100166"/>
    <s v="Unisex"/>
    <s v="35-44"/>
    <x v="898"/>
    <x v="2"/>
    <x v="24"/>
    <x v="4"/>
    <n v="8"/>
    <s v="Blue"/>
    <n v="1"/>
    <n v="7799"/>
    <n v="25"/>
    <n v="5850"/>
    <n v="5850"/>
    <s v="UPI"/>
    <x v="2"/>
    <s v="India"/>
    <x v="24"/>
    <s v="Hubballi"/>
    <s v="Comfort Shopper"/>
    <x v="2"/>
    <n v="3"/>
    <s v="Delivered"/>
    <s v="Express"/>
    <n v="3"/>
  </r>
  <r>
    <s v="ORD200258"/>
    <s v="CUST100362"/>
    <s v="Women"/>
    <s v="35-44"/>
    <x v="898"/>
    <x v="5"/>
    <x v="15"/>
    <x v="4"/>
    <n v="9"/>
    <s v="Green"/>
    <n v="2"/>
    <n v="5099"/>
    <n v="0"/>
    <n v="5100"/>
    <n v="10200"/>
    <s v="Cash on Delivery"/>
    <x v="2"/>
    <s v="India"/>
    <x v="17"/>
    <s v="Mahe"/>
    <s v="Performance Seeker"/>
    <x v="1"/>
    <n v="4.5"/>
    <s v="Delivered"/>
    <s v="Standard"/>
    <n v="3"/>
  </r>
  <r>
    <s v="ORD201675"/>
    <s v="CUST100471"/>
    <s v="Men"/>
    <s v="35-44"/>
    <x v="898"/>
    <x v="3"/>
    <x v="16"/>
    <x v="0"/>
    <n v="10"/>
    <s v="Black"/>
    <n v="1"/>
    <n v="6899"/>
    <n v="10"/>
    <n v="6210"/>
    <n v="6210"/>
    <s v="UPI"/>
    <x v="1"/>
    <s v="India"/>
    <x v="2"/>
    <s v="Panipat"/>
    <s v="Comfort Shopper"/>
    <x v="1"/>
    <n v="4.5"/>
    <s v="Delivered"/>
    <s v="Standard"/>
    <n v="3"/>
  </r>
  <r>
    <s v="ORD202697"/>
    <s v="CUST100127"/>
    <s v="Men"/>
    <s v="35-44"/>
    <x v="898"/>
    <x v="0"/>
    <x v="13"/>
    <x v="2"/>
    <n v="8"/>
    <s v="Green"/>
    <n v="1"/>
    <n v="6499"/>
    <n v="15"/>
    <n v="5520"/>
    <n v="5520"/>
    <s v="Debit/Credit Card"/>
    <x v="0"/>
    <s v="India"/>
    <x v="26"/>
    <s v="Kochi"/>
    <s v="Premium Shopper"/>
    <x v="0"/>
    <n v="5"/>
    <s v="Delivered"/>
    <s v="Express"/>
    <n v="1"/>
  </r>
  <r>
    <s v="ORD200404"/>
    <s v="CUST100642"/>
    <s v="Women"/>
    <s v="45-54"/>
    <x v="899"/>
    <x v="0"/>
    <x v="8"/>
    <x v="3"/>
    <n v="9"/>
    <s v="Blue"/>
    <n v="2"/>
    <n v="6599"/>
    <n v="25"/>
    <n v="4950"/>
    <n v="9900"/>
    <s v="Cash on Delivery"/>
    <x v="2"/>
    <s v="India"/>
    <x v="23"/>
    <s v="Haldwani"/>
    <s v="Value Shopper"/>
    <x v="1"/>
    <n v="3.8"/>
    <s v="Delivered"/>
    <s v="Standard"/>
    <n v="4"/>
  </r>
  <r>
    <s v="ORD202941"/>
    <s v="CUST100572"/>
    <s v="Men"/>
    <s v="35-44"/>
    <x v="899"/>
    <x v="0"/>
    <x v="0"/>
    <x v="0"/>
    <n v="10"/>
    <s v="Blue"/>
    <n v="1"/>
    <n v="5099"/>
    <n v="25"/>
    <n v="3820"/>
    <n v="3820"/>
    <s v="Debit/Credit Card"/>
    <x v="2"/>
    <s v="India"/>
    <x v="34"/>
    <s v="Asansol"/>
    <s v="Comfort Shopper"/>
    <x v="1"/>
    <n v="3.9"/>
    <s v="Cancelled"/>
    <s v="Standard"/>
    <n v="6"/>
  </r>
  <r>
    <s v="ORD201156"/>
    <s v="CUST100319"/>
    <s v="Men"/>
    <s v="45-54"/>
    <x v="900"/>
    <x v="4"/>
    <x v="6"/>
    <x v="2"/>
    <n v="12"/>
    <s v="Black"/>
    <n v="1"/>
    <n v="9899"/>
    <n v="0"/>
    <n v="9900"/>
    <n v="9900"/>
    <s v="UPI"/>
    <x v="2"/>
    <s v="India"/>
    <x v="25"/>
    <s v="Srinagar"/>
    <s v="Comfort Shopper"/>
    <x v="2"/>
    <n v="4.2"/>
    <s v="Returned"/>
    <s v="Same Day"/>
    <n v="1"/>
  </r>
  <r>
    <s v="ORD201006"/>
    <s v="CUST100912"/>
    <s v="Unisex"/>
    <s v="35-44"/>
    <x v="901"/>
    <x v="2"/>
    <x v="24"/>
    <x v="4"/>
    <n v="9"/>
    <s v="Blue"/>
    <n v="1"/>
    <n v="4199"/>
    <n v="15"/>
    <n v="3570"/>
    <n v="3570"/>
    <s v="UPI"/>
    <x v="0"/>
    <s v="India"/>
    <x v="21"/>
    <s v="Kohima"/>
    <s v="Value Shopper"/>
    <x v="1"/>
    <n v="4.5999999999999996"/>
    <s v="Cancelled"/>
    <s v="Standard"/>
    <n v="7"/>
  </r>
  <r>
    <s v="ORD200031"/>
    <s v="CUST100288"/>
    <s v="Men"/>
    <s v="25-34"/>
    <x v="902"/>
    <x v="1"/>
    <x v="1"/>
    <x v="1"/>
    <n v="7"/>
    <s v="Red"/>
    <n v="1"/>
    <n v="5599"/>
    <n v="20"/>
    <n v="4480"/>
    <n v="4480"/>
    <s v="UPI"/>
    <x v="0"/>
    <s v="India"/>
    <x v="8"/>
    <s v="Karimnagar"/>
    <s v="Lifestyle Shopper"/>
    <x v="1"/>
    <n v="3.3"/>
    <s v="Delivered"/>
    <s v="Express"/>
    <n v="2"/>
  </r>
  <r>
    <s v="ORD202332"/>
    <s v="CUST100913"/>
    <s v="Men"/>
    <s v="25-34"/>
    <x v="903"/>
    <x v="3"/>
    <x v="11"/>
    <x v="4"/>
    <n v="7"/>
    <s v="White"/>
    <n v="1"/>
    <n v="7999"/>
    <n v="10"/>
    <n v="7200"/>
    <n v="7200"/>
    <s v="UPI"/>
    <x v="2"/>
    <s v="India"/>
    <x v="8"/>
    <s v="Karimnagar"/>
    <s v="Lifestyle Shopper"/>
    <x v="1"/>
    <n v="3.7"/>
    <s v="Cancelled"/>
    <s v="Express"/>
    <n v="4"/>
  </r>
  <r>
    <s v="ORD200301"/>
    <s v="CUST100264"/>
    <s v="Men"/>
    <s v="25-34"/>
    <x v="904"/>
    <x v="5"/>
    <x v="30"/>
    <x v="2"/>
    <n v="11"/>
    <s v="Black"/>
    <n v="1"/>
    <n v="4499"/>
    <n v="25"/>
    <n v="3370"/>
    <n v="3370"/>
    <s v="UPI"/>
    <x v="1"/>
    <s v="India"/>
    <x v="17"/>
    <s v="Mahe"/>
    <s v="Performance Seeker"/>
    <x v="1"/>
    <n v="3.4"/>
    <s v="Delivered"/>
    <s v="Standard"/>
    <n v="4"/>
  </r>
  <r>
    <s v="ORD201770"/>
    <s v="CUST100777"/>
    <s v="Women"/>
    <s v="25-34"/>
    <x v="904"/>
    <x v="5"/>
    <x v="27"/>
    <x v="0"/>
    <n v="8"/>
    <s v="Black"/>
    <n v="1"/>
    <n v="8999"/>
    <n v="20"/>
    <n v="7200"/>
    <n v="7200"/>
    <s v="Net Banking"/>
    <x v="1"/>
    <s v="India"/>
    <x v="25"/>
    <s v="Anantnag"/>
    <s v="Performance Seeker"/>
    <x v="1"/>
    <n v="3.5"/>
    <s v="Returned"/>
    <s v="Standard"/>
    <n v="4"/>
  </r>
  <r>
    <s v="ORD203103"/>
    <s v="CUST100861"/>
    <s v="Men"/>
    <s v="18-24"/>
    <x v="904"/>
    <x v="1"/>
    <x v="33"/>
    <x v="0"/>
    <n v="7"/>
    <s v="Red"/>
    <n v="3"/>
    <n v="4599"/>
    <n v="10"/>
    <n v="4140"/>
    <n v="12420"/>
    <s v="UPI"/>
    <x v="0"/>
    <s v="India"/>
    <x v="18"/>
    <s v="Korba"/>
    <s v="Value Shopper"/>
    <x v="0"/>
    <n v="4.8"/>
    <s v="Delivered"/>
    <s v="Standard"/>
    <n v="3"/>
  </r>
  <r>
    <s v="ORD201281"/>
    <s v="CUST100741"/>
    <s v="Women"/>
    <s v="25-34"/>
    <x v="905"/>
    <x v="1"/>
    <x v="12"/>
    <x v="4"/>
    <n v="8"/>
    <s v="Black"/>
    <n v="1"/>
    <n v="3899"/>
    <n v="10"/>
    <n v="3510"/>
    <n v="3510"/>
    <s v="UPI"/>
    <x v="2"/>
    <s v="India"/>
    <x v="3"/>
    <s v="Udaipur"/>
    <s v="Lifestyle Shopper"/>
    <x v="1"/>
    <n v="5"/>
    <s v="Returned"/>
    <s v="Standard"/>
    <n v="2"/>
  </r>
  <r>
    <s v="ORD200133"/>
    <s v="CUST100033"/>
    <s v="Women"/>
    <s v="45-54"/>
    <x v="906"/>
    <x v="5"/>
    <x v="7"/>
    <x v="1"/>
    <n v="10"/>
    <s v="White"/>
    <n v="1"/>
    <n v="4699"/>
    <n v="15"/>
    <n v="3990"/>
    <n v="3990"/>
    <s v="Debit/Credit Card"/>
    <x v="2"/>
    <s v="India"/>
    <x v="20"/>
    <s v="Shimla"/>
    <s v="Comfort Shopper"/>
    <x v="1"/>
    <n v="2.6"/>
    <s v="Delivered"/>
    <s v="Express"/>
    <n v="2"/>
  </r>
  <r>
    <s v="ORD200772"/>
    <s v="CUST100369"/>
    <s v="Women"/>
    <s v="35-44"/>
    <x v="906"/>
    <x v="2"/>
    <x v="32"/>
    <x v="1"/>
    <n v="8"/>
    <s v="Black"/>
    <n v="1"/>
    <n v="4299"/>
    <n v="25"/>
    <n v="3220"/>
    <n v="3220"/>
    <s v="UPI"/>
    <x v="1"/>
    <s v="India"/>
    <x v="23"/>
    <s v="Haldwani"/>
    <s v="Premium Shopper"/>
    <x v="1"/>
    <n v="4.7"/>
    <s v="Delivered"/>
    <s v="Express"/>
    <n v="4"/>
  </r>
  <r>
    <s v="ORD201863"/>
    <s v="CUST100048"/>
    <s v="Women"/>
    <s v="25-34"/>
    <x v="906"/>
    <x v="1"/>
    <x v="20"/>
    <x v="2"/>
    <n v="8"/>
    <s v="Black"/>
    <n v="1"/>
    <n v="4899"/>
    <n v="15"/>
    <n v="4160"/>
    <n v="4160"/>
    <s v="Debit/Credit Card"/>
    <x v="0"/>
    <s v="India"/>
    <x v="11"/>
    <s v="Andrott"/>
    <s v="Lifestyle Shopper"/>
    <x v="2"/>
    <n v="4.0999999999999996"/>
    <s v="Returned"/>
    <s v="Express"/>
    <n v="2"/>
  </r>
  <r>
    <s v="ORD202719"/>
    <s v="CUST100330"/>
    <s v="Women"/>
    <s v="35-44"/>
    <x v="906"/>
    <x v="1"/>
    <x v="18"/>
    <x v="2"/>
    <n v="8"/>
    <s v="Grey"/>
    <n v="1"/>
    <n v="9199"/>
    <n v="20"/>
    <n v="7360"/>
    <n v="7360"/>
    <s v="UPI"/>
    <x v="2"/>
    <s v="India"/>
    <x v="10"/>
    <s v="Diu"/>
    <s v="Value Shopper"/>
    <x v="1"/>
    <n v="3.2"/>
    <s v="Delivered"/>
    <s v="Express"/>
    <n v="4"/>
  </r>
  <r>
    <s v="ORD203051"/>
    <s v="CUST100775"/>
    <s v="Men"/>
    <s v="18-24"/>
    <x v="906"/>
    <x v="0"/>
    <x v="2"/>
    <x v="2"/>
    <n v="9"/>
    <s v="Green"/>
    <n v="1"/>
    <n v="6099"/>
    <n v="15"/>
    <n v="5180"/>
    <n v="5180"/>
    <s v="UPI"/>
    <x v="1"/>
    <s v="India"/>
    <x v="9"/>
    <s v="Patna"/>
    <s v="Performance Seeker"/>
    <x v="0"/>
    <n v="4.7"/>
    <s v="Cancelled"/>
    <s v="Express"/>
    <n v="2"/>
  </r>
  <r>
    <s v="ORD200309"/>
    <s v="CUST100734"/>
    <s v="Women"/>
    <s v="35-44"/>
    <x v="907"/>
    <x v="0"/>
    <x v="13"/>
    <x v="2"/>
    <n v="11"/>
    <s v="White"/>
    <n v="1"/>
    <n v="4499"/>
    <n v="30"/>
    <n v="3150"/>
    <n v="3150"/>
    <s v="UPI"/>
    <x v="0"/>
    <s v="India"/>
    <x v="8"/>
    <s v="Karimnagar"/>
    <s v="Comfort Shopper"/>
    <x v="1"/>
    <n v="3.5"/>
    <s v="Delivered"/>
    <s v="Express"/>
    <n v="3"/>
  </r>
  <r>
    <s v="ORD203046"/>
    <s v="CUST100194"/>
    <s v="Men"/>
    <s v="35-44"/>
    <x v="907"/>
    <x v="5"/>
    <x v="14"/>
    <x v="3"/>
    <n v="6"/>
    <s v="Black"/>
    <n v="1"/>
    <n v="6699"/>
    <n v="10"/>
    <n v="6030"/>
    <n v="6030"/>
    <s v="UPI"/>
    <x v="1"/>
    <s v="India"/>
    <x v="26"/>
    <s v="Thrissur"/>
    <s v="Comfort Shopper"/>
    <x v="1"/>
    <n v="3.7"/>
    <s v="Delivered"/>
    <s v="Standard"/>
    <n v="5"/>
  </r>
  <r>
    <s v="ORD202574"/>
    <s v="CUST100748"/>
    <s v="Men"/>
    <s v="25-34"/>
    <x v="908"/>
    <x v="5"/>
    <x v="27"/>
    <x v="0"/>
    <n v="6"/>
    <s v="Blue"/>
    <n v="1"/>
    <n v="7899"/>
    <n v="15"/>
    <n v="6710"/>
    <n v="6710"/>
    <s v="UPI"/>
    <x v="0"/>
    <s v="India"/>
    <x v="4"/>
    <s v="Mangan"/>
    <s v="Performance Seeker"/>
    <x v="1"/>
    <n v="2.9"/>
    <s v="Delivered"/>
    <s v="Express"/>
    <n v="3"/>
  </r>
  <r>
    <s v="ORD203160"/>
    <s v="CUST100272"/>
    <s v="Men"/>
    <s v="55+"/>
    <x v="908"/>
    <x v="0"/>
    <x v="8"/>
    <x v="3"/>
    <n v="9"/>
    <s v="Grey"/>
    <n v="2"/>
    <n v="7099"/>
    <n v="40"/>
    <n v="4260"/>
    <n v="8520"/>
    <s v="Cash on Delivery"/>
    <x v="2"/>
    <s v="India"/>
    <x v="0"/>
    <s v="Silchar"/>
    <s v="Comfort Shopper"/>
    <x v="2"/>
    <n v="4.3"/>
    <s v="Delivered"/>
    <s v="Standard"/>
    <n v="1"/>
  </r>
  <r>
    <s v="ORD200569"/>
    <s v="CUST100744"/>
    <s v="Men"/>
    <s v="35-44"/>
    <x v="909"/>
    <x v="3"/>
    <x v="16"/>
    <x v="0"/>
    <n v="10"/>
    <s v="Grey"/>
    <n v="1"/>
    <n v="5999"/>
    <n v="35"/>
    <n v="3900"/>
    <n v="3900"/>
    <s v="Debit/Credit Card"/>
    <x v="1"/>
    <s v="India"/>
    <x v="3"/>
    <s v="Udaipur"/>
    <s v="Performance Seeker"/>
    <x v="1"/>
    <n v="4.4000000000000004"/>
    <s v="Delivered"/>
    <s v="Express"/>
    <n v="2"/>
  </r>
  <r>
    <s v="ORD202009"/>
    <s v="CUST100127"/>
    <s v="Women"/>
    <s v="35-44"/>
    <x v="910"/>
    <x v="5"/>
    <x v="21"/>
    <x v="2"/>
    <n v="12"/>
    <s v="White"/>
    <n v="1"/>
    <n v="7999"/>
    <n v="20"/>
    <n v="6400"/>
    <n v="6400"/>
    <s v="Debit/Credit Card"/>
    <x v="1"/>
    <s v="India"/>
    <x v="26"/>
    <s v="Thiruvananthapuram"/>
    <s v="Premium Shopper"/>
    <x v="1"/>
    <n v="4.5999999999999996"/>
    <s v="Cancelled"/>
    <s v="Standard"/>
    <n v="5"/>
  </r>
  <r>
    <s v="ORD202208"/>
    <s v="CUST100065"/>
    <s v="Women"/>
    <s v="35-44"/>
    <x v="910"/>
    <x v="0"/>
    <x v="2"/>
    <x v="2"/>
    <n v="8"/>
    <s v="Grey"/>
    <n v="1"/>
    <n v="5699"/>
    <n v="20"/>
    <n v="4560"/>
    <n v="4560"/>
    <s v="UPI"/>
    <x v="1"/>
    <s v="India"/>
    <x v="7"/>
    <s v="Indore"/>
    <s v="Lifestyle Shopper"/>
    <x v="1"/>
    <n v="4.3"/>
    <s v="Delivered"/>
    <s v="Same Day"/>
    <n v="2"/>
  </r>
  <r>
    <s v="ORD200310"/>
    <s v="CUST100845"/>
    <s v="Women"/>
    <s v="35-44"/>
    <x v="911"/>
    <x v="3"/>
    <x v="28"/>
    <x v="1"/>
    <n v="8"/>
    <s v="Green"/>
    <n v="1"/>
    <n v="5299"/>
    <n v="20"/>
    <n v="4240"/>
    <n v="4240"/>
    <s v="Cash on Delivery"/>
    <x v="2"/>
    <s v="India"/>
    <x v="31"/>
    <s v="Madurai"/>
    <s v="Premium Shopper"/>
    <x v="0"/>
    <n v="3.8"/>
    <s v="Returned"/>
    <s v="Express"/>
    <n v="2"/>
  </r>
  <r>
    <s v="ORD201460"/>
    <s v="CUST100050"/>
    <s v="Men"/>
    <s v="25-34"/>
    <x v="911"/>
    <x v="2"/>
    <x v="32"/>
    <x v="1"/>
    <n v="10"/>
    <s v="White"/>
    <n v="1"/>
    <n v="4099"/>
    <n v="20"/>
    <n v="3280"/>
    <n v="3280"/>
    <s v="UPI"/>
    <x v="0"/>
    <s v="India"/>
    <x v="19"/>
    <s v="Shillong"/>
    <s v="Value Shopper"/>
    <x v="2"/>
    <n v="4.0999999999999996"/>
    <s v="Delivered"/>
    <s v="Standard"/>
    <n v="2"/>
  </r>
  <r>
    <s v="ORD201583"/>
    <s v="CUST100392"/>
    <s v="Men"/>
    <s v="18-24"/>
    <x v="911"/>
    <x v="1"/>
    <x v="12"/>
    <x v="4"/>
    <n v="12"/>
    <s v="Green"/>
    <n v="1"/>
    <n v="5999"/>
    <n v="0"/>
    <n v="6000"/>
    <n v="6000"/>
    <s v="Cash on Delivery"/>
    <x v="2"/>
    <s v="India"/>
    <x v="28"/>
    <s v="Kargil"/>
    <s v="Performance Seeker"/>
    <x v="2"/>
    <n v="3.8"/>
    <s v="Delivered"/>
    <s v="Express"/>
    <n v="1"/>
  </r>
  <r>
    <s v="ORD202276"/>
    <s v="CUST100711"/>
    <s v="Men"/>
    <s v="55+"/>
    <x v="912"/>
    <x v="0"/>
    <x v="19"/>
    <x v="4"/>
    <n v="9"/>
    <s v="Blue"/>
    <n v="1"/>
    <n v="8899"/>
    <n v="10"/>
    <n v="8010"/>
    <n v="8010"/>
    <s v="UPI"/>
    <x v="0"/>
    <s v="India"/>
    <x v="21"/>
    <s v="Dimapur"/>
    <s v="Comfort Shopper"/>
    <x v="0"/>
    <n v="4.0999999999999996"/>
    <s v="Delivered"/>
    <s v="Express"/>
    <n v="1"/>
  </r>
  <r>
    <s v="ORD200427"/>
    <s v="CUST100550"/>
    <s v="Men"/>
    <s v="25-34"/>
    <x v="913"/>
    <x v="0"/>
    <x v="19"/>
    <x v="4"/>
    <n v="8"/>
    <s v="Black"/>
    <n v="2"/>
    <n v="6199"/>
    <n v="0"/>
    <n v="6200"/>
    <n v="12400"/>
    <s v="UPI"/>
    <x v="1"/>
    <s v="India"/>
    <x v="28"/>
    <s v="Diskit"/>
    <s v="Comfort Shopper"/>
    <x v="1"/>
    <n v="4.2"/>
    <s v="Delivered"/>
    <s v="Standard"/>
    <n v="3"/>
  </r>
  <r>
    <s v="ORD202178"/>
    <s v="CUST100569"/>
    <s v="Men"/>
    <s v="35-44"/>
    <x v="914"/>
    <x v="0"/>
    <x v="2"/>
    <x v="2"/>
    <n v="9"/>
    <s v="Black"/>
    <n v="4"/>
    <n v="7799"/>
    <n v="20"/>
    <n v="6240"/>
    <n v="24960"/>
    <s v="Debit/Credit Card"/>
    <x v="1"/>
    <s v="India"/>
    <x v="18"/>
    <s v="Raipur"/>
    <s v="Premium Shopper"/>
    <x v="1"/>
    <n v="4.2"/>
    <s v="Delivered"/>
    <s v="Standard"/>
    <n v="5"/>
  </r>
  <r>
    <s v="ORD202531"/>
    <s v="CUST100620"/>
    <s v="Unisex"/>
    <s v="45-54"/>
    <x v="914"/>
    <x v="4"/>
    <x v="6"/>
    <x v="2"/>
    <n v="7"/>
    <s v="Grey"/>
    <n v="1"/>
    <n v="5299"/>
    <n v="25"/>
    <n v="3970"/>
    <n v="3970"/>
    <s v="UPI"/>
    <x v="1"/>
    <s v="India"/>
    <x v="24"/>
    <s v="Hubballi"/>
    <s v="Lifestyle Shopper"/>
    <x v="0"/>
    <n v="4.5"/>
    <s v="Returned"/>
    <s v="Express"/>
    <n v="3"/>
  </r>
  <r>
    <s v="ORD200057"/>
    <s v="CUST100928"/>
    <s v="Unisex"/>
    <s v="25-34"/>
    <x v="915"/>
    <x v="5"/>
    <x v="15"/>
    <x v="4"/>
    <n v="8"/>
    <s v="Black"/>
    <n v="1"/>
    <n v="7299"/>
    <n v="15"/>
    <n v="6200"/>
    <n v="6200"/>
    <s v="Debit/Credit Card"/>
    <x v="2"/>
    <s v="India"/>
    <x v="19"/>
    <s v="Nongpoh"/>
    <s v="Performance Seeker"/>
    <x v="1"/>
    <n v="3.7"/>
    <s v="Delivered"/>
    <s v="Standard"/>
    <n v="2"/>
  </r>
  <r>
    <s v="ORD200768"/>
    <s v="CUST100520"/>
    <s v="Women"/>
    <s v="25-34"/>
    <x v="916"/>
    <x v="3"/>
    <x v="35"/>
    <x v="2"/>
    <n v="9"/>
    <s v="Blue"/>
    <n v="2"/>
    <n v="6099"/>
    <n v="35"/>
    <n v="3960"/>
    <n v="7920"/>
    <s v="UPI"/>
    <x v="0"/>
    <s v="India"/>
    <x v="15"/>
    <s v="Dwarka"/>
    <s v="Performance Seeker"/>
    <x v="0"/>
    <n v="4.5999999999999996"/>
    <s v="Delivered"/>
    <s v="Standard"/>
    <n v="3"/>
  </r>
  <r>
    <s v="ORD201627"/>
    <s v="CUST100306"/>
    <s v="Men"/>
    <s v="55+"/>
    <x v="917"/>
    <x v="2"/>
    <x v="24"/>
    <x v="4"/>
    <n v="8"/>
    <s v="Blue"/>
    <n v="1"/>
    <n v="2799"/>
    <n v="20"/>
    <n v="2240"/>
    <n v="2240"/>
    <s v="UPI"/>
    <x v="1"/>
    <s v="India"/>
    <x v="20"/>
    <s v="Dharamshala"/>
    <s v="Comfort Shopper"/>
    <x v="1"/>
    <n v="3.2"/>
    <s v="Delivered"/>
    <s v="Express"/>
    <n v="3"/>
  </r>
  <r>
    <s v="ORD201545"/>
    <s v="CUST100026"/>
    <s v="Women"/>
    <s v="25-34"/>
    <x v="918"/>
    <x v="4"/>
    <x v="6"/>
    <x v="2"/>
    <n v="10"/>
    <s v="Black"/>
    <n v="1"/>
    <n v="6899"/>
    <n v="30"/>
    <n v="4830"/>
    <n v="4830"/>
    <s v="Debit/Credit Card"/>
    <x v="0"/>
    <s v="India"/>
    <x v="0"/>
    <s v="Jorhat"/>
    <s v="Premium Shopper"/>
    <x v="2"/>
    <n v="4"/>
    <s v="Delivered"/>
    <s v="Express"/>
    <n v="2"/>
  </r>
  <r>
    <s v="ORD201289"/>
    <s v="CUST100168"/>
    <s v="Men"/>
    <s v="25-34"/>
    <x v="919"/>
    <x v="0"/>
    <x v="8"/>
    <x v="3"/>
    <n v="9"/>
    <s v="Grey"/>
    <n v="1"/>
    <n v="8299"/>
    <n v="15"/>
    <n v="7050"/>
    <n v="7050"/>
    <s v="Debit/Credit Card"/>
    <x v="1"/>
    <s v="India"/>
    <x v="20"/>
    <s v="Mandi"/>
    <s v="Performance Seeker"/>
    <x v="1"/>
    <n v="3"/>
    <s v="Delivered"/>
    <s v="Express"/>
    <n v="4"/>
  </r>
  <r>
    <s v="ORD200798"/>
    <s v="CUST100973"/>
    <s v="Men"/>
    <s v="45-54"/>
    <x v="920"/>
    <x v="0"/>
    <x v="2"/>
    <x v="2"/>
    <n v="8"/>
    <s v="Grey"/>
    <n v="1"/>
    <n v="8199"/>
    <n v="10"/>
    <n v="7380"/>
    <n v="7380"/>
    <s v="Debit/Credit Card"/>
    <x v="2"/>
    <s v="India"/>
    <x v="21"/>
    <s v="Tuensang"/>
    <s v="Performance Seeker"/>
    <x v="1"/>
    <n v="3.5"/>
    <s v="Delivered"/>
    <s v="Standard"/>
    <n v="4"/>
  </r>
  <r>
    <s v="ORD200896"/>
    <s v="CUST100234"/>
    <s v="Women"/>
    <s v="35-44"/>
    <x v="920"/>
    <x v="3"/>
    <x v="35"/>
    <x v="2"/>
    <n v="9"/>
    <s v="Blue"/>
    <n v="2"/>
    <n v="6499"/>
    <n v="0"/>
    <n v="6500"/>
    <n v="13000"/>
    <s v="UPI"/>
    <x v="1"/>
    <s v="India"/>
    <x v="17"/>
    <s v="Mahe"/>
    <s v="Lifestyle Shopper"/>
    <x v="2"/>
    <n v="3.8"/>
    <s v="Delivered"/>
    <s v="Standard"/>
    <n v="2"/>
  </r>
  <r>
    <s v="ORD202539"/>
    <s v="CUST100694"/>
    <s v="Unisex"/>
    <s v="25-34"/>
    <x v="920"/>
    <x v="4"/>
    <x v="22"/>
    <x v="0"/>
    <n v="6"/>
    <s v="White"/>
    <n v="1"/>
    <n v="8099"/>
    <n v="15"/>
    <n v="6880"/>
    <n v="6880"/>
    <s v="Debit/Credit Card"/>
    <x v="2"/>
    <s v="India"/>
    <x v="33"/>
    <s v="Nagpur"/>
    <s v="Performance Seeker"/>
    <x v="1"/>
    <n v="4.5999999999999996"/>
    <s v="Cancelled"/>
    <s v="Standard"/>
    <n v="2"/>
  </r>
  <r>
    <s v="ORD201605"/>
    <s v="CUST100862"/>
    <s v="Men"/>
    <s v="25-34"/>
    <x v="921"/>
    <x v="1"/>
    <x v="33"/>
    <x v="0"/>
    <n v="10"/>
    <s v="Grey"/>
    <n v="4"/>
    <n v="7599"/>
    <n v="15"/>
    <n v="6460"/>
    <n v="25840"/>
    <s v="UPI"/>
    <x v="2"/>
    <s v="India"/>
    <x v="20"/>
    <s v="Solan"/>
    <s v="Performance Seeker"/>
    <x v="0"/>
    <n v="4.0999999999999996"/>
    <s v="Delivered"/>
    <s v="Express"/>
    <n v="3"/>
  </r>
  <r>
    <s v="ORD200159"/>
    <s v="CUST100464"/>
    <s v="Men"/>
    <s v="25-34"/>
    <x v="922"/>
    <x v="3"/>
    <x v="35"/>
    <x v="2"/>
    <n v="8"/>
    <s v="Blue"/>
    <n v="1"/>
    <n v="4599"/>
    <n v="25"/>
    <n v="3450"/>
    <n v="3450"/>
    <s v="Debit/Credit Card"/>
    <x v="0"/>
    <s v="India"/>
    <x v="31"/>
    <s v="Tiruchirappalli"/>
    <s v="Premium Shopper"/>
    <x v="0"/>
    <n v="3.9"/>
    <s v="Delivered"/>
    <s v="Same Day"/>
    <n v="1"/>
  </r>
  <r>
    <s v="ORD200519"/>
    <s v="CUST100091"/>
    <s v="Men"/>
    <s v="45-54"/>
    <x v="922"/>
    <x v="4"/>
    <x v="22"/>
    <x v="0"/>
    <n v="6"/>
    <s v="Blue"/>
    <n v="1"/>
    <n v="8999"/>
    <n v="30"/>
    <n v="6300"/>
    <n v="6300"/>
    <s v="Cash on Delivery"/>
    <x v="0"/>
    <s v="India"/>
    <x v="34"/>
    <s v="Siliguri"/>
    <s v="Comfort Shopper"/>
    <x v="2"/>
    <n v="5"/>
    <s v="Delivered"/>
    <s v="Express"/>
    <n v="3"/>
  </r>
  <r>
    <s v="ORD200698"/>
    <s v="CUST100645"/>
    <s v="Women"/>
    <s v="35-44"/>
    <x v="922"/>
    <x v="2"/>
    <x v="3"/>
    <x v="2"/>
    <n v="7"/>
    <s v="Blue"/>
    <n v="1"/>
    <n v="6499"/>
    <n v="20"/>
    <n v="5200"/>
    <n v="5200"/>
    <s v="UPI"/>
    <x v="1"/>
    <s v="India"/>
    <x v="34"/>
    <s v="Asansol"/>
    <s v="Lifestyle Shopper"/>
    <x v="1"/>
    <n v="5"/>
    <s v="Cancelled"/>
    <s v="Standard"/>
    <n v="3"/>
  </r>
  <r>
    <s v="ORD200715"/>
    <s v="CUST100066"/>
    <s v="Women"/>
    <s v="18-24"/>
    <x v="922"/>
    <x v="5"/>
    <x v="14"/>
    <x v="3"/>
    <n v="12"/>
    <s v="Black"/>
    <n v="2"/>
    <n v="6399"/>
    <n v="25"/>
    <n v="4800"/>
    <n v="9600"/>
    <s v="UPI"/>
    <x v="1"/>
    <s v="India"/>
    <x v="16"/>
    <s v="Ahmedabad"/>
    <s v="Premium Shopper"/>
    <x v="1"/>
    <n v="2.9"/>
    <s v="Delivered"/>
    <s v="Standard"/>
    <n v="6"/>
  </r>
  <r>
    <s v="ORD201702"/>
    <s v="CUST100096"/>
    <s v="Men"/>
    <s v="25-34"/>
    <x v="923"/>
    <x v="2"/>
    <x v="4"/>
    <x v="2"/>
    <n v="9"/>
    <s v="Black"/>
    <n v="1"/>
    <n v="6199"/>
    <n v="15"/>
    <n v="5270"/>
    <n v="5270"/>
    <s v="UPI"/>
    <x v="1"/>
    <s v="India"/>
    <x v="13"/>
    <s v="Naharlagun"/>
    <s v="Comfort Shopper"/>
    <x v="1"/>
    <n v="3.5"/>
    <s v="Delivered"/>
    <s v="Same Day"/>
    <n v="2"/>
  </r>
  <r>
    <s v="ORD201739"/>
    <s v="CUST100122"/>
    <s v="Unisex"/>
    <s v="35-44"/>
    <x v="923"/>
    <x v="0"/>
    <x v="31"/>
    <x v="1"/>
    <n v="11"/>
    <s v="Green"/>
    <n v="1"/>
    <n v="7599"/>
    <n v="10"/>
    <n v="6840"/>
    <n v="6840"/>
    <s v="Debit/Credit Card"/>
    <x v="2"/>
    <s v="India"/>
    <x v="26"/>
    <s v="Kochi"/>
    <s v="Performance Seeker"/>
    <x v="2"/>
    <n v="3.9"/>
    <s v="Returned"/>
    <s v="Standard"/>
    <n v="4"/>
  </r>
  <r>
    <s v="ORD200358"/>
    <s v="CUST100425"/>
    <s v="Men"/>
    <s v="25-34"/>
    <x v="924"/>
    <x v="2"/>
    <x v="23"/>
    <x v="0"/>
    <n v="10"/>
    <s v="Black"/>
    <n v="1"/>
    <n v="6899"/>
    <n v="25"/>
    <n v="5170"/>
    <n v="5170"/>
    <s v="Debit/Credit Card"/>
    <x v="2"/>
    <s v="India"/>
    <x v="1"/>
    <s v="Panaji"/>
    <s v="Premium Shopper"/>
    <x v="1"/>
    <n v="4.4000000000000004"/>
    <s v="Cancelled"/>
    <s v="Standard"/>
    <n v="2"/>
  </r>
  <r>
    <s v="ORD203090"/>
    <s v="CUST100471"/>
    <s v="Women"/>
    <s v="35-44"/>
    <x v="924"/>
    <x v="5"/>
    <x v="15"/>
    <x v="4"/>
    <n v="7"/>
    <s v="Grey"/>
    <n v="3"/>
    <n v="7399"/>
    <n v="15"/>
    <n v="6290"/>
    <n v="18870"/>
    <s v="UPI"/>
    <x v="1"/>
    <s v="India"/>
    <x v="31"/>
    <s v="Madurai"/>
    <s v="Lifestyle Shopper"/>
    <x v="1"/>
    <n v="3.5"/>
    <s v="Delivered"/>
    <s v="Standard"/>
    <n v="2"/>
  </r>
  <r>
    <s v="ORD200860"/>
    <s v="CUST100627"/>
    <s v="Women"/>
    <s v="25-34"/>
    <x v="925"/>
    <x v="0"/>
    <x v="8"/>
    <x v="3"/>
    <n v="10"/>
    <s v="Blue"/>
    <n v="2"/>
    <n v="6299"/>
    <n v="15"/>
    <n v="5350"/>
    <n v="10700"/>
    <s v="UPI"/>
    <x v="2"/>
    <s v="India"/>
    <x v="13"/>
    <s v="Itanagar"/>
    <s v="Value Shopper"/>
    <x v="1"/>
    <n v="4.5999999999999996"/>
    <s v="Delivered"/>
    <s v="Express"/>
    <n v="3"/>
  </r>
  <r>
    <s v="ORD202413"/>
    <s v="CUST100299"/>
    <s v="Men"/>
    <s v="25-34"/>
    <x v="925"/>
    <x v="5"/>
    <x v="21"/>
    <x v="2"/>
    <n v="8"/>
    <s v="Blue"/>
    <n v="1"/>
    <n v="8799"/>
    <n v="35"/>
    <n v="5720"/>
    <n v="5720"/>
    <s v="UPI"/>
    <x v="0"/>
    <s v="India"/>
    <x v="8"/>
    <s v="Karimnagar"/>
    <s v="Comfort Shopper"/>
    <x v="1"/>
    <n v="4"/>
    <s v="Cancelled"/>
    <s v="Express"/>
    <n v="3"/>
  </r>
  <r>
    <s v="ORD201860"/>
    <s v="CUST100815"/>
    <s v="Men"/>
    <s v="25-34"/>
    <x v="926"/>
    <x v="2"/>
    <x v="32"/>
    <x v="1"/>
    <n v="7"/>
    <s v="Red"/>
    <n v="1"/>
    <n v="3099"/>
    <n v="25"/>
    <n v="2320"/>
    <n v="2320"/>
    <s v="Cash on Delivery"/>
    <x v="0"/>
    <s v="India"/>
    <x v="17"/>
    <s v="Yanam"/>
    <s v="Value Shopper"/>
    <x v="0"/>
    <n v="5"/>
    <s v="Delivered"/>
    <s v="Standard"/>
    <n v="2"/>
  </r>
  <r>
    <s v="ORD202288"/>
    <s v="CUST100019"/>
    <s v="Women"/>
    <s v="35-44"/>
    <x v="926"/>
    <x v="5"/>
    <x v="15"/>
    <x v="4"/>
    <n v="9"/>
    <s v="Blue"/>
    <n v="1"/>
    <n v="7699"/>
    <n v="10"/>
    <n v="6930"/>
    <n v="6930"/>
    <s v="Debit/Credit Card"/>
    <x v="2"/>
    <s v="India"/>
    <x v="19"/>
    <s v="Nongpoh"/>
    <s v="Lifestyle Shopper"/>
    <x v="2"/>
    <n v="5"/>
    <s v="Delivered"/>
    <s v="Same Day"/>
    <n v="2"/>
  </r>
  <r>
    <s v="ORD200536"/>
    <s v="CUST100052"/>
    <s v="Men"/>
    <s v="18-24"/>
    <x v="927"/>
    <x v="5"/>
    <x v="15"/>
    <x v="4"/>
    <n v="10"/>
    <s v="Grey"/>
    <n v="4"/>
    <n v="8999"/>
    <n v="20"/>
    <n v="7200"/>
    <n v="28800"/>
    <s v="Debit/Credit Card"/>
    <x v="2"/>
    <s v="India"/>
    <x v="16"/>
    <s v="Ahmedabad"/>
    <s v="Comfort Shopper"/>
    <x v="1"/>
    <n v="5"/>
    <s v="Delivered"/>
    <s v="Standard"/>
    <n v="3"/>
  </r>
  <r>
    <s v="ORD200201"/>
    <s v="CUST100237"/>
    <s v="Men"/>
    <s v="35-44"/>
    <x v="928"/>
    <x v="5"/>
    <x v="27"/>
    <x v="0"/>
    <n v="10"/>
    <s v="Black"/>
    <n v="1"/>
    <n v="5099"/>
    <n v="10"/>
    <n v="4590"/>
    <n v="4590"/>
    <s v="UPI"/>
    <x v="2"/>
    <s v="India"/>
    <x v="33"/>
    <s v="Nashik"/>
    <s v="Value Shopper"/>
    <x v="1"/>
    <n v="2.8"/>
    <s v="Cancelled"/>
    <s v="Same Day"/>
    <n v="2"/>
  </r>
  <r>
    <s v="ORD200504"/>
    <s v="CUST100855"/>
    <s v="Unisex"/>
    <s v="35-44"/>
    <x v="928"/>
    <x v="0"/>
    <x v="31"/>
    <x v="1"/>
    <n v="10"/>
    <s v="White"/>
    <n v="2"/>
    <n v="4699"/>
    <n v="0"/>
    <n v="4700"/>
    <n v="9400"/>
    <s v="Net Banking"/>
    <x v="1"/>
    <s v="India"/>
    <x v="22"/>
    <s v="Dharmanagar"/>
    <s v="Comfort Shopper"/>
    <x v="0"/>
    <n v="5"/>
    <s v="Delivered"/>
    <s v="Standard"/>
    <n v="2"/>
  </r>
  <r>
    <s v="ORD201337"/>
    <s v="CUST100038"/>
    <s v="Women"/>
    <s v="45-54"/>
    <x v="929"/>
    <x v="5"/>
    <x v="14"/>
    <x v="3"/>
    <n v="8"/>
    <s v="White"/>
    <n v="1"/>
    <n v="7599"/>
    <n v="25"/>
    <n v="5700"/>
    <n v="5700"/>
    <s v="UPI"/>
    <x v="2"/>
    <s v="India"/>
    <x v="16"/>
    <s v="Ahmedabad"/>
    <s v="Value Shopper"/>
    <x v="1"/>
    <n v="4.2"/>
    <s v="Delivered"/>
    <s v="Standard"/>
    <n v="4"/>
  </r>
  <r>
    <s v="ORD200882"/>
    <s v="CUST101047"/>
    <s v="Women"/>
    <s v="35-44"/>
    <x v="930"/>
    <x v="0"/>
    <x v="8"/>
    <x v="3"/>
    <n v="9"/>
    <s v="White"/>
    <n v="2"/>
    <n v="8599"/>
    <n v="20"/>
    <n v="6880"/>
    <n v="13760"/>
    <s v="UPI"/>
    <x v="0"/>
    <s v="India"/>
    <x v="33"/>
    <s v="Nashik"/>
    <s v="Premium Shopper"/>
    <x v="0"/>
    <n v="3.9"/>
    <s v="Delivered"/>
    <s v="Express"/>
    <n v="2"/>
  </r>
  <r>
    <s v="ORD201238"/>
    <s v="CUST100125"/>
    <s v="Women"/>
    <s v="45-54"/>
    <x v="931"/>
    <x v="2"/>
    <x v="32"/>
    <x v="1"/>
    <n v="9"/>
    <s v="Black"/>
    <n v="1"/>
    <n v="5599"/>
    <n v="25"/>
    <n v="4200"/>
    <n v="4200"/>
    <s v="Debit/Credit Card"/>
    <x v="1"/>
    <s v="India"/>
    <x v="18"/>
    <s v="Raipur"/>
    <s v="Value Shopper"/>
    <x v="0"/>
    <n v="5"/>
    <s v="Cancelled"/>
    <s v="Standard"/>
    <n v="1"/>
  </r>
  <r>
    <s v="ORD201461"/>
    <s v="CUST100067"/>
    <s v="Women"/>
    <s v="25-34"/>
    <x v="932"/>
    <x v="0"/>
    <x v="8"/>
    <x v="3"/>
    <n v="10"/>
    <s v="Blue"/>
    <n v="1"/>
    <n v="6799"/>
    <n v="25"/>
    <n v="5100"/>
    <n v="5100"/>
    <s v="UPI"/>
    <x v="1"/>
    <s v="India"/>
    <x v="10"/>
    <s v="Daman"/>
    <s v="Performance Seeker"/>
    <x v="2"/>
    <n v="3.8"/>
    <s v="Delivered"/>
    <s v="Standard"/>
    <n v="4"/>
  </r>
  <r>
    <s v="ORD201034"/>
    <s v="CUST100626"/>
    <s v="Men"/>
    <s v="25-34"/>
    <x v="933"/>
    <x v="5"/>
    <x v="30"/>
    <x v="2"/>
    <n v="7"/>
    <s v="Black"/>
    <n v="1"/>
    <n v="5499"/>
    <n v="20"/>
    <n v="4400"/>
    <n v="4400"/>
    <s v="Debit/Credit Card"/>
    <x v="1"/>
    <s v="India"/>
    <x v="23"/>
    <s v="Rishikesh"/>
    <s v="Premium Shopper"/>
    <x v="1"/>
    <n v="3.4"/>
    <s v="Cancelled"/>
    <s v="Standard"/>
    <n v="5"/>
  </r>
  <r>
    <s v="ORD200730"/>
    <s v="CUST100030"/>
    <s v="Men"/>
    <s v="55+"/>
    <x v="934"/>
    <x v="2"/>
    <x v="23"/>
    <x v="0"/>
    <n v="11"/>
    <s v="Black"/>
    <n v="1"/>
    <n v="7599"/>
    <n v="25"/>
    <n v="5700"/>
    <n v="5700"/>
    <s v="Debit/Credit Card"/>
    <x v="0"/>
    <s v="India"/>
    <x v="2"/>
    <s v="Gurugram"/>
    <s v="Comfort Shopper"/>
    <x v="1"/>
    <n v="4"/>
    <s v="Delivered"/>
    <s v="Standard"/>
    <n v="7"/>
  </r>
  <r>
    <s v="ORD202074"/>
    <s v="CUST100443"/>
    <s v="Women"/>
    <s v="18-24"/>
    <x v="935"/>
    <x v="1"/>
    <x v="20"/>
    <x v="2"/>
    <n v="8"/>
    <s v="Grey"/>
    <n v="1"/>
    <n v="8399"/>
    <n v="20"/>
    <n v="6720"/>
    <n v="6720"/>
    <s v="UPI"/>
    <x v="1"/>
    <s v="India"/>
    <x v="22"/>
    <s v="Kailasahar"/>
    <s v="Value Shopper"/>
    <x v="2"/>
    <n v="3.2"/>
    <s v="Delivered"/>
    <s v="Standard"/>
    <n v="7"/>
  </r>
  <r>
    <s v="ORD202100"/>
    <s v="CUST100628"/>
    <s v="Women"/>
    <s v="25-34"/>
    <x v="935"/>
    <x v="3"/>
    <x v="35"/>
    <x v="2"/>
    <n v="9"/>
    <s v="Blue"/>
    <n v="1"/>
    <n v="7399"/>
    <n v="25"/>
    <n v="5550"/>
    <n v="5550"/>
    <s v="UPI"/>
    <x v="0"/>
    <s v="India"/>
    <x v="28"/>
    <s v="Kargil"/>
    <s v="Performance Seeker"/>
    <x v="1"/>
    <n v="3.8"/>
    <s v="Cancelled"/>
    <s v="Standard"/>
    <n v="5"/>
  </r>
  <r>
    <s v="ORD200767"/>
    <s v="CUST100869"/>
    <s v="Women"/>
    <s v="25-34"/>
    <x v="936"/>
    <x v="5"/>
    <x v="30"/>
    <x v="2"/>
    <n v="11"/>
    <s v="Black"/>
    <n v="2"/>
    <n v="8299"/>
    <n v="20"/>
    <n v="6640"/>
    <n v="13280"/>
    <s v="UPI"/>
    <x v="1"/>
    <s v="India"/>
    <x v="26"/>
    <s v="Kochi"/>
    <s v="Performance Seeker"/>
    <x v="1"/>
    <n v="4.2"/>
    <s v="Cancelled"/>
    <s v="Express"/>
    <n v="3"/>
  </r>
  <r>
    <s v="ORD202076"/>
    <s v="CUST100398"/>
    <s v="Unisex"/>
    <s v="55+"/>
    <x v="936"/>
    <x v="3"/>
    <x v="34"/>
    <x v="3"/>
    <n v="11"/>
    <s v="White"/>
    <n v="1"/>
    <n v="7999"/>
    <n v="15"/>
    <n v="6800"/>
    <n v="6800"/>
    <s v="UPI"/>
    <x v="1"/>
    <s v="India"/>
    <x v="14"/>
    <s v="Jalandhar"/>
    <s v="Comfort Shopper"/>
    <x v="2"/>
    <n v="4.5999999999999996"/>
    <s v="Delivered"/>
    <s v="Standard"/>
    <n v="4"/>
  </r>
  <r>
    <s v="ORD200395"/>
    <s v="CUST100125"/>
    <s v="Unisex"/>
    <s v="45-54"/>
    <x v="937"/>
    <x v="5"/>
    <x v="30"/>
    <x v="2"/>
    <n v="11"/>
    <s v="White"/>
    <n v="1"/>
    <n v="7199"/>
    <n v="15"/>
    <n v="6120"/>
    <n v="6120"/>
    <s v="UPI"/>
    <x v="1"/>
    <s v="India"/>
    <x v="13"/>
    <s v="Itanagar"/>
    <s v="Premium Shopper"/>
    <x v="1"/>
    <n v="2"/>
    <s v="Cancelled"/>
    <s v="Standard"/>
    <n v="4"/>
  </r>
  <r>
    <s v="ORD201007"/>
    <s v="CUST100456"/>
    <s v="Women"/>
    <s v="35-44"/>
    <x v="938"/>
    <x v="2"/>
    <x v="25"/>
    <x v="3"/>
    <n v="10"/>
    <s v="Black"/>
    <n v="2"/>
    <n v="5299"/>
    <n v="25"/>
    <n v="3970"/>
    <n v="7940"/>
    <s v="UPI"/>
    <x v="0"/>
    <s v="India"/>
    <x v="2"/>
    <s v="Faridabad"/>
    <s v="Value Shopper"/>
    <x v="1"/>
    <n v="3.8"/>
    <s v="Delivered"/>
    <s v="Express"/>
    <n v="2"/>
  </r>
  <r>
    <s v="ORD202871"/>
    <s v="CUST100915"/>
    <s v="Women"/>
    <s v="18-24"/>
    <x v="938"/>
    <x v="1"/>
    <x v="20"/>
    <x v="2"/>
    <n v="11"/>
    <s v="Blue"/>
    <n v="1"/>
    <n v="6999"/>
    <n v="15"/>
    <n v="5950"/>
    <n v="5950"/>
    <s v="UPI"/>
    <x v="1"/>
    <s v="India"/>
    <x v="3"/>
    <s v="Kota"/>
    <s v="Value Shopper"/>
    <x v="1"/>
    <n v="3.3"/>
    <s v="Delivered"/>
    <s v="Same Day"/>
    <n v="1"/>
  </r>
  <r>
    <s v="ORD200720"/>
    <s v="CUST100093"/>
    <s v="Women"/>
    <s v="25-34"/>
    <x v="939"/>
    <x v="3"/>
    <x v="28"/>
    <x v="1"/>
    <n v="8"/>
    <s v="Grey"/>
    <n v="1"/>
    <n v="7199"/>
    <n v="5"/>
    <n v="6840"/>
    <n v="6840"/>
    <s v="UPI"/>
    <x v="2"/>
    <s v="India"/>
    <x v="10"/>
    <s v="Diu"/>
    <s v="Performance Seeker"/>
    <x v="2"/>
    <n v="5"/>
    <s v="Delivered"/>
    <s v="Standard"/>
    <n v="4"/>
  </r>
  <r>
    <s v="ORD202470"/>
    <s v="CUST100075"/>
    <s v="Women"/>
    <s v="25-34"/>
    <x v="939"/>
    <x v="5"/>
    <x v="14"/>
    <x v="3"/>
    <n v="6"/>
    <s v="White"/>
    <n v="1"/>
    <n v="4399"/>
    <n v="10"/>
    <n v="3960"/>
    <n v="3960"/>
    <s v="UPI"/>
    <x v="1"/>
    <s v="India"/>
    <x v="35"/>
    <s v="Lunglei"/>
    <s v="Performance Seeker"/>
    <x v="1"/>
    <n v="5"/>
    <s v="Delivered"/>
    <s v="Standard"/>
    <n v="3"/>
  </r>
  <r>
    <s v="ORD201506"/>
    <s v="CUST100045"/>
    <s v="Men"/>
    <s v="35-44"/>
    <x v="940"/>
    <x v="2"/>
    <x v="4"/>
    <x v="2"/>
    <n v="12"/>
    <s v="Black"/>
    <n v="1"/>
    <n v="7799"/>
    <n v="25"/>
    <n v="5850"/>
    <n v="5850"/>
    <s v="UPI"/>
    <x v="0"/>
    <s v="India"/>
    <x v="34"/>
    <s v="Kolkata"/>
    <s v="Premium Shopper"/>
    <x v="0"/>
    <n v="4.5"/>
    <s v="Delivered"/>
    <s v="Standard"/>
    <n v="4"/>
  </r>
  <r>
    <s v="ORD200403"/>
    <s v="CUST100608"/>
    <s v="Men"/>
    <s v="35-44"/>
    <x v="941"/>
    <x v="0"/>
    <x v="31"/>
    <x v="1"/>
    <n v="12"/>
    <s v="Red"/>
    <n v="2"/>
    <n v="4199"/>
    <n v="15"/>
    <n v="3570"/>
    <n v="7140"/>
    <s v="Debit/Credit Card"/>
    <x v="0"/>
    <s v="India"/>
    <x v="2"/>
    <s v="Faridabad"/>
    <s v="Performance Seeker"/>
    <x v="0"/>
    <n v="4.3"/>
    <s v="Delivered"/>
    <s v="Standard"/>
    <n v="5"/>
  </r>
  <r>
    <s v="ORD201529"/>
    <s v="CUST100239"/>
    <s v="Men"/>
    <s v="25-34"/>
    <x v="941"/>
    <x v="5"/>
    <x v="14"/>
    <x v="3"/>
    <n v="8"/>
    <s v="Black"/>
    <n v="2"/>
    <n v="9699"/>
    <n v="15"/>
    <n v="8240"/>
    <n v="16480"/>
    <s v="Debit/Credit Card"/>
    <x v="1"/>
    <s v="India"/>
    <x v="8"/>
    <s v="Karimnagar"/>
    <s v="Premium Shopper"/>
    <x v="1"/>
    <n v="4.0999999999999996"/>
    <s v="Delivered"/>
    <s v="Standard"/>
    <n v="6"/>
  </r>
  <r>
    <s v="ORD202217"/>
    <s v="CUST100759"/>
    <s v="Unisex"/>
    <s v="25-34"/>
    <x v="941"/>
    <x v="0"/>
    <x v="13"/>
    <x v="2"/>
    <n v="7"/>
    <s v="Grey"/>
    <n v="1"/>
    <n v="4999"/>
    <n v="25"/>
    <n v="3750"/>
    <n v="3750"/>
    <s v="UPI"/>
    <x v="1"/>
    <s v="India"/>
    <x v="10"/>
    <s v="Diu"/>
    <s v="Value Shopper"/>
    <x v="1"/>
    <n v="3.2"/>
    <s v="Delivered"/>
    <s v="Standard"/>
    <n v="4"/>
  </r>
  <r>
    <s v="ORD200132"/>
    <s v="CUST100658"/>
    <s v="Men"/>
    <s v="25-34"/>
    <x v="942"/>
    <x v="0"/>
    <x v="2"/>
    <x v="2"/>
    <n v="11"/>
    <s v="Black"/>
    <n v="1"/>
    <n v="6299"/>
    <n v="5"/>
    <n v="5980"/>
    <n v="5980"/>
    <s v="UPI"/>
    <x v="2"/>
    <s v="India"/>
    <x v="0"/>
    <s v="Guwahati"/>
    <s v="Premium Shopper"/>
    <x v="1"/>
    <n v="3.7"/>
    <s v="Returned"/>
    <s v="Standard"/>
    <n v="5"/>
  </r>
  <r>
    <s v="ORD200946"/>
    <s v="CUST100037"/>
    <s v="Unisex"/>
    <s v="25-34"/>
    <x v="942"/>
    <x v="3"/>
    <x v="5"/>
    <x v="2"/>
    <n v="7"/>
    <s v="Black"/>
    <n v="1"/>
    <n v="6599"/>
    <n v="30"/>
    <n v="4620"/>
    <n v="4620"/>
    <s v="UPI"/>
    <x v="1"/>
    <s v="India"/>
    <x v="7"/>
    <s v="Jabalpur"/>
    <s v="Performance Seeker"/>
    <x v="1"/>
    <n v="4.5"/>
    <s v="Delivered"/>
    <s v="Standard"/>
    <n v="3"/>
  </r>
  <r>
    <s v="ORD201546"/>
    <s v="CUST100244"/>
    <s v="Men"/>
    <s v="18-24"/>
    <x v="942"/>
    <x v="4"/>
    <x v="17"/>
    <x v="4"/>
    <n v="10"/>
    <s v="Green"/>
    <n v="1"/>
    <n v="5199"/>
    <n v="20"/>
    <n v="4160"/>
    <n v="4160"/>
    <s v="UPI"/>
    <x v="1"/>
    <s v="India"/>
    <x v="15"/>
    <s v="New Delhi"/>
    <s v="Value Shopper"/>
    <x v="1"/>
    <n v="5"/>
    <s v="Cancelled"/>
    <s v="Standard"/>
    <n v="6"/>
  </r>
  <r>
    <s v="ORD202476"/>
    <s v="CUST100319"/>
    <s v="Women"/>
    <s v="18-24"/>
    <x v="942"/>
    <x v="5"/>
    <x v="14"/>
    <x v="3"/>
    <n v="10"/>
    <s v="Black"/>
    <n v="1"/>
    <n v="9899"/>
    <n v="20"/>
    <n v="7920"/>
    <n v="7920"/>
    <s v="UPI"/>
    <x v="1"/>
    <s v="India"/>
    <x v="8"/>
    <s v="Karimnagar"/>
    <s v="Comfort Shopper"/>
    <x v="2"/>
    <n v="4.2"/>
    <s v="Delivered"/>
    <s v="Standard"/>
    <n v="5"/>
  </r>
  <r>
    <s v="ORD202651"/>
    <s v="CUST100881"/>
    <s v="Men"/>
    <s v="35-44"/>
    <x v="943"/>
    <x v="0"/>
    <x v="8"/>
    <x v="3"/>
    <n v="11"/>
    <s v="Black"/>
    <n v="1"/>
    <n v="4899"/>
    <n v="5"/>
    <n v="4650"/>
    <n v="4650"/>
    <s v="UPI"/>
    <x v="1"/>
    <s v="India"/>
    <x v="10"/>
    <s v="Diu"/>
    <s v="Premium Shopper"/>
    <x v="1"/>
    <n v="2.8"/>
    <s v="Delivered"/>
    <s v="Express"/>
    <n v="1"/>
  </r>
  <r>
    <s v="ORD201800"/>
    <s v="CUST100625"/>
    <s v="Women"/>
    <s v="55+"/>
    <x v="944"/>
    <x v="3"/>
    <x v="28"/>
    <x v="1"/>
    <n v="6"/>
    <s v="Red"/>
    <n v="1"/>
    <n v="7599"/>
    <n v="10"/>
    <n v="6840"/>
    <n v="6840"/>
    <s v="UPI"/>
    <x v="2"/>
    <s v="India"/>
    <x v="1"/>
    <s v="Panaji"/>
    <s v="Performance Seeker"/>
    <x v="0"/>
    <n v="4.9000000000000004"/>
    <s v="Delivered"/>
    <s v="Standard"/>
    <n v="4"/>
  </r>
  <r>
    <s v="ORD202734"/>
    <s v="CUST100294"/>
    <s v="Men"/>
    <s v="35-44"/>
    <x v="944"/>
    <x v="3"/>
    <x v="11"/>
    <x v="4"/>
    <n v="9"/>
    <s v="Black"/>
    <n v="2"/>
    <n v="5899"/>
    <n v="20"/>
    <n v="4720"/>
    <n v="9440"/>
    <s v="Debit/Credit Card"/>
    <x v="2"/>
    <s v="India"/>
    <x v="18"/>
    <s v="Korba"/>
    <s v="Performance Seeker"/>
    <x v="0"/>
    <n v="3.7"/>
    <s v="Delivered"/>
    <s v="Standard"/>
    <n v="1"/>
  </r>
  <r>
    <s v="ORD200728"/>
    <s v="CUST100530"/>
    <s v="Men"/>
    <s v="25-34"/>
    <x v="945"/>
    <x v="1"/>
    <x v="20"/>
    <x v="2"/>
    <n v="6"/>
    <s v="Green"/>
    <n v="2"/>
    <n v="6899"/>
    <n v="20"/>
    <n v="5520"/>
    <n v="11040"/>
    <s v="UPI"/>
    <x v="2"/>
    <s v="India"/>
    <x v="29"/>
    <s v="Visakhapatnam"/>
    <s v="Premium Shopper"/>
    <x v="1"/>
    <n v="3.5"/>
    <s v="Delivered"/>
    <s v="Standard"/>
    <n v="1"/>
  </r>
  <r>
    <s v="ORD202274"/>
    <s v="CUST100025"/>
    <s v="Men"/>
    <s v="18-24"/>
    <x v="945"/>
    <x v="2"/>
    <x v="4"/>
    <x v="2"/>
    <n v="7"/>
    <s v="White"/>
    <n v="1"/>
    <n v="8499"/>
    <n v="15"/>
    <n v="7220"/>
    <n v="7220"/>
    <s v="UPI"/>
    <x v="1"/>
    <s v="India"/>
    <x v="13"/>
    <s v="Naharlagun"/>
    <s v="Lifestyle Shopper"/>
    <x v="2"/>
    <n v="2.9"/>
    <s v="Delivered"/>
    <s v="Standard"/>
    <n v="4"/>
  </r>
  <r>
    <s v="ORD200661"/>
    <s v="CUST100082"/>
    <s v="Men"/>
    <s v="25-34"/>
    <x v="946"/>
    <x v="4"/>
    <x v="29"/>
    <x v="2"/>
    <n v="8"/>
    <s v="Green"/>
    <n v="2"/>
    <n v="5599"/>
    <n v="25"/>
    <n v="4200"/>
    <n v="8400"/>
    <s v="UPI"/>
    <x v="0"/>
    <s v="India"/>
    <x v="13"/>
    <s v="Tawang"/>
    <s v="Lifestyle Shopper"/>
    <x v="2"/>
    <n v="3.2"/>
    <s v="Returned"/>
    <s v="Express"/>
    <n v="4"/>
  </r>
  <r>
    <s v="ORD200361"/>
    <s v="CUST100215"/>
    <s v="Women"/>
    <s v="35-44"/>
    <x v="947"/>
    <x v="2"/>
    <x v="23"/>
    <x v="0"/>
    <n v="7"/>
    <s v="Black"/>
    <n v="1"/>
    <n v="6299"/>
    <n v="15"/>
    <n v="5350"/>
    <n v="5350"/>
    <s v="UPI"/>
    <x v="2"/>
    <s v="India"/>
    <x v="27"/>
    <s v="Cuttack"/>
    <s v="Performance Seeker"/>
    <x v="1"/>
    <n v="4.5"/>
    <s v="Delivered"/>
    <s v="Express"/>
    <n v="2"/>
  </r>
  <r>
    <s v="ORD201082"/>
    <s v="CUST100229"/>
    <s v="Women"/>
    <s v="55+"/>
    <x v="947"/>
    <x v="5"/>
    <x v="14"/>
    <x v="3"/>
    <n v="9"/>
    <s v="Grey"/>
    <n v="2"/>
    <n v="9199"/>
    <n v="20"/>
    <n v="7360"/>
    <n v="14720"/>
    <s v="UPI"/>
    <x v="2"/>
    <s v="India"/>
    <x v="0"/>
    <s v="Guwahati"/>
    <s v="Comfort Shopper"/>
    <x v="1"/>
    <n v="4.9000000000000004"/>
    <s v="Delivered"/>
    <s v="Standard"/>
    <n v="3"/>
  </r>
  <r>
    <s v="ORD201451"/>
    <s v="CUST100776"/>
    <s v="Men"/>
    <s v="18-24"/>
    <x v="947"/>
    <x v="1"/>
    <x v="18"/>
    <x v="2"/>
    <n v="9"/>
    <s v="White"/>
    <n v="1"/>
    <n v="8099"/>
    <n v="10"/>
    <n v="7290"/>
    <n v="7290"/>
    <s v="UPI"/>
    <x v="2"/>
    <s v="India"/>
    <x v="18"/>
    <s v="Korba"/>
    <s v="Lifestyle Shopper"/>
    <x v="2"/>
    <n v="3.4"/>
    <s v="Returned"/>
    <s v="Same Day"/>
    <n v="1"/>
  </r>
  <r>
    <s v="ORD202102"/>
    <s v="CUST100402"/>
    <s v="Men"/>
    <s v="45-54"/>
    <x v="947"/>
    <x v="0"/>
    <x v="8"/>
    <x v="3"/>
    <n v="7"/>
    <s v="Blue"/>
    <n v="2"/>
    <n v="9299"/>
    <n v="20"/>
    <n v="7440"/>
    <n v="14880"/>
    <s v="Debit/Credit Card"/>
    <x v="1"/>
    <s v="India"/>
    <x v="8"/>
    <s v="Hyderabad"/>
    <s v="Performance Seeker"/>
    <x v="1"/>
    <n v="4.3"/>
    <s v="Delivered"/>
    <s v="Standard"/>
    <n v="6"/>
  </r>
  <r>
    <s v="ORD202839"/>
    <s v="CUST100985"/>
    <s v="Unisex"/>
    <s v="25-34"/>
    <x v="948"/>
    <x v="0"/>
    <x v="19"/>
    <x v="4"/>
    <n v="11"/>
    <s v="Red"/>
    <n v="3"/>
    <n v="4199"/>
    <n v="30"/>
    <n v="2940"/>
    <n v="8820"/>
    <s v="Debit/Credit Card"/>
    <x v="0"/>
    <s v="India"/>
    <x v="6"/>
    <s v="Varanasi"/>
    <s v="Premium Shopper"/>
    <x v="1"/>
    <n v="3.4"/>
    <s v="Delivered"/>
    <s v="Standard"/>
    <n v="3"/>
  </r>
  <r>
    <s v="ORD202221"/>
    <s v="CUST100104"/>
    <s v="Unisex"/>
    <s v="35-44"/>
    <x v="949"/>
    <x v="3"/>
    <x v="11"/>
    <x v="4"/>
    <n v="9"/>
    <s v="Blue"/>
    <n v="1"/>
    <n v="5099"/>
    <n v="10"/>
    <n v="4590"/>
    <n v="4590"/>
    <s v="Cash on Delivery"/>
    <x v="2"/>
    <s v="India"/>
    <x v="14"/>
    <s v="Amritsar"/>
    <s v="Premium Shopper"/>
    <x v="1"/>
    <n v="4.7"/>
    <s v="Returned"/>
    <s v="Standard"/>
    <n v="5"/>
  </r>
  <r>
    <s v="ORD202667"/>
    <s v="CUST100387"/>
    <s v="Men"/>
    <s v="25-34"/>
    <x v="950"/>
    <x v="1"/>
    <x v="33"/>
    <x v="0"/>
    <n v="9"/>
    <s v="White"/>
    <n v="1"/>
    <n v="5999"/>
    <n v="15"/>
    <n v="5100"/>
    <n v="5100"/>
    <s v="Debit/Credit Card"/>
    <x v="2"/>
    <s v="India"/>
    <x v="6"/>
    <s v="Lucknow"/>
    <s v="Premium Shopper"/>
    <x v="1"/>
    <n v="4.2"/>
    <s v="Cancelled"/>
    <s v="Standard"/>
    <n v="2"/>
  </r>
  <r>
    <s v="ORD200450"/>
    <s v="CUST100078"/>
    <s v="Men"/>
    <s v="35-44"/>
    <x v="951"/>
    <x v="0"/>
    <x v="13"/>
    <x v="2"/>
    <n v="8"/>
    <s v="Black"/>
    <n v="1"/>
    <n v="9099"/>
    <n v="15"/>
    <n v="7730"/>
    <n v="7730"/>
    <s v="UPI"/>
    <x v="1"/>
    <s v="India"/>
    <x v="21"/>
    <s v="Dimapur"/>
    <s v="Value Shopper"/>
    <x v="1"/>
    <n v="4.0999999999999996"/>
    <s v="Delivered"/>
    <s v="Standard"/>
    <n v="4"/>
  </r>
  <r>
    <s v="ORD201827"/>
    <s v="CUST100528"/>
    <s v="Men"/>
    <s v="55+"/>
    <x v="951"/>
    <x v="0"/>
    <x v="2"/>
    <x v="2"/>
    <n v="8"/>
    <s v="White"/>
    <n v="1"/>
    <n v="8199"/>
    <n v="5"/>
    <n v="7790"/>
    <n v="7790"/>
    <s v="Debit/Credit Card"/>
    <x v="2"/>
    <s v="India"/>
    <x v="3"/>
    <s v="Jodhpur"/>
    <s v="Premium Shopper"/>
    <x v="2"/>
    <n v="4.5999999999999996"/>
    <s v="Delivered"/>
    <s v="Express"/>
    <n v="2"/>
  </r>
  <r>
    <s v="ORD201906"/>
    <s v="CUST100009"/>
    <s v="Unisex"/>
    <s v="25-34"/>
    <x v="951"/>
    <x v="4"/>
    <x v="6"/>
    <x v="2"/>
    <n v="7"/>
    <s v="White"/>
    <n v="1"/>
    <n v="4799"/>
    <n v="20"/>
    <n v="3840"/>
    <n v="3840"/>
    <s v="UPI"/>
    <x v="1"/>
    <s v="India"/>
    <x v="20"/>
    <s v="Mandi"/>
    <s v="Comfort Shopper"/>
    <x v="2"/>
    <n v="4"/>
    <s v="Cancelled"/>
    <s v="Same Day"/>
    <n v="1"/>
  </r>
  <r>
    <s v="ORD200034"/>
    <s v="CUST100880"/>
    <s v="Men"/>
    <s v="18-24"/>
    <x v="952"/>
    <x v="3"/>
    <x v="11"/>
    <x v="4"/>
    <n v="9"/>
    <s v="Grey"/>
    <n v="1"/>
    <n v="4599"/>
    <n v="0"/>
    <n v="4600"/>
    <n v="4600"/>
    <s v="UPI"/>
    <x v="1"/>
    <s v="India"/>
    <x v="28"/>
    <s v="Kargil"/>
    <s v="Value Shopper"/>
    <x v="1"/>
    <n v="3.9"/>
    <s v="Delivered"/>
    <s v="Standard"/>
    <n v="3"/>
  </r>
  <r>
    <s v="ORD200327"/>
    <s v="CUST100196"/>
    <s v="Women"/>
    <s v="18-24"/>
    <x v="952"/>
    <x v="2"/>
    <x v="3"/>
    <x v="2"/>
    <n v="10"/>
    <s v="Blue"/>
    <n v="1"/>
    <n v="4099"/>
    <n v="25"/>
    <n v="3070"/>
    <n v="3070"/>
    <s v="UPI"/>
    <x v="0"/>
    <s v="India"/>
    <x v="4"/>
    <s v="Namchi"/>
    <s v="Comfort Shopper"/>
    <x v="2"/>
    <n v="4.0999999999999996"/>
    <s v="Delivered"/>
    <s v="Express"/>
    <n v="3"/>
  </r>
  <r>
    <s v="ORD201244"/>
    <s v="CUST100374"/>
    <s v="Women"/>
    <s v="55+"/>
    <x v="952"/>
    <x v="4"/>
    <x v="26"/>
    <x v="3"/>
    <n v="6"/>
    <s v="Black"/>
    <n v="1"/>
    <n v="6199"/>
    <n v="25"/>
    <n v="4650"/>
    <n v="4650"/>
    <s v="Debit/Credit Card"/>
    <x v="0"/>
    <s v="India"/>
    <x v="19"/>
    <s v="Nongpoh"/>
    <s v="Lifestyle Shopper"/>
    <x v="0"/>
    <n v="3.2"/>
    <s v="Delivered"/>
    <s v="Same Day"/>
    <n v="1"/>
  </r>
  <r>
    <s v="ORD201456"/>
    <s v="CUST100241"/>
    <s v="Women"/>
    <s v="55+"/>
    <x v="952"/>
    <x v="0"/>
    <x v="31"/>
    <x v="1"/>
    <n v="8"/>
    <s v="Red"/>
    <n v="1"/>
    <n v="4799"/>
    <n v="5"/>
    <n v="4560"/>
    <n v="4560"/>
    <s v="UPI"/>
    <x v="2"/>
    <s v="India"/>
    <x v="28"/>
    <s v="Leh"/>
    <s v="Performance Seeker"/>
    <x v="2"/>
    <n v="4.5"/>
    <s v="Cancelled"/>
    <s v="Same Day"/>
    <n v="1"/>
  </r>
  <r>
    <s v="ORD202528"/>
    <s v="CUST100884"/>
    <s v="Women"/>
    <s v="35-44"/>
    <x v="952"/>
    <x v="2"/>
    <x v="24"/>
    <x v="4"/>
    <n v="9"/>
    <s v="Black"/>
    <n v="1"/>
    <n v="7399"/>
    <n v="20"/>
    <n v="5920"/>
    <n v="5920"/>
    <s v="Debit/Credit Card"/>
    <x v="1"/>
    <s v="India"/>
    <x v="9"/>
    <s v="Gaya"/>
    <s v="Value Shopper"/>
    <x v="1"/>
    <n v="3.5"/>
    <s v="Delivered"/>
    <s v="Standard"/>
    <n v="3"/>
  </r>
  <r>
    <s v="ORD202780"/>
    <s v="CUST100325"/>
    <s v="Women"/>
    <s v="18-24"/>
    <x v="952"/>
    <x v="1"/>
    <x v="1"/>
    <x v="1"/>
    <n v="9"/>
    <s v="Green"/>
    <n v="1"/>
    <n v="6899"/>
    <n v="20"/>
    <n v="5520"/>
    <n v="5520"/>
    <s v="Debit/Credit Card"/>
    <x v="1"/>
    <s v="India"/>
    <x v="35"/>
    <s v="Lunglei"/>
    <s v="Performance Seeker"/>
    <x v="1"/>
    <n v="2.5"/>
    <s v="Cancelled"/>
    <s v="Standard"/>
    <n v="4"/>
  </r>
  <r>
    <s v="ORD200979"/>
    <s v="CUST100136"/>
    <s v="Women"/>
    <s v="35-44"/>
    <x v="953"/>
    <x v="4"/>
    <x v="22"/>
    <x v="0"/>
    <n v="10"/>
    <s v="Black"/>
    <n v="1"/>
    <n v="6299"/>
    <n v="5"/>
    <n v="5980"/>
    <n v="5980"/>
    <s v="Debit/Credit Card"/>
    <x v="1"/>
    <s v="India"/>
    <x v="7"/>
    <s v="Bhopal"/>
    <s v="Comfort Shopper"/>
    <x v="1"/>
    <n v="3.7"/>
    <s v="Delivered"/>
    <s v="Standard"/>
    <n v="3"/>
  </r>
  <r>
    <s v="ORD201513"/>
    <s v="CUST100444"/>
    <s v="Women"/>
    <s v="25-34"/>
    <x v="953"/>
    <x v="1"/>
    <x v="10"/>
    <x v="3"/>
    <n v="8"/>
    <s v="Green"/>
    <n v="1"/>
    <n v="8299"/>
    <n v="15"/>
    <n v="7050"/>
    <n v="7050"/>
    <s v="UPI"/>
    <x v="2"/>
    <s v="India"/>
    <x v="7"/>
    <s v="Indore"/>
    <s v="Premium Shopper"/>
    <x v="2"/>
    <n v="3"/>
    <s v="Delivered"/>
    <s v="Same Day"/>
    <n v="1"/>
  </r>
  <r>
    <s v="ORD200731"/>
    <s v="CUST100400"/>
    <s v="Women"/>
    <s v="25-34"/>
    <x v="954"/>
    <x v="3"/>
    <x v="34"/>
    <x v="3"/>
    <n v="11"/>
    <s v="Grey"/>
    <n v="1"/>
    <n v="8599"/>
    <n v="30"/>
    <n v="6020"/>
    <n v="6020"/>
    <s v="UPI"/>
    <x v="1"/>
    <s v="India"/>
    <x v="8"/>
    <s v="Nizamabad"/>
    <s v="Premium Shopper"/>
    <x v="0"/>
    <n v="3.1"/>
    <s v="Delivered"/>
    <s v="Same Day"/>
    <n v="1"/>
  </r>
  <r>
    <s v="ORD201547"/>
    <s v="CUST100175"/>
    <s v="Unisex"/>
    <s v="35-44"/>
    <x v="955"/>
    <x v="1"/>
    <x v="18"/>
    <x v="2"/>
    <n v="8"/>
    <s v="Red"/>
    <n v="1"/>
    <n v="8499"/>
    <n v="10"/>
    <n v="7650"/>
    <n v="7650"/>
    <s v="Debit/Credit Card"/>
    <x v="1"/>
    <s v="India"/>
    <x v="7"/>
    <s v="Jabalpur"/>
    <s v="Value Shopper"/>
    <x v="1"/>
    <n v="4.3"/>
    <s v="Cancelled"/>
    <s v="Standard"/>
    <n v="7"/>
  </r>
  <r>
    <s v="ORD202220"/>
    <s v="CUST100626"/>
    <s v="Men"/>
    <s v="18-24"/>
    <x v="955"/>
    <x v="3"/>
    <x v="35"/>
    <x v="2"/>
    <n v="12"/>
    <s v="Black"/>
    <n v="1"/>
    <n v="8799"/>
    <n v="15"/>
    <n v="7480"/>
    <n v="7480"/>
    <s v="UPI"/>
    <x v="2"/>
    <s v="India"/>
    <x v="34"/>
    <s v="Durgapur"/>
    <s v="Premium Shopper"/>
    <x v="1"/>
    <n v="4.4000000000000004"/>
    <s v="Delivered"/>
    <s v="Standard"/>
    <n v="2"/>
  </r>
  <r>
    <s v="ORD200028"/>
    <s v="CUST100256"/>
    <s v="Unisex"/>
    <s v="45-54"/>
    <x v="956"/>
    <x v="5"/>
    <x v="7"/>
    <x v="1"/>
    <n v="9"/>
    <s v="Blue"/>
    <n v="2"/>
    <n v="9199"/>
    <n v="35"/>
    <n v="5980"/>
    <n v="11960"/>
    <s v="UPI"/>
    <x v="0"/>
    <s v="India"/>
    <x v="34"/>
    <s v="Siliguri"/>
    <s v="Lifestyle Shopper"/>
    <x v="1"/>
    <n v="4.0999999999999996"/>
    <s v="Delivered"/>
    <s v="Standard"/>
    <n v="3"/>
  </r>
  <r>
    <s v="ORD201699"/>
    <s v="CUST100988"/>
    <s v="Unisex"/>
    <s v="35-44"/>
    <x v="956"/>
    <x v="5"/>
    <x v="14"/>
    <x v="3"/>
    <n v="8"/>
    <s v="Black"/>
    <n v="2"/>
    <n v="7799"/>
    <n v="10"/>
    <n v="7020"/>
    <n v="14040"/>
    <s v="Debit/Credit Card"/>
    <x v="2"/>
    <s v="India"/>
    <x v="15"/>
    <s v="Delhi"/>
    <s v="Premium Shopper"/>
    <x v="0"/>
    <n v="3"/>
    <s v="Delivered"/>
    <s v="Standard"/>
    <n v="2"/>
  </r>
  <r>
    <s v="ORD202808"/>
    <s v="CUST100830"/>
    <s v="Men"/>
    <s v="25-34"/>
    <x v="956"/>
    <x v="1"/>
    <x v="10"/>
    <x v="3"/>
    <n v="10"/>
    <s v="Blue"/>
    <n v="2"/>
    <n v="5899"/>
    <n v="10"/>
    <n v="5310"/>
    <n v="10620"/>
    <s v="UPI"/>
    <x v="0"/>
    <s v="India"/>
    <x v="32"/>
    <s v="Bokaro"/>
    <s v="Performance Seeker"/>
    <x v="0"/>
    <n v="4.3"/>
    <s v="Delivered"/>
    <s v="Express"/>
    <n v="2"/>
  </r>
  <r>
    <s v="ORD202415"/>
    <s v="CUST100741"/>
    <s v="Men"/>
    <s v="18-24"/>
    <x v="957"/>
    <x v="1"/>
    <x v="10"/>
    <x v="3"/>
    <n v="10"/>
    <s v="White"/>
    <n v="1"/>
    <n v="3899"/>
    <n v="20"/>
    <n v="3120"/>
    <n v="3120"/>
    <s v="Debit/Credit Card"/>
    <x v="1"/>
    <s v="India"/>
    <x v="17"/>
    <s v="Karaikal"/>
    <s v="Value Shopper"/>
    <x v="1"/>
    <n v="4.0999999999999996"/>
    <s v="Cancelled"/>
    <s v="Standard"/>
    <n v="2"/>
  </r>
  <r>
    <s v="ORD200274"/>
    <s v="CUST100275"/>
    <s v="Women"/>
    <s v="18-24"/>
    <x v="958"/>
    <x v="5"/>
    <x v="30"/>
    <x v="2"/>
    <n v="9"/>
    <s v="Grey"/>
    <n v="1"/>
    <n v="7099"/>
    <n v="35"/>
    <n v="4610"/>
    <n v="4610"/>
    <s v="Net Banking"/>
    <x v="2"/>
    <s v="India"/>
    <x v="27"/>
    <s v="Cuttack"/>
    <s v="Performance Seeker"/>
    <x v="1"/>
    <n v="4.3"/>
    <s v="Returned"/>
    <s v="Express"/>
    <n v="3"/>
  </r>
  <r>
    <s v="ORD200275"/>
    <s v="CUST100199"/>
    <s v="Men"/>
    <s v="45-54"/>
    <x v="959"/>
    <x v="0"/>
    <x v="19"/>
    <x v="4"/>
    <n v="7"/>
    <s v="Black"/>
    <n v="3"/>
    <n v="6199"/>
    <n v="30"/>
    <n v="4340"/>
    <n v="13020"/>
    <s v="Debit/Credit Card"/>
    <x v="1"/>
    <s v="India"/>
    <x v="14"/>
    <s v="Ludhiana"/>
    <s v="Lifestyle Shopper"/>
    <x v="0"/>
    <n v="3.7"/>
    <s v="Delivered"/>
    <s v="Express"/>
    <n v="2"/>
  </r>
  <r>
    <s v="ORD201295"/>
    <s v="CUST101013"/>
    <s v="Men"/>
    <s v="25-34"/>
    <x v="959"/>
    <x v="1"/>
    <x v="20"/>
    <x v="2"/>
    <n v="9"/>
    <s v="Grey"/>
    <n v="1"/>
    <n v="5099"/>
    <n v="25"/>
    <n v="3820"/>
    <n v="3820"/>
    <s v="Debit/Credit Card"/>
    <x v="1"/>
    <s v="India"/>
    <x v="15"/>
    <s v="Rohini"/>
    <s v="Performance Seeker"/>
    <x v="0"/>
    <n v="3.8"/>
    <s v="Delivered"/>
    <s v="Standard"/>
    <n v="1"/>
  </r>
  <r>
    <s v="ORD202273"/>
    <s v="CUST100223"/>
    <s v="Women"/>
    <s v="18-24"/>
    <x v="959"/>
    <x v="2"/>
    <x v="23"/>
    <x v="0"/>
    <n v="10"/>
    <s v="White"/>
    <n v="1"/>
    <n v="6399"/>
    <n v="25"/>
    <n v="4800"/>
    <n v="4800"/>
    <s v="UPI"/>
    <x v="0"/>
    <s v="India"/>
    <x v="17"/>
    <s v="Karaikal"/>
    <s v="Lifestyle Shopper"/>
    <x v="0"/>
    <n v="3.9"/>
    <s v="Returned"/>
    <s v="Standard"/>
    <n v="6"/>
  </r>
  <r>
    <s v="ORD200419"/>
    <s v="CUST100118"/>
    <s v="Men"/>
    <s v="18-24"/>
    <x v="960"/>
    <x v="2"/>
    <x v="23"/>
    <x v="0"/>
    <n v="9"/>
    <s v="Grey"/>
    <n v="1"/>
    <n v="8099"/>
    <n v="5"/>
    <n v="7690"/>
    <n v="7690"/>
    <s v="UPI"/>
    <x v="1"/>
    <s v="India"/>
    <x v="10"/>
    <s v="Amli"/>
    <s v="Value Shopper"/>
    <x v="1"/>
    <n v="3.3"/>
    <s v="Delivered"/>
    <s v="Standard"/>
    <n v="6"/>
  </r>
  <r>
    <s v="ORD200490"/>
    <s v="CUST100344"/>
    <s v="Unisex"/>
    <s v="35-44"/>
    <x v="960"/>
    <x v="0"/>
    <x v="19"/>
    <x v="4"/>
    <n v="10"/>
    <s v="Black"/>
    <n v="1"/>
    <n v="5999"/>
    <n v="30"/>
    <n v="4200"/>
    <n v="4200"/>
    <s v="UPI"/>
    <x v="1"/>
    <s v="India"/>
    <x v="2"/>
    <s v="Gurugram"/>
    <s v="Comfort Shopper"/>
    <x v="1"/>
    <n v="3.5"/>
    <s v="Delivered"/>
    <s v="Express"/>
    <n v="2"/>
  </r>
  <r>
    <s v="ORD202320"/>
    <s v="CUST100104"/>
    <s v="Women"/>
    <s v="45-54"/>
    <x v="961"/>
    <x v="5"/>
    <x v="14"/>
    <x v="3"/>
    <n v="8"/>
    <s v="Black"/>
    <n v="1"/>
    <n v="7499"/>
    <n v="10"/>
    <n v="6750"/>
    <n v="6750"/>
    <s v="UPI"/>
    <x v="1"/>
    <s v="India"/>
    <x v="11"/>
    <s v="Kavaratti"/>
    <s v="Premium Shopper"/>
    <x v="1"/>
    <n v="3.5"/>
    <s v="Cancelled"/>
    <s v="Standard"/>
    <n v="1"/>
  </r>
  <r>
    <s v="ORD202914"/>
    <s v="CUST100003"/>
    <s v="Unisex"/>
    <s v="25-34"/>
    <x v="961"/>
    <x v="1"/>
    <x v="18"/>
    <x v="2"/>
    <n v="11"/>
    <s v="Blue"/>
    <n v="1"/>
    <n v="9699"/>
    <n v="5"/>
    <n v="9210"/>
    <n v="9210"/>
    <s v="UPI"/>
    <x v="1"/>
    <s v="India"/>
    <x v="15"/>
    <s v="New Delhi"/>
    <s v="Performance Seeker"/>
    <x v="0"/>
    <n v="4.9000000000000004"/>
    <s v="Delivered"/>
    <s v="Same Day"/>
    <n v="1"/>
  </r>
  <r>
    <s v="ORD200152"/>
    <s v="CUST100546"/>
    <s v="Women"/>
    <s v="45-54"/>
    <x v="962"/>
    <x v="3"/>
    <x v="34"/>
    <x v="3"/>
    <n v="9"/>
    <s v="Grey"/>
    <n v="1"/>
    <n v="3799"/>
    <n v="30"/>
    <n v="2660"/>
    <n v="2660"/>
    <s v="Debit/Credit Card"/>
    <x v="1"/>
    <s v="India"/>
    <x v="10"/>
    <s v="Amli"/>
    <s v="Lifestyle Shopper"/>
    <x v="1"/>
    <n v="4.5"/>
    <s v="Delivered"/>
    <s v="Standard"/>
    <n v="3"/>
  </r>
  <r>
    <s v="ORD200914"/>
    <s v="CUST100435"/>
    <s v="Women"/>
    <s v="18-24"/>
    <x v="962"/>
    <x v="0"/>
    <x v="8"/>
    <x v="3"/>
    <n v="8"/>
    <s v="Grey"/>
    <n v="3"/>
    <n v="7899"/>
    <n v="10"/>
    <n v="7110"/>
    <n v="21330"/>
    <s v="Debit/Credit Card"/>
    <x v="2"/>
    <s v="India"/>
    <x v="34"/>
    <s v="Siliguri"/>
    <s v="Value Shopper"/>
    <x v="2"/>
    <n v="4.4000000000000004"/>
    <s v="Delivered"/>
    <s v="Express"/>
    <n v="2"/>
  </r>
  <r>
    <s v="ORD201550"/>
    <s v="CUST101047"/>
    <s v="Men"/>
    <s v="55+"/>
    <x v="962"/>
    <x v="3"/>
    <x v="11"/>
    <x v="4"/>
    <n v="10"/>
    <s v="Black"/>
    <n v="1"/>
    <n v="6999"/>
    <n v="15"/>
    <n v="5950"/>
    <n v="5950"/>
    <s v="UPI"/>
    <x v="2"/>
    <s v="India"/>
    <x v="2"/>
    <s v="Hisar"/>
    <s v="Comfort Shopper"/>
    <x v="1"/>
    <n v="4.5"/>
    <s v="Delivered"/>
    <s v="Standard"/>
    <n v="2"/>
  </r>
  <r>
    <s v="ORD202492"/>
    <s v="CUST100702"/>
    <s v="Women"/>
    <s v="55+"/>
    <x v="962"/>
    <x v="0"/>
    <x v="13"/>
    <x v="2"/>
    <n v="10"/>
    <s v="Grey"/>
    <n v="1"/>
    <n v="4699"/>
    <n v="25"/>
    <n v="3520"/>
    <n v="3520"/>
    <s v="UPI"/>
    <x v="1"/>
    <s v="India"/>
    <x v="3"/>
    <s v="Udaipur"/>
    <s v="Lifestyle Shopper"/>
    <x v="1"/>
    <n v="2.9"/>
    <s v="Cancelled"/>
    <s v="Standard"/>
    <n v="3"/>
  </r>
  <r>
    <s v="ORD200204"/>
    <s v="CUST100214"/>
    <s v="Women"/>
    <s v="18-24"/>
    <x v="963"/>
    <x v="2"/>
    <x v="4"/>
    <x v="2"/>
    <n v="7"/>
    <s v="Blue"/>
    <n v="1"/>
    <n v="7399"/>
    <n v="5"/>
    <n v="7030"/>
    <n v="7030"/>
    <s v="UPI"/>
    <x v="0"/>
    <s v="India"/>
    <x v="28"/>
    <s v="Kargil"/>
    <s v="Performance Seeker"/>
    <x v="1"/>
    <n v="4.4000000000000004"/>
    <s v="Delivered"/>
    <s v="Express"/>
    <n v="2"/>
  </r>
  <r>
    <s v="ORD201294"/>
    <s v="CUST100099"/>
    <s v="Men"/>
    <s v="45-54"/>
    <x v="963"/>
    <x v="3"/>
    <x v="16"/>
    <x v="0"/>
    <n v="9"/>
    <s v="Green"/>
    <n v="1"/>
    <n v="7999"/>
    <n v="15"/>
    <n v="6800"/>
    <n v="6800"/>
    <s v="Debit/Credit Card"/>
    <x v="2"/>
    <s v="India"/>
    <x v="23"/>
    <s v="Dehradun"/>
    <s v="Value Shopper"/>
    <x v="1"/>
    <n v="5"/>
    <s v="Delivered"/>
    <s v="Standard"/>
    <n v="3"/>
  </r>
  <r>
    <s v="ORD202551"/>
    <s v="CUST100063"/>
    <s v="Women"/>
    <s v="25-34"/>
    <x v="963"/>
    <x v="3"/>
    <x v="11"/>
    <x v="4"/>
    <n v="7"/>
    <s v="Red"/>
    <n v="1"/>
    <n v="3099"/>
    <n v="5"/>
    <n v="2940"/>
    <n v="2940"/>
    <s v="Debit/Credit Card"/>
    <x v="2"/>
    <s v="India"/>
    <x v="24"/>
    <s v="Mysuru"/>
    <s v="Performance Seeker"/>
    <x v="2"/>
    <n v="3.7"/>
    <s v="Cancelled"/>
    <s v="Standard"/>
    <n v="6"/>
  </r>
  <r>
    <s v="ORD200241"/>
    <s v="CUST100055"/>
    <s v="Men"/>
    <s v="35-44"/>
    <x v="964"/>
    <x v="3"/>
    <x v="28"/>
    <x v="1"/>
    <n v="8"/>
    <s v="Black"/>
    <n v="1"/>
    <n v="3299"/>
    <n v="35"/>
    <n v="2140"/>
    <n v="2140"/>
    <s v="Debit/Credit Card"/>
    <x v="2"/>
    <s v="India"/>
    <x v="1"/>
    <s v="Mapusa"/>
    <s v="Performance Seeker"/>
    <x v="1"/>
    <n v="4.4000000000000004"/>
    <s v="Cancelled"/>
    <s v="Standard"/>
    <n v="3"/>
  </r>
  <r>
    <s v="ORD201399"/>
    <s v="CUST100038"/>
    <s v="Unisex"/>
    <s v="25-34"/>
    <x v="964"/>
    <x v="2"/>
    <x v="24"/>
    <x v="4"/>
    <n v="6"/>
    <s v="Blue"/>
    <n v="1"/>
    <n v="3599"/>
    <n v="5"/>
    <n v="3420"/>
    <n v="3420"/>
    <s v="UPI"/>
    <x v="2"/>
    <s v="India"/>
    <x v="14"/>
    <s v="Patiala"/>
    <s v="Lifestyle Shopper"/>
    <x v="1"/>
    <n v="3.9"/>
    <s v="Delivered"/>
    <s v="Standard"/>
    <n v="6"/>
  </r>
  <r>
    <s v="ORD201695"/>
    <s v="CUST100160"/>
    <s v="Women"/>
    <s v="45-54"/>
    <x v="964"/>
    <x v="2"/>
    <x v="25"/>
    <x v="3"/>
    <n v="7"/>
    <s v="Green"/>
    <n v="1"/>
    <n v="6999"/>
    <n v="20"/>
    <n v="5600"/>
    <n v="5600"/>
    <s v="Cash on Delivery"/>
    <x v="1"/>
    <s v="India"/>
    <x v="17"/>
    <s v="Mahe"/>
    <s v="Comfort Shopper"/>
    <x v="1"/>
    <n v="4.7"/>
    <s v="Delivered"/>
    <s v="Standard"/>
    <n v="7"/>
  </r>
  <r>
    <s v="ORD202471"/>
    <s v="CUST100024"/>
    <s v="Unisex"/>
    <s v="25-34"/>
    <x v="964"/>
    <x v="3"/>
    <x v="35"/>
    <x v="2"/>
    <n v="8"/>
    <s v="Green"/>
    <n v="1"/>
    <n v="7399"/>
    <n v="10"/>
    <n v="6660"/>
    <n v="6660"/>
    <s v="UPI"/>
    <x v="0"/>
    <s v="India"/>
    <x v="15"/>
    <s v="Rohini"/>
    <s v="Lifestyle Shopper"/>
    <x v="1"/>
    <n v="4.9000000000000004"/>
    <s v="Cancelled"/>
    <s v="Same Day"/>
    <n v="1"/>
  </r>
  <r>
    <s v="ORD202973"/>
    <s v="CUST100445"/>
    <s v="Unisex"/>
    <s v="35-44"/>
    <x v="964"/>
    <x v="3"/>
    <x v="34"/>
    <x v="3"/>
    <n v="8"/>
    <s v="Red"/>
    <n v="3"/>
    <n v="6999"/>
    <n v="15"/>
    <n v="5950"/>
    <n v="17850"/>
    <s v="UPI"/>
    <x v="1"/>
    <s v="India"/>
    <x v="4"/>
    <s v="Mangan"/>
    <s v="Comfort Shopper"/>
    <x v="1"/>
    <n v="3.9"/>
    <s v="Cancelled"/>
    <s v="Standard"/>
    <n v="4"/>
  </r>
  <r>
    <s v="ORD200556"/>
    <s v="CUST100354"/>
    <s v="Unisex"/>
    <s v="35-44"/>
    <x v="965"/>
    <x v="0"/>
    <x v="0"/>
    <x v="0"/>
    <n v="8"/>
    <s v="Blue"/>
    <n v="1"/>
    <n v="7499"/>
    <n v="30"/>
    <n v="5250"/>
    <n v="5250"/>
    <s v="UPI"/>
    <x v="1"/>
    <s v="India"/>
    <x v="19"/>
    <s v="Tura"/>
    <s v="Premium Shopper"/>
    <x v="1"/>
    <n v="2.5"/>
    <s v="Delivered"/>
    <s v="Standard"/>
    <n v="4"/>
  </r>
  <r>
    <s v="ORD200786"/>
    <s v="CUST100671"/>
    <s v="Men"/>
    <s v="18-24"/>
    <x v="965"/>
    <x v="4"/>
    <x v="29"/>
    <x v="2"/>
    <n v="11"/>
    <s v="Blue"/>
    <n v="1"/>
    <n v="4899"/>
    <n v="0"/>
    <n v="4900"/>
    <n v="4900"/>
    <s v="Net Banking"/>
    <x v="1"/>
    <s v="India"/>
    <x v="33"/>
    <s v="Pune"/>
    <s v="Comfort Shopper"/>
    <x v="2"/>
    <n v="4.3"/>
    <s v="Delivered"/>
    <s v="Standard"/>
    <n v="4"/>
  </r>
  <r>
    <s v="ORD201074"/>
    <s v="CUST100239"/>
    <s v="Women"/>
    <s v="45-54"/>
    <x v="965"/>
    <x v="4"/>
    <x v="29"/>
    <x v="2"/>
    <n v="7"/>
    <s v="Black"/>
    <n v="1"/>
    <n v="6399"/>
    <n v="10"/>
    <n v="5760"/>
    <n v="5760"/>
    <s v="Debit/Credit Card"/>
    <x v="0"/>
    <s v="India"/>
    <x v="4"/>
    <s v="Gyalshing"/>
    <s v="Lifestyle Shopper"/>
    <x v="1"/>
    <n v="5"/>
    <s v="Cancelled"/>
    <s v="Express"/>
    <n v="3"/>
  </r>
  <r>
    <s v="ORD201692"/>
    <s v="CUST100673"/>
    <s v="Unisex"/>
    <s v="35-44"/>
    <x v="965"/>
    <x v="5"/>
    <x v="14"/>
    <x v="3"/>
    <n v="12"/>
    <s v="Black"/>
    <n v="1"/>
    <n v="6399"/>
    <n v="30"/>
    <n v="4480"/>
    <n v="4480"/>
    <s v="UPI"/>
    <x v="1"/>
    <s v="India"/>
    <x v="7"/>
    <s v="Bhopal"/>
    <s v="Performance Seeker"/>
    <x v="0"/>
    <n v="3.8"/>
    <s v="Delivered"/>
    <s v="Standard"/>
    <n v="2"/>
  </r>
  <r>
    <s v="ORD202252"/>
    <s v="CUST100316"/>
    <s v="Men"/>
    <s v="35-44"/>
    <x v="965"/>
    <x v="4"/>
    <x v="17"/>
    <x v="4"/>
    <n v="11"/>
    <s v="White"/>
    <n v="1"/>
    <n v="8099"/>
    <n v="10"/>
    <n v="7290"/>
    <n v="7290"/>
    <s v="Debit/Credit Card"/>
    <x v="1"/>
    <s v="India"/>
    <x v="32"/>
    <s v="Bokaro"/>
    <s v="Performance Seeker"/>
    <x v="2"/>
    <n v="4.0999999999999996"/>
    <s v="Delivered"/>
    <s v="Standard"/>
    <n v="4"/>
  </r>
  <r>
    <s v="ORD202308"/>
    <s v="CUST100248"/>
    <s v="Women"/>
    <s v="25-34"/>
    <x v="965"/>
    <x v="5"/>
    <x v="27"/>
    <x v="0"/>
    <n v="11"/>
    <s v="Black"/>
    <n v="2"/>
    <n v="6499"/>
    <n v="35"/>
    <n v="4220"/>
    <n v="8440"/>
    <s v="UPI"/>
    <x v="0"/>
    <s v="India"/>
    <x v="32"/>
    <s v="Bokaro"/>
    <s v="Performance Seeker"/>
    <x v="1"/>
    <n v="4.0999999999999996"/>
    <s v="Delivered"/>
    <s v="Standard"/>
    <n v="6"/>
  </r>
  <r>
    <s v="ORD202638"/>
    <s v="CUST100345"/>
    <s v="Women"/>
    <s v="25-34"/>
    <x v="965"/>
    <x v="1"/>
    <x v="10"/>
    <x v="3"/>
    <n v="8"/>
    <s v="Green"/>
    <n v="1"/>
    <n v="7399"/>
    <n v="15"/>
    <n v="6290"/>
    <n v="6290"/>
    <s v="Debit/Credit Card"/>
    <x v="1"/>
    <s v="India"/>
    <x v="25"/>
    <s v="Baramulla"/>
    <s v="Performance Seeker"/>
    <x v="1"/>
    <n v="4.3"/>
    <s v="Delivered"/>
    <s v="Standard"/>
    <n v="2"/>
  </r>
  <r>
    <s v="ORD202970"/>
    <s v="CUST100786"/>
    <s v="Men"/>
    <s v="35-44"/>
    <x v="966"/>
    <x v="3"/>
    <x v="11"/>
    <x v="4"/>
    <n v="10"/>
    <s v="Black"/>
    <n v="1"/>
    <n v="4999"/>
    <n v="20"/>
    <n v="4000"/>
    <n v="4000"/>
    <s v="UPI"/>
    <x v="0"/>
    <s v="India"/>
    <x v="11"/>
    <s v="Amini"/>
    <s v="Premium Shopper"/>
    <x v="1"/>
    <n v="4.8"/>
    <s v="Delivered"/>
    <s v="Express"/>
    <n v="2"/>
  </r>
  <r>
    <s v="ORD201066"/>
    <s v="CUST100893"/>
    <s v="Men"/>
    <s v="35-44"/>
    <x v="967"/>
    <x v="4"/>
    <x v="22"/>
    <x v="0"/>
    <n v="8"/>
    <s v="Grey"/>
    <n v="1"/>
    <n v="8499"/>
    <n v="20"/>
    <n v="6800"/>
    <n v="6800"/>
    <s v="UPI"/>
    <x v="0"/>
    <s v="India"/>
    <x v="11"/>
    <s v="Kavaratti"/>
    <s v="Performance Seeker"/>
    <x v="1"/>
    <n v="4.2"/>
    <s v="Delivered"/>
    <s v="Standard"/>
    <n v="1"/>
  </r>
  <r>
    <s v="ORD202038"/>
    <s v="CUST100631"/>
    <s v="Women"/>
    <s v="35-44"/>
    <x v="967"/>
    <x v="3"/>
    <x v="11"/>
    <x v="4"/>
    <n v="7"/>
    <s v="White"/>
    <n v="1"/>
    <n v="5899"/>
    <n v="10"/>
    <n v="5310"/>
    <n v="5310"/>
    <s v="UPI"/>
    <x v="1"/>
    <s v="India"/>
    <x v="18"/>
    <s v="Korba"/>
    <s v="Lifestyle Shopper"/>
    <x v="1"/>
    <n v="4.7"/>
    <s v="Delivered"/>
    <s v="Standard"/>
    <n v="3"/>
  </r>
  <r>
    <s v="ORD203048"/>
    <s v="CUST100147"/>
    <s v="Unisex"/>
    <s v="25-34"/>
    <x v="967"/>
    <x v="1"/>
    <x v="10"/>
    <x v="3"/>
    <n v="7"/>
    <s v="Red"/>
    <n v="1"/>
    <n v="8599"/>
    <n v="35"/>
    <n v="5590"/>
    <n v="5590"/>
    <s v="UPI"/>
    <x v="2"/>
    <s v="India"/>
    <x v="1"/>
    <s v="Vasco da Gama"/>
    <s v="Value Shopper"/>
    <x v="1"/>
    <n v="4.3"/>
    <s v="Delivered"/>
    <s v="Same Day"/>
    <n v="1"/>
  </r>
  <r>
    <s v="ORD202435"/>
    <s v="CUST100868"/>
    <s v="Men"/>
    <s v="55+"/>
    <x v="968"/>
    <x v="5"/>
    <x v="27"/>
    <x v="0"/>
    <n v="10"/>
    <s v="Black"/>
    <n v="1"/>
    <n v="8699"/>
    <n v="25"/>
    <n v="6520"/>
    <n v="6520"/>
    <s v="Debit/Credit Card"/>
    <x v="1"/>
    <s v="India"/>
    <x v="5"/>
    <s v="Kakching"/>
    <s v="Comfort Shopper"/>
    <x v="0"/>
    <n v="3.8"/>
    <s v="Returned"/>
    <s v="Standard"/>
    <n v="2"/>
  </r>
  <r>
    <s v="ORD200279"/>
    <s v="CUST100416"/>
    <s v="Unisex"/>
    <s v="25-34"/>
    <x v="969"/>
    <x v="0"/>
    <x v="0"/>
    <x v="0"/>
    <n v="9"/>
    <s v="White"/>
    <n v="2"/>
    <n v="8199"/>
    <n v="30"/>
    <n v="5740"/>
    <n v="11480"/>
    <s v="UPI"/>
    <x v="1"/>
    <s v="India"/>
    <x v="25"/>
    <s v="Jammu"/>
    <s v="Performance Seeker"/>
    <x v="2"/>
    <n v="5"/>
    <s v="Delivered"/>
    <s v="Standard"/>
    <n v="2"/>
  </r>
  <r>
    <s v="ORD202569"/>
    <s v="CUST101044"/>
    <s v="Men"/>
    <s v="35-44"/>
    <x v="969"/>
    <x v="5"/>
    <x v="14"/>
    <x v="3"/>
    <n v="8"/>
    <s v="Red"/>
    <n v="1"/>
    <n v="6499"/>
    <n v="15"/>
    <n v="5520"/>
    <n v="5520"/>
    <s v="UPI"/>
    <x v="0"/>
    <s v="India"/>
    <x v="7"/>
    <s v="Bhopal"/>
    <s v="Lifestyle Shopper"/>
    <x v="0"/>
    <n v="4.3"/>
    <s v="Delivered"/>
    <s v="Same Day"/>
    <n v="2"/>
  </r>
  <r>
    <s v="ORD200616"/>
    <s v="CUST100388"/>
    <s v="Women"/>
    <s v="25-34"/>
    <x v="970"/>
    <x v="4"/>
    <x v="22"/>
    <x v="0"/>
    <n v="6"/>
    <s v="Green"/>
    <n v="3"/>
    <n v="8099"/>
    <n v="20"/>
    <n v="6480"/>
    <n v="19440"/>
    <s v="Debit/Credit Card"/>
    <x v="1"/>
    <s v="India"/>
    <x v="29"/>
    <s v="Tirupati"/>
    <s v="Premium Shopper"/>
    <x v="1"/>
    <n v="4.8"/>
    <s v="Delivered"/>
    <s v="Express"/>
    <n v="1"/>
  </r>
  <r>
    <s v="ORD200821"/>
    <s v="CUST100520"/>
    <s v="Women"/>
    <s v="25-34"/>
    <x v="970"/>
    <x v="3"/>
    <x v="5"/>
    <x v="2"/>
    <n v="10"/>
    <s v="White"/>
    <n v="1"/>
    <n v="4399"/>
    <n v="5"/>
    <n v="4180"/>
    <n v="4180"/>
    <s v="UPI"/>
    <x v="1"/>
    <s v="India"/>
    <x v="32"/>
    <s v="Ranchi"/>
    <s v="Lifestyle Shopper"/>
    <x v="1"/>
    <n v="3.3"/>
    <s v="Delivered"/>
    <s v="Same Day"/>
    <n v="1"/>
  </r>
  <r>
    <s v="ORD202640"/>
    <s v="CUST100366"/>
    <s v="Women"/>
    <s v="45-54"/>
    <x v="970"/>
    <x v="5"/>
    <x v="27"/>
    <x v="0"/>
    <n v="8"/>
    <s v="Red"/>
    <n v="1"/>
    <n v="7199"/>
    <n v="20"/>
    <n v="5760"/>
    <n v="5760"/>
    <s v="UPI"/>
    <x v="1"/>
    <s v="India"/>
    <x v="30"/>
    <s v="Manimajra"/>
    <s v="Lifestyle Shopper"/>
    <x v="1"/>
    <n v="3.7"/>
    <s v="Delivered"/>
    <s v="Standard"/>
    <n v="2"/>
  </r>
  <r>
    <s v="ORD200213"/>
    <s v="CUST100145"/>
    <s v="Men"/>
    <s v="55+"/>
    <x v="971"/>
    <x v="3"/>
    <x v="5"/>
    <x v="2"/>
    <n v="6"/>
    <s v="Green"/>
    <n v="3"/>
    <n v="4499"/>
    <n v="30"/>
    <n v="3150"/>
    <n v="9450"/>
    <s v="Debit/Credit Card"/>
    <x v="1"/>
    <s v="India"/>
    <x v="32"/>
    <s v="Bokaro"/>
    <s v="Performance Seeker"/>
    <x v="1"/>
    <n v="4.4000000000000004"/>
    <s v="Returned"/>
    <s v="Standard"/>
    <n v="3"/>
  </r>
  <r>
    <s v="ORD200473"/>
    <s v="CUST100552"/>
    <s v="Men"/>
    <s v="25-34"/>
    <x v="971"/>
    <x v="4"/>
    <x v="26"/>
    <x v="3"/>
    <n v="9"/>
    <s v="Black"/>
    <n v="1"/>
    <n v="4499"/>
    <n v="35"/>
    <n v="2920"/>
    <n v="2920"/>
    <s v="Cash on Delivery"/>
    <x v="0"/>
    <s v="India"/>
    <x v="28"/>
    <s v="Nubra"/>
    <s v="Performance Seeker"/>
    <x v="1"/>
    <n v="3.1"/>
    <s v="Delivered"/>
    <s v="Standard"/>
    <n v="1"/>
  </r>
  <r>
    <s v="ORD203106"/>
    <s v="CUST100573"/>
    <s v="Men"/>
    <s v="25-34"/>
    <x v="971"/>
    <x v="2"/>
    <x v="3"/>
    <x v="2"/>
    <n v="8"/>
    <s v="Grey"/>
    <n v="1"/>
    <n v="3099"/>
    <n v="25"/>
    <n v="2320"/>
    <n v="2320"/>
    <s v="Debit/Credit Card"/>
    <x v="2"/>
    <s v="India"/>
    <x v="29"/>
    <s v="Visakhapatnam"/>
    <s v="Premium Shopper"/>
    <x v="0"/>
    <n v="3.9"/>
    <s v="Delivered"/>
    <s v="Same Day"/>
    <n v="1"/>
  </r>
  <r>
    <s v="ORD201138"/>
    <s v="CUST100269"/>
    <s v="Unisex"/>
    <s v="45-54"/>
    <x v="972"/>
    <x v="3"/>
    <x v="16"/>
    <x v="0"/>
    <n v="8"/>
    <s v="Blue"/>
    <n v="1"/>
    <n v="4899"/>
    <n v="5"/>
    <n v="4650"/>
    <n v="4650"/>
    <s v="UPI"/>
    <x v="0"/>
    <s v="India"/>
    <x v="29"/>
    <s v="Vijayawada"/>
    <s v="Lifestyle Shopper"/>
    <x v="1"/>
    <n v="3.2"/>
    <s v="Delivered"/>
    <s v="Express"/>
    <n v="3"/>
  </r>
  <r>
    <s v="ORD201826"/>
    <s v="CUST100198"/>
    <s v="Men"/>
    <s v="25-34"/>
    <x v="972"/>
    <x v="3"/>
    <x v="35"/>
    <x v="2"/>
    <n v="11"/>
    <s v="Blue"/>
    <n v="1"/>
    <n v="5299"/>
    <n v="15"/>
    <n v="4500"/>
    <n v="4500"/>
    <s v="UPI"/>
    <x v="0"/>
    <s v="India"/>
    <x v="30"/>
    <s v="Burail"/>
    <s v="Premium Shopper"/>
    <x v="0"/>
    <n v="4.0999999999999996"/>
    <s v="Cancelled"/>
    <s v="Express"/>
    <n v="3"/>
  </r>
  <r>
    <s v="ORD201928"/>
    <s v="CUST100342"/>
    <s v="Men"/>
    <s v="45-54"/>
    <x v="972"/>
    <x v="4"/>
    <x v="22"/>
    <x v="0"/>
    <n v="11"/>
    <s v="Blue"/>
    <n v="3"/>
    <n v="6599"/>
    <n v="15"/>
    <n v="5610"/>
    <n v="16830"/>
    <s v="UPI"/>
    <x v="0"/>
    <s v="India"/>
    <x v="5"/>
    <s v="Kakching"/>
    <s v="Value Shopper"/>
    <x v="1"/>
    <n v="4.3"/>
    <s v="Delivered"/>
    <s v="Express"/>
    <n v="3"/>
  </r>
  <r>
    <s v="ORD200679"/>
    <s v="CUST100122"/>
    <s v="Men"/>
    <s v="35-44"/>
    <x v="973"/>
    <x v="2"/>
    <x v="24"/>
    <x v="4"/>
    <n v="6"/>
    <s v="Red"/>
    <n v="1"/>
    <n v="7099"/>
    <n v="15"/>
    <n v="6030"/>
    <n v="6030"/>
    <s v="UPI"/>
    <x v="1"/>
    <s v="India"/>
    <x v="8"/>
    <s v="Warangal"/>
    <s v="Lifestyle Shopper"/>
    <x v="2"/>
    <n v="3.9"/>
    <s v="Delivered"/>
    <s v="Standard"/>
    <n v="4"/>
  </r>
  <r>
    <s v="ORD200806"/>
    <s v="CUST100855"/>
    <s v="Women"/>
    <s v="18-24"/>
    <x v="973"/>
    <x v="0"/>
    <x v="19"/>
    <x v="4"/>
    <n v="11"/>
    <s v="White"/>
    <n v="1"/>
    <n v="8299"/>
    <n v="20"/>
    <n v="6640"/>
    <n v="6640"/>
    <s v="Debit/Credit Card"/>
    <x v="2"/>
    <s v="India"/>
    <x v="10"/>
    <s v="Silvassa"/>
    <s v="Performance Seeker"/>
    <x v="1"/>
    <n v="4.9000000000000004"/>
    <s v="Returned"/>
    <s v="Standard"/>
    <n v="3"/>
  </r>
  <r>
    <s v="ORD201577"/>
    <s v="CUST100874"/>
    <s v="Women"/>
    <s v="35-44"/>
    <x v="973"/>
    <x v="3"/>
    <x v="5"/>
    <x v="2"/>
    <n v="10"/>
    <s v="Green"/>
    <n v="2"/>
    <n v="4199"/>
    <n v="25"/>
    <n v="3150"/>
    <n v="6300"/>
    <s v="UPI"/>
    <x v="1"/>
    <s v="India"/>
    <x v="14"/>
    <s v="Jalandhar"/>
    <s v="Premium Shopper"/>
    <x v="1"/>
    <n v="4.0999999999999996"/>
    <s v="Cancelled"/>
    <s v="Express"/>
    <n v="1"/>
  </r>
  <r>
    <s v="ORD200135"/>
    <s v="CUST100533"/>
    <s v="Men"/>
    <s v="25-34"/>
    <x v="974"/>
    <x v="0"/>
    <x v="8"/>
    <x v="3"/>
    <n v="8"/>
    <s v="Black"/>
    <n v="1"/>
    <n v="5699"/>
    <n v="10"/>
    <n v="5130"/>
    <n v="5130"/>
    <s v="Debit/Credit Card"/>
    <x v="2"/>
    <s v="India"/>
    <x v="26"/>
    <s v="Kochi"/>
    <s v="Performance Seeker"/>
    <x v="0"/>
    <n v="3.5"/>
    <s v="Cancelled"/>
    <s v="Express"/>
    <n v="3"/>
  </r>
  <r>
    <s v="ORD201050"/>
    <s v="CUST100606"/>
    <s v="Men"/>
    <s v="25-34"/>
    <x v="974"/>
    <x v="1"/>
    <x v="1"/>
    <x v="1"/>
    <n v="10"/>
    <s v="Blue"/>
    <n v="2"/>
    <n v="4599"/>
    <n v="0"/>
    <n v="4600"/>
    <n v="9200"/>
    <s v="UPI"/>
    <x v="2"/>
    <s v="India"/>
    <x v="12"/>
    <s v="Port Blair"/>
    <s v="Performance Seeker"/>
    <x v="1"/>
    <n v="3.5"/>
    <s v="Delivered"/>
    <s v="Express"/>
    <n v="3"/>
  </r>
  <r>
    <s v="ORD200629"/>
    <s v="CUST100094"/>
    <s v="Men"/>
    <s v="25-34"/>
    <x v="975"/>
    <x v="5"/>
    <x v="15"/>
    <x v="4"/>
    <n v="11"/>
    <s v="Grey"/>
    <n v="1"/>
    <n v="7999"/>
    <n v="20"/>
    <n v="6400"/>
    <n v="6400"/>
    <s v="Cash on Delivery"/>
    <x v="1"/>
    <s v="India"/>
    <x v="12"/>
    <s v="Rangat"/>
    <s v="Lifestyle Shopper"/>
    <x v="2"/>
    <n v="4.5"/>
    <s v="Delivered"/>
    <s v="Express"/>
    <n v="2"/>
  </r>
  <r>
    <s v="ORD201204"/>
    <s v="CUST100286"/>
    <s v="Men"/>
    <s v="35-44"/>
    <x v="976"/>
    <x v="4"/>
    <x v="22"/>
    <x v="0"/>
    <n v="8"/>
    <s v="Red"/>
    <n v="1"/>
    <n v="9199"/>
    <n v="15"/>
    <n v="7820"/>
    <n v="7820"/>
    <s v="Debit/Credit Card"/>
    <x v="2"/>
    <s v="India"/>
    <x v="8"/>
    <s v="Nizamabad"/>
    <s v="Lifestyle Shopper"/>
    <x v="2"/>
    <n v="4.5999999999999996"/>
    <s v="Cancelled"/>
    <s v="Standard"/>
    <n v="6"/>
  </r>
  <r>
    <s v="ORD201967"/>
    <s v="CUST100403"/>
    <s v="Men"/>
    <s v="18-24"/>
    <x v="977"/>
    <x v="1"/>
    <x v="33"/>
    <x v="0"/>
    <n v="10"/>
    <s v="White"/>
    <n v="1"/>
    <n v="5199"/>
    <n v="5"/>
    <n v="4940"/>
    <n v="4940"/>
    <s v="UPI"/>
    <x v="1"/>
    <s v="India"/>
    <x v="7"/>
    <s v="Indore"/>
    <s v="Value Shopper"/>
    <x v="1"/>
    <n v="4.9000000000000004"/>
    <s v="Delivered"/>
    <s v="Standard"/>
    <n v="7"/>
  </r>
  <r>
    <s v="ORD201376"/>
    <s v="CUST100545"/>
    <s v="Women"/>
    <s v="35-44"/>
    <x v="978"/>
    <x v="1"/>
    <x v="33"/>
    <x v="0"/>
    <n v="11"/>
    <s v="Green"/>
    <n v="1"/>
    <n v="6699"/>
    <n v="15"/>
    <n v="5690"/>
    <n v="5690"/>
    <s v="Debit/Credit Card"/>
    <x v="0"/>
    <s v="India"/>
    <x v="33"/>
    <s v="Nashik"/>
    <s v="Performance Seeker"/>
    <x v="1"/>
    <n v="5"/>
    <s v="Returned"/>
    <s v="Express"/>
    <n v="3"/>
  </r>
  <r>
    <s v="ORD201783"/>
    <s v="CUST100383"/>
    <s v="Men"/>
    <s v="25-34"/>
    <x v="978"/>
    <x v="4"/>
    <x v="6"/>
    <x v="2"/>
    <n v="10"/>
    <s v="White"/>
    <n v="3"/>
    <n v="9999"/>
    <n v="15"/>
    <n v="8500"/>
    <n v="25500"/>
    <s v="Debit/Credit Card"/>
    <x v="0"/>
    <s v="India"/>
    <x v="23"/>
    <s v="Dehradun"/>
    <s v="Performance Seeker"/>
    <x v="1"/>
    <n v="4.9000000000000004"/>
    <s v="Delivered"/>
    <s v="Standard"/>
    <n v="2"/>
  </r>
  <r>
    <s v="ORD201061"/>
    <s v="CUST100442"/>
    <s v="Men"/>
    <s v="25-34"/>
    <x v="979"/>
    <x v="2"/>
    <x v="23"/>
    <x v="0"/>
    <n v="9"/>
    <s v="Black"/>
    <n v="2"/>
    <n v="4099"/>
    <n v="15"/>
    <n v="3480"/>
    <n v="6960"/>
    <s v="UPI"/>
    <x v="1"/>
    <s v="India"/>
    <x v="1"/>
    <s v="Mapusa"/>
    <s v="Value Shopper"/>
    <x v="2"/>
    <n v="4.3"/>
    <s v="Delivered"/>
    <s v="Standard"/>
    <n v="4"/>
  </r>
  <r>
    <s v="ORD202456"/>
    <s v="CUST101024"/>
    <s v="Men"/>
    <s v="25-34"/>
    <x v="980"/>
    <x v="3"/>
    <x v="35"/>
    <x v="2"/>
    <n v="9"/>
    <s v="Green"/>
    <n v="1"/>
    <n v="8099"/>
    <n v="10"/>
    <n v="7290"/>
    <n v="7290"/>
    <s v="UPI"/>
    <x v="2"/>
    <s v="India"/>
    <x v="7"/>
    <s v="Gwalior"/>
    <s v="Comfort Shopper"/>
    <x v="1"/>
    <n v="3.9"/>
    <s v="Delivered"/>
    <s v="Standard"/>
    <n v="7"/>
  </r>
  <r>
    <s v="ORD202943"/>
    <s v="CUST100172"/>
    <s v="Men"/>
    <s v="25-34"/>
    <x v="980"/>
    <x v="2"/>
    <x v="24"/>
    <x v="4"/>
    <n v="9"/>
    <s v="Green"/>
    <n v="1"/>
    <n v="5999"/>
    <n v="5"/>
    <n v="5700"/>
    <n v="5700"/>
    <s v="UPI"/>
    <x v="1"/>
    <s v="India"/>
    <x v="6"/>
    <s v="Noida"/>
    <s v="Lifestyle Shopper"/>
    <x v="1"/>
    <n v="4.2"/>
    <s v="Delivered"/>
    <s v="Standard"/>
    <n v="3"/>
  </r>
  <r>
    <s v="ORD201041"/>
    <s v="CUST100287"/>
    <s v="Women"/>
    <s v="55+"/>
    <x v="981"/>
    <x v="4"/>
    <x v="6"/>
    <x v="2"/>
    <n v="7"/>
    <s v="Red"/>
    <n v="1"/>
    <n v="7999"/>
    <n v="20"/>
    <n v="6400"/>
    <n v="6400"/>
    <s v="UPI"/>
    <x v="1"/>
    <s v="India"/>
    <x v="1"/>
    <s v="Mapusa"/>
    <s v="Lifestyle Shopper"/>
    <x v="1"/>
    <n v="4.5"/>
    <s v="Cancelled"/>
    <s v="Standard"/>
    <n v="4"/>
  </r>
  <r>
    <s v="ORD200890"/>
    <s v="CUST100270"/>
    <s v="Women"/>
    <s v="45-54"/>
    <x v="982"/>
    <x v="4"/>
    <x v="29"/>
    <x v="2"/>
    <n v="7"/>
    <s v="Green"/>
    <n v="1"/>
    <n v="7699"/>
    <n v="0"/>
    <n v="7700"/>
    <n v="7700"/>
    <s v="Debit/Credit Card"/>
    <x v="0"/>
    <s v="India"/>
    <x v="29"/>
    <s v="Tirupati"/>
    <s v="Value Shopper"/>
    <x v="1"/>
    <n v="4.2"/>
    <s v="Delivered"/>
    <s v="Express"/>
    <n v="2"/>
  </r>
  <r>
    <s v="ORD202322"/>
    <s v="CUST100896"/>
    <s v="Unisex"/>
    <s v="35-44"/>
    <x v="982"/>
    <x v="3"/>
    <x v="5"/>
    <x v="2"/>
    <n v="10"/>
    <s v="Black"/>
    <n v="1"/>
    <n v="8199"/>
    <n v="20"/>
    <n v="6560"/>
    <n v="6560"/>
    <s v="UPI"/>
    <x v="1"/>
    <s v="India"/>
    <x v="8"/>
    <s v="Nizamabad"/>
    <s v="Premium Shopper"/>
    <x v="1"/>
    <n v="4.5"/>
    <s v="Delivered"/>
    <s v="Express"/>
    <n v="2"/>
  </r>
  <r>
    <s v="ORD200354"/>
    <s v="CUST101002"/>
    <s v="Unisex"/>
    <s v="18-24"/>
    <x v="983"/>
    <x v="0"/>
    <x v="2"/>
    <x v="2"/>
    <n v="7"/>
    <s v="White"/>
    <n v="1"/>
    <n v="6999"/>
    <n v="20"/>
    <n v="5600"/>
    <n v="5600"/>
    <s v="UPI"/>
    <x v="0"/>
    <s v="India"/>
    <x v="30"/>
    <s v="Chandigarh"/>
    <s v="Performance Seeker"/>
    <x v="0"/>
    <n v="3.4"/>
    <s v="Delivered"/>
    <s v="Standard"/>
    <n v="3"/>
  </r>
  <r>
    <s v="ORD201737"/>
    <s v="CUST100378"/>
    <s v="Men"/>
    <s v="35-44"/>
    <x v="983"/>
    <x v="5"/>
    <x v="14"/>
    <x v="3"/>
    <n v="10"/>
    <s v="Green"/>
    <n v="3"/>
    <n v="4699"/>
    <n v="20"/>
    <n v="3760"/>
    <n v="11280"/>
    <s v="UPI"/>
    <x v="1"/>
    <s v="India"/>
    <x v="18"/>
    <s v="Bhilai"/>
    <s v="Comfort Shopper"/>
    <x v="2"/>
    <n v="4.0999999999999996"/>
    <s v="Delivered"/>
    <s v="Standard"/>
    <n v="3"/>
  </r>
  <r>
    <s v="ORD202971"/>
    <s v="CUST100439"/>
    <s v="Men"/>
    <s v="45-54"/>
    <x v="983"/>
    <x v="0"/>
    <x v="19"/>
    <x v="4"/>
    <n v="11"/>
    <s v="White"/>
    <n v="1"/>
    <n v="9099"/>
    <n v="15"/>
    <n v="7730"/>
    <n v="7730"/>
    <s v="Debit/Credit Card"/>
    <x v="0"/>
    <s v="India"/>
    <x v="15"/>
    <s v="New Delhi"/>
    <s v="Premium Shopper"/>
    <x v="2"/>
    <n v="4.5999999999999996"/>
    <s v="Delivered"/>
    <s v="Express"/>
    <n v="2"/>
  </r>
  <r>
    <s v="ORD200972"/>
    <s v="CUST100411"/>
    <s v="Men"/>
    <s v="55+"/>
    <x v="984"/>
    <x v="1"/>
    <x v="10"/>
    <x v="3"/>
    <n v="9"/>
    <s v="Blue"/>
    <n v="1"/>
    <n v="5299"/>
    <n v="10"/>
    <n v="4770"/>
    <n v="4770"/>
    <s v="UPI"/>
    <x v="0"/>
    <s v="India"/>
    <x v="6"/>
    <s v="Lucknow"/>
    <s v="Value Shopper"/>
    <x v="1"/>
    <n v="3.9"/>
    <s v="Cancelled"/>
    <s v="Express"/>
    <n v="2"/>
  </r>
  <r>
    <s v="ORD200406"/>
    <s v="CUST100936"/>
    <s v="Men"/>
    <s v="45-54"/>
    <x v="985"/>
    <x v="3"/>
    <x v="11"/>
    <x v="4"/>
    <n v="7"/>
    <s v="Red"/>
    <n v="2"/>
    <n v="6699"/>
    <n v="0"/>
    <n v="6700"/>
    <n v="13400"/>
    <s v="UPI"/>
    <x v="2"/>
    <s v="India"/>
    <x v="18"/>
    <s v="Korba"/>
    <s v="Value Shopper"/>
    <x v="1"/>
    <n v="4.3"/>
    <s v="Delivered"/>
    <s v="Standard"/>
    <n v="2"/>
  </r>
  <r>
    <s v="ORD200375"/>
    <s v="CUST100778"/>
    <s v="Women"/>
    <s v="25-34"/>
    <x v="986"/>
    <x v="0"/>
    <x v="13"/>
    <x v="2"/>
    <n v="7"/>
    <s v="Green"/>
    <n v="2"/>
    <n v="4199"/>
    <n v="15"/>
    <n v="3570"/>
    <n v="7140"/>
    <s v="Cash on Delivery"/>
    <x v="2"/>
    <s v="India"/>
    <x v="15"/>
    <s v="Delhi"/>
    <s v="Premium Shopper"/>
    <x v="1"/>
    <n v="2.2000000000000002"/>
    <s v="Delivered"/>
    <s v="Standard"/>
    <n v="2"/>
  </r>
  <r>
    <s v="ORD201227"/>
    <s v="CUST100031"/>
    <s v="Men"/>
    <s v="25-34"/>
    <x v="986"/>
    <x v="4"/>
    <x v="17"/>
    <x v="4"/>
    <n v="7"/>
    <s v="Blue"/>
    <n v="1"/>
    <n v="3799"/>
    <n v="10"/>
    <n v="3420"/>
    <n v="3420"/>
    <s v="UPI"/>
    <x v="1"/>
    <s v="India"/>
    <x v="7"/>
    <s v="Gwalior"/>
    <s v="Lifestyle Shopper"/>
    <x v="1"/>
    <n v="3.3"/>
    <s v="Delivered"/>
    <s v="Express"/>
    <n v="2"/>
  </r>
  <r>
    <s v="ORD201248"/>
    <s v="CUST100726"/>
    <s v="Women"/>
    <s v="55+"/>
    <x v="987"/>
    <x v="4"/>
    <x v="26"/>
    <x v="3"/>
    <n v="11"/>
    <s v="Black"/>
    <n v="1"/>
    <n v="5599"/>
    <n v="15"/>
    <n v="4760"/>
    <n v="4760"/>
    <s v="UPI"/>
    <x v="2"/>
    <s v="India"/>
    <x v="31"/>
    <s v="Chennai"/>
    <s v="Lifestyle Shopper"/>
    <x v="1"/>
    <n v="4.9000000000000004"/>
    <s v="Delivered"/>
    <s v="Express"/>
    <n v="2"/>
  </r>
  <r>
    <s v="ORD202286"/>
    <s v="CUST100173"/>
    <s v="Women"/>
    <s v="35-44"/>
    <x v="987"/>
    <x v="2"/>
    <x v="25"/>
    <x v="3"/>
    <n v="7"/>
    <s v="Green"/>
    <n v="1"/>
    <n v="6299"/>
    <n v="0"/>
    <n v="6300"/>
    <n v="6300"/>
    <s v="Debit/Credit Card"/>
    <x v="2"/>
    <s v="India"/>
    <x v="9"/>
    <s v="Patna"/>
    <s v="Value Shopper"/>
    <x v="0"/>
    <n v="3.5"/>
    <s v="Delivered"/>
    <s v="Standard"/>
    <n v="7"/>
  </r>
  <r>
    <s v="ORD203076"/>
    <s v="CUST100423"/>
    <s v="Men"/>
    <s v="25-34"/>
    <x v="987"/>
    <x v="3"/>
    <x v="16"/>
    <x v="0"/>
    <n v="8"/>
    <s v="Black"/>
    <n v="1"/>
    <n v="4399"/>
    <n v="10"/>
    <n v="3960"/>
    <n v="3960"/>
    <s v="Cash on Delivery"/>
    <x v="1"/>
    <s v="India"/>
    <x v="33"/>
    <s v="Pune"/>
    <s v="Comfort Shopper"/>
    <x v="1"/>
    <n v="3.7"/>
    <s v="Returned"/>
    <s v="Standard"/>
    <n v="3"/>
  </r>
  <r>
    <s v="ORD201990"/>
    <s v="CUST100510"/>
    <s v="Men"/>
    <s v="55+"/>
    <x v="988"/>
    <x v="1"/>
    <x v="18"/>
    <x v="2"/>
    <n v="9"/>
    <s v="Red"/>
    <n v="1"/>
    <n v="5899"/>
    <n v="15"/>
    <n v="5010"/>
    <n v="5010"/>
    <s v="UPI"/>
    <x v="1"/>
    <s v="India"/>
    <x v="1"/>
    <s v="Margao"/>
    <s v="Performance Seeker"/>
    <x v="1"/>
    <n v="4.4000000000000004"/>
    <s v="Delivered"/>
    <s v="Standard"/>
    <n v="4"/>
  </r>
  <r>
    <s v="ORD201473"/>
    <s v="CUST100860"/>
    <s v="Men"/>
    <s v="25-34"/>
    <x v="989"/>
    <x v="4"/>
    <x v="9"/>
    <x v="1"/>
    <n v="7"/>
    <s v="Green"/>
    <n v="1"/>
    <n v="8399"/>
    <n v="5"/>
    <n v="7980"/>
    <n v="7980"/>
    <s v="UPI"/>
    <x v="0"/>
    <s v="India"/>
    <x v="17"/>
    <s v="Karaikal"/>
    <s v="Lifestyle Shopper"/>
    <x v="1"/>
    <n v="4.0999999999999996"/>
    <s v="Delivered"/>
    <s v="Express"/>
    <n v="1"/>
  </r>
  <r>
    <s v="ORD200052"/>
    <s v="CUST101021"/>
    <s v="Men"/>
    <s v="35-44"/>
    <x v="990"/>
    <x v="5"/>
    <x v="30"/>
    <x v="2"/>
    <n v="7"/>
    <s v="Blue"/>
    <n v="2"/>
    <n v="5599"/>
    <n v="5"/>
    <n v="5320"/>
    <n v="10640"/>
    <s v="Debit/Credit Card"/>
    <x v="1"/>
    <s v="India"/>
    <x v="13"/>
    <s v="Naharlagun"/>
    <s v="Comfort Shopper"/>
    <x v="1"/>
    <n v="3.8"/>
    <s v="Delivered"/>
    <s v="Standard"/>
    <n v="5"/>
  </r>
  <r>
    <s v="ORD202782"/>
    <s v="CUST100603"/>
    <s v="Unisex"/>
    <s v="35-44"/>
    <x v="990"/>
    <x v="0"/>
    <x v="13"/>
    <x v="2"/>
    <n v="7"/>
    <s v="Green"/>
    <n v="4"/>
    <n v="7199"/>
    <n v="15"/>
    <n v="6120"/>
    <n v="24480"/>
    <s v="UPI"/>
    <x v="1"/>
    <s v="India"/>
    <x v="7"/>
    <s v="Indore"/>
    <s v="Performance Seeker"/>
    <x v="0"/>
    <n v="2.8"/>
    <s v="Delivered"/>
    <s v="Express"/>
    <n v="3"/>
  </r>
  <r>
    <s v="ORD201734"/>
    <s v="CUST100437"/>
    <s v="Men"/>
    <s v="25-34"/>
    <x v="991"/>
    <x v="1"/>
    <x v="1"/>
    <x v="1"/>
    <n v="12"/>
    <s v="Grey"/>
    <n v="2"/>
    <n v="7699"/>
    <n v="15"/>
    <n v="6540"/>
    <n v="13080"/>
    <s v="UPI"/>
    <x v="1"/>
    <s v="India"/>
    <x v="0"/>
    <s v="Guwahati"/>
    <s v="Premium Shopper"/>
    <x v="1"/>
    <n v="5"/>
    <s v="Delivered"/>
    <s v="Standard"/>
    <n v="6"/>
  </r>
  <r>
    <s v="ORD202766"/>
    <s v="CUST100165"/>
    <s v="Women"/>
    <s v="55+"/>
    <x v="992"/>
    <x v="4"/>
    <x v="29"/>
    <x v="2"/>
    <n v="9"/>
    <s v="Grey"/>
    <n v="1"/>
    <n v="5299"/>
    <n v="25"/>
    <n v="3970"/>
    <n v="3970"/>
    <s v="Cash on Delivery"/>
    <x v="1"/>
    <s v="India"/>
    <x v="24"/>
    <s v="Mysuru"/>
    <s v="Premium Shopper"/>
    <x v="1"/>
    <n v="3.8"/>
    <s v="Delivered"/>
    <s v="Standard"/>
    <n v="3"/>
  </r>
  <r>
    <s v="ORD201969"/>
    <s v="CUST100777"/>
    <s v="Women"/>
    <s v="45-54"/>
    <x v="993"/>
    <x v="4"/>
    <x v="26"/>
    <x v="3"/>
    <n v="7"/>
    <s v="Black"/>
    <n v="2"/>
    <n v="6599"/>
    <n v="10"/>
    <n v="5940"/>
    <n v="11880"/>
    <s v="UPI"/>
    <x v="1"/>
    <s v="India"/>
    <x v="6"/>
    <s v="Varanasi"/>
    <s v="Comfort Shopper"/>
    <x v="2"/>
    <n v="5"/>
    <s v="Delivered"/>
    <s v="Standard"/>
    <n v="3"/>
  </r>
  <r>
    <s v="ORD201377"/>
    <s v="CUST100120"/>
    <s v="Women"/>
    <s v="35-44"/>
    <x v="994"/>
    <x v="3"/>
    <x v="16"/>
    <x v="0"/>
    <n v="9"/>
    <s v="Blue"/>
    <n v="4"/>
    <n v="5599"/>
    <n v="5"/>
    <n v="5320"/>
    <n v="21280"/>
    <s v="UPI"/>
    <x v="1"/>
    <s v="India"/>
    <x v="31"/>
    <s v="Madurai"/>
    <s v="Premium Shopper"/>
    <x v="1"/>
    <n v="4.8"/>
    <s v="Delivered"/>
    <s v="Standard"/>
    <n v="6"/>
  </r>
  <r>
    <s v="ORD201560"/>
    <s v="CUST100765"/>
    <s v="Men"/>
    <s v="18-24"/>
    <x v="994"/>
    <x v="4"/>
    <x v="6"/>
    <x v="2"/>
    <n v="9"/>
    <s v="Black"/>
    <n v="1"/>
    <n v="5399"/>
    <n v="20"/>
    <n v="4320"/>
    <n v="4320"/>
    <s v="UPI"/>
    <x v="1"/>
    <s v="India"/>
    <x v="9"/>
    <s v="Patna"/>
    <s v="Premium Shopper"/>
    <x v="0"/>
    <n v="5"/>
    <s v="Delivered"/>
    <s v="Express"/>
    <n v="3"/>
  </r>
  <r>
    <s v="ORD202714"/>
    <s v="CUST100915"/>
    <s v="Unisex"/>
    <s v="18-24"/>
    <x v="994"/>
    <x v="4"/>
    <x v="26"/>
    <x v="3"/>
    <n v="10"/>
    <s v="White"/>
    <n v="2"/>
    <n v="4799"/>
    <n v="5"/>
    <n v="4560"/>
    <n v="9120"/>
    <s v="Debit/Credit Card"/>
    <x v="2"/>
    <s v="India"/>
    <x v="23"/>
    <s v="Haridwar"/>
    <s v="Value Shopper"/>
    <x v="1"/>
    <n v="4.9000000000000004"/>
    <s v="Delivered"/>
    <s v="Standard"/>
    <n v="5"/>
  </r>
  <r>
    <s v="ORD202846"/>
    <s v="CUST100326"/>
    <s v="Men"/>
    <s v="25-34"/>
    <x v="995"/>
    <x v="2"/>
    <x v="32"/>
    <x v="1"/>
    <n v="8"/>
    <s v="Grey"/>
    <n v="1"/>
    <n v="5599"/>
    <n v="15"/>
    <n v="4760"/>
    <n v="4760"/>
    <s v="UPI"/>
    <x v="2"/>
    <s v="India"/>
    <x v="29"/>
    <s v="Vijayawada"/>
    <s v="Lifestyle Shopper"/>
    <x v="1"/>
    <n v="3.7"/>
    <s v="Delivered"/>
    <s v="Standard"/>
    <n v="1"/>
  </r>
  <r>
    <s v="ORD200755"/>
    <s v="CUST100646"/>
    <s v="Unisex"/>
    <s v="18-24"/>
    <x v="996"/>
    <x v="2"/>
    <x v="32"/>
    <x v="1"/>
    <n v="7"/>
    <s v="Black"/>
    <n v="1"/>
    <n v="5999"/>
    <n v="15"/>
    <n v="5100"/>
    <n v="5100"/>
    <s v="Cash on Delivery"/>
    <x v="2"/>
    <s v="India"/>
    <x v="13"/>
    <s v="Naharlagun"/>
    <s v="Performance Seeker"/>
    <x v="1"/>
    <n v="4.4000000000000004"/>
    <s v="Delivered"/>
    <s v="Standard"/>
    <n v="4"/>
  </r>
  <r>
    <s v="ORD201483"/>
    <s v="CUST100837"/>
    <s v="Women"/>
    <s v="35-44"/>
    <x v="996"/>
    <x v="4"/>
    <x v="17"/>
    <x v="4"/>
    <n v="9"/>
    <s v="Black"/>
    <n v="1"/>
    <n v="6599"/>
    <n v="20"/>
    <n v="5280"/>
    <n v="5280"/>
    <s v="Debit/Credit Card"/>
    <x v="2"/>
    <s v="India"/>
    <x v="27"/>
    <s v="Bhubaneswar"/>
    <s v="Performance Seeker"/>
    <x v="1"/>
    <n v="3.4"/>
    <s v="Delivered"/>
    <s v="Standard"/>
    <n v="5"/>
  </r>
  <r>
    <s v="ORD202811"/>
    <s v="CUST100410"/>
    <s v="Men"/>
    <s v="18-24"/>
    <x v="996"/>
    <x v="5"/>
    <x v="21"/>
    <x v="2"/>
    <n v="6"/>
    <s v="Blue"/>
    <n v="1"/>
    <n v="6799"/>
    <n v="0"/>
    <n v="6800"/>
    <n v="6800"/>
    <s v="UPI"/>
    <x v="1"/>
    <s v="India"/>
    <x v="24"/>
    <s v="Hubballi"/>
    <s v="Lifestyle Shopper"/>
    <x v="2"/>
    <n v="2.7"/>
    <s v="Delivered"/>
    <s v="Express"/>
    <n v="2"/>
  </r>
  <r>
    <s v="ORD202263"/>
    <s v="CUST100323"/>
    <s v="Unisex"/>
    <s v="25-34"/>
    <x v="997"/>
    <x v="2"/>
    <x v="3"/>
    <x v="2"/>
    <n v="8"/>
    <s v="Red"/>
    <n v="2"/>
    <n v="8599"/>
    <n v="20"/>
    <n v="6880"/>
    <n v="13760"/>
    <s v="UPI"/>
    <x v="1"/>
    <s v="India"/>
    <x v="9"/>
    <s v="Muzaffarpur"/>
    <s v="Performance Seeker"/>
    <x v="1"/>
    <n v="4.5999999999999996"/>
    <s v="Delivered"/>
    <s v="Standard"/>
    <n v="7"/>
  </r>
  <r>
    <s v="ORD200447"/>
    <s v="CUST100601"/>
    <s v="Women"/>
    <s v="55+"/>
    <x v="998"/>
    <x v="0"/>
    <x v="19"/>
    <x v="4"/>
    <n v="6"/>
    <s v="White"/>
    <n v="1"/>
    <n v="8599"/>
    <n v="15"/>
    <n v="7310"/>
    <n v="7310"/>
    <s v="UPI"/>
    <x v="1"/>
    <s v="India"/>
    <x v="28"/>
    <s v="Diskit"/>
    <s v="Value Shopper"/>
    <x v="1"/>
    <n v="3.5"/>
    <s v="Delivered"/>
    <s v="Standard"/>
    <n v="4"/>
  </r>
  <r>
    <s v="ORD200567"/>
    <s v="CUST100107"/>
    <s v="Men"/>
    <s v="55+"/>
    <x v="999"/>
    <x v="2"/>
    <x v="3"/>
    <x v="2"/>
    <n v="6"/>
    <s v="Black"/>
    <n v="1"/>
    <n v="4199"/>
    <n v="25"/>
    <n v="3150"/>
    <n v="3150"/>
    <s v="UPI"/>
    <x v="1"/>
    <s v="India"/>
    <x v="34"/>
    <s v="Siliguri"/>
    <s v="Premium Shopper"/>
    <x v="1"/>
    <n v="3.7"/>
    <s v="Delivered"/>
    <s v="Standard"/>
    <n v="5"/>
  </r>
  <r>
    <s v="ORD202825"/>
    <s v="CUST100371"/>
    <s v="Men"/>
    <s v="45-54"/>
    <x v="999"/>
    <x v="5"/>
    <x v="21"/>
    <x v="2"/>
    <n v="6"/>
    <s v="Grey"/>
    <n v="1"/>
    <n v="5599"/>
    <n v="25"/>
    <n v="4200"/>
    <n v="4200"/>
    <s v="Debit/Credit Card"/>
    <x v="1"/>
    <s v="India"/>
    <x v="31"/>
    <s v="Chennai"/>
    <s v="Lifestyle Shopper"/>
    <x v="1"/>
    <n v="4"/>
    <s v="Delivered"/>
    <s v="Express"/>
    <n v="4"/>
  </r>
  <r>
    <s v="ORD203136"/>
    <s v="CUST101043"/>
    <s v="Men"/>
    <s v="25-34"/>
    <x v="999"/>
    <x v="0"/>
    <x v="2"/>
    <x v="2"/>
    <n v="8"/>
    <s v="Grey"/>
    <n v="1"/>
    <n v="6399"/>
    <n v="20"/>
    <n v="5120"/>
    <n v="5120"/>
    <s v="UPI"/>
    <x v="1"/>
    <s v="India"/>
    <x v="19"/>
    <s v="Shillong"/>
    <s v="Performance Seeker"/>
    <x v="0"/>
    <n v="3.9"/>
    <s v="Delivered"/>
    <s v="Standard"/>
    <n v="2"/>
  </r>
  <r>
    <s v="ORD201393"/>
    <s v="CUST100799"/>
    <s v="Unisex"/>
    <s v="25-34"/>
    <x v="1000"/>
    <x v="5"/>
    <x v="14"/>
    <x v="3"/>
    <n v="8"/>
    <s v="White"/>
    <n v="2"/>
    <n v="7799"/>
    <n v="15"/>
    <n v="6630"/>
    <n v="13260"/>
    <s v="UPI"/>
    <x v="1"/>
    <s v="India"/>
    <x v="9"/>
    <s v="Bhagalpur"/>
    <s v="Performance Seeker"/>
    <x v="1"/>
    <n v="5"/>
    <s v="Delivered"/>
    <s v="Same Day"/>
    <n v="1"/>
  </r>
  <r>
    <s v="ORD201743"/>
    <s v="CUST100182"/>
    <s v="Women"/>
    <s v="35-44"/>
    <x v="1001"/>
    <x v="1"/>
    <x v="1"/>
    <x v="1"/>
    <n v="8"/>
    <s v="Red"/>
    <n v="2"/>
    <n v="4299"/>
    <n v="0"/>
    <n v="4300"/>
    <n v="8600"/>
    <s v="UPI"/>
    <x v="2"/>
    <s v="India"/>
    <x v="20"/>
    <s v="Mandi"/>
    <s v="Comfort Shopper"/>
    <x v="2"/>
    <n v="4.5999999999999996"/>
    <s v="Cancelled"/>
    <s v="Express"/>
    <n v="3"/>
  </r>
  <r>
    <s v="ORD201968"/>
    <s v="CUST100036"/>
    <s v="Women"/>
    <s v="55+"/>
    <x v="1002"/>
    <x v="4"/>
    <x v="26"/>
    <x v="3"/>
    <n v="9"/>
    <s v="Black"/>
    <n v="1"/>
    <n v="5499"/>
    <n v="30"/>
    <n v="3850"/>
    <n v="3850"/>
    <s v="Debit/Credit Card"/>
    <x v="2"/>
    <s v="India"/>
    <x v="14"/>
    <s v="Patiala"/>
    <s v="Comfort Shopper"/>
    <x v="1"/>
    <n v="4.4000000000000004"/>
    <s v="Delivered"/>
    <s v="Express"/>
    <n v="2"/>
  </r>
  <r>
    <s v="ORD201851"/>
    <s v="CUST100799"/>
    <s v="Men"/>
    <s v="18-24"/>
    <x v="1003"/>
    <x v="1"/>
    <x v="33"/>
    <x v="0"/>
    <n v="8"/>
    <s v="Blue"/>
    <n v="1"/>
    <n v="6699"/>
    <n v="15"/>
    <n v="5690"/>
    <n v="5690"/>
    <s v="UPI"/>
    <x v="0"/>
    <s v="India"/>
    <x v="12"/>
    <s v="Port Blair"/>
    <s v="Performance Seeker"/>
    <x v="1"/>
    <n v="3.9"/>
    <s v="Delivered"/>
    <s v="Standard"/>
    <n v="4"/>
  </r>
  <r>
    <s v="ORD202032"/>
    <s v="CUST100249"/>
    <s v="Unisex"/>
    <s v="45-54"/>
    <x v="1004"/>
    <x v="5"/>
    <x v="30"/>
    <x v="2"/>
    <n v="12"/>
    <s v="White"/>
    <n v="1"/>
    <n v="7499"/>
    <n v="10"/>
    <n v="6750"/>
    <n v="6750"/>
    <s v="Debit/Credit Card"/>
    <x v="1"/>
    <s v="India"/>
    <x v="13"/>
    <s v="Tawang"/>
    <s v="Premium Shopper"/>
    <x v="2"/>
    <n v="5"/>
    <s v="Cancelled"/>
    <s v="Express"/>
    <n v="2"/>
  </r>
  <r>
    <s v="ORD200457"/>
    <s v="CUST100814"/>
    <s v="Men"/>
    <s v="45-54"/>
    <x v="1005"/>
    <x v="1"/>
    <x v="33"/>
    <x v="0"/>
    <n v="9"/>
    <s v="White"/>
    <n v="2"/>
    <n v="9099"/>
    <n v="0"/>
    <n v="9100"/>
    <n v="18200"/>
    <s v="UPI"/>
    <x v="0"/>
    <s v="India"/>
    <x v="5"/>
    <s v="Imphal"/>
    <s v="Comfort Shopper"/>
    <x v="0"/>
    <n v="3.9"/>
    <s v="Delivered"/>
    <s v="Standard"/>
    <n v="6"/>
  </r>
  <r>
    <s v="ORD202722"/>
    <s v="CUST100365"/>
    <s v="Women"/>
    <s v="18-24"/>
    <x v="1005"/>
    <x v="4"/>
    <x v="26"/>
    <x v="3"/>
    <n v="9"/>
    <s v="Red"/>
    <n v="1"/>
    <n v="5899"/>
    <n v="20"/>
    <n v="4720"/>
    <n v="4720"/>
    <s v="UPI"/>
    <x v="0"/>
    <s v="India"/>
    <x v="12"/>
    <s v="Rangat"/>
    <s v="Lifestyle Shopper"/>
    <x v="0"/>
    <n v="3.5"/>
    <s v="Cancelled"/>
    <s v="Standard"/>
    <n v="6"/>
  </r>
  <r>
    <s v="ORD200961"/>
    <s v="CUST100084"/>
    <s v="Men"/>
    <s v="25-34"/>
    <x v="1006"/>
    <x v="1"/>
    <x v="12"/>
    <x v="4"/>
    <n v="8"/>
    <s v="Black"/>
    <n v="1"/>
    <n v="6299"/>
    <n v="20"/>
    <n v="5040"/>
    <n v="5040"/>
    <s v="UPI"/>
    <x v="0"/>
    <s v="India"/>
    <x v="16"/>
    <s v="Surat"/>
    <s v="Performance Seeker"/>
    <x v="2"/>
    <n v="5"/>
    <s v="Delivered"/>
    <s v="Express"/>
    <n v="2"/>
  </r>
  <r>
    <s v="ORD203086"/>
    <s v="CUST100348"/>
    <s v="Men"/>
    <s v="25-34"/>
    <x v="1006"/>
    <x v="0"/>
    <x v="8"/>
    <x v="3"/>
    <n v="10"/>
    <s v="Green"/>
    <n v="1"/>
    <n v="8899"/>
    <n v="15"/>
    <n v="7560"/>
    <n v="7560"/>
    <s v="UPI"/>
    <x v="2"/>
    <s v="India"/>
    <x v="27"/>
    <s v="Bhubaneswar"/>
    <s v="Performance Seeker"/>
    <x v="0"/>
    <n v="4.9000000000000004"/>
    <s v="Cancelled"/>
    <s v="Express"/>
    <n v="2"/>
  </r>
  <r>
    <s v="ORD200260"/>
    <s v="CUST100307"/>
    <s v="Women"/>
    <s v="35-44"/>
    <x v="1007"/>
    <x v="5"/>
    <x v="27"/>
    <x v="0"/>
    <n v="6"/>
    <s v="Grey"/>
    <n v="1"/>
    <n v="8399"/>
    <n v="20"/>
    <n v="6720"/>
    <n v="6720"/>
    <s v="UPI"/>
    <x v="2"/>
    <s v="India"/>
    <x v="13"/>
    <s v="Itanagar"/>
    <s v="Premium Shopper"/>
    <x v="1"/>
    <n v="4.2"/>
    <s v="Returned"/>
    <s v="Standard"/>
    <n v="4"/>
  </r>
  <r>
    <s v="ORD200867"/>
    <s v="CUST100772"/>
    <s v="Women"/>
    <s v="18-24"/>
    <x v="1007"/>
    <x v="5"/>
    <x v="27"/>
    <x v="0"/>
    <n v="6"/>
    <s v="Red"/>
    <n v="2"/>
    <n v="9899"/>
    <n v="25"/>
    <n v="7420"/>
    <n v="14840"/>
    <s v="Debit/Credit Card"/>
    <x v="2"/>
    <s v="India"/>
    <x v="24"/>
    <s v="Hubballi"/>
    <s v="Lifestyle Shopper"/>
    <x v="1"/>
    <n v="3.9"/>
    <s v="Delivered"/>
    <s v="Standard"/>
    <n v="3"/>
  </r>
  <r>
    <s v="ORD202328"/>
    <s v="CUST100073"/>
    <s v="Men"/>
    <s v="35-44"/>
    <x v="1007"/>
    <x v="4"/>
    <x v="22"/>
    <x v="0"/>
    <n v="7"/>
    <s v="Green"/>
    <n v="1"/>
    <n v="6699"/>
    <n v="0"/>
    <n v="6700"/>
    <n v="6700"/>
    <s v="Net Banking"/>
    <x v="1"/>
    <s v="India"/>
    <x v="7"/>
    <s v="Bhopal"/>
    <s v="Comfort Shopper"/>
    <x v="1"/>
    <n v="5"/>
    <s v="Returned"/>
    <s v="Express"/>
    <n v="2"/>
  </r>
  <r>
    <s v="ORD202461"/>
    <s v="CUST100911"/>
    <s v="Men"/>
    <s v="25-34"/>
    <x v="1008"/>
    <x v="0"/>
    <x v="13"/>
    <x v="2"/>
    <n v="6"/>
    <s v="White"/>
    <n v="1"/>
    <n v="5099"/>
    <n v="10"/>
    <n v="4590"/>
    <n v="4590"/>
    <s v="Debit/Credit Card"/>
    <x v="1"/>
    <s v="India"/>
    <x v="32"/>
    <s v="Dhanbad"/>
    <s v="Lifestyle Shopper"/>
    <x v="1"/>
    <n v="3.4"/>
    <s v="Delivered"/>
    <s v="Standard"/>
    <n v="4"/>
  </r>
  <r>
    <s v="ORD201472"/>
    <s v="CUST100819"/>
    <s v="Men"/>
    <s v="55+"/>
    <x v="1009"/>
    <x v="0"/>
    <x v="0"/>
    <x v="0"/>
    <n v="10"/>
    <s v="Grey"/>
    <n v="2"/>
    <n v="6399"/>
    <n v="10"/>
    <n v="5760"/>
    <n v="11520"/>
    <s v="Debit/Credit Card"/>
    <x v="1"/>
    <s v="India"/>
    <x v="14"/>
    <s v="Jalandhar"/>
    <s v="Comfort Shopper"/>
    <x v="0"/>
    <n v="3"/>
    <s v="Delivered"/>
    <s v="Standard"/>
    <n v="5"/>
  </r>
  <r>
    <s v="ORD202962"/>
    <s v="CUST100207"/>
    <s v="Men"/>
    <s v="18-24"/>
    <x v="1009"/>
    <x v="5"/>
    <x v="21"/>
    <x v="2"/>
    <n v="6"/>
    <s v="Black"/>
    <n v="1"/>
    <n v="8099"/>
    <n v="30"/>
    <n v="5670"/>
    <n v="5670"/>
    <s v="UPI"/>
    <x v="2"/>
    <s v="India"/>
    <x v="32"/>
    <s v="Bokaro"/>
    <s v="Performance Seeker"/>
    <x v="1"/>
    <n v="5"/>
    <s v="Delivered"/>
    <s v="Same Day"/>
    <n v="1"/>
  </r>
  <r>
    <s v="ORD202986"/>
    <s v="CUST100834"/>
    <s v="Unisex"/>
    <s v="35-44"/>
    <x v="1009"/>
    <x v="5"/>
    <x v="27"/>
    <x v="0"/>
    <n v="11"/>
    <s v="Blue"/>
    <n v="1"/>
    <n v="10199"/>
    <n v="35"/>
    <n v="6630"/>
    <n v="6630"/>
    <s v="Debit/Credit Card"/>
    <x v="0"/>
    <s v="India"/>
    <x v="34"/>
    <s v="Kolkata"/>
    <s v="Performance Seeker"/>
    <x v="0"/>
    <n v="3.8"/>
    <s v="Delivered"/>
    <s v="Standard"/>
    <n v="4"/>
  </r>
  <r>
    <s v="ORD201361"/>
    <s v="CUST100498"/>
    <s v="Unisex"/>
    <s v="18-24"/>
    <x v="1010"/>
    <x v="1"/>
    <x v="18"/>
    <x v="2"/>
    <n v="8"/>
    <s v="Grey"/>
    <n v="1"/>
    <n v="9299"/>
    <n v="15"/>
    <n v="7900"/>
    <n v="7900"/>
    <s v="UPI"/>
    <x v="0"/>
    <s v="India"/>
    <x v="11"/>
    <s v="Andrott"/>
    <s v="Performance Seeker"/>
    <x v="2"/>
    <n v="3.7"/>
    <s v="Returned"/>
    <s v="Express"/>
    <n v="2"/>
  </r>
  <r>
    <s v="ORD202613"/>
    <s v="CUST100106"/>
    <s v="Women"/>
    <s v="25-34"/>
    <x v="1010"/>
    <x v="3"/>
    <x v="35"/>
    <x v="2"/>
    <n v="7"/>
    <s v="Blue"/>
    <n v="1"/>
    <n v="7699"/>
    <n v="10"/>
    <n v="6930"/>
    <n v="6930"/>
    <s v="Cash on Delivery"/>
    <x v="1"/>
    <s v="India"/>
    <x v="31"/>
    <s v="Madurai"/>
    <s v="Lifestyle Shopper"/>
    <x v="1"/>
    <n v="2.9"/>
    <s v="Returned"/>
    <s v="Standard"/>
    <n v="7"/>
  </r>
  <r>
    <s v="ORD201643"/>
    <s v="CUST101037"/>
    <s v="Women"/>
    <s v="35-44"/>
    <x v="1011"/>
    <x v="5"/>
    <x v="27"/>
    <x v="0"/>
    <n v="7"/>
    <s v="Red"/>
    <n v="1"/>
    <n v="9599"/>
    <n v="15"/>
    <n v="8160"/>
    <n v="8160"/>
    <s v="UPI"/>
    <x v="1"/>
    <s v="India"/>
    <x v="7"/>
    <s v="Gwalior"/>
    <s v="Value Shopper"/>
    <x v="2"/>
    <n v="4.0999999999999996"/>
    <s v="Delivered"/>
    <s v="Standard"/>
    <n v="4"/>
  </r>
  <r>
    <s v="ORD202723"/>
    <s v="CUST100438"/>
    <s v="Men"/>
    <s v="25-34"/>
    <x v="1011"/>
    <x v="0"/>
    <x v="19"/>
    <x v="4"/>
    <n v="10"/>
    <s v="Blue"/>
    <n v="4"/>
    <n v="6599"/>
    <n v="10"/>
    <n v="5940"/>
    <n v="23760"/>
    <s v="Debit/Credit Card"/>
    <x v="0"/>
    <s v="India"/>
    <x v="21"/>
    <s v="Mokokchung"/>
    <s v="Premium Shopper"/>
    <x v="0"/>
    <n v="4.2"/>
    <s v="Delivered"/>
    <s v="Express"/>
    <n v="3"/>
  </r>
  <r>
    <s v="ORD203116"/>
    <s v="CUST100264"/>
    <s v="Women"/>
    <s v="25-34"/>
    <x v="1011"/>
    <x v="3"/>
    <x v="11"/>
    <x v="4"/>
    <n v="6"/>
    <s v="Blue"/>
    <n v="1"/>
    <n v="6399"/>
    <n v="5"/>
    <n v="6080"/>
    <n v="6080"/>
    <s v="UPI"/>
    <x v="0"/>
    <s v="India"/>
    <x v="31"/>
    <s v="Tiruchirappalli"/>
    <s v="Premium Shopper"/>
    <x v="2"/>
    <n v="4.7"/>
    <s v="Delivered"/>
    <s v="Standard"/>
    <n v="4"/>
  </r>
  <r>
    <s v="ORD200374"/>
    <s v="CUST100450"/>
    <s v="Women"/>
    <s v="18-24"/>
    <x v="1012"/>
    <x v="5"/>
    <x v="7"/>
    <x v="1"/>
    <n v="8"/>
    <s v="Red"/>
    <n v="2"/>
    <n v="5499"/>
    <n v="20"/>
    <n v="4400"/>
    <n v="8800"/>
    <s v="UPI"/>
    <x v="1"/>
    <s v="India"/>
    <x v="12"/>
    <s v="Diglipur"/>
    <s v="Value Shopper"/>
    <x v="0"/>
    <n v="3.9"/>
    <s v="Cancelled"/>
    <s v="Express"/>
    <n v="2"/>
  </r>
  <r>
    <s v="ORD202223"/>
    <s v="CUST100371"/>
    <s v="Men"/>
    <s v="25-34"/>
    <x v="1012"/>
    <x v="5"/>
    <x v="21"/>
    <x v="2"/>
    <n v="9"/>
    <s v="Red"/>
    <n v="1"/>
    <n v="8999"/>
    <n v="20"/>
    <n v="7200"/>
    <n v="7200"/>
    <s v="Debit/Credit Card"/>
    <x v="0"/>
    <s v="India"/>
    <x v="5"/>
    <s v="Imphal"/>
    <s v="Lifestyle Shopper"/>
    <x v="1"/>
    <n v="4.5999999999999996"/>
    <s v="Delivered"/>
    <s v="Standard"/>
    <n v="2"/>
  </r>
  <r>
    <s v="ORD202875"/>
    <s v="CUST100085"/>
    <s v="Women"/>
    <s v="45-54"/>
    <x v="1012"/>
    <x v="3"/>
    <x v="5"/>
    <x v="2"/>
    <n v="11"/>
    <s v="Black"/>
    <n v="1"/>
    <n v="7799"/>
    <n v="10"/>
    <n v="7020"/>
    <n v="7020"/>
    <s v="Debit/Credit Card"/>
    <x v="2"/>
    <s v="India"/>
    <x v="7"/>
    <s v="Indore"/>
    <s v="Comfort Shopper"/>
    <x v="2"/>
    <n v="4.7"/>
    <s v="Delivered"/>
    <s v="Standard"/>
    <n v="1"/>
  </r>
  <r>
    <s v="ORD200208"/>
    <s v="CUST100122"/>
    <s v="Women"/>
    <s v="25-34"/>
    <x v="1013"/>
    <x v="1"/>
    <x v="10"/>
    <x v="3"/>
    <n v="7"/>
    <s v="Red"/>
    <n v="2"/>
    <n v="6699"/>
    <n v="5"/>
    <n v="6360"/>
    <n v="12720"/>
    <s v="UPI"/>
    <x v="1"/>
    <s v="India"/>
    <x v="8"/>
    <s v="Warangal"/>
    <s v="Performance Seeker"/>
    <x v="2"/>
    <n v="3.4"/>
    <s v="Delivered"/>
    <s v="Standard"/>
    <n v="4"/>
  </r>
  <r>
    <s v="ORD201829"/>
    <s v="CUST100167"/>
    <s v="Men"/>
    <s v="25-34"/>
    <x v="1013"/>
    <x v="5"/>
    <x v="21"/>
    <x v="2"/>
    <n v="11"/>
    <s v="Black"/>
    <n v="1"/>
    <n v="6799"/>
    <n v="25"/>
    <n v="5100"/>
    <n v="5100"/>
    <s v="UPI"/>
    <x v="2"/>
    <s v="India"/>
    <x v="29"/>
    <s v="Vijayawada"/>
    <s v="Premium Shopper"/>
    <x v="1"/>
    <n v="4.9000000000000004"/>
    <s v="Delivered"/>
    <s v="Standard"/>
    <n v="5"/>
  </r>
  <r>
    <s v="ORD202833"/>
    <s v="CUST100964"/>
    <s v="Unisex"/>
    <s v="18-24"/>
    <x v="1013"/>
    <x v="5"/>
    <x v="15"/>
    <x v="4"/>
    <n v="11"/>
    <s v="White"/>
    <n v="2"/>
    <n v="8599"/>
    <n v="5"/>
    <n v="8170"/>
    <n v="16340"/>
    <s v="UPI"/>
    <x v="0"/>
    <s v="India"/>
    <x v="6"/>
    <s v="Noida"/>
    <s v="Value Shopper"/>
    <x v="0"/>
    <n v="4.5"/>
    <s v="Delivered"/>
    <s v="Express"/>
    <n v="2"/>
  </r>
  <r>
    <s v="ORD202928"/>
    <s v="CUST100211"/>
    <s v="Men"/>
    <s v="35-44"/>
    <x v="1013"/>
    <x v="2"/>
    <x v="4"/>
    <x v="2"/>
    <n v="11"/>
    <s v="Green"/>
    <n v="1"/>
    <n v="5699"/>
    <n v="30"/>
    <n v="3990"/>
    <n v="3990"/>
    <s v="Debit/Credit Card"/>
    <x v="1"/>
    <s v="India"/>
    <x v="19"/>
    <s v="Nongpoh"/>
    <s v="Lifestyle Shopper"/>
    <x v="1"/>
    <n v="3.5"/>
    <s v="Delivered"/>
    <s v="Standard"/>
    <n v="4"/>
  </r>
  <r>
    <s v="ORD200658"/>
    <s v="CUST101019"/>
    <s v="Men"/>
    <s v="25-34"/>
    <x v="1014"/>
    <x v="5"/>
    <x v="21"/>
    <x v="2"/>
    <n v="9"/>
    <s v="Blue"/>
    <n v="1"/>
    <n v="6199"/>
    <n v="5"/>
    <n v="5890"/>
    <n v="5890"/>
    <s v="Debit/Credit Card"/>
    <x v="0"/>
    <s v="India"/>
    <x v="19"/>
    <s v="Jowai"/>
    <s v="Value Shopper"/>
    <x v="0"/>
    <n v="4.5999999999999996"/>
    <s v="Delivered"/>
    <s v="Standard"/>
    <n v="5"/>
  </r>
  <r>
    <s v="ORD201606"/>
    <s v="CUST100831"/>
    <s v="Men"/>
    <s v="55+"/>
    <x v="1014"/>
    <x v="2"/>
    <x v="24"/>
    <x v="4"/>
    <n v="12"/>
    <s v="White"/>
    <n v="1"/>
    <n v="6099"/>
    <n v="0"/>
    <n v="6100"/>
    <n v="6100"/>
    <s v="UPI"/>
    <x v="2"/>
    <s v="India"/>
    <x v="3"/>
    <s v="Jaipur"/>
    <s v="Comfort Shopper"/>
    <x v="0"/>
    <n v="5"/>
    <s v="Cancelled"/>
    <s v="Express"/>
    <n v="2"/>
  </r>
  <r>
    <s v="ORD202127"/>
    <s v="CUST100033"/>
    <s v="Women"/>
    <s v="18-24"/>
    <x v="1014"/>
    <x v="0"/>
    <x v="0"/>
    <x v="0"/>
    <n v="6"/>
    <s v="White"/>
    <n v="1"/>
    <n v="7299"/>
    <n v="35"/>
    <n v="4740"/>
    <n v="4740"/>
    <s v="UPI"/>
    <x v="2"/>
    <s v="India"/>
    <x v="4"/>
    <s v="Mangan"/>
    <s v="Value Shopper"/>
    <x v="1"/>
    <n v="4.5"/>
    <s v="Cancelled"/>
    <s v="Same Day"/>
    <n v="1"/>
  </r>
  <r>
    <s v="ORD203156"/>
    <s v="CUST100042"/>
    <s v="Men"/>
    <s v="25-34"/>
    <x v="1015"/>
    <x v="3"/>
    <x v="11"/>
    <x v="4"/>
    <n v="9"/>
    <s v="Grey"/>
    <n v="1"/>
    <n v="6099"/>
    <n v="5"/>
    <n v="5790"/>
    <n v="5790"/>
    <s v="Net Banking"/>
    <x v="0"/>
    <s v="India"/>
    <x v="0"/>
    <s v="Guwahati"/>
    <s v="Premium Shopper"/>
    <x v="0"/>
    <n v="3.7"/>
    <s v="Delivered"/>
    <s v="Standard"/>
    <n v="3"/>
  </r>
  <r>
    <s v="ORD202553"/>
    <s v="CUST100911"/>
    <s v="Men"/>
    <s v="25-34"/>
    <x v="1016"/>
    <x v="5"/>
    <x v="30"/>
    <x v="2"/>
    <n v="10"/>
    <s v="Black"/>
    <n v="1"/>
    <n v="6899"/>
    <n v="20"/>
    <n v="5520"/>
    <n v="5520"/>
    <s v="Cash on Delivery"/>
    <x v="0"/>
    <s v="India"/>
    <x v="20"/>
    <s v="Mandi"/>
    <s v="Premium Shopper"/>
    <x v="1"/>
    <n v="4.9000000000000004"/>
    <s v="Returned"/>
    <s v="Express"/>
    <n v="4"/>
  </r>
  <r>
    <s v="ORD201056"/>
    <s v="CUST100433"/>
    <s v="Unisex"/>
    <s v="35-44"/>
    <x v="1017"/>
    <x v="4"/>
    <x v="26"/>
    <x v="3"/>
    <n v="11"/>
    <s v="Black"/>
    <n v="3"/>
    <n v="4999"/>
    <n v="10"/>
    <n v="4500"/>
    <n v="13500"/>
    <s v="UPI"/>
    <x v="1"/>
    <s v="India"/>
    <x v="0"/>
    <s v="Jorhat"/>
    <s v="Performance Seeker"/>
    <x v="1"/>
    <n v="5"/>
    <s v="Delivered"/>
    <s v="Express"/>
    <n v="3"/>
  </r>
  <r>
    <s v="ORD201756"/>
    <s v="CUST100364"/>
    <s v="Men"/>
    <s v="55+"/>
    <x v="1018"/>
    <x v="2"/>
    <x v="24"/>
    <x v="4"/>
    <n v="11"/>
    <s v="Grey"/>
    <n v="2"/>
    <n v="7899"/>
    <n v="25"/>
    <n v="5920"/>
    <n v="11840"/>
    <s v="UPI"/>
    <x v="1"/>
    <s v="India"/>
    <x v="18"/>
    <s v="Raipur"/>
    <s v="Performance Seeker"/>
    <x v="0"/>
    <n v="4.3"/>
    <s v="Delivered"/>
    <s v="Same Day"/>
    <n v="1"/>
  </r>
  <r>
    <s v="ORD200501"/>
    <s v="CUST100349"/>
    <s v="Unisex"/>
    <s v="25-34"/>
    <x v="1019"/>
    <x v="0"/>
    <x v="13"/>
    <x v="2"/>
    <n v="8"/>
    <s v="White"/>
    <n v="1"/>
    <n v="8699"/>
    <n v="35"/>
    <n v="5650"/>
    <n v="5650"/>
    <s v="UPI"/>
    <x v="2"/>
    <s v="India"/>
    <x v="33"/>
    <s v="Nagpur"/>
    <s v="Lifestyle Shopper"/>
    <x v="0"/>
    <n v="4"/>
    <s v="Delivered"/>
    <s v="Standard"/>
    <n v="3"/>
  </r>
  <r>
    <s v="ORD200631"/>
    <s v="CUST100854"/>
    <s v="Men"/>
    <s v="35-44"/>
    <x v="1019"/>
    <x v="5"/>
    <x v="15"/>
    <x v="4"/>
    <n v="8"/>
    <s v="Blue"/>
    <n v="1"/>
    <n v="6899"/>
    <n v="0"/>
    <n v="6900"/>
    <n v="6900"/>
    <s v="UPI"/>
    <x v="1"/>
    <s v="India"/>
    <x v="31"/>
    <s v="Chennai"/>
    <s v="Lifestyle Shopper"/>
    <x v="2"/>
    <n v="5"/>
    <s v="Delivered"/>
    <s v="Standard"/>
    <n v="2"/>
  </r>
  <r>
    <s v="ORD200559"/>
    <s v="CUST100043"/>
    <s v="Women"/>
    <s v="55+"/>
    <x v="1020"/>
    <x v="1"/>
    <x v="33"/>
    <x v="0"/>
    <n v="8"/>
    <s v="Black"/>
    <n v="1"/>
    <n v="5799"/>
    <n v="35"/>
    <n v="3770"/>
    <n v="3770"/>
    <s v="UPI"/>
    <x v="0"/>
    <s v="India"/>
    <x v="33"/>
    <s v="Nashik"/>
    <s v="Value Shopper"/>
    <x v="1"/>
    <n v="3.9"/>
    <s v="Delivered"/>
    <s v="Standard"/>
    <n v="2"/>
  </r>
  <r>
    <s v="ORD202349"/>
    <s v="CUST100066"/>
    <s v="Women"/>
    <s v="25-34"/>
    <x v="1020"/>
    <x v="1"/>
    <x v="10"/>
    <x v="3"/>
    <n v="12"/>
    <s v="Blue"/>
    <n v="1"/>
    <n v="4099"/>
    <n v="5"/>
    <n v="3890"/>
    <n v="3890"/>
    <s v="Debit/Credit Card"/>
    <x v="1"/>
    <s v="India"/>
    <x v="1"/>
    <s v="Margao"/>
    <s v="Lifestyle Shopper"/>
    <x v="2"/>
    <n v="3.8"/>
    <s v="Delivered"/>
    <s v="Express"/>
    <n v="2"/>
  </r>
  <r>
    <s v="ORD201491"/>
    <s v="CUST100237"/>
    <s v="Men"/>
    <s v="18-24"/>
    <x v="1021"/>
    <x v="1"/>
    <x v="10"/>
    <x v="3"/>
    <n v="6"/>
    <s v="Blue"/>
    <n v="3"/>
    <n v="7199"/>
    <n v="10"/>
    <n v="6480"/>
    <n v="19440"/>
    <s v="UPI"/>
    <x v="2"/>
    <s v="India"/>
    <x v="15"/>
    <s v="Delhi"/>
    <s v="Premium Shopper"/>
    <x v="2"/>
    <n v="4.3"/>
    <s v="Delivered"/>
    <s v="Standard"/>
    <n v="5"/>
  </r>
  <r>
    <s v="ORD202059"/>
    <s v="CUST100495"/>
    <s v="Men"/>
    <s v="55+"/>
    <x v="1021"/>
    <x v="5"/>
    <x v="21"/>
    <x v="2"/>
    <n v="10"/>
    <s v="Red"/>
    <n v="2"/>
    <n v="8999"/>
    <n v="15"/>
    <n v="7650"/>
    <n v="15300"/>
    <s v="UPI"/>
    <x v="0"/>
    <s v="India"/>
    <x v="31"/>
    <s v="Tiruchirappalli"/>
    <s v="Lifestyle Shopper"/>
    <x v="1"/>
    <n v="4.0999999999999996"/>
    <s v="Delivered"/>
    <s v="Standard"/>
    <n v="4"/>
  </r>
  <r>
    <s v="ORD202990"/>
    <s v="CUST100608"/>
    <s v="Men"/>
    <s v="25-34"/>
    <x v="1021"/>
    <x v="0"/>
    <x v="31"/>
    <x v="1"/>
    <n v="10"/>
    <s v="Black"/>
    <n v="1"/>
    <n v="3599"/>
    <n v="15"/>
    <n v="3060"/>
    <n v="3060"/>
    <s v="UPI"/>
    <x v="0"/>
    <s v="India"/>
    <x v="31"/>
    <s v="Tiruchirappalli"/>
    <s v="Value Shopper"/>
    <x v="1"/>
    <n v="3.1"/>
    <s v="Delivered"/>
    <s v="Express"/>
    <n v="2"/>
  </r>
  <r>
    <s v="ORD200054"/>
    <s v="CUST100926"/>
    <s v="Women"/>
    <s v="25-34"/>
    <x v="1022"/>
    <x v="2"/>
    <x v="4"/>
    <x v="2"/>
    <n v="11"/>
    <s v="White"/>
    <n v="1"/>
    <n v="5099"/>
    <n v="15"/>
    <n v="4330"/>
    <n v="4330"/>
    <s v="Debit/Credit Card"/>
    <x v="1"/>
    <s v="India"/>
    <x v="17"/>
    <s v="Karaikal"/>
    <s v="Comfort Shopper"/>
    <x v="0"/>
    <n v="4.7"/>
    <s v="Delivered"/>
    <s v="Standard"/>
    <n v="6"/>
  </r>
  <r>
    <s v="ORD201434"/>
    <s v="CUST100908"/>
    <s v="Women"/>
    <s v="18-24"/>
    <x v="1023"/>
    <x v="1"/>
    <x v="10"/>
    <x v="3"/>
    <n v="7"/>
    <s v="Blue"/>
    <n v="2"/>
    <n v="5999"/>
    <n v="10"/>
    <n v="5400"/>
    <n v="10800"/>
    <s v="UPI"/>
    <x v="0"/>
    <s v="India"/>
    <x v="22"/>
    <s v="Kailasahar"/>
    <s v="Lifestyle Shopper"/>
    <x v="1"/>
    <n v="4.4000000000000004"/>
    <s v="Delivered"/>
    <s v="Standard"/>
    <n v="2"/>
  </r>
  <r>
    <s v="ORD202264"/>
    <s v="CUST100314"/>
    <s v="Men"/>
    <s v="35-44"/>
    <x v="1023"/>
    <x v="2"/>
    <x v="23"/>
    <x v="0"/>
    <n v="10"/>
    <s v="Red"/>
    <n v="1"/>
    <n v="8199"/>
    <n v="10"/>
    <n v="7380"/>
    <n v="7380"/>
    <s v="UPI"/>
    <x v="2"/>
    <s v="India"/>
    <x v="29"/>
    <s v="Vijayawada"/>
    <s v="Premium Shopper"/>
    <x v="2"/>
    <n v="3.6"/>
    <s v="Delivered"/>
    <s v="Standard"/>
    <n v="2"/>
  </r>
  <r>
    <s v="ORD202409"/>
    <s v="CUST100456"/>
    <s v="Men"/>
    <s v="25-34"/>
    <x v="1024"/>
    <x v="2"/>
    <x v="32"/>
    <x v="1"/>
    <n v="10"/>
    <s v="Grey"/>
    <n v="1"/>
    <n v="5299"/>
    <n v="5"/>
    <n v="5030"/>
    <n v="5030"/>
    <s v="UPI"/>
    <x v="0"/>
    <s v="India"/>
    <x v="0"/>
    <s v="Guwahati"/>
    <s v="Lifestyle Shopper"/>
    <x v="1"/>
    <n v="4.3"/>
    <s v="Delivered"/>
    <s v="Standard"/>
    <n v="5"/>
  </r>
  <r>
    <s v="ORD202881"/>
    <s v="CUST100458"/>
    <s v="Men"/>
    <s v="18-24"/>
    <x v="1024"/>
    <x v="1"/>
    <x v="12"/>
    <x v="4"/>
    <n v="9"/>
    <s v="Blue"/>
    <n v="2"/>
    <n v="8899"/>
    <n v="10"/>
    <n v="8010"/>
    <n v="16020"/>
    <s v="UPI"/>
    <x v="2"/>
    <s v="India"/>
    <x v="15"/>
    <s v="Rohini"/>
    <s v="Lifestyle Shopper"/>
    <x v="1"/>
    <n v="3.6"/>
    <s v="Cancelled"/>
    <s v="Standard"/>
    <n v="3"/>
  </r>
  <r>
    <s v="ORD201103"/>
    <s v="CUST100334"/>
    <s v="Men"/>
    <s v="45-54"/>
    <x v="1025"/>
    <x v="5"/>
    <x v="21"/>
    <x v="2"/>
    <n v="8"/>
    <s v="Black"/>
    <n v="1"/>
    <n v="4599"/>
    <n v="10"/>
    <n v="4140"/>
    <n v="4140"/>
    <s v="UPI"/>
    <x v="0"/>
    <s v="India"/>
    <x v="30"/>
    <s v="Chandigarh"/>
    <s v="Premium Shopper"/>
    <x v="0"/>
    <n v="4.0999999999999996"/>
    <s v="Delivered"/>
    <s v="Standard"/>
    <n v="4"/>
  </r>
  <r>
    <s v="ORD200639"/>
    <s v="CUST100394"/>
    <s v="Men"/>
    <s v="25-34"/>
    <x v="1026"/>
    <x v="3"/>
    <x v="35"/>
    <x v="2"/>
    <n v="6"/>
    <s v="Green"/>
    <n v="2"/>
    <n v="4299"/>
    <n v="5"/>
    <n v="4080"/>
    <n v="8160"/>
    <s v="Debit/Credit Card"/>
    <x v="2"/>
    <s v="India"/>
    <x v="31"/>
    <s v="Tiruchirappalli"/>
    <s v="Performance Seeker"/>
    <x v="2"/>
    <n v="4.3"/>
    <s v="Delivered"/>
    <s v="Express"/>
    <n v="2"/>
  </r>
  <r>
    <s v="ORD200818"/>
    <s v="CUST100709"/>
    <s v="Women"/>
    <s v="18-24"/>
    <x v="1026"/>
    <x v="1"/>
    <x v="18"/>
    <x v="2"/>
    <n v="10"/>
    <s v="Black"/>
    <n v="2"/>
    <n v="8499"/>
    <n v="5"/>
    <n v="8070"/>
    <n v="16140"/>
    <s v="UPI"/>
    <x v="0"/>
    <s v="India"/>
    <x v="21"/>
    <s v="Dimapur"/>
    <s v="Comfort Shopper"/>
    <x v="1"/>
    <n v="4.9000000000000004"/>
    <s v="Delivered"/>
    <s v="Express"/>
    <n v="3"/>
  </r>
  <r>
    <s v="ORD201433"/>
    <s v="CUST100042"/>
    <s v="Unisex"/>
    <s v="25-34"/>
    <x v="1026"/>
    <x v="0"/>
    <x v="13"/>
    <x v="2"/>
    <n v="7"/>
    <s v="Black"/>
    <n v="1"/>
    <n v="6099"/>
    <n v="20"/>
    <n v="4880"/>
    <n v="4880"/>
    <s v="UPI"/>
    <x v="1"/>
    <s v="India"/>
    <x v="25"/>
    <s v="Anantnag"/>
    <s v="Comfort Shopper"/>
    <x v="1"/>
    <n v="4.2"/>
    <s v="Delivered"/>
    <s v="Standard"/>
    <n v="5"/>
  </r>
  <r>
    <s v="ORD202615"/>
    <s v="CUST100883"/>
    <s v="Unisex"/>
    <s v="25-34"/>
    <x v="1027"/>
    <x v="5"/>
    <x v="21"/>
    <x v="2"/>
    <n v="8"/>
    <s v="Grey"/>
    <n v="1"/>
    <n v="7999"/>
    <n v="15"/>
    <n v="6800"/>
    <n v="6800"/>
    <s v="Debit/Credit Card"/>
    <x v="1"/>
    <s v="India"/>
    <x v="18"/>
    <s v="Bhilai"/>
    <s v="Performance Seeker"/>
    <x v="0"/>
    <n v="3.8"/>
    <s v="Delivered"/>
    <s v="Express"/>
    <n v="3"/>
  </r>
  <r>
    <s v="ORD202787"/>
    <s v="CUST100462"/>
    <s v="Men"/>
    <s v="35-44"/>
    <x v="1027"/>
    <x v="1"/>
    <x v="12"/>
    <x v="4"/>
    <n v="7"/>
    <s v="Blue"/>
    <n v="1"/>
    <n v="3699"/>
    <n v="20"/>
    <n v="2960"/>
    <n v="2960"/>
    <s v="Cash on Delivery"/>
    <x v="1"/>
    <s v="India"/>
    <x v="30"/>
    <s v="Chandigarh"/>
    <s v="Comfort Shopper"/>
    <x v="1"/>
    <n v="4.4000000000000004"/>
    <s v="Delivered"/>
    <s v="Standard"/>
    <n v="2"/>
  </r>
  <r>
    <s v="ORD202829"/>
    <s v="CUST100884"/>
    <s v="Men"/>
    <s v="35-44"/>
    <x v="1027"/>
    <x v="0"/>
    <x v="13"/>
    <x v="2"/>
    <n v="10"/>
    <s v="White"/>
    <n v="2"/>
    <n v="9699"/>
    <n v="5"/>
    <n v="9210"/>
    <n v="18420"/>
    <s v="UPI"/>
    <x v="1"/>
    <s v="India"/>
    <x v="31"/>
    <s v="Madurai"/>
    <s v="Comfort Shopper"/>
    <x v="1"/>
    <n v="3.2"/>
    <s v="Cancelled"/>
    <s v="Same Day"/>
    <n v="1"/>
  </r>
  <r>
    <s v="ORD202936"/>
    <s v="CUST100111"/>
    <s v="Unisex"/>
    <s v="55+"/>
    <x v="1027"/>
    <x v="2"/>
    <x v="25"/>
    <x v="3"/>
    <n v="9"/>
    <s v="Blue"/>
    <n v="1"/>
    <n v="6199"/>
    <n v="15"/>
    <n v="5270"/>
    <n v="5270"/>
    <s v="UPI"/>
    <x v="1"/>
    <s v="India"/>
    <x v="17"/>
    <s v="Puducherry"/>
    <s v="Comfort Shopper"/>
    <x v="1"/>
    <n v="4.2"/>
    <s v="Returned"/>
    <s v="Standard"/>
    <n v="5"/>
  </r>
  <r>
    <s v="ORD200506"/>
    <s v="CUST100479"/>
    <s v="Women"/>
    <s v="25-34"/>
    <x v="1028"/>
    <x v="3"/>
    <x v="16"/>
    <x v="0"/>
    <n v="7"/>
    <s v="Grey"/>
    <n v="1"/>
    <n v="6299"/>
    <n v="20"/>
    <n v="5040"/>
    <n v="5040"/>
    <s v="UPI"/>
    <x v="1"/>
    <s v="India"/>
    <x v="1"/>
    <s v="Margao"/>
    <s v="Lifestyle Shopper"/>
    <x v="0"/>
    <n v="3.8"/>
    <s v="Delivered"/>
    <s v="Standard"/>
    <n v="4"/>
  </r>
  <r>
    <s v="ORD201199"/>
    <s v="CUST100084"/>
    <s v="Women"/>
    <s v="25-34"/>
    <x v="1028"/>
    <x v="0"/>
    <x v="31"/>
    <x v="1"/>
    <n v="6"/>
    <s v="Black"/>
    <n v="1"/>
    <n v="6899"/>
    <n v="30"/>
    <n v="4830"/>
    <n v="4830"/>
    <s v="UPI"/>
    <x v="1"/>
    <s v="India"/>
    <x v="34"/>
    <s v="Kolkata"/>
    <s v="Value Shopper"/>
    <x v="2"/>
    <n v="3.7"/>
    <s v="Delivered"/>
    <s v="Standard"/>
    <n v="4"/>
  </r>
  <r>
    <s v="ORD201398"/>
    <s v="CUST100712"/>
    <s v="Women"/>
    <s v="35-44"/>
    <x v="1028"/>
    <x v="1"/>
    <x v="10"/>
    <x v="3"/>
    <n v="12"/>
    <s v="Grey"/>
    <n v="1"/>
    <n v="6199"/>
    <n v="15"/>
    <n v="5270"/>
    <n v="5270"/>
    <s v="UPI"/>
    <x v="0"/>
    <s v="India"/>
    <x v="7"/>
    <s v="Indore"/>
    <s v="Premium Shopper"/>
    <x v="1"/>
    <n v="5"/>
    <s v="Returned"/>
    <s v="Express"/>
    <n v="3"/>
  </r>
  <r>
    <s v="ORD201663"/>
    <s v="CUST100070"/>
    <s v="Unisex"/>
    <s v="25-34"/>
    <x v="1029"/>
    <x v="0"/>
    <x v="31"/>
    <x v="1"/>
    <n v="10"/>
    <s v="Blue"/>
    <n v="1"/>
    <n v="8799"/>
    <n v="15"/>
    <n v="7480"/>
    <n v="7480"/>
    <s v="UPI"/>
    <x v="1"/>
    <s v="India"/>
    <x v="1"/>
    <s v="Margao"/>
    <s v="Lifestyle Shopper"/>
    <x v="1"/>
    <n v="4.9000000000000004"/>
    <s v="Delivered"/>
    <s v="Express"/>
    <n v="3"/>
  </r>
  <r>
    <s v="ORD200497"/>
    <s v="CUST100844"/>
    <s v="Women"/>
    <s v="45-54"/>
    <x v="1030"/>
    <x v="3"/>
    <x v="35"/>
    <x v="2"/>
    <n v="10"/>
    <s v="Red"/>
    <n v="1"/>
    <n v="6199"/>
    <n v="15"/>
    <n v="5270"/>
    <n v="5270"/>
    <s v="Debit/Credit Card"/>
    <x v="0"/>
    <s v="India"/>
    <x v="9"/>
    <s v="Gaya"/>
    <s v="Comfort Shopper"/>
    <x v="1"/>
    <n v="4"/>
    <s v="Delivered"/>
    <s v="Standard"/>
    <n v="4"/>
  </r>
  <r>
    <s v="ORD201335"/>
    <s v="CUST100226"/>
    <s v="Men"/>
    <s v="35-44"/>
    <x v="1030"/>
    <x v="3"/>
    <x v="34"/>
    <x v="3"/>
    <n v="7"/>
    <s v="Black"/>
    <n v="1"/>
    <n v="6399"/>
    <n v="15"/>
    <n v="5440"/>
    <n v="5440"/>
    <s v="Debit/Credit Card"/>
    <x v="1"/>
    <s v="India"/>
    <x v="2"/>
    <s v="Gurugram"/>
    <s v="Lifestyle Shopper"/>
    <x v="0"/>
    <n v="4.5999999999999996"/>
    <s v="Delivered"/>
    <s v="Standard"/>
    <n v="7"/>
  </r>
  <r>
    <s v="ORD201464"/>
    <s v="CUST100868"/>
    <s v="Women"/>
    <s v="35-44"/>
    <x v="1030"/>
    <x v="1"/>
    <x v="33"/>
    <x v="0"/>
    <n v="8"/>
    <s v="Green"/>
    <n v="1"/>
    <n v="9699"/>
    <n v="20"/>
    <n v="7760"/>
    <n v="7760"/>
    <s v="Debit/Credit Card"/>
    <x v="2"/>
    <s v="India"/>
    <x v="17"/>
    <s v="Mahe"/>
    <s v="Performance Seeker"/>
    <x v="1"/>
    <n v="3.7"/>
    <s v="Delivered"/>
    <s v="Express"/>
    <n v="2"/>
  </r>
  <r>
    <s v="ORD203012"/>
    <s v="CUST100411"/>
    <s v="Men"/>
    <s v="25-34"/>
    <x v="1030"/>
    <x v="1"/>
    <x v="12"/>
    <x v="4"/>
    <n v="9"/>
    <s v="Blue"/>
    <n v="1"/>
    <n v="7999"/>
    <n v="15"/>
    <n v="6800"/>
    <n v="6800"/>
    <s v="Cash on Delivery"/>
    <x v="0"/>
    <s v="India"/>
    <x v="26"/>
    <s v="Thiruvananthapuram"/>
    <s v="Value Shopper"/>
    <x v="2"/>
    <n v="3.9"/>
    <s v="Cancelled"/>
    <s v="Standard"/>
    <n v="2"/>
  </r>
  <r>
    <s v="ORD200217"/>
    <s v="CUST100391"/>
    <s v="Unisex"/>
    <s v="35-44"/>
    <x v="1031"/>
    <x v="5"/>
    <x v="15"/>
    <x v="4"/>
    <n v="11"/>
    <s v="Black"/>
    <n v="1"/>
    <n v="8799"/>
    <n v="10"/>
    <n v="7920"/>
    <n v="7920"/>
    <s v="Cash on Delivery"/>
    <x v="2"/>
    <s v="India"/>
    <x v="27"/>
    <s v="Cuttack"/>
    <s v="Premium Shopper"/>
    <x v="1"/>
    <n v="3"/>
    <s v="Delivered"/>
    <s v="Standard"/>
    <n v="4"/>
  </r>
  <r>
    <s v="ORD202165"/>
    <s v="CUST100182"/>
    <s v="Men"/>
    <s v="55+"/>
    <x v="1031"/>
    <x v="4"/>
    <x v="22"/>
    <x v="0"/>
    <n v="10"/>
    <s v="Black"/>
    <n v="1"/>
    <n v="7699"/>
    <n v="5"/>
    <n v="7310"/>
    <n v="7310"/>
    <s v="Net Banking"/>
    <x v="0"/>
    <s v="India"/>
    <x v="24"/>
    <s v="Mysuru"/>
    <s v="Value Shopper"/>
    <x v="2"/>
    <n v="4.2"/>
    <s v="Delivered"/>
    <s v="Standard"/>
    <n v="2"/>
  </r>
  <r>
    <s v="ORD200126"/>
    <s v="CUST100239"/>
    <s v="Men"/>
    <s v="25-34"/>
    <x v="1032"/>
    <x v="0"/>
    <x v="31"/>
    <x v="1"/>
    <n v="8"/>
    <s v="White"/>
    <n v="1"/>
    <n v="4299"/>
    <n v="15"/>
    <n v="3650"/>
    <n v="3650"/>
    <s v="UPI"/>
    <x v="1"/>
    <s v="India"/>
    <x v="14"/>
    <s v="Ludhiana"/>
    <s v="Performance Seeker"/>
    <x v="2"/>
    <n v="3.6"/>
    <s v="Delivered"/>
    <s v="Standard"/>
    <n v="2"/>
  </r>
  <r>
    <s v="ORD201288"/>
    <s v="CUST100381"/>
    <s v="Men"/>
    <s v="45-54"/>
    <x v="1032"/>
    <x v="1"/>
    <x v="1"/>
    <x v="1"/>
    <n v="9"/>
    <s v="White"/>
    <n v="4"/>
    <n v="6499"/>
    <n v="10"/>
    <n v="5850"/>
    <n v="23400"/>
    <s v="Debit/Credit Card"/>
    <x v="1"/>
    <s v="India"/>
    <x v="10"/>
    <s v="Daman"/>
    <s v="Performance Seeker"/>
    <x v="1"/>
    <n v="3.7"/>
    <s v="Delivered"/>
    <s v="Standard"/>
    <n v="3"/>
  </r>
  <r>
    <s v="ORD201336"/>
    <s v="CUST100708"/>
    <s v="Men"/>
    <s v="25-34"/>
    <x v="1032"/>
    <x v="4"/>
    <x v="29"/>
    <x v="2"/>
    <n v="10"/>
    <s v="Black"/>
    <n v="1"/>
    <n v="8299"/>
    <n v="20"/>
    <n v="6640"/>
    <n v="6640"/>
    <s v="Debit/Credit Card"/>
    <x v="0"/>
    <s v="India"/>
    <x v="3"/>
    <s v="Kota"/>
    <s v="Premium Shopper"/>
    <x v="2"/>
    <n v="4.9000000000000004"/>
    <s v="Delivered"/>
    <s v="Standard"/>
    <n v="3"/>
  </r>
  <r>
    <s v="ORD201383"/>
    <s v="CUST100443"/>
    <s v="Men"/>
    <s v="45-54"/>
    <x v="1032"/>
    <x v="5"/>
    <x v="30"/>
    <x v="2"/>
    <n v="8"/>
    <s v="Blue"/>
    <n v="1"/>
    <n v="6299"/>
    <n v="20"/>
    <n v="5040"/>
    <n v="5040"/>
    <s v="Cash on Delivery"/>
    <x v="1"/>
    <s v="India"/>
    <x v="31"/>
    <s v="Chennai"/>
    <s v="Comfort Shopper"/>
    <x v="2"/>
    <n v="4.3"/>
    <s v="Delivered"/>
    <s v="Same Day"/>
    <n v="2"/>
  </r>
  <r>
    <s v="ORD200717"/>
    <s v="CUST100594"/>
    <s v="Men"/>
    <s v="35-44"/>
    <x v="1033"/>
    <x v="0"/>
    <x v="0"/>
    <x v="0"/>
    <n v="9"/>
    <s v="Grey"/>
    <n v="2"/>
    <n v="7999"/>
    <n v="20"/>
    <n v="6400"/>
    <n v="12800"/>
    <s v="UPI"/>
    <x v="1"/>
    <s v="India"/>
    <x v="30"/>
    <s v="Manimajra"/>
    <s v="Comfort Shopper"/>
    <x v="1"/>
    <n v="4.8"/>
    <s v="Returned"/>
    <s v="Standard"/>
    <n v="4"/>
  </r>
  <r>
    <s v="ORD201250"/>
    <s v="CUST100190"/>
    <s v="Women"/>
    <s v="45-54"/>
    <x v="1033"/>
    <x v="0"/>
    <x v="8"/>
    <x v="3"/>
    <n v="6"/>
    <s v="Green"/>
    <n v="1"/>
    <n v="3999"/>
    <n v="10"/>
    <n v="3600"/>
    <n v="3600"/>
    <s v="Debit/Credit Card"/>
    <x v="1"/>
    <s v="India"/>
    <x v="8"/>
    <s v="Nizamabad"/>
    <s v="Value Shopper"/>
    <x v="2"/>
    <n v="3.4"/>
    <s v="Delivered"/>
    <s v="Standard"/>
    <n v="4"/>
  </r>
  <r>
    <s v="ORD201733"/>
    <s v="CUST100762"/>
    <s v="Men"/>
    <s v="25-34"/>
    <x v="1033"/>
    <x v="1"/>
    <x v="10"/>
    <x v="3"/>
    <n v="9"/>
    <s v="Blue"/>
    <n v="2"/>
    <n v="5799"/>
    <n v="30"/>
    <n v="4060"/>
    <n v="8120"/>
    <s v="Debit/Credit Card"/>
    <x v="2"/>
    <s v="India"/>
    <x v="15"/>
    <s v="New Delhi"/>
    <s v="Comfort Shopper"/>
    <x v="0"/>
    <n v="4.0999999999999996"/>
    <s v="Delivered"/>
    <s v="Same Day"/>
    <n v="2"/>
  </r>
  <r>
    <s v="ORD201898"/>
    <s v="CUST100229"/>
    <s v="Men"/>
    <s v="18-24"/>
    <x v="1033"/>
    <x v="3"/>
    <x v="5"/>
    <x v="2"/>
    <n v="8"/>
    <s v="Red"/>
    <n v="1"/>
    <n v="8199"/>
    <n v="0"/>
    <n v="8200"/>
    <n v="8200"/>
    <s v="UPI"/>
    <x v="1"/>
    <s v="India"/>
    <x v="10"/>
    <s v="Diu"/>
    <s v="Performance Seeker"/>
    <x v="1"/>
    <n v="4.5999999999999996"/>
    <s v="Delivered"/>
    <s v="Standard"/>
    <n v="2"/>
  </r>
  <r>
    <s v="ORD202189"/>
    <s v="CUST100997"/>
    <s v="Men"/>
    <s v="18-24"/>
    <x v="1033"/>
    <x v="4"/>
    <x v="29"/>
    <x v="2"/>
    <n v="8"/>
    <s v="White"/>
    <n v="2"/>
    <n v="7999"/>
    <n v="10"/>
    <n v="7200"/>
    <n v="14400"/>
    <s v="UPI"/>
    <x v="1"/>
    <s v="India"/>
    <x v="17"/>
    <s v="Yanam"/>
    <s v="Premium Shopper"/>
    <x v="1"/>
    <n v="4.2"/>
    <s v="Delivered"/>
    <s v="Standard"/>
    <n v="4"/>
  </r>
  <r>
    <s v="ORD200276"/>
    <s v="CUST101030"/>
    <s v="Men"/>
    <s v="35-44"/>
    <x v="1034"/>
    <x v="4"/>
    <x v="17"/>
    <x v="4"/>
    <n v="7"/>
    <s v="Red"/>
    <n v="1"/>
    <n v="4599"/>
    <n v="5"/>
    <n v="4370"/>
    <n v="4370"/>
    <s v="UPI"/>
    <x v="0"/>
    <s v="India"/>
    <x v="34"/>
    <s v="Kolkata"/>
    <s v="Comfort Shopper"/>
    <x v="0"/>
    <n v="4.5"/>
    <s v="Returned"/>
    <s v="Standard"/>
    <n v="6"/>
  </r>
  <r>
    <s v="ORD200615"/>
    <s v="CUST100067"/>
    <s v="Men"/>
    <s v="35-44"/>
    <x v="1034"/>
    <x v="0"/>
    <x v="2"/>
    <x v="2"/>
    <n v="6"/>
    <s v="White"/>
    <n v="3"/>
    <n v="4799"/>
    <n v="15"/>
    <n v="4080"/>
    <n v="12240"/>
    <s v="UPI"/>
    <x v="1"/>
    <s v="India"/>
    <x v="11"/>
    <s v="Andrott"/>
    <s v="Premium Shopper"/>
    <x v="2"/>
    <n v="4.5"/>
    <s v="Delivered"/>
    <s v="Express"/>
    <n v="2"/>
  </r>
  <r>
    <s v="ORD200863"/>
    <s v="CUST100546"/>
    <s v="Women"/>
    <s v="18-24"/>
    <x v="1034"/>
    <x v="0"/>
    <x v="13"/>
    <x v="2"/>
    <n v="9"/>
    <s v="Grey"/>
    <n v="1"/>
    <n v="6099"/>
    <n v="10"/>
    <n v="5490"/>
    <n v="5490"/>
    <s v="UPI"/>
    <x v="1"/>
    <s v="India"/>
    <x v="23"/>
    <s v="Haridwar"/>
    <s v="Performance Seeker"/>
    <x v="1"/>
    <n v="3.2"/>
    <s v="Cancelled"/>
    <s v="Express"/>
    <n v="2"/>
  </r>
  <r>
    <s v="ORD201992"/>
    <s v="CUST100167"/>
    <s v="Men"/>
    <s v="18-24"/>
    <x v="1034"/>
    <x v="0"/>
    <x v="2"/>
    <x v="2"/>
    <n v="7"/>
    <s v="Red"/>
    <n v="1"/>
    <n v="8099"/>
    <n v="10"/>
    <n v="7290"/>
    <n v="7290"/>
    <s v="UPI"/>
    <x v="1"/>
    <s v="India"/>
    <x v="11"/>
    <s v="Kavaratti"/>
    <s v="Performance Seeker"/>
    <x v="2"/>
    <n v="4.2"/>
    <s v="Returned"/>
    <s v="Standard"/>
    <n v="3"/>
  </r>
  <r>
    <s v="ORD200780"/>
    <s v="CUST100156"/>
    <s v="Men"/>
    <s v="55+"/>
    <x v="1035"/>
    <x v="3"/>
    <x v="16"/>
    <x v="0"/>
    <n v="9"/>
    <s v="Black"/>
    <n v="1"/>
    <n v="7699"/>
    <n v="10"/>
    <n v="6930"/>
    <n v="6930"/>
    <s v="Debit/Credit Card"/>
    <x v="1"/>
    <s v="India"/>
    <x v="8"/>
    <s v="Karimnagar"/>
    <s v="Lifestyle Shopper"/>
    <x v="2"/>
    <n v="4.8"/>
    <s v="Delivered"/>
    <s v="Standard"/>
    <n v="4"/>
  </r>
  <r>
    <s v="ORD202472"/>
    <s v="CUST100851"/>
    <s v="Men"/>
    <s v="25-34"/>
    <x v="1035"/>
    <x v="0"/>
    <x v="13"/>
    <x v="2"/>
    <n v="8"/>
    <s v="Black"/>
    <n v="1"/>
    <n v="7899"/>
    <n v="30"/>
    <n v="5530"/>
    <n v="5530"/>
    <s v="UPI"/>
    <x v="1"/>
    <s v="India"/>
    <x v="9"/>
    <s v="Gaya"/>
    <s v="Performance Seeker"/>
    <x v="1"/>
    <n v="4.5999999999999996"/>
    <s v="Delivered"/>
    <s v="Standard"/>
    <n v="3"/>
  </r>
  <r>
    <s v="ORD200769"/>
    <s v="CUST100348"/>
    <s v="Women"/>
    <s v="18-24"/>
    <x v="1036"/>
    <x v="1"/>
    <x v="20"/>
    <x v="2"/>
    <n v="8"/>
    <s v="Green"/>
    <n v="1"/>
    <n v="8899"/>
    <n v="5"/>
    <n v="8450"/>
    <n v="8450"/>
    <s v="UPI"/>
    <x v="1"/>
    <s v="India"/>
    <x v="5"/>
    <s v="Imphal"/>
    <s v="Comfort Shopper"/>
    <x v="1"/>
    <n v="3.3"/>
    <s v="Delivered"/>
    <s v="Standard"/>
    <n v="5"/>
  </r>
  <r>
    <s v="ORD200936"/>
    <s v="CUST100185"/>
    <s v="Women"/>
    <s v="35-44"/>
    <x v="1036"/>
    <x v="4"/>
    <x v="17"/>
    <x v="4"/>
    <n v="7"/>
    <s v="Grey"/>
    <n v="1"/>
    <n v="8999"/>
    <n v="10"/>
    <n v="8100"/>
    <n v="8100"/>
    <s v="UPI"/>
    <x v="1"/>
    <s v="India"/>
    <x v="31"/>
    <s v="Chennai"/>
    <s v="Value Shopper"/>
    <x v="2"/>
    <n v="4.4000000000000004"/>
    <s v="Delivered"/>
    <s v="Express"/>
    <n v="2"/>
  </r>
  <r>
    <s v="ORD201776"/>
    <s v="CUST100945"/>
    <s v="Women"/>
    <s v="35-44"/>
    <x v="1036"/>
    <x v="4"/>
    <x v="9"/>
    <x v="1"/>
    <n v="7"/>
    <s v="Blue"/>
    <n v="1"/>
    <n v="5999"/>
    <n v="15"/>
    <n v="5100"/>
    <n v="5100"/>
    <s v="Debit/Credit Card"/>
    <x v="1"/>
    <s v="India"/>
    <x v="32"/>
    <s v="Jamshedpur"/>
    <s v="Premium Shopper"/>
    <x v="0"/>
    <n v="3.8"/>
    <s v="Cancelled"/>
    <s v="Express"/>
    <n v="4"/>
  </r>
  <r>
    <s v="ORD201822"/>
    <s v="CUST100012"/>
    <s v="Women"/>
    <s v="18-24"/>
    <x v="1036"/>
    <x v="3"/>
    <x v="16"/>
    <x v="0"/>
    <n v="7"/>
    <s v="White"/>
    <n v="1"/>
    <n v="6799"/>
    <n v="20"/>
    <n v="5440"/>
    <n v="5440"/>
    <s v="UPI"/>
    <x v="1"/>
    <s v="India"/>
    <x v="4"/>
    <s v="Namchi"/>
    <s v="Lifestyle Shopper"/>
    <x v="2"/>
    <n v="4.3"/>
    <s v="Delivered"/>
    <s v="Standard"/>
    <n v="3"/>
  </r>
  <r>
    <s v="ORD201926"/>
    <s v="CUST100613"/>
    <s v="Women"/>
    <s v="25-34"/>
    <x v="1036"/>
    <x v="4"/>
    <x v="17"/>
    <x v="4"/>
    <n v="9"/>
    <s v="Grey"/>
    <n v="1"/>
    <n v="7099"/>
    <n v="15"/>
    <n v="6030"/>
    <n v="6030"/>
    <s v="Debit/Credit Card"/>
    <x v="1"/>
    <s v="India"/>
    <x v="1"/>
    <s v="Margao"/>
    <s v="Comfort Shopper"/>
    <x v="0"/>
    <n v="2.5"/>
    <s v="Delivered"/>
    <s v="Standard"/>
    <n v="3"/>
  </r>
  <r>
    <s v="ORD202737"/>
    <s v="CUST100606"/>
    <s v="Women"/>
    <s v="45-54"/>
    <x v="1036"/>
    <x v="3"/>
    <x v="16"/>
    <x v="0"/>
    <n v="11"/>
    <s v="Grey"/>
    <n v="1"/>
    <n v="4499"/>
    <n v="20"/>
    <n v="3600"/>
    <n v="3600"/>
    <s v="UPI"/>
    <x v="1"/>
    <s v="India"/>
    <x v="29"/>
    <s v="Vijayawada"/>
    <s v="Performance Seeker"/>
    <x v="1"/>
    <n v="4.5999999999999996"/>
    <s v="Delivered"/>
    <s v="Express"/>
    <n v="3"/>
  </r>
  <r>
    <s v="ORD200094"/>
    <s v="CUST100269"/>
    <s v="Men"/>
    <s v="25-34"/>
    <x v="1037"/>
    <x v="1"/>
    <x v="33"/>
    <x v="0"/>
    <n v="10"/>
    <s v="Black"/>
    <n v="1"/>
    <n v="4199"/>
    <n v="20"/>
    <n v="3360"/>
    <n v="3360"/>
    <s v="UPI"/>
    <x v="1"/>
    <s v="India"/>
    <x v="23"/>
    <s v="Haldwani"/>
    <s v="Lifestyle Shopper"/>
    <x v="1"/>
    <n v="4.9000000000000004"/>
    <s v="Returned"/>
    <s v="Standard"/>
    <n v="5"/>
  </r>
  <r>
    <s v="ORD201009"/>
    <s v="CUST100822"/>
    <s v="Men"/>
    <s v="45-54"/>
    <x v="1037"/>
    <x v="1"/>
    <x v="10"/>
    <x v="3"/>
    <n v="10"/>
    <s v="Red"/>
    <n v="1"/>
    <n v="6599"/>
    <n v="20"/>
    <n v="5280"/>
    <n v="5280"/>
    <s v="Debit/Credit Card"/>
    <x v="1"/>
    <s v="India"/>
    <x v="31"/>
    <s v="Chennai"/>
    <s v="Premium Shopper"/>
    <x v="1"/>
    <n v="4.9000000000000004"/>
    <s v="Returned"/>
    <s v="Express"/>
    <n v="1"/>
  </r>
  <r>
    <s v="ORD201717"/>
    <s v="CUST100572"/>
    <s v="Men"/>
    <s v="25-34"/>
    <x v="1037"/>
    <x v="1"/>
    <x v="1"/>
    <x v="1"/>
    <n v="10"/>
    <s v="Grey"/>
    <n v="1"/>
    <n v="7699"/>
    <n v="10"/>
    <n v="6930"/>
    <n v="6930"/>
    <s v="UPI"/>
    <x v="1"/>
    <s v="India"/>
    <x v="29"/>
    <s v="Visakhapatnam"/>
    <s v="Performance Seeker"/>
    <x v="2"/>
    <n v="3.9"/>
    <s v="Delivered"/>
    <s v="Standard"/>
    <n v="3"/>
  </r>
  <r>
    <s v="ORD200099"/>
    <s v="CUST100424"/>
    <s v="Men"/>
    <s v="18-24"/>
    <x v="1038"/>
    <x v="0"/>
    <x v="19"/>
    <x v="4"/>
    <n v="9"/>
    <s v="Blue"/>
    <n v="1"/>
    <n v="4999"/>
    <n v="10"/>
    <n v="4500"/>
    <n v="4500"/>
    <s v="UPI"/>
    <x v="2"/>
    <s v="India"/>
    <x v="23"/>
    <s v="Haridwar"/>
    <s v="Lifestyle Shopper"/>
    <x v="2"/>
    <n v="4.0999999999999996"/>
    <s v="Delivered"/>
    <s v="Standard"/>
    <n v="2"/>
  </r>
  <r>
    <s v="ORD200606"/>
    <s v="CUST100140"/>
    <s v="Men"/>
    <s v="45-54"/>
    <x v="1039"/>
    <x v="3"/>
    <x v="35"/>
    <x v="2"/>
    <n v="8"/>
    <s v="Green"/>
    <n v="1"/>
    <n v="7499"/>
    <n v="10"/>
    <n v="6750"/>
    <n v="6750"/>
    <s v="UPI"/>
    <x v="2"/>
    <s v="India"/>
    <x v="1"/>
    <s v="Mapusa"/>
    <s v="Premium Shopper"/>
    <x v="1"/>
    <n v="4.5"/>
    <s v="Returned"/>
    <s v="Standard"/>
    <n v="5"/>
  </r>
  <r>
    <s v="ORD202358"/>
    <s v="CUST100584"/>
    <s v="Men"/>
    <s v="25-34"/>
    <x v="1039"/>
    <x v="2"/>
    <x v="25"/>
    <x v="3"/>
    <n v="10"/>
    <s v="White"/>
    <n v="1"/>
    <n v="4099"/>
    <n v="15"/>
    <n v="3480"/>
    <n v="3480"/>
    <s v="UPI"/>
    <x v="0"/>
    <s v="India"/>
    <x v="26"/>
    <s v="Thrissur"/>
    <s v="Lifestyle Shopper"/>
    <x v="1"/>
    <n v="4.9000000000000004"/>
    <s v="Delivered"/>
    <s v="Standard"/>
    <n v="3"/>
  </r>
  <r>
    <s v="ORD203063"/>
    <s v="CUST100440"/>
    <s v="Women"/>
    <s v="25-34"/>
    <x v="1039"/>
    <x v="2"/>
    <x v="3"/>
    <x v="2"/>
    <n v="7"/>
    <s v="White"/>
    <n v="1"/>
    <n v="6399"/>
    <n v="25"/>
    <n v="4800"/>
    <n v="4800"/>
    <s v="UPI"/>
    <x v="0"/>
    <s v="India"/>
    <x v="14"/>
    <s v="Amritsar"/>
    <s v="Value Shopper"/>
    <x v="1"/>
    <n v="3.8"/>
    <s v="Returned"/>
    <s v="Standard"/>
    <n v="3"/>
  </r>
  <r>
    <s v="ORD202132"/>
    <s v="CUST100382"/>
    <s v="Women"/>
    <s v="35-44"/>
    <x v="1040"/>
    <x v="4"/>
    <x v="29"/>
    <x v="2"/>
    <n v="8"/>
    <s v="Black"/>
    <n v="1"/>
    <n v="6899"/>
    <n v="15"/>
    <n v="5860"/>
    <n v="5860"/>
    <s v="Debit/Credit Card"/>
    <x v="2"/>
    <s v="India"/>
    <x v="28"/>
    <s v="Leh"/>
    <s v="Value Shopper"/>
    <x v="1"/>
    <n v="3.3"/>
    <s v="Returned"/>
    <s v="Standard"/>
    <n v="4"/>
  </r>
  <r>
    <s v="ORD201303"/>
    <s v="CUST100850"/>
    <s v="Unisex"/>
    <s v="35-44"/>
    <x v="1041"/>
    <x v="0"/>
    <x v="8"/>
    <x v="3"/>
    <n v="11"/>
    <s v="White"/>
    <n v="1"/>
    <n v="5199"/>
    <n v="5"/>
    <n v="4940"/>
    <n v="4940"/>
    <s v="UPI"/>
    <x v="1"/>
    <s v="India"/>
    <x v="17"/>
    <s v="Mahe"/>
    <s v="Performance Seeker"/>
    <x v="1"/>
    <n v="4.5999999999999996"/>
    <s v="Delivered"/>
    <s v="Express"/>
    <n v="1"/>
  </r>
  <r>
    <s v="ORD201762"/>
    <s v="CUST100372"/>
    <s v="Women"/>
    <s v="25-34"/>
    <x v="1041"/>
    <x v="1"/>
    <x v="20"/>
    <x v="2"/>
    <n v="7"/>
    <s v="Black"/>
    <n v="1"/>
    <n v="5399"/>
    <n v="15"/>
    <n v="4590"/>
    <n v="4590"/>
    <s v="UPI"/>
    <x v="2"/>
    <s v="India"/>
    <x v="26"/>
    <s v="Thrissur"/>
    <s v="Performance Seeker"/>
    <x v="0"/>
    <n v="4.5999999999999996"/>
    <s v="Delivered"/>
    <s v="Standard"/>
    <n v="6"/>
  </r>
  <r>
    <s v="ORD200261"/>
    <s v="CUST101028"/>
    <s v="Women"/>
    <s v="25-34"/>
    <x v="1042"/>
    <x v="4"/>
    <x v="26"/>
    <x v="3"/>
    <n v="7"/>
    <s v="Black"/>
    <n v="1"/>
    <n v="7999"/>
    <n v="15"/>
    <n v="6800"/>
    <n v="6800"/>
    <s v="UPI"/>
    <x v="2"/>
    <s v="India"/>
    <x v="19"/>
    <s v="Shillong"/>
    <s v="Lifestyle Shopper"/>
    <x v="0"/>
    <n v="4.2"/>
    <s v="Returned"/>
    <s v="Same Day"/>
    <n v="2"/>
  </r>
  <r>
    <s v="ORD202983"/>
    <s v="CUST100305"/>
    <s v="Men"/>
    <s v="25-34"/>
    <x v="1042"/>
    <x v="0"/>
    <x v="0"/>
    <x v="0"/>
    <n v="8"/>
    <s v="Green"/>
    <n v="1"/>
    <n v="8699"/>
    <n v="0"/>
    <n v="8700"/>
    <n v="8700"/>
    <s v="UPI"/>
    <x v="2"/>
    <s v="India"/>
    <x v="7"/>
    <s v="Indore"/>
    <s v="Lifestyle Shopper"/>
    <x v="2"/>
    <n v="4.0999999999999996"/>
    <s v="Delivered"/>
    <s v="Standard"/>
    <n v="5"/>
  </r>
  <r>
    <s v="ORD200355"/>
    <s v="CUST100744"/>
    <s v="Unisex"/>
    <s v="18-24"/>
    <x v="1043"/>
    <x v="1"/>
    <x v="18"/>
    <x v="2"/>
    <n v="11"/>
    <s v="Grey"/>
    <n v="2"/>
    <n v="7699"/>
    <n v="10"/>
    <n v="6930"/>
    <n v="13860"/>
    <s v="Debit/Credit Card"/>
    <x v="2"/>
    <s v="India"/>
    <x v="22"/>
    <s v="Udaipur"/>
    <s v="Comfort Shopper"/>
    <x v="2"/>
    <n v="4.2"/>
    <s v="Delivered"/>
    <s v="Express"/>
    <n v="3"/>
  </r>
  <r>
    <s v="ORD200513"/>
    <s v="CUST100758"/>
    <s v="Women"/>
    <s v="35-44"/>
    <x v="1043"/>
    <x v="2"/>
    <x v="24"/>
    <x v="4"/>
    <n v="7"/>
    <s v="White"/>
    <n v="3"/>
    <n v="4299"/>
    <n v="10"/>
    <n v="3870"/>
    <n v="11610"/>
    <s v="UPI"/>
    <x v="1"/>
    <s v="India"/>
    <x v="33"/>
    <s v="Nagpur"/>
    <s v="Premium Shopper"/>
    <x v="2"/>
    <n v="4.2"/>
    <s v="Delivered"/>
    <s v="Express"/>
    <n v="2"/>
  </r>
  <r>
    <s v="ORD200582"/>
    <s v="CUST100772"/>
    <s v="Unisex"/>
    <s v="25-34"/>
    <x v="1043"/>
    <x v="2"/>
    <x v="4"/>
    <x v="2"/>
    <n v="8"/>
    <s v="White"/>
    <n v="1"/>
    <n v="5099"/>
    <n v="30"/>
    <n v="3570"/>
    <n v="3570"/>
    <s v="UPI"/>
    <x v="1"/>
    <s v="India"/>
    <x v="1"/>
    <s v="Mapusa"/>
    <s v="Value Shopper"/>
    <x v="1"/>
    <n v="4.0999999999999996"/>
    <s v="Delivered"/>
    <s v="Express"/>
    <n v="1"/>
  </r>
  <r>
    <s v="ORD200993"/>
    <s v="CUST100003"/>
    <s v="Men"/>
    <s v="25-34"/>
    <x v="1044"/>
    <x v="3"/>
    <x v="28"/>
    <x v="1"/>
    <n v="11"/>
    <s v="Green"/>
    <n v="1"/>
    <n v="4899"/>
    <n v="15"/>
    <n v="4160"/>
    <n v="4160"/>
    <s v="UPI"/>
    <x v="1"/>
    <s v="India"/>
    <x v="9"/>
    <s v="Patna"/>
    <s v="Premium Shopper"/>
    <x v="1"/>
    <n v="3.7"/>
    <s v="Delivered"/>
    <s v="Standard"/>
    <n v="3"/>
  </r>
  <r>
    <s v="ORD200119"/>
    <s v="CUST100818"/>
    <s v="Men"/>
    <s v="18-24"/>
    <x v="1045"/>
    <x v="1"/>
    <x v="20"/>
    <x v="2"/>
    <n v="10"/>
    <s v="Black"/>
    <n v="2"/>
    <n v="5999"/>
    <n v="10"/>
    <n v="5400"/>
    <n v="10800"/>
    <s v="Net Banking"/>
    <x v="1"/>
    <s v="India"/>
    <x v="20"/>
    <s v="Dharamshala"/>
    <s v="Comfort Shopper"/>
    <x v="1"/>
    <n v="2.2000000000000002"/>
    <s v="Delivered"/>
    <s v="Same Day"/>
    <n v="1"/>
  </r>
  <r>
    <s v="ORD200544"/>
    <s v="CUST100555"/>
    <s v="Women"/>
    <s v="18-24"/>
    <x v="1045"/>
    <x v="1"/>
    <x v="33"/>
    <x v="0"/>
    <n v="8"/>
    <s v="Grey"/>
    <n v="1"/>
    <n v="7799"/>
    <n v="20"/>
    <n v="6240"/>
    <n v="6240"/>
    <s v="UPI"/>
    <x v="1"/>
    <s v="India"/>
    <x v="35"/>
    <s v="Aizawl"/>
    <s v="Performance Seeker"/>
    <x v="0"/>
    <n v="3.3"/>
    <s v="Delivered"/>
    <s v="Standard"/>
    <n v="5"/>
  </r>
  <r>
    <s v="ORD202705"/>
    <s v="CUST101046"/>
    <s v="Men"/>
    <s v="35-44"/>
    <x v="1045"/>
    <x v="2"/>
    <x v="23"/>
    <x v="0"/>
    <n v="7"/>
    <s v="Green"/>
    <n v="1"/>
    <n v="4999"/>
    <n v="25"/>
    <n v="3750"/>
    <n v="3750"/>
    <s v="Debit/Credit Card"/>
    <x v="1"/>
    <s v="India"/>
    <x v="24"/>
    <s v="Bengaluru"/>
    <s v="Comfort Shopper"/>
    <x v="1"/>
    <n v="4.8"/>
    <s v="Delivered"/>
    <s v="Express"/>
    <n v="2"/>
  </r>
  <r>
    <s v="ORD201280"/>
    <s v="CUST100178"/>
    <s v="Men"/>
    <s v="45-54"/>
    <x v="1046"/>
    <x v="1"/>
    <x v="20"/>
    <x v="2"/>
    <n v="9"/>
    <s v="Blue"/>
    <n v="1"/>
    <n v="7899"/>
    <n v="5"/>
    <n v="7500"/>
    <n v="7500"/>
    <s v="UPI"/>
    <x v="0"/>
    <s v="India"/>
    <x v="15"/>
    <s v="New Delhi"/>
    <s v="Lifestyle Shopper"/>
    <x v="2"/>
    <n v="4.8"/>
    <s v="Returned"/>
    <s v="Standard"/>
    <n v="2"/>
  </r>
  <r>
    <s v="ORD202017"/>
    <s v="CUST100255"/>
    <s v="Men"/>
    <s v="35-44"/>
    <x v="1046"/>
    <x v="4"/>
    <x v="9"/>
    <x v="1"/>
    <n v="8"/>
    <s v="White"/>
    <n v="1"/>
    <n v="8599"/>
    <n v="15"/>
    <n v="7310"/>
    <n v="7310"/>
    <s v="UPI"/>
    <x v="0"/>
    <s v="India"/>
    <x v="33"/>
    <s v="Pune"/>
    <s v="Comfort Shopper"/>
    <x v="0"/>
    <n v="4.5"/>
    <s v="Returned"/>
    <s v="Standard"/>
    <n v="5"/>
  </r>
  <r>
    <s v="ORD202876"/>
    <s v="CUST100767"/>
    <s v="Men"/>
    <s v="35-44"/>
    <x v="1046"/>
    <x v="5"/>
    <x v="15"/>
    <x v="4"/>
    <n v="8"/>
    <s v="Grey"/>
    <n v="2"/>
    <n v="9299"/>
    <n v="0"/>
    <n v="9300"/>
    <n v="18600"/>
    <s v="UPI"/>
    <x v="1"/>
    <s v="India"/>
    <x v="19"/>
    <s v="Nongpoh"/>
    <s v="Premium Shopper"/>
    <x v="1"/>
    <n v="3.6"/>
    <s v="Delivered"/>
    <s v="Same Day"/>
    <n v="1"/>
  </r>
  <r>
    <s v="ORD202893"/>
    <s v="CUST100083"/>
    <s v="Unisex"/>
    <s v="18-24"/>
    <x v="1046"/>
    <x v="0"/>
    <x v="0"/>
    <x v="0"/>
    <n v="12"/>
    <s v="Grey"/>
    <n v="2"/>
    <n v="6999"/>
    <n v="5"/>
    <n v="6650"/>
    <n v="13300"/>
    <s v="Debit/Credit Card"/>
    <x v="1"/>
    <s v="India"/>
    <x v="21"/>
    <s v="Kohima"/>
    <s v="Performance Seeker"/>
    <x v="2"/>
    <n v="4.5"/>
    <s v="Delivered"/>
    <s v="Same Day"/>
    <n v="2"/>
  </r>
  <r>
    <s v="ORD201043"/>
    <s v="CUST100465"/>
    <s v="Men"/>
    <s v="18-24"/>
    <x v="1047"/>
    <x v="0"/>
    <x v="8"/>
    <x v="3"/>
    <n v="12"/>
    <s v="Green"/>
    <n v="1"/>
    <n v="7999"/>
    <n v="30"/>
    <n v="5600"/>
    <n v="5600"/>
    <s v="UPI"/>
    <x v="0"/>
    <s v="India"/>
    <x v="3"/>
    <s v="Jaipur"/>
    <s v="Performance Seeker"/>
    <x v="2"/>
    <n v="3"/>
    <s v="Delivered"/>
    <s v="Express"/>
    <n v="3"/>
  </r>
  <r>
    <s v="ORD202240"/>
    <s v="CUST100253"/>
    <s v="Men"/>
    <s v="25-34"/>
    <x v="1047"/>
    <x v="4"/>
    <x v="6"/>
    <x v="2"/>
    <n v="8"/>
    <s v="Blue"/>
    <n v="2"/>
    <n v="8699"/>
    <n v="10"/>
    <n v="7830"/>
    <n v="15660"/>
    <s v="UPI"/>
    <x v="1"/>
    <s v="India"/>
    <x v="30"/>
    <s v="Burail"/>
    <s v="Performance Seeker"/>
    <x v="1"/>
    <n v="4.7"/>
    <s v="Returned"/>
    <s v="Same Day"/>
    <n v="1"/>
  </r>
  <r>
    <s v="ORD202398"/>
    <s v="CUST100107"/>
    <s v="Unisex"/>
    <s v="45-54"/>
    <x v="1047"/>
    <x v="5"/>
    <x v="27"/>
    <x v="0"/>
    <n v="8"/>
    <s v="Black"/>
    <n v="1"/>
    <n v="6299"/>
    <n v="25"/>
    <n v="4720"/>
    <n v="4720"/>
    <s v="UPI"/>
    <x v="1"/>
    <s v="India"/>
    <x v="28"/>
    <s v="Diskit"/>
    <s v="Performance Seeker"/>
    <x v="1"/>
    <n v="4.7"/>
    <s v="Returned"/>
    <s v="Standard"/>
    <n v="4"/>
  </r>
  <r>
    <s v="ORD200476"/>
    <s v="CUST100880"/>
    <s v="Men"/>
    <s v="35-44"/>
    <x v="1048"/>
    <x v="4"/>
    <x v="26"/>
    <x v="3"/>
    <n v="7"/>
    <s v="White"/>
    <n v="1"/>
    <n v="6299"/>
    <n v="10"/>
    <n v="5670"/>
    <n v="5670"/>
    <s v="UPI"/>
    <x v="1"/>
    <s v="India"/>
    <x v="12"/>
    <s v="Mayabunder"/>
    <s v="Lifestyle Shopper"/>
    <x v="1"/>
    <n v="4"/>
    <s v="Delivered"/>
    <s v="Express"/>
    <n v="1"/>
  </r>
  <r>
    <s v="ORD200949"/>
    <s v="CUST100626"/>
    <s v="Women"/>
    <s v="25-34"/>
    <x v="1049"/>
    <x v="0"/>
    <x v="8"/>
    <x v="3"/>
    <n v="9"/>
    <s v="Blue"/>
    <n v="1"/>
    <n v="7299"/>
    <n v="35"/>
    <n v="4740"/>
    <n v="4740"/>
    <s v="Debit/Credit Card"/>
    <x v="2"/>
    <s v="India"/>
    <x v="31"/>
    <s v="Madurai"/>
    <s v="Performance Seeker"/>
    <x v="2"/>
    <n v="5"/>
    <s v="Delivered"/>
    <s v="Standard"/>
    <n v="4"/>
  </r>
  <r>
    <s v="ORD201360"/>
    <s v="CUST100143"/>
    <s v="Men"/>
    <s v="55+"/>
    <x v="1049"/>
    <x v="5"/>
    <x v="14"/>
    <x v="3"/>
    <n v="8"/>
    <s v="Black"/>
    <n v="1"/>
    <n v="7299"/>
    <n v="0"/>
    <n v="7300"/>
    <n v="7300"/>
    <s v="UPI"/>
    <x v="1"/>
    <s v="India"/>
    <x v="34"/>
    <s v="Siliguri"/>
    <s v="Premium Shopper"/>
    <x v="2"/>
    <n v="3.8"/>
    <s v="Delivered"/>
    <s v="Standard"/>
    <n v="3"/>
  </r>
  <r>
    <s v="ORD202445"/>
    <s v="CUST100998"/>
    <s v="Men"/>
    <s v="25-34"/>
    <x v="1049"/>
    <x v="5"/>
    <x v="14"/>
    <x v="3"/>
    <n v="7"/>
    <s v="White"/>
    <n v="1"/>
    <n v="9099"/>
    <n v="20"/>
    <n v="7280"/>
    <n v="7280"/>
    <s v="Debit/Credit Card"/>
    <x v="0"/>
    <s v="India"/>
    <x v="24"/>
    <s v="Mangaluru"/>
    <s v="Performance Seeker"/>
    <x v="0"/>
    <n v="3.3"/>
    <s v="Delivered"/>
    <s v="Standard"/>
    <n v="3"/>
  </r>
  <r>
    <s v="ORD200319"/>
    <s v="CUST100267"/>
    <s v="Women"/>
    <s v="18-24"/>
    <x v="1050"/>
    <x v="0"/>
    <x v="19"/>
    <x v="4"/>
    <n v="8"/>
    <s v="Black"/>
    <n v="1"/>
    <n v="4999"/>
    <n v="20"/>
    <n v="4000"/>
    <n v="4000"/>
    <s v="UPI"/>
    <x v="1"/>
    <s v="India"/>
    <x v="30"/>
    <s v="Burail"/>
    <s v="Lifestyle Shopper"/>
    <x v="1"/>
    <n v="3.7"/>
    <s v="Delivered"/>
    <s v="Standard"/>
    <n v="2"/>
  </r>
  <r>
    <s v="ORD201738"/>
    <s v="CUST100504"/>
    <s v="Men"/>
    <s v="25-34"/>
    <x v="1050"/>
    <x v="1"/>
    <x v="1"/>
    <x v="1"/>
    <n v="9"/>
    <s v="Grey"/>
    <n v="1"/>
    <n v="4499"/>
    <n v="15"/>
    <n v="3820"/>
    <n v="3820"/>
    <s v="Debit/Credit Card"/>
    <x v="1"/>
    <s v="India"/>
    <x v="28"/>
    <s v="Nubra"/>
    <s v="Comfort Shopper"/>
    <x v="1"/>
    <n v="3.2"/>
    <s v="Delivered"/>
    <s v="Express"/>
    <n v="1"/>
  </r>
  <r>
    <s v="ORD202487"/>
    <s v="CUST100228"/>
    <s v="Men"/>
    <s v="18-24"/>
    <x v="1050"/>
    <x v="0"/>
    <x v="0"/>
    <x v="0"/>
    <n v="8"/>
    <s v="Blue"/>
    <n v="1"/>
    <n v="7499"/>
    <n v="0"/>
    <n v="7500"/>
    <n v="7500"/>
    <s v="Net Banking"/>
    <x v="1"/>
    <s v="India"/>
    <x v="1"/>
    <s v="Margao"/>
    <s v="Lifestyle Shopper"/>
    <x v="2"/>
    <n v="3.6"/>
    <s v="Delivered"/>
    <s v="Express"/>
    <n v="2"/>
  </r>
  <r>
    <s v="ORD201845"/>
    <s v="CUST100471"/>
    <s v="Men"/>
    <s v="45-54"/>
    <x v="1051"/>
    <x v="0"/>
    <x v="19"/>
    <x v="4"/>
    <n v="9"/>
    <s v="Green"/>
    <n v="1"/>
    <n v="3899"/>
    <n v="15"/>
    <n v="3310"/>
    <n v="3310"/>
    <s v="UPI"/>
    <x v="1"/>
    <s v="India"/>
    <x v="34"/>
    <s v="Asansol"/>
    <s v="Premium Shopper"/>
    <x v="2"/>
    <n v="3.2"/>
    <s v="Delivered"/>
    <s v="Standard"/>
    <n v="3"/>
  </r>
  <r>
    <s v="ORD202559"/>
    <s v="CUST100471"/>
    <s v="Men"/>
    <s v="25-34"/>
    <x v="1051"/>
    <x v="4"/>
    <x v="29"/>
    <x v="2"/>
    <n v="9"/>
    <s v="White"/>
    <n v="1"/>
    <n v="7499"/>
    <n v="20"/>
    <n v="6000"/>
    <n v="6000"/>
    <s v="UPI"/>
    <x v="1"/>
    <s v="India"/>
    <x v="24"/>
    <s v="Bengaluru"/>
    <s v="Performance Seeker"/>
    <x v="2"/>
    <n v="4.5999999999999996"/>
    <s v="Delivered"/>
    <s v="Same Day"/>
    <n v="1"/>
  </r>
  <r>
    <s v="ORD201380"/>
    <s v="CUST100425"/>
    <s v="Unisex"/>
    <s v="18-24"/>
    <x v="1052"/>
    <x v="5"/>
    <x v="30"/>
    <x v="2"/>
    <n v="8"/>
    <s v="Green"/>
    <n v="2"/>
    <n v="8899"/>
    <n v="0"/>
    <n v="8900"/>
    <n v="17800"/>
    <s v="UPI"/>
    <x v="0"/>
    <s v="India"/>
    <x v="14"/>
    <s v="Ludhiana"/>
    <s v="Lifestyle Shopper"/>
    <x v="1"/>
    <n v="3.3"/>
    <s v="Delivered"/>
    <s v="Express"/>
    <n v="2"/>
  </r>
  <r>
    <s v="ORD201527"/>
    <s v="CUST100340"/>
    <s v="Unisex"/>
    <s v="35-44"/>
    <x v="1052"/>
    <x v="1"/>
    <x v="33"/>
    <x v="0"/>
    <n v="9"/>
    <s v="Black"/>
    <n v="1"/>
    <n v="5499"/>
    <n v="15"/>
    <n v="4670"/>
    <n v="4670"/>
    <s v="Debit/Credit Card"/>
    <x v="2"/>
    <s v="India"/>
    <x v="21"/>
    <s v="Tuensang"/>
    <s v="Premium Shopper"/>
    <x v="1"/>
    <n v="5"/>
    <s v="Delivered"/>
    <s v="Standard"/>
    <n v="6"/>
  </r>
  <r>
    <s v="ORD202401"/>
    <s v="CUST100394"/>
    <s v="Men"/>
    <s v="35-44"/>
    <x v="1052"/>
    <x v="5"/>
    <x v="30"/>
    <x v="2"/>
    <n v="8"/>
    <s v="White"/>
    <n v="2"/>
    <n v="9399"/>
    <n v="15"/>
    <n v="7990"/>
    <n v="15980"/>
    <s v="Debit/Credit Card"/>
    <x v="1"/>
    <s v="India"/>
    <x v="25"/>
    <s v="Baramulla"/>
    <s v="Performance Seeker"/>
    <x v="2"/>
    <n v="3.9"/>
    <s v="Delivered"/>
    <s v="Standard"/>
    <n v="3"/>
  </r>
  <r>
    <s v="ORD202567"/>
    <s v="CUST100540"/>
    <s v="Women"/>
    <s v="25-34"/>
    <x v="1052"/>
    <x v="4"/>
    <x v="9"/>
    <x v="1"/>
    <n v="8"/>
    <s v="Blue"/>
    <n v="1"/>
    <n v="8399"/>
    <n v="10"/>
    <n v="7560"/>
    <n v="7560"/>
    <s v="UPI"/>
    <x v="2"/>
    <s v="India"/>
    <x v="19"/>
    <s v="Shillong"/>
    <s v="Lifestyle Shopper"/>
    <x v="1"/>
    <n v="4.5"/>
    <s v="Delivered"/>
    <s v="Standard"/>
    <n v="5"/>
  </r>
  <r>
    <s v="ORD200292"/>
    <s v="CUST100135"/>
    <s v="Men"/>
    <s v="25-34"/>
    <x v="1053"/>
    <x v="4"/>
    <x v="6"/>
    <x v="2"/>
    <n v="8"/>
    <s v="White"/>
    <n v="1"/>
    <n v="6699"/>
    <n v="10"/>
    <n v="6030"/>
    <n v="6030"/>
    <s v="Debit/Credit Card"/>
    <x v="2"/>
    <s v="India"/>
    <x v="11"/>
    <s v="Andrott"/>
    <s v="Comfort Shopper"/>
    <x v="0"/>
    <n v="4.0999999999999996"/>
    <s v="Returned"/>
    <s v="Standard"/>
    <n v="5"/>
  </r>
  <r>
    <s v="ORD202960"/>
    <s v="CUST100868"/>
    <s v="Women"/>
    <s v="25-34"/>
    <x v="1053"/>
    <x v="2"/>
    <x v="24"/>
    <x v="4"/>
    <n v="7"/>
    <s v="Grey"/>
    <n v="4"/>
    <n v="6999"/>
    <n v="5"/>
    <n v="6650"/>
    <n v="26600"/>
    <s v="UPI"/>
    <x v="1"/>
    <s v="India"/>
    <x v="34"/>
    <s v="Siliguri"/>
    <s v="Premium Shopper"/>
    <x v="1"/>
    <n v="4.5"/>
    <s v="Delivered"/>
    <s v="Standard"/>
    <n v="5"/>
  </r>
  <r>
    <s v="ORD201100"/>
    <s v="CUST100345"/>
    <s v="Women"/>
    <s v="18-24"/>
    <x v="1054"/>
    <x v="4"/>
    <x v="29"/>
    <x v="2"/>
    <n v="9"/>
    <s v="Grey"/>
    <n v="1"/>
    <n v="9399"/>
    <n v="40"/>
    <n v="5640"/>
    <n v="5640"/>
    <s v="UPI"/>
    <x v="2"/>
    <s v="India"/>
    <x v="6"/>
    <s v="Varanasi"/>
    <s v="Premium Shopper"/>
    <x v="1"/>
    <n v="3.4"/>
    <s v="Delivered"/>
    <s v="Standard"/>
    <n v="7"/>
  </r>
  <r>
    <s v="ORD202373"/>
    <s v="CUST100606"/>
    <s v="Unisex"/>
    <s v="25-34"/>
    <x v="1054"/>
    <x v="3"/>
    <x v="16"/>
    <x v="0"/>
    <n v="9"/>
    <s v="Green"/>
    <n v="1"/>
    <n v="7299"/>
    <n v="0"/>
    <n v="7300"/>
    <n v="7300"/>
    <s v="UPI"/>
    <x v="2"/>
    <s v="India"/>
    <x v="27"/>
    <s v="Bhubaneswar"/>
    <s v="Premium Shopper"/>
    <x v="2"/>
    <n v="4.9000000000000004"/>
    <s v="Delivered"/>
    <s v="Express"/>
    <n v="4"/>
  </r>
  <r>
    <s v="ORD202683"/>
    <s v="CUST100700"/>
    <s v="Men"/>
    <s v="25-34"/>
    <x v="1055"/>
    <x v="0"/>
    <x v="19"/>
    <x v="4"/>
    <n v="8"/>
    <s v="White"/>
    <n v="1"/>
    <n v="7199"/>
    <n v="15"/>
    <n v="6120"/>
    <n v="6120"/>
    <s v="Debit/Credit Card"/>
    <x v="0"/>
    <s v="India"/>
    <x v="28"/>
    <s v="Leh"/>
    <s v="Value Shopper"/>
    <x v="1"/>
    <n v="3.6"/>
    <s v="Cancelled"/>
    <s v="Express"/>
    <n v="2"/>
  </r>
  <r>
    <s v="ORD201176"/>
    <s v="CUST100977"/>
    <s v="Women"/>
    <s v="18-24"/>
    <x v="1056"/>
    <x v="4"/>
    <x v="17"/>
    <x v="4"/>
    <n v="10"/>
    <s v="Green"/>
    <n v="1"/>
    <n v="6799"/>
    <n v="5"/>
    <n v="6460"/>
    <n v="6460"/>
    <s v="UPI"/>
    <x v="1"/>
    <s v="India"/>
    <x v="0"/>
    <s v="Dibrugarh"/>
    <s v="Performance Seeker"/>
    <x v="0"/>
    <n v="3.7"/>
    <s v="Delivered"/>
    <s v="Standard"/>
    <n v="3"/>
  </r>
  <r>
    <s v="ORD201697"/>
    <s v="CUST100121"/>
    <s v="Women"/>
    <s v="25-34"/>
    <x v="1056"/>
    <x v="0"/>
    <x v="31"/>
    <x v="1"/>
    <n v="9"/>
    <s v="Blue"/>
    <n v="1"/>
    <n v="4799"/>
    <n v="20"/>
    <n v="3840"/>
    <n v="3840"/>
    <s v="UPI"/>
    <x v="1"/>
    <s v="India"/>
    <x v="25"/>
    <s v="Anantnag"/>
    <s v="Performance Seeker"/>
    <x v="0"/>
    <n v="3.6"/>
    <s v="Delivered"/>
    <s v="Express"/>
    <n v="1"/>
  </r>
  <r>
    <s v="ORD202417"/>
    <s v="CUST100520"/>
    <s v="Men"/>
    <s v="18-24"/>
    <x v="1057"/>
    <x v="3"/>
    <x v="35"/>
    <x v="2"/>
    <n v="6"/>
    <s v="White"/>
    <n v="1"/>
    <n v="3399"/>
    <n v="10"/>
    <n v="3060"/>
    <n v="3060"/>
    <s v="Debit/Credit Card"/>
    <x v="2"/>
    <s v="India"/>
    <x v="18"/>
    <s v="Bilaspur"/>
    <s v="Performance Seeker"/>
    <x v="1"/>
    <n v="5"/>
    <s v="Delivered"/>
    <s v="Express"/>
    <n v="3"/>
  </r>
  <r>
    <s v="ORD201215"/>
    <s v="CUST100010"/>
    <s v="Men"/>
    <s v="45-54"/>
    <x v="1058"/>
    <x v="5"/>
    <x v="27"/>
    <x v="0"/>
    <n v="8"/>
    <s v="Black"/>
    <n v="1"/>
    <n v="6899"/>
    <n v="10"/>
    <n v="6210"/>
    <n v="6210"/>
    <s v="Debit/Credit Card"/>
    <x v="1"/>
    <s v="India"/>
    <x v="9"/>
    <s v="Muzaffarpur"/>
    <s v="Comfort Shopper"/>
    <x v="2"/>
    <n v="4.5"/>
    <s v="Cancelled"/>
    <s v="Standard"/>
    <n v="3"/>
  </r>
  <r>
    <s v="ORD200842"/>
    <s v="CUST100108"/>
    <s v="Women"/>
    <s v="45-54"/>
    <x v="1059"/>
    <x v="5"/>
    <x v="21"/>
    <x v="2"/>
    <n v="9"/>
    <s v="Grey"/>
    <n v="1"/>
    <n v="5299"/>
    <n v="30"/>
    <n v="3710"/>
    <n v="3710"/>
    <s v="Debit/Credit Card"/>
    <x v="2"/>
    <s v="India"/>
    <x v="6"/>
    <s v="Noida"/>
    <s v="Performance Seeker"/>
    <x v="2"/>
    <n v="4.0999999999999996"/>
    <s v="Delivered"/>
    <s v="Standard"/>
    <n v="3"/>
  </r>
  <r>
    <s v="ORD201584"/>
    <s v="CUST100169"/>
    <s v="Men"/>
    <s v="18-24"/>
    <x v="1060"/>
    <x v="5"/>
    <x v="30"/>
    <x v="2"/>
    <n v="6"/>
    <s v="Grey"/>
    <n v="1"/>
    <n v="5899"/>
    <n v="25"/>
    <n v="4420"/>
    <n v="4420"/>
    <s v="UPI"/>
    <x v="1"/>
    <s v="India"/>
    <x v="32"/>
    <s v="Bokaro"/>
    <s v="Value Shopper"/>
    <x v="0"/>
    <n v="3.6"/>
    <s v="Delivered"/>
    <s v="Standard"/>
    <n v="4"/>
  </r>
  <r>
    <s v="ORD202271"/>
    <s v="CUST100499"/>
    <s v="Women"/>
    <s v="45-54"/>
    <x v="1061"/>
    <x v="3"/>
    <x v="35"/>
    <x v="2"/>
    <n v="9"/>
    <s v="Black"/>
    <n v="1"/>
    <n v="6199"/>
    <n v="15"/>
    <n v="5270"/>
    <n v="5270"/>
    <s v="Debit/Credit Card"/>
    <x v="1"/>
    <s v="India"/>
    <x v="1"/>
    <s v="Mapusa"/>
    <s v="Comfort Shopper"/>
    <x v="1"/>
    <n v="3.2"/>
    <s v="Cancelled"/>
    <s v="Express"/>
    <n v="2"/>
  </r>
  <r>
    <s v="ORD202337"/>
    <s v="CUST100283"/>
    <s v="Women"/>
    <s v="35-44"/>
    <x v="1062"/>
    <x v="2"/>
    <x v="25"/>
    <x v="3"/>
    <n v="9"/>
    <s v="Green"/>
    <n v="1"/>
    <n v="8399"/>
    <n v="15"/>
    <n v="7140"/>
    <n v="7140"/>
    <s v="Debit/Credit Card"/>
    <x v="1"/>
    <s v="India"/>
    <x v="33"/>
    <s v="Pune"/>
    <s v="Comfort Shopper"/>
    <x v="1"/>
    <n v="3.3"/>
    <s v="Delivered"/>
    <s v="Standard"/>
    <n v="1"/>
  </r>
  <r>
    <s v="ORD203027"/>
    <s v="CUST100172"/>
    <s v="Women"/>
    <s v="35-44"/>
    <x v="1063"/>
    <x v="3"/>
    <x v="11"/>
    <x v="4"/>
    <n v="12"/>
    <s v="Black"/>
    <n v="1"/>
    <n v="5399"/>
    <n v="25"/>
    <n v="4050"/>
    <n v="4050"/>
    <s v="UPI"/>
    <x v="0"/>
    <s v="India"/>
    <x v="32"/>
    <s v="Bokaro"/>
    <s v="Performance Seeker"/>
    <x v="1"/>
    <n v="4.3"/>
    <s v="Delivered"/>
    <s v="Standard"/>
    <n v="6"/>
  </r>
  <r>
    <s v="ORD202182"/>
    <s v="CUST100274"/>
    <s v="Men"/>
    <s v="18-24"/>
    <x v="1064"/>
    <x v="0"/>
    <x v="0"/>
    <x v="0"/>
    <n v="10"/>
    <s v="Green"/>
    <n v="1"/>
    <n v="8199"/>
    <n v="15"/>
    <n v="6970"/>
    <n v="6970"/>
    <s v="Net Banking"/>
    <x v="1"/>
    <s v="India"/>
    <x v="10"/>
    <s v="Diu"/>
    <s v="Lifestyle Shopper"/>
    <x v="0"/>
    <n v="3.8"/>
    <s v="Delivered"/>
    <s v="Same Day"/>
    <n v="1"/>
  </r>
  <r>
    <s v="ORD200210"/>
    <s v="CUST100061"/>
    <s v="Women"/>
    <s v="25-34"/>
    <x v="1065"/>
    <x v="4"/>
    <x v="6"/>
    <x v="2"/>
    <n v="9"/>
    <s v="White"/>
    <n v="2"/>
    <n v="7299"/>
    <n v="15"/>
    <n v="6200"/>
    <n v="12400"/>
    <s v="UPI"/>
    <x v="0"/>
    <s v="India"/>
    <x v="7"/>
    <s v="Gwalior"/>
    <s v="Comfort Shopper"/>
    <x v="1"/>
    <n v="4.4000000000000004"/>
    <s v="Delivered"/>
    <s v="Same Day"/>
    <n v="1"/>
  </r>
  <r>
    <s v="ORD201400"/>
    <s v="CUST100555"/>
    <s v="Women"/>
    <s v="45-54"/>
    <x v="1066"/>
    <x v="2"/>
    <x v="25"/>
    <x v="3"/>
    <n v="10"/>
    <s v="Green"/>
    <n v="1"/>
    <n v="4999"/>
    <n v="15"/>
    <n v="4250"/>
    <n v="4250"/>
    <s v="UPI"/>
    <x v="1"/>
    <s v="India"/>
    <x v="31"/>
    <s v="Coimbatore"/>
    <s v="Value Shopper"/>
    <x v="1"/>
    <n v="4.3"/>
    <s v="Delivered"/>
    <s v="Express"/>
    <n v="3"/>
  </r>
  <r>
    <s v="ORD200953"/>
    <s v="CUST100785"/>
    <s v="Unisex"/>
    <s v="18-24"/>
    <x v="1067"/>
    <x v="0"/>
    <x v="19"/>
    <x v="4"/>
    <n v="9"/>
    <s v="Green"/>
    <n v="2"/>
    <n v="4099"/>
    <n v="5"/>
    <n v="3890"/>
    <n v="7780"/>
    <s v="UPI"/>
    <x v="2"/>
    <s v="India"/>
    <x v="17"/>
    <s v="Yanam"/>
    <s v="Premium Shopper"/>
    <x v="2"/>
    <n v="4.3"/>
    <s v="Cancelled"/>
    <s v="Same Day"/>
    <n v="1"/>
  </r>
  <r>
    <s v="ORD201004"/>
    <s v="CUST100299"/>
    <s v="Men"/>
    <s v="45-54"/>
    <x v="1067"/>
    <x v="1"/>
    <x v="20"/>
    <x v="2"/>
    <n v="7"/>
    <s v="Red"/>
    <n v="2"/>
    <n v="9199"/>
    <n v="0"/>
    <n v="9200"/>
    <n v="18400"/>
    <s v="Debit/Credit Card"/>
    <x v="2"/>
    <s v="India"/>
    <x v="1"/>
    <s v="Vasco da Gama"/>
    <s v="Performance Seeker"/>
    <x v="2"/>
    <n v="3.7"/>
    <s v="Delivered"/>
    <s v="Standard"/>
    <n v="4"/>
  </r>
  <r>
    <s v="ORD201938"/>
    <s v="CUST100081"/>
    <s v="Women"/>
    <s v="25-34"/>
    <x v="1067"/>
    <x v="3"/>
    <x v="16"/>
    <x v="0"/>
    <n v="9"/>
    <s v="Red"/>
    <n v="1"/>
    <n v="4599"/>
    <n v="15"/>
    <n v="3910"/>
    <n v="3910"/>
    <s v="UPI"/>
    <x v="2"/>
    <s v="India"/>
    <x v="30"/>
    <s v="Daria"/>
    <s v="Lifestyle Shopper"/>
    <x v="2"/>
    <n v="4.2"/>
    <s v="Delivered"/>
    <s v="Standard"/>
    <n v="4"/>
  </r>
  <r>
    <s v="ORD200620"/>
    <s v="CUST100430"/>
    <s v="Men"/>
    <s v="18-24"/>
    <x v="1068"/>
    <x v="1"/>
    <x v="1"/>
    <x v="1"/>
    <n v="11"/>
    <s v="White"/>
    <n v="1"/>
    <n v="8499"/>
    <n v="20"/>
    <n v="6800"/>
    <n v="6800"/>
    <s v="UPI"/>
    <x v="0"/>
    <s v="India"/>
    <x v="7"/>
    <s v="Jabalpur"/>
    <s v="Performance Seeker"/>
    <x v="1"/>
    <n v="4.3"/>
    <s v="Delivered"/>
    <s v="Standard"/>
    <n v="5"/>
  </r>
  <r>
    <s v="ORD202826"/>
    <s v="CUST100423"/>
    <s v="Unisex"/>
    <s v="35-44"/>
    <x v="1068"/>
    <x v="3"/>
    <x v="28"/>
    <x v="1"/>
    <n v="10"/>
    <s v="Green"/>
    <n v="1"/>
    <n v="4199"/>
    <n v="25"/>
    <n v="3150"/>
    <n v="3150"/>
    <s v="UPI"/>
    <x v="2"/>
    <s v="India"/>
    <x v="29"/>
    <s v="Visakhapatnam"/>
    <s v="Premium Shopper"/>
    <x v="1"/>
    <n v="3.8"/>
    <s v="Delivered"/>
    <s v="Standard"/>
    <n v="3"/>
  </r>
  <r>
    <s v="ORD201507"/>
    <s v="CUST100732"/>
    <s v="Men"/>
    <s v="18-24"/>
    <x v="1069"/>
    <x v="5"/>
    <x v="30"/>
    <x v="2"/>
    <n v="10"/>
    <s v="Black"/>
    <n v="1"/>
    <n v="5999"/>
    <n v="15"/>
    <n v="5100"/>
    <n v="5100"/>
    <s v="UPI"/>
    <x v="2"/>
    <s v="India"/>
    <x v="12"/>
    <s v="Mayabunder"/>
    <s v="Lifestyle Shopper"/>
    <x v="1"/>
    <n v="4.0999999999999996"/>
    <s v="Returned"/>
    <s v="Express"/>
    <n v="3"/>
  </r>
  <r>
    <s v="ORD201657"/>
    <s v="CUST100650"/>
    <s v="Women"/>
    <s v="45-54"/>
    <x v="1070"/>
    <x v="2"/>
    <x v="25"/>
    <x v="3"/>
    <n v="6"/>
    <s v="Green"/>
    <n v="1"/>
    <n v="6699"/>
    <n v="35"/>
    <n v="4350"/>
    <n v="4350"/>
    <s v="Cash on Delivery"/>
    <x v="2"/>
    <s v="India"/>
    <x v="24"/>
    <s v="Bengaluru"/>
    <s v="Lifestyle Shopper"/>
    <x v="0"/>
    <n v="5"/>
    <s v="Delivered"/>
    <s v="Standard"/>
    <n v="3"/>
  </r>
  <r>
    <s v="ORD200444"/>
    <s v="CUST100050"/>
    <s v="Unisex"/>
    <s v="25-34"/>
    <x v="1071"/>
    <x v="2"/>
    <x v="23"/>
    <x v="0"/>
    <n v="7"/>
    <s v="Grey"/>
    <n v="1"/>
    <n v="6799"/>
    <n v="0"/>
    <n v="6800"/>
    <n v="6800"/>
    <s v="Debit/Credit Card"/>
    <x v="0"/>
    <s v="India"/>
    <x v="25"/>
    <s v="Srinagar"/>
    <s v="Performance Seeker"/>
    <x v="2"/>
    <n v="3.4"/>
    <s v="Delivered"/>
    <s v="Express"/>
    <n v="2"/>
  </r>
  <r>
    <s v="ORD201193"/>
    <s v="CUST100129"/>
    <s v="Men"/>
    <s v="55+"/>
    <x v="1071"/>
    <x v="5"/>
    <x v="14"/>
    <x v="3"/>
    <n v="10"/>
    <s v="Grey"/>
    <n v="1"/>
    <n v="9599"/>
    <n v="20"/>
    <n v="7680"/>
    <n v="7680"/>
    <s v="UPI"/>
    <x v="2"/>
    <s v="India"/>
    <x v="6"/>
    <s v="Noida"/>
    <s v="Comfort Shopper"/>
    <x v="1"/>
    <n v="3.4"/>
    <s v="Delivered"/>
    <s v="Standard"/>
    <n v="2"/>
  </r>
  <r>
    <s v="ORD201602"/>
    <s v="CUST100273"/>
    <s v="Women"/>
    <s v="18-24"/>
    <x v="1072"/>
    <x v="2"/>
    <x v="25"/>
    <x v="3"/>
    <n v="6"/>
    <s v="Green"/>
    <n v="1"/>
    <n v="6599"/>
    <n v="5"/>
    <n v="6270"/>
    <n v="6270"/>
    <s v="Debit/Credit Card"/>
    <x v="0"/>
    <s v="India"/>
    <x v="33"/>
    <s v="Mumbai"/>
    <s v="Value Shopper"/>
    <x v="1"/>
    <n v="4"/>
    <s v="Delivered"/>
    <s v="Standard"/>
    <n v="4"/>
  </r>
  <r>
    <s v="ORD201676"/>
    <s v="CUST100164"/>
    <s v="Men"/>
    <s v="45-54"/>
    <x v="1072"/>
    <x v="1"/>
    <x v="12"/>
    <x v="4"/>
    <n v="9"/>
    <s v="Blue"/>
    <n v="1"/>
    <n v="4099"/>
    <n v="15"/>
    <n v="3480"/>
    <n v="3480"/>
    <s v="UPI"/>
    <x v="2"/>
    <s v="India"/>
    <x v="25"/>
    <s v="Srinagar"/>
    <s v="Premium Shopper"/>
    <x v="1"/>
    <n v="3.8"/>
    <s v="Returned"/>
    <s v="Standard"/>
    <n v="5"/>
  </r>
  <r>
    <s v="ORD202969"/>
    <s v="CUST101033"/>
    <s v="Men"/>
    <s v="18-24"/>
    <x v="1073"/>
    <x v="1"/>
    <x v="1"/>
    <x v="1"/>
    <n v="6"/>
    <s v="White"/>
    <n v="2"/>
    <n v="3599"/>
    <n v="25"/>
    <n v="2700"/>
    <n v="5400"/>
    <s v="UPI"/>
    <x v="2"/>
    <s v="India"/>
    <x v="29"/>
    <s v="Vijayawada"/>
    <s v="Premium Shopper"/>
    <x v="0"/>
    <n v="3.6"/>
    <s v="Returned"/>
    <s v="Standard"/>
    <n v="3"/>
  </r>
  <r>
    <s v="ORD202452"/>
    <s v="CUST100090"/>
    <s v="Women"/>
    <s v="35-44"/>
    <x v="1074"/>
    <x v="5"/>
    <x v="27"/>
    <x v="0"/>
    <n v="6"/>
    <s v="Blue"/>
    <n v="2"/>
    <n v="9499"/>
    <n v="15"/>
    <n v="8070"/>
    <n v="16140"/>
    <s v="Debit/Credit Card"/>
    <x v="1"/>
    <s v="India"/>
    <x v="12"/>
    <s v="Port Blair"/>
    <s v="Lifestyle Shopper"/>
    <x v="1"/>
    <n v="3.4"/>
    <s v="Returned"/>
    <s v="Express"/>
    <n v="3"/>
  </r>
  <r>
    <s v="ORD202926"/>
    <s v="CUST100044"/>
    <s v="Women"/>
    <s v="35-44"/>
    <x v="1074"/>
    <x v="4"/>
    <x v="22"/>
    <x v="0"/>
    <n v="10"/>
    <s v="Black"/>
    <n v="2"/>
    <n v="8599"/>
    <n v="10"/>
    <n v="7740"/>
    <n v="15480"/>
    <s v="UPI"/>
    <x v="0"/>
    <s v="India"/>
    <x v="33"/>
    <s v="Mumbai"/>
    <s v="Comfort Shopper"/>
    <x v="2"/>
    <n v="4.9000000000000004"/>
    <s v="Delivered"/>
    <s v="Express"/>
    <n v="2"/>
  </r>
  <r>
    <s v="ORD200026"/>
    <s v="CUST100078"/>
    <s v="Men"/>
    <s v="18-24"/>
    <x v="1075"/>
    <x v="3"/>
    <x v="28"/>
    <x v="1"/>
    <n v="10"/>
    <s v="Black"/>
    <n v="1"/>
    <n v="8199"/>
    <n v="15"/>
    <n v="6970"/>
    <n v="6970"/>
    <s v="UPI"/>
    <x v="1"/>
    <s v="India"/>
    <x v="30"/>
    <s v="Daria"/>
    <s v="Comfort Shopper"/>
    <x v="1"/>
    <n v="3.7"/>
    <s v="Delivered"/>
    <s v="Express"/>
    <n v="2"/>
  </r>
  <r>
    <s v="ORD200586"/>
    <s v="CUST100928"/>
    <s v="Men"/>
    <s v="35-44"/>
    <x v="1075"/>
    <x v="5"/>
    <x v="7"/>
    <x v="1"/>
    <n v="7"/>
    <s v="Grey"/>
    <n v="1"/>
    <n v="8399"/>
    <n v="30"/>
    <n v="5880"/>
    <n v="5880"/>
    <s v="UPI"/>
    <x v="1"/>
    <s v="India"/>
    <x v="1"/>
    <s v="Mapusa"/>
    <s v="Lifestyle Shopper"/>
    <x v="1"/>
    <n v="4.7"/>
    <s v="Delivered"/>
    <s v="Same Day"/>
    <n v="1"/>
  </r>
  <r>
    <s v="ORD200324"/>
    <s v="CUST101031"/>
    <s v="Men"/>
    <s v="35-44"/>
    <x v="1076"/>
    <x v="3"/>
    <x v="5"/>
    <x v="2"/>
    <n v="11"/>
    <s v="Red"/>
    <n v="2"/>
    <n v="7599"/>
    <n v="15"/>
    <n v="6460"/>
    <n v="12920"/>
    <s v="Debit/Credit Card"/>
    <x v="1"/>
    <s v="India"/>
    <x v="30"/>
    <s v="Chandigarh"/>
    <s v="Comfort Shopper"/>
    <x v="0"/>
    <n v="3.2"/>
    <s v="Returned"/>
    <s v="Express"/>
    <n v="1"/>
  </r>
  <r>
    <s v="ORD203072"/>
    <s v="CUST100008"/>
    <s v="Unisex"/>
    <s v="25-34"/>
    <x v="1076"/>
    <x v="3"/>
    <x v="35"/>
    <x v="2"/>
    <n v="11"/>
    <s v="Blue"/>
    <n v="3"/>
    <n v="5499"/>
    <n v="20"/>
    <n v="4400"/>
    <n v="13200"/>
    <s v="UPI"/>
    <x v="2"/>
    <s v="India"/>
    <x v="7"/>
    <s v="Bhopal"/>
    <s v="Lifestyle Shopper"/>
    <x v="0"/>
    <n v="4.2"/>
    <s v="Delivered"/>
    <s v="Standard"/>
    <n v="5"/>
  </r>
  <r>
    <s v="ORD200263"/>
    <s v="CUST100592"/>
    <s v="Women"/>
    <s v="35-44"/>
    <x v="1077"/>
    <x v="5"/>
    <x v="15"/>
    <x v="4"/>
    <n v="7"/>
    <s v="White"/>
    <n v="1"/>
    <n v="4999"/>
    <n v="30"/>
    <n v="3500"/>
    <n v="3500"/>
    <s v="UPI"/>
    <x v="1"/>
    <s v="India"/>
    <x v="7"/>
    <s v="Indore"/>
    <s v="Premium Shopper"/>
    <x v="1"/>
    <n v="3.5"/>
    <s v="Delivered"/>
    <s v="Standard"/>
    <n v="2"/>
  </r>
  <r>
    <s v="ORD201022"/>
    <s v="CUST100543"/>
    <s v="Men"/>
    <s v="18-24"/>
    <x v="1077"/>
    <x v="4"/>
    <x v="6"/>
    <x v="2"/>
    <n v="11"/>
    <s v="White"/>
    <n v="1"/>
    <n v="6399"/>
    <n v="5"/>
    <n v="6080"/>
    <n v="6080"/>
    <s v="UPI"/>
    <x v="1"/>
    <s v="India"/>
    <x v="14"/>
    <s v="Jalandhar"/>
    <s v="Value Shopper"/>
    <x v="2"/>
    <n v="3.6"/>
    <s v="Delivered"/>
    <s v="Express"/>
    <n v="2"/>
  </r>
  <r>
    <s v="ORD201219"/>
    <s v="CUST100960"/>
    <s v="Unisex"/>
    <s v="35-44"/>
    <x v="1078"/>
    <x v="4"/>
    <x v="22"/>
    <x v="0"/>
    <n v="9"/>
    <s v="Black"/>
    <n v="1"/>
    <n v="5099"/>
    <n v="35"/>
    <n v="3310"/>
    <n v="3310"/>
    <s v="Debit/Credit Card"/>
    <x v="1"/>
    <s v="India"/>
    <x v="5"/>
    <s v="Thoubal"/>
    <s v="Comfort Shopper"/>
    <x v="0"/>
    <n v="3.8"/>
    <s v="Cancelled"/>
    <s v="Standard"/>
    <n v="2"/>
  </r>
  <r>
    <s v="ORD202579"/>
    <s v="CUST100889"/>
    <s v="Men"/>
    <s v="35-44"/>
    <x v="1079"/>
    <x v="4"/>
    <x v="22"/>
    <x v="0"/>
    <n v="7"/>
    <s v="Black"/>
    <n v="2"/>
    <n v="7199"/>
    <n v="15"/>
    <n v="6120"/>
    <n v="12240"/>
    <s v="UPI"/>
    <x v="0"/>
    <s v="India"/>
    <x v="22"/>
    <s v="Udaipur"/>
    <s v="Performance Seeker"/>
    <x v="1"/>
    <n v="3.6"/>
    <s v="Delivered"/>
    <s v="Standard"/>
    <n v="6"/>
  </r>
  <r>
    <s v="ORD202406"/>
    <s v="CUST100831"/>
    <s v="Women"/>
    <s v="45-54"/>
    <x v="1080"/>
    <x v="5"/>
    <x v="27"/>
    <x v="0"/>
    <n v="9"/>
    <s v="Green"/>
    <n v="1"/>
    <n v="9699"/>
    <n v="20"/>
    <n v="7760"/>
    <n v="7760"/>
    <s v="Debit/Credit Card"/>
    <x v="2"/>
    <s v="India"/>
    <x v="16"/>
    <s v="Rajkot"/>
    <s v="Performance Seeker"/>
    <x v="1"/>
    <n v="4"/>
    <s v="Delivered"/>
    <s v="Standard"/>
    <n v="3"/>
  </r>
  <r>
    <s v="ORD200535"/>
    <s v="CUST100215"/>
    <s v="Men"/>
    <s v="45-54"/>
    <x v="1081"/>
    <x v="3"/>
    <x v="34"/>
    <x v="3"/>
    <n v="9"/>
    <s v="Black"/>
    <n v="2"/>
    <n v="5999"/>
    <n v="30"/>
    <n v="4200"/>
    <n v="8400"/>
    <s v="Debit/Credit Card"/>
    <x v="0"/>
    <s v="India"/>
    <x v="5"/>
    <s v="Kakching"/>
    <s v="Comfort Shopper"/>
    <x v="2"/>
    <n v="4.7"/>
    <s v="Delivered"/>
    <s v="Express"/>
    <n v="2"/>
  </r>
  <r>
    <s v="ORD202670"/>
    <s v="CUST100859"/>
    <s v="Men"/>
    <s v="35-44"/>
    <x v="1081"/>
    <x v="0"/>
    <x v="8"/>
    <x v="3"/>
    <n v="8"/>
    <s v="Black"/>
    <n v="4"/>
    <n v="7599"/>
    <n v="10"/>
    <n v="6840"/>
    <n v="27360"/>
    <s v="UPI"/>
    <x v="0"/>
    <s v="India"/>
    <x v="32"/>
    <s v="Jamshedpur"/>
    <s v="Value Shopper"/>
    <x v="1"/>
    <n v="3.6"/>
    <s v="Cancelled"/>
    <s v="Express"/>
    <n v="3"/>
  </r>
  <r>
    <s v="ORD201661"/>
    <s v="CUST101018"/>
    <s v="Men"/>
    <s v="18-24"/>
    <x v="1082"/>
    <x v="1"/>
    <x v="10"/>
    <x v="3"/>
    <n v="10"/>
    <s v="Black"/>
    <n v="1"/>
    <n v="9499"/>
    <n v="35"/>
    <n v="6170"/>
    <n v="6170"/>
    <s v="UPI"/>
    <x v="1"/>
    <s v="India"/>
    <x v="0"/>
    <s v="Guwahati"/>
    <s v="Lifestyle Shopper"/>
    <x v="1"/>
    <n v="5"/>
    <s v="Delivered"/>
    <s v="Standard"/>
    <n v="5"/>
  </r>
  <r>
    <s v="ORD202603"/>
    <s v="CUST101004"/>
    <s v="Men"/>
    <s v="25-34"/>
    <x v="1082"/>
    <x v="3"/>
    <x v="11"/>
    <x v="4"/>
    <n v="10"/>
    <s v="Grey"/>
    <n v="1"/>
    <n v="7099"/>
    <n v="20"/>
    <n v="5680"/>
    <n v="5680"/>
    <s v="UPI"/>
    <x v="1"/>
    <s v="India"/>
    <x v="2"/>
    <s v="Hisar"/>
    <s v="Lifestyle Shopper"/>
    <x v="1"/>
    <n v="4.3"/>
    <s v="Cancelled"/>
    <s v="Express"/>
    <n v="2"/>
  </r>
  <r>
    <s v="ORD200286"/>
    <s v="CUST100661"/>
    <s v="Women"/>
    <s v="25-34"/>
    <x v="1083"/>
    <x v="0"/>
    <x v="8"/>
    <x v="3"/>
    <n v="9"/>
    <s v="Red"/>
    <n v="1"/>
    <n v="6399"/>
    <n v="15"/>
    <n v="5440"/>
    <n v="5440"/>
    <s v="Debit/Credit Card"/>
    <x v="0"/>
    <s v="India"/>
    <x v="1"/>
    <s v="Vasco da Gama"/>
    <s v="Comfort Shopper"/>
    <x v="1"/>
    <n v="3.9"/>
    <s v="Delivered"/>
    <s v="Standard"/>
    <n v="3"/>
  </r>
  <r>
    <s v="ORD200669"/>
    <s v="CUST100754"/>
    <s v="Men"/>
    <s v="45-54"/>
    <x v="1083"/>
    <x v="2"/>
    <x v="4"/>
    <x v="2"/>
    <n v="9"/>
    <s v="Blue"/>
    <n v="1"/>
    <n v="5199"/>
    <n v="15"/>
    <n v="4420"/>
    <n v="4420"/>
    <s v="UPI"/>
    <x v="1"/>
    <s v="India"/>
    <x v="23"/>
    <s v="Dehradun"/>
    <s v="Premium Shopper"/>
    <x v="0"/>
    <n v="4"/>
    <s v="Delivered"/>
    <s v="Standard"/>
    <n v="5"/>
  </r>
  <r>
    <s v="ORD201771"/>
    <s v="CUST100283"/>
    <s v="Men"/>
    <s v="35-44"/>
    <x v="1084"/>
    <x v="5"/>
    <x v="27"/>
    <x v="0"/>
    <n v="11"/>
    <s v="Red"/>
    <n v="2"/>
    <n v="9299"/>
    <n v="20"/>
    <n v="7440"/>
    <n v="14880"/>
    <s v="UPI"/>
    <x v="2"/>
    <s v="India"/>
    <x v="31"/>
    <s v="Madurai"/>
    <s v="Comfort Shopper"/>
    <x v="2"/>
    <n v="4.0999999999999996"/>
    <s v="Delivered"/>
    <s v="Express"/>
    <n v="3"/>
  </r>
  <r>
    <s v="ORD201931"/>
    <s v="CUST100680"/>
    <s v="Men"/>
    <s v="18-24"/>
    <x v="1084"/>
    <x v="4"/>
    <x v="22"/>
    <x v="0"/>
    <n v="8"/>
    <s v="Red"/>
    <n v="2"/>
    <n v="9999"/>
    <n v="30"/>
    <n v="7000"/>
    <n v="14000"/>
    <s v="UPI"/>
    <x v="2"/>
    <s v="India"/>
    <x v="34"/>
    <s v="Asansol"/>
    <s v="Comfort Shopper"/>
    <x v="1"/>
    <n v="4.5999999999999996"/>
    <s v="Cancelled"/>
    <s v="Express"/>
    <n v="4"/>
  </r>
  <r>
    <s v="ORD201750"/>
    <s v="CUST100562"/>
    <s v="Women"/>
    <s v="25-34"/>
    <x v="1085"/>
    <x v="3"/>
    <x v="16"/>
    <x v="0"/>
    <n v="6"/>
    <s v="Blue"/>
    <n v="2"/>
    <n v="5699"/>
    <n v="25"/>
    <n v="4270"/>
    <n v="8540"/>
    <s v="Debit/Credit Card"/>
    <x v="1"/>
    <s v="India"/>
    <x v="13"/>
    <s v="Tawang"/>
    <s v="Performance Seeker"/>
    <x v="1"/>
    <n v="5"/>
    <s v="Delivered"/>
    <s v="Standard"/>
    <n v="3"/>
  </r>
  <r>
    <s v="ORD202656"/>
    <s v="CUST100533"/>
    <s v="Unisex"/>
    <s v="35-44"/>
    <x v="1085"/>
    <x v="1"/>
    <x v="12"/>
    <x v="4"/>
    <n v="9"/>
    <s v="Black"/>
    <n v="2"/>
    <n v="4899"/>
    <n v="15"/>
    <n v="4160"/>
    <n v="8320"/>
    <s v="UPI"/>
    <x v="2"/>
    <s v="India"/>
    <x v="2"/>
    <s v="Gurugram"/>
    <s v="Value Shopper"/>
    <x v="1"/>
    <n v="4.7"/>
    <s v="Delivered"/>
    <s v="Express"/>
    <n v="2"/>
  </r>
  <r>
    <s v="ORD201218"/>
    <s v="CUST100154"/>
    <s v="Men"/>
    <s v="35-44"/>
    <x v="1086"/>
    <x v="5"/>
    <x v="14"/>
    <x v="3"/>
    <n v="8"/>
    <s v="Black"/>
    <n v="1"/>
    <n v="5399"/>
    <n v="15"/>
    <n v="4590"/>
    <n v="4590"/>
    <s v="UPI"/>
    <x v="0"/>
    <s v="India"/>
    <x v="11"/>
    <s v="Agatti"/>
    <s v="Performance Seeker"/>
    <x v="0"/>
    <n v="4.5999999999999996"/>
    <s v="Delivered"/>
    <s v="Express"/>
    <n v="2"/>
  </r>
  <r>
    <s v="ORD201242"/>
    <s v="CUST100578"/>
    <s v="Men"/>
    <s v="25-34"/>
    <x v="1086"/>
    <x v="0"/>
    <x v="2"/>
    <x v="2"/>
    <n v="9"/>
    <s v="Blue"/>
    <n v="3"/>
    <n v="6599"/>
    <n v="15"/>
    <n v="5610"/>
    <n v="16830"/>
    <s v="Debit/Credit Card"/>
    <x v="1"/>
    <s v="India"/>
    <x v="10"/>
    <s v="Amli"/>
    <s v="Premium Shopper"/>
    <x v="1"/>
    <n v="4.7"/>
    <s v="Cancelled"/>
    <s v="Same Day"/>
    <n v="1"/>
  </r>
  <r>
    <s v="ORD202857"/>
    <s v="CUST100436"/>
    <s v="Men"/>
    <s v="55+"/>
    <x v="1086"/>
    <x v="4"/>
    <x v="6"/>
    <x v="2"/>
    <n v="7"/>
    <s v="Black"/>
    <n v="1"/>
    <n v="8699"/>
    <n v="10"/>
    <n v="7830"/>
    <n v="7830"/>
    <s v="UPI"/>
    <x v="0"/>
    <s v="India"/>
    <x v="27"/>
    <s v="Berhampur"/>
    <s v="Value Shopper"/>
    <x v="1"/>
    <n v="3.9"/>
    <s v="Delivered"/>
    <s v="Standard"/>
    <n v="5"/>
  </r>
  <r>
    <s v="ORD201427"/>
    <s v="CUST100233"/>
    <s v="Men"/>
    <s v="25-34"/>
    <x v="1087"/>
    <x v="5"/>
    <x v="15"/>
    <x v="4"/>
    <n v="8"/>
    <s v="Blue"/>
    <n v="1"/>
    <n v="4799"/>
    <n v="10"/>
    <n v="4320"/>
    <n v="4320"/>
    <s v="UPI"/>
    <x v="2"/>
    <s v="India"/>
    <x v="8"/>
    <s v="Karimnagar"/>
    <s v="Performance Seeker"/>
    <x v="2"/>
    <n v="4.5999999999999996"/>
    <s v="Delivered"/>
    <s v="Standard"/>
    <n v="3"/>
  </r>
  <r>
    <s v="ORD201413"/>
    <s v="CUST100959"/>
    <s v="Women"/>
    <s v="18-24"/>
    <x v="1088"/>
    <x v="5"/>
    <x v="14"/>
    <x v="3"/>
    <n v="8"/>
    <s v="Blue"/>
    <n v="1"/>
    <n v="4499"/>
    <n v="15"/>
    <n v="3820"/>
    <n v="3820"/>
    <s v="UPI"/>
    <x v="2"/>
    <s v="India"/>
    <x v="18"/>
    <s v="Bilaspur"/>
    <s v="Value Shopper"/>
    <x v="1"/>
    <n v="3.7"/>
    <s v="Returned"/>
    <s v="Standard"/>
    <n v="4"/>
  </r>
  <r>
    <s v="ORD200438"/>
    <s v="CUST100499"/>
    <s v="Women"/>
    <s v="35-44"/>
    <x v="1089"/>
    <x v="1"/>
    <x v="20"/>
    <x v="2"/>
    <n v="9"/>
    <s v="White"/>
    <n v="1"/>
    <n v="5699"/>
    <n v="25"/>
    <n v="4270"/>
    <n v="4270"/>
    <s v="UPI"/>
    <x v="2"/>
    <s v="India"/>
    <x v="2"/>
    <s v="Gurugram"/>
    <s v="Comfort Shopper"/>
    <x v="2"/>
    <n v="3.8"/>
    <s v="Returned"/>
    <s v="Standard"/>
    <n v="6"/>
  </r>
  <r>
    <s v="ORD202779"/>
    <s v="CUST100477"/>
    <s v="Women"/>
    <s v="18-24"/>
    <x v="1089"/>
    <x v="2"/>
    <x v="24"/>
    <x v="4"/>
    <n v="8"/>
    <s v="Black"/>
    <n v="1"/>
    <n v="2899"/>
    <n v="20"/>
    <n v="2320"/>
    <n v="2320"/>
    <s v="UPI"/>
    <x v="1"/>
    <s v="India"/>
    <x v="16"/>
    <s v="Vadodara"/>
    <s v="Performance Seeker"/>
    <x v="1"/>
    <n v="4.8"/>
    <s v="Returned"/>
    <s v="Standard"/>
    <n v="2"/>
  </r>
  <r>
    <s v="ORD202687"/>
    <s v="CUST100335"/>
    <s v="Women"/>
    <s v="35-44"/>
    <x v="1090"/>
    <x v="3"/>
    <x v="28"/>
    <x v="1"/>
    <n v="9"/>
    <s v="Black"/>
    <n v="1"/>
    <n v="5299"/>
    <n v="20"/>
    <n v="4240"/>
    <n v="4240"/>
    <s v="UPI"/>
    <x v="2"/>
    <s v="India"/>
    <x v="24"/>
    <s v="Mangaluru"/>
    <s v="Performance Seeker"/>
    <x v="2"/>
    <n v="3.8"/>
    <s v="Delivered"/>
    <s v="Express"/>
    <n v="1"/>
  </r>
  <r>
    <s v="ORD202822"/>
    <s v="CUST100771"/>
    <s v="Unisex"/>
    <s v="25-34"/>
    <x v="1090"/>
    <x v="1"/>
    <x v="20"/>
    <x v="2"/>
    <n v="9"/>
    <s v="Green"/>
    <n v="1"/>
    <n v="9499"/>
    <n v="0"/>
    <n v="9500"/>
    <n v="9500"/>
    <s v="UPI"/>
    <x v="2"/>
    <s v="India"/>
    <x v="34"/>
    <s v="Asansol"/>
    <s v="Premium Shopper"/>
    <x v="0"/>
    <n v="4.8"/>
    <s v="Delivered"/>
    <s v="Standard"/>
    <n v="5"/>
  </r>
  <r>
    <s v="ORD203040"/>
    <s v="CUST100786"/>
    <s v="Men"/>
    <s v="55+"/>
    <x v="1090"/>
    <x v="3"/>
    <x v="35"/>
    <x v="2"/>
    <n v="6"/>
    <s v="Red"/>
    <n v="2"/>
    <n v="7399"/>
    <n v="5"/>
    <n v="7030"/>
    <n v="14060"/>
    <s v="UPI"/>
    <x v="0"/>
    <s v="India"/>
    <x v="6"/>
    <s v="Kanpur"/>
    <s v="Value Shopper"/>
    <x v="1"/>
    <n v="3.5"/>
    <s v="Returned"/>
    <s v="Standard"/>
    <n v="4"/>
  </r>
  <r>
    <s v="ORD200987"/>
    <s v="CUST100047"/>
    <s v="Men"/>
    <s v="25-34"/>
    <x v="1091"/>
    <x v="2"/>
    <x v="25"/>
    <x v="3"/>
    <n v="7"/>
    <s v="Blue"/>
    <n v="1"/>
    <n v="4799"/>
    <n v="10"/>
    <n v="4320"/>
    <n v="4320"/>
    <s v="Debit/Credit Card"/>
    <x v="1"/>
    <s v="India"/>
    <x v="31"/>
    <s v="Chennai"/>
    <s v="Comfort Shopper"/>
    <x v="0"/>
    <n v="3.7"/>
    <s v="Delivered"/>
    <s v="Standard"/>
    <n v="5"/>
  </r>
  <r>
    <s v="ORD202576"/>
    <s v="CUST100212"/>
    <s v="Men"/>
    <s v="25-34"/>
    <x v="1091"/>
    <x v="0"/>
    <x v="31"/>
    <x v="1"/>
    <n v="12"/>
    <s v="Grey"/>
    <n v="2"/>
    <n v="7499"/>
    <n v="15"/>
    <n v="6370"/>
    <n v="12740"/>
    <s v="Debit/Credit Card"/>
    <x v="1"/>
    <s v="India"/>
    <x v="8"/>
    <s v="Nizamabad"/>
    <s v="Performance Seeker"/>
    <x v="0"/>
    <n v="5"/>
    <s v="Delivered"/>
    <s v="Standard"/>
    <n v="2"/>
  </r>
  <r>
    <s v="ORD203029"/>
    <s v="CUST100672"/>
    <s v="Men"/>
    <s v="18-24"/>
    <x v="1091"/>
    <x v="2"/>
    <x v="3"/>
    <x v="2"/>
    <n v="8"/>
    <s v="Black"/>
    <n v="1"/>
    <n v="6999"/>
    <n v="10"/>
    <n v="6300"/>
    <n v="6300"/>
    <s v="UPI"/>
    <x v="2"/>
    <s v="India"/>
    <x v="21"/>
    <s v="Mokokchung"/>
    <s v="Value Shopper"/>
    <x v="1"/>
    <n v="4.5999999999999996"/>
    <s v="Delivered"/>
    <s v="Express"/>
    <n v="2"/>
  </r>
  <r>
    <s v="ORD202701"/>
    <s v="CUST100111"/>
    <s v="Women"/>
    <s v="45-54"/>
    <x v="1092"/>
    <x v="4"/>
    <x v="22"/>
    <x v="0"/>
    <n v="8"/>
    <s v="Grey"/>
    <n v="1"/>
    <n v="7799"/>
    <n v="10"/>
    <n v="7020"/>
    <n v="7020"/>
    <s v="UPI"/>
    <x v="0"/>
    <s v="India"/>
    <x v="1"/>
    <s v="Panaji"/>
    <s v="Lifestyle Shopper"/>
    <x v="1"/>
    <n v="3"/>
    <s v="Delivered"/>
    <s v="Same Day"/>
    <n v="1"/>
  </r>
  <r>
    <s v="ORD202862"/>
    <s v="CUST100481"/>
    <s v="Women"/>
    <s v="18-24"/>
    <x v="1092"/>
    <x v="5"/>
    <x v="14"/>
    <x v="3"/>
    <n v="9"/>
    <s v="Grey"/>
    <n v="1"/>
    <n v="7299"/>
    <n v="20"/>
    <n v="5840"/>
    <n v="5840"/>
    <s v="Cash on Delivery"/>
    <x v="1"/>
    <s v="India"/>
    <x v="30"/>
    <s v="Burail"/>
    <s v="Value Shopper"/>
    <x v="1"/>
    <n v="4.7"/>
    <s v="Delivered"/>
    <s v="Standard"/>
    <n v="3"/>
  </r>
  <r>
    <s v="ORD201721"/>
    <s v="CUST100111"/>
    <s v="Men"/>
    <s v="18-24"/>
    <x v="1093"/>
    <x v="2"/>
    <x v="24"/>
    <x v="4"/>
    <n v="7"/>
    <s v="Black"/>
    <n v="4"/>
    <n v="7099"/>
    <n v="10"/>
    <n v="6390"/>
    <n v="25560"/>
    <s v="UPI"/>
    <x v="2"/>
    <s v="India"/>
    <x v="20"/>
    <s v="Mandi"/>
    <s v="Performance Seeker"/>
    <x v="2"/>
    <n v="3.9"/>
    <s v="Delivered"/>
    <s v="Standard"/>
    <n v="5"/>
  </r>
  <r>
    <s v="ORD201751"/>
    <s v="CUST100664"/>
    <s v="Unisex"/>
    <s v="35-44"/>
    <x v="1093"/>
    <x v="4"/>
    <x v="9"/>
    <x v="1"/>
    <n v="9"/>
    <s v="Black"/>
    <n v="1"/>
    <n v="5299"/>
    <n v="10"/>
    <n v="4770"/>
    <n v="4770"/>
    <s v="Debit/Credit Card"/>
    <x v="1"/>
    <s v="India"/>
    <x v="35"/>
    <s v="Kolasib"/>
    <s v="Premium Shopper"/>
    <x v="2"/>
    <n v="3.3"/>
    <s v="Delivered"/>
    <s v="Same Day"/>
    <n v="2"/>
  </r>
  <r>
    <s v="ORD200248"/>
    <s v="CUST101013"/>
    <s v="Unisex"/>
    <s v="55+"/>
    <x v="1094"/>
    <x v="2"/>
    <x v="32"/>
    <x v="1"/>
    <n v="9"/>
    <s v="Blue"/>
    <n v="1"/>
    <n v="6699"/>
    <n v="10"/>
    <n v="6030"/>
    <n v="6030"/>
    <s v="UPI"/>
    <x v="0"/>
    <s v="India"/>
    <x v="14"/>
    <s v="Jalandhar"/>
    <s v="Comfort Shopper"/>
    <x v="1"/>
    <n v="3.9"/>
    <s v="Returned"/>
    <s v="Express"/>
    <n v="3"/>
  </r>
  <r>
    <s v="ORD202160"/>
    <s v="CUST100123"/>
    <s v="Women"/>
    <s v="35-44"/>
    <x v="1094"/>
    <x v="3"/>
    <x v="11"/>
    <x v="4"/>
    <n v="7"/>
    <s v="Black"/>
    <n v="1"/>
    <n v="6299"/>
    <n v="5"/>
    <n v="5980"/>
    <n v="5980"/>
    <s v="Debit/Credit Card"/>
    <x v="1"/>
    <s v="India"/>
    <x v="20"/>
    <s v="Solan"/>
    <s v="Lifestyle Shopper"/>
    <x v="1"/>
    <n v="3.3"/>
    <s v="Delivered"/>
    <s v="Express"/>
    <n v="4"/>
  </r>
  <r>
    <s v="ORD200990"/>
    <s v="CUST100418"/>
    <s v="Men"/>
    <s v="25-34"/>
    <x v="1095"/>
    <x v="4"/>
    <x v="29"/>
    <x v="2"/>
    <n v="8"/>
    <s v="White"/>
    <n v="2"/>
    <n v="9299"/>
    <n v="15"/>
    <n v="7900"/>
    <n v="15800"/>
    <s v="UPI"/>
    <x v="2"/>
    <s v="India"/>
    <x v="33"/>
    <s v="Nashik"/>
    <s v="Comfort Shopper"/>
    <x v="1"/>
    <n v="3.5"/>
    <s v="Delivered"/>
    <s v="Standard"/>
    <n v="3"/>
  </r>
  <r>
    <s v="ORD201950"/>
    <s v="CUST100471"/>
    <s v="Unisex"/>
    <s v="55+"/>
    <x v="1095"/>
    <x v="1"/>
    <x v="12"/>
    <x v="4"/>
    <n v="7"/>
    <s v="Green"/>
    <n v="1"/>
    <n v="6599"/>
    <n v="10"/>
    <n v="5940"/>
    <n v="5940"/>
    <s v="Debit/Credit Card"/>
    <x v="1"/>
    <s v="India"/>
    <x v="0"/>
    <s v="Jorhat"/>
    <s v="Value Shopper"/>
    <x v="2"/>
    <n v="4.4000000000000004"/>
    <s v="Delivered"/>
    <s v="Standard"/>
    <n v="3"/>
  </r>
  <r>
    <s v="ORD202391"/>
    <s v="CUST100279"/>
    <s v="Unisex"/>
    <s v="18-24"/>
    <x v="1095"/>
    <x v="2"/>
    <x v="23"/>
    <x v="0"/>
    <n v="6"/>
    <s v="White"/>
    <n v="2"/>
    <n v="3399"/>
    <n v="30"/>
    <n v="2380"/>
    <n v="4760"/>
    <s v="UPI"/>
    <x v="1"/>
    <s v="India"/>
    <x v="26"/>
    <s v="Kochi"/>
    <s v="Performance Seeker"/>
    <x v="1"/>
    <n v="3.3"/>
    <s v="Cancelled"/>
    <s v="Standard"/>
    <n v="4"/>
  </r>
  <r>
    <s v="ORD203041"/>
    <s v="CUST100335"/>
    <s v="Women"/>
    <s v="25-34"/>
    <x v="1096"/>
    <x v="2"/>
    <x v="25"/>
    <x v="3"/>
    <n v="8"/>
    <s v="Green"/>
    <n v="1"/>
    <n v="8399"/>
    <n v="20"/>
    <n v="6720"/>
    <n v="6720"/>
    <s v="UPI"/>
    <x v="1"/>
    <s v="India"/>
    <x v="34"/>
    <s v="Durgapur"/>
    <s v="Performance Seeker"/>
    <x v="2"/>
    <n v="3.7"/>
    <s v="Delivered"/>
    <s v="Standard"/>
    <n v="4"/>
  </r>
  <r>
    <s v="ORD200624"/>
    <s v="CUST100983"/>
    <s v="Unisex"/>
    <s v="45-54"/>
    <x v="1097"/>
    <x v="0"/>
    <x v="0"/>
    <x v="0"/>
    <n v="12"/>
    <s v="Green"/>
    <n v="1"/>
    <n v="6899"/>
    <n v="25"/>
    <n v="5170"/>
    <n v="5170"/>
    <s v="Cash on Delivery"/>
    <x v="1"/>
    <s v="India"/>
    <x v="3"/>
    <s v="Kota"/>
    <s v="Premium Shopper"/>
    <x v="1"/>
    <n v="4.0999999999999996"/>
    <s v="Delivered"/>
    <s v="Standard"/>
    <n v="5"/>
  </r>
  <r>
    <s v="ORD202521"/>
    <s v="CUST100335"/>
    <s v="Men"/>
    <s v="35-44"/>
    <x v="1097"/>
    <x v="2"/>
    <x v="24"/>
    <x v="4"/>
    <n v="6"/>
    <s v="Red"/>
    <n v="1"/>
    <n v="3799"/>
    <n v="15"/>
    <n v="3230"/>
    <n v="3230"/>
    <s v="Debit/Credit Card"/>
    <x v="0"/>
    <s v="India"/>
    <x v="29"/>
    <s v="Tirupati"/>
    <s v="Comfort Shopper"/>
    <x v="2"/>
    <n v="3.7"/>
    <s v="Delivered"/>
    <s v="Standard"/>
    <n v="3"/>
  </r>
  <r>
    <s v="ORD203133"/>
    <s v="CUST100336"/>
    <s v="Women"/>
    <s v="18-24"/>
    <x v="1098"/>
    <x v="2"/>
    <x v="4"/>
    <x v="2"/>
    <n v="12"/>
    <s v="Black"/>
    <n v="1"/>
    <n v="3399"/>
    <n v="35"/>
    <n v="2210"/>
    <n v="2210"/>
    <s v="UPI"/>
    <x v="1"/>
    <s v="India"/>
    <x v="11"/>
    <s v="Agatti"/>
    <s v="Lifestyle Shopper"/>
    <x v="0"/>
    <n v="4.3"/>
    <s v="Returned"/>
    <s v="Standard"/>
    <n v="2"/>
  </r>
  <r>
    <s v="ORD201856"/>
    <s v="CUST100180"/>
    <s v="Women"/>
    <s v="18-24"/>
    <x v="1099"/>
    <x v="4"/>
    <x v="26"/>
    <x v="3"/>
    <n v="8"/>
    <s v="Green"/>
    <n v="1"/>
    <n v="4899"/>
    <n v="10"/>
    <n v="4410"/>
    <n v="4410"/>
    <s v="UPI"/>
    <x v="2"/>
    <s v="India"/>
    <x v="16"/>
    <s v="Surat"/>
    <s v="Performance Seeker"/>
    <x v="0"/>
    <n v="4.0999999999999996"/>
    <s v="Returned"/>
    <s v="Express"/>
    <n v="3"/>
  </r>
  <r>
    <s v="ORD202345"/>
    <s v="CUST100759"/>
    <s v="Women"/>
    <s v="35-44"/>
    <x v="1099"/>
    <x v="1"/>
    <x v="10"/>
    <x v="3"/>
    <n v="9"/>
    <s v="Blue"/>
    <n v="2"/>
    <n v="6599"/>
    <n v="0"/>
    <n v="6600"/>
    <n v="13200"/>
    <s v="UPI"/>
    <x v="2"/>
    <s v="India"/>
    <x v="3"/>
    <s v="Jaipur"/>
    <s v="Performance Seeker"/>
    <x v="2"/>
    <n v="4.4000000000000004"/>
    <s v="Delivered"/>
    <s v="Standard"/>
    <n v="3"/>
  </r>
  <r>
    <s v="ORD200069"/>
    <s v="CUST100087"/>
    <s v="Men"/>
    <s v="25-34"/>
    <x v="1100"/>
    <x v="4"/>
    <x v="17"/>
    <x v="4"/>
    <n v="7"/>
    <s v="White"/>
    <n v="3"/>
    <n v="5899"/>
    <n v="0"/>
    <n v="5900"/>
    <n v="17700"/>
    <s v="Cash on Delivery"/>
    <x v="2"/>
    <s v="India"/>
    <x v="5"/>
    <s v="Churachandpur"/>
    <s v="Lifestyle Shopper"/>
    <x v="2"/>
    <n v="3.6"/>
    <s v="Returned"/>
    <s v="Standard"/>
    <n v="6"/>
  </r>
  <r>
    <s v="ORD202480"/>
    <s v="CUST100842"/>
    <s v="Women"/>
    <s v="25-34"/>
    <x v="1101"/>
    <x v="4"/>
    <x v="26"/>
    <x v="3"/>
    <n v="10"/>
    <s v="Blue"/>
    <n v="1"/>
    <n v="6799"/>
    <n v="15"/>
    <n v="5780"/>
    <n v="5780"/>
    <s v="Net Banking"/>
    <x v="1"/>
    <s v="India"/>
    <x v="18"/>
    <s v="Korba"/>
    <s v="Performance Seeker"/>
    <x v="0"/>
    <n v="4.3"/>
    <s v="Cancelled"/>
    <s v="Express"/>
    <n v="3"/>
  </r>
  <r>
    <s v="ORD200160"/>
    <s v="CUST100047"/>
    <s v="Women"/>
    <s v="25-34"/>
    <x v="1102"/>
    <x v="3"/>
    <x v="16"/>
    <x v="0"/>
    <n v="9"/>
    <s v="Grey"/>
    <n v="1"/>
    <n v="7499"/>
    <n v="5"/>
    <n v="7120"/>
    <n v="7120"/>
    <s v="Debit/Credit Card"/>
    <x v="1"/>
    <s v="India"/>
    <x v="32"/>
    <s v="Dhanbad"/>
    <s v="Lifestyle Shopper"/>
    <x v="1"/>
    <n v="3"/>
    <s v="Cancelled"/>
    <s v="Standard"/>
    <n v="3"/>
  </r>
  <r>
    <s v="ORD201594"/>
    <s v="CUST100695"/>
    <s v="Men"/>
    <s v="25-34"/>
    <x v="1102"/>
    <x v="3"/>
    <x v="28"/>
    <x v="1"/>
    <n v="11"/>
    <s v="Grey"/>
    <n v="1"/>
    <n v="3599"/>
    <n v="0"/>
    <n v="3600"/>
    <n v="3600"/>
    <s v="UPI"/>
    <x v="0"/>
    <s v="India"/>
    <x v="26"/>
    <s v="Thiruvananthapuram"/>
    <s v="Value Shopper"/>
    <x v="1"/>
    <n v="3"/>
    <s v="Delivered"/>
    <s v="Standard"/>
    <n v="4"/>
  </r>
  <r>
    <s v="ORD202939"/>
    <s v="CUST100753"/>
    <s v="Women"/>
    <s v="45-54"/>
    <x v="1102"/>
    <x v="5"/>
    <x v="14"/>
    <x v="3"/>
    <n v="8"/>
    <s v="Blue"/>
    <n v="1"/>
    <n v="9199"/>
    <n v="15"/>
    <n v="7820"/>
    <n v="7820"/>
    <s v="UPI"/>
    <x v="1"/>
    <s v="India"/>
    <x v="28"/>
    <s v="Nubra"/>
    <s v="Comfort Shopper"/>
    <x v="0"/>
    <n v="3.3"/>
    <s v="Delivered"/>
    <s v="Standard"/>
    <n v="4"/>
  </r>
  <r>
    <s v="ORD200303"/>
    <s v="CUST100342"/>
    <s v="Men"/>
    <s v="25-34"/>
    <x v="1103"/>
    <x v="4"/>
    <x v="29"/>
    <x v="2"/>
    <n v="7"/>
    <s v="Red"/>
    <n v="1"/>
    <n v="9599"/>
    <n v="25"/>
    <n v="7200"/>
    <n v="7200"/>
    <s v="UPI"/>
    <x v="2"/>
    <s v="India"/>
    <x v="6"/>
    <s v="Lucknow"/>
    <s v="Lifestyle Shopper"/>
    <x v="2"/>
    <n v="5"/>
    <s v="Cancelled"/>
    <s v="Standard"/>
    <n v="2"/>
  </r>
  <r>
    <s v="ORD202277"/>
    <s v="CUST100016"/>
    <s v="Women"/>
    <s v="18-24"/>
    <x v="1104"/>
    <x v="5"/>
    <x v="15"/>
    <x v="4"/>
    <n v="10"/>
    <s v="Green"/>
    <n v="1"/>
    <n v="4799"/>
    <n v="5"/>
    <n v="4560"/>
    <n v="4560"/>
    <s v="UPI"/>
    <x v="2"/>
    <s v="India"/>
    <x v="20"/>
    <s v="Solan"/>
    <s v="Value Shopper"/>
    <x v="1"/>
    <n v="3.6"/>
    <s v="Delivered"/>
    <s v="Standard"/>
    <n v="2"/>
  </r>
  <r>
    <s v="ORD200281"/>
    <s v="CUST100726"/>
    <s v="Men"/>
    <s v="35-44"/>
    <x v="1105"/>
    <x v="0"/>
    <x v="0"/>
    <x v="0"/>
    <n v="6"/>
    <s v="Green"/>
    <n v="2"/>
    <n v="6899"/>
    <n v="5"/>
    <n v="6550"/>
    <n v="13100"/>
    <s v="UPI"/>
    <x v="1"/>
    <s v="India"/>
    <x v="16"/>
    <s v="Vadodara"/>
    <s v="Performance Seeker"/>
    <x v="1"/>
    <n v="3.8"/>
    <s v="Delivered"/>
    <s v="Standard"/>
    <n v="2"/>
  </r>
  <r>
    <s v="ORD200743"/>
    <s v="CUST100534"/>
    <s v="Men"/>
    <s v="35-44"/>
    <x v="1105"/>
    <x v="1"/>
    <x v="33"/>
    <x v="0"/>
    <n v="11"/>
    <s v="Green"/>
    <n v="1"/>
    <n v="6999"/>
    <n v="15"/>
    <n v="5950"/>
    <n v="5950"/>
    <s v="UPI"/>
    <x v="1"/>
    <s v="India"/>
    <x v="4"/>
    <s v="Mangan"/>
    <s v="Premium Shopper"/>
    <x v="1"/>
    <n v="4"/>
    <s v="Cancelled"/>
    <s v="Express"/>
    <n v="3"/>
  </r>
  <r>
    <s v="ORD202007"/>
    <s v="CUST100029"/>
    <s v="Women"/>
    <s v="25-34"/>
    <x v="1105"/>
    <x v="4"/>
    <x v="29"/>
    <x v="2"/>
    <n v="7"/>
    <s v="Green"/>
    <n v="1"/>
    <n v="4299"/>
    <n v="15"/>
    <n v="3650"/>
    <n v="3650"/>
    <s v="Net Banking"/>
    <x v="2"/>
    <s v="India"/>
    <x v="16"/>
    <s v="Vadodara"/>
    <s v="Performance Seeker"/>
    <x v="2"/>
    <n v="3.1"/>
    <s v="Delivered"/>
    <s v="Express"/>
    <n v="1"/>
  </r>
  <r>
    <s v="ORD202988"/>
    <s v="CUST100686"/>
    <s v="Men"/>
    <s v="55+"/>
    <x v="1105"/>
    <x v="1"/>
    <x v="10"/>
    <x v="3"/>
    <n v="9"/>
    <s v="Black"/>
    <n v="1"/>
    <n v="7599"/>
    <n v="0"/>
    <n v="7600"/>
    <n v="7600"/>
    <s v="Debit/Credit Card"/>
    <x v="0"/>
    <s v="India"/>
    <x v="5"/>
    <s v="Thoubal"/>
    <s v="Premium Shopper"/>
    <x v="1"/>
    <n v="4.2"/>
    <s v="Delivered"/>
    <s v="Standard"/>
    <n v="2"/>
  </r>
  <r>
    <s v="ORD200104"/>
    <s v="CUST100865"/>
    <s v="Women"/>
    <s v="45-54"/>
    <x v="1106"/>
    <x v="3"/>
    <x v="16"/>
    <x v="0"/>
    <n v="11"/>
    <s v="Green"/>
    <n v="1"/>
    <n v="4799"/>
    <n v="15"/>
    <n v="4080"/>
    <n v="4080"/>
    <s v="UPI"/>
    <x v="1"/>
    <s v="India"/>
    <x v="8"/>
    <s v="Warangal"/>
    <s v="Premium Shopper"/>
    <x v="1"/>
    <n v="4.5"/>
    <s v="Delivered"/>
    <s v="Standard"/>
    <n v="2"/>
  </r>
  <r>
    <s v="ORD200510"/>
    <s v="CUST100070"/>
    <s v="Women"/>
    <s v="18-24"/>
    <x v="1107"/>
    <x v="1"/>
    <x v="20"/>
    <x v="2"/>
    <n v="10"/>
    <s v="Green"/>
    <n v="1"/>
    <n v="5399"/>
    <n v="15"/>
    <n v="4590"/>
    <n v="4590"/>
    <s v="UPI"/>
    <x v="0"/>
    <s v="India"/>
    <x v="16"/>
    <s v="Rajkot"/>
    <s v="Performance Seeker"/>
    <x v="2"/>
    <n v="4.9000000000000004"/>
    <s v="Delivered"/>
    <s v="Same Day"/>
    <n v="1"/>
  </r>
  <r>
    <s v="ORD202307"/>
    <s v="CUST100809"/>
    <s v="Unisex"/>
    <s v="25-34"/>
    <x v="1108"/>
    <x v="2"/>
    <x v="25"/>
    <x v="3"/>
    <n v="10"/>
    <s v="Green"/>
    <n v="1"/>
    <n v="8199"/>
    <n v="15"/>
    <n v="6970"/>
    <n v="6970"/>
    <s v="UPI"/>
    <x v="2"/>
    <s v="India"/>
    <x v="16"/>
    <s v="Ahmedabad"/>
    <s v="Lifestyle Shopper"/>
    <x v="0"/>
    <n v="3.2"/>
    <s v="Delivered"/>
    <s v="Standard"/>
    <n v="3"/>
  </r>
  <r>
    <s v="ORD202387"/>
    <s v="CUST100269"/>
    <s v="Unisex"/>
    <s v="35-44"/>
    <x v="1109"/>
    <x v="5"/>
    <x v="27"/>
    <x v="0"/>
    <n v="10"/>
    <s v="White"/>
    <n v="1"/>
    <n v="7799"/>
    <n v="10"/>
    <n v="7020"/>
    <n v="7020"/>
    <s v="UPI"/>
    <x v="0"/>
    <s v="India"/>
    <x v="28"/>
    <s v="Leh"/>
    <s v="Value Shopper"/>
    <x v="2"/>
    <n v="3.9"/>
    <s v="Returned"/>
    <s v="Standard"/>
    <n v="4"/>
  </r>
  <r>
    <s v="ORD200110"/>
    <s v="CUST100316"/>
    <s v="Women"/>
    <s v="25-34"/>
    <x v="1110"/>
    <x v="3"/>
    <x v="34"/>
    <x v="3"/>
    <n v="8"/>
    <s v="Green"/>
    <n v="1"/>
    <n v="6899"/>
    <n v="20"/>
    <n v="5520"/>
    <n v="5520"/>
    <s v="UPI"/>
    <x v="1"/>
    <s v="India"/>
    <x v="8"/>
    <s v="Warangal"/>
    <s v="Lifestyle Shopper"/>
    <x v="2"/>
    <n v="4.0999999999999996"/>
    <s v="Delivered"/>
    <s v="Standard"/>
    <n v="3"/>
  </r>
  <r>
    <s v="ORD200287"/>
    <s v="CUST100708"/>
    <s v="Men"/>
    <s v="25-34"/>
    <x v="1110"/>
    <x v="3"/>
    <x v="11"/>
    <x v="4"/>
    <n v="10"/>
    <s v="Green"/>
    <n v="1"/>
    <n v="3699"/>
    <n v="10"/>
    <n v="3330"/>
    <n v="3330"/>
    <s v="Debit/Credit Card"/>
    <x v="1"/>
    <s v="India"/>
    <x v="19"/>
    <s v="Tura"/>
    <s v="Value Shopper"/>
    <x v="2"/>
    <n v="3.2"/>
    <s v="Delivered"/>
    <s v="Standard"/>
    <n v="4"/>
  </r>
  <r>
    <s v="ORD200304"/>
    <s v="CUST100253"/>
    <s v="Men"/>
    <s v="55+"/>
    <x v="1110"/>
    <x v="4"/>
    <x v="6"/>
    <x v="2"/>
    <n v="9"/>
    <s v="Black"/>
    <n v="1"/>
    <n v="6499"/>
    <n v="15"/>
    <n v="5520"/>
    <n v="5520"/>
    <s v="UPI"/>
    <x v="0"/>
    <s v="India"/>
    <x v="30"/>
    <s v="Manimajra"/>
    <s v="Performance Seeker"/>
    <x v="1"/>
    <n v="3.6"/>
    <s v="Delivered"/>
    <s v="Standard"/>
    <n v="3"/>
  </r>
  <r>
    <s v="ORD201205"/>
    <s v="CUST100575"/>
    <s v="Men"/>
    <s v="18-24"/>
    <x v="1111"/>
    <x v="3"/>
    <x v="35"/>
    <x v="2"/>
    <n v="10"/>
    <s v="Blue"/>
    <n v="1"/>
    <n v="7999"/>
    <n v="10"/>
    <n v="7200"/>
    <n v="7200"/>
    <s v="Debit/Credit Card"/>
    <x v="1"/>
    <s v="India"/>
    <x v="24"/>
    <s v="Mysuru"/>
    <s v="Lifestyle Shopper"/>
    <x v="0"/>
    <n v="3.8"/>
    <s v="Delivered"/>
    <s v="Standard"/>
    <n v="5"/>
  </r>
  <r>
    <s v="ORD201536"/>
    <s v="CUST100474"/>
    <s v="Men"/>
    <s v="25-34"/>
    <x v="1111"/>
    <x v="3"/>
    <x v="35"/>
    <x v="2"/>
    <n v="9"/>
    <s v="Black"/>
    <n v="1"/>
    <n v="8499"/>
    <n v="20"/>
    <n v="6800"/>
    <n v="6800"/>
    <s v="Debit/Credit Card"/>
    <x v="2"/>
    <s v="India"/>
    <x v="13"/>
    <s v="Pasighat"/>
    <s v="Performance Seeker"/>
    <x v="1"/>
    <n v="5"/>
    <s v="Cancelled"/>
    <s v="Same Day"/>
    <n v="1"/>
  </r>
  <r>
    <s v="ORD201799"/>
    <s v="CUST100770"/>
    <s v="Men"/>
    <s v="25-34"/>
    <x v="1111"/>
    <x v="5"/>
    <x v="15"/>
    <x v="4"/>
    <n v="10"/>
    <s v="Black"/>
    <n v="2"/>
    <n v="4599"/>
    <n v="15"/>
    <n v="3910"/>
    <n v="7820"/>
    <s v="Cash on Delivery"/>
    <x v="1"/>
    <s v="India"/>
    <x v="6"/>
    <s v="Noida"/>
    <s v="Value Shopper"/>
    <x v="1"/>
    <n v="4.8"/>
    <s v="Delivered"/>
    <s v="Standard"/>
    <n v="5"/>
  </r>
  <r>
    <s v="ORD203129"/>
    <s v="CUST100275"/>
    <s v="Women"/>
    <s v="25-34"/>
    <x v="1112"/>
    <x v="4"/>
    <x v="29"/>
    <x v="2"/>
    <n v="11"/>
    <s v="White"/>
    <n v="2"/>
    <n v="9599"/>
    <n v="15"/>
    <n v="8160"/>
    <n v="16320"/>
    <s v="UPI"/>
    <x v="1"/>
    <s v="India"/>
    <x v="31"/>
    <s v="Chennai"/>
    <s v="Comfort Shopper"/>
    <x v="2"/>
    <n v="3.7"/>
    <s v="Cancelled"/>
    <s v="Standard"/>
    <n v="5"/>
  </r>
  <r>
    <s v="ORD201574"/>
    <s v="CUST101032"/>
    <s v="Men"/>
    <s v="25-34"/>
    <x v="1113"/>
    <x v="3"/>
    <x v="11"/>
    <x v="4"/>
    <n v="9"/>
    <s v="White"/>
    <n v="1"/>
    <n v="6699"/>
    <n v="10"/>
    <n v="6030"/>
    <n v="6030"/>
    <s v="Cash on Delivery"/>
    <x v="1"/>
    <s v="India"/>
    <x v="17"/>
    <s v="Karaikal"/>
    <s v="Lifestyle Shopper"/>
    <x v="1"/>
    <n v="4.4000000000000004"/>
    <s v="Delivered"/>
    <s v="Standard"/>
    <n v="3"/>
  </r>
  <r>
    <s v="ORD200652"/>
    <s v="CUST100909"/>
    <s v="Unisex"/>
    <s v="18-24"/>
    <x v="1114"/>
    <x v="3"/>
    <x v="11"/>
    <x v="4"/>
    <n v="7"/>
    <s v="Black"/>
    <n v="1"/>
    <n v="3099"/>
    <n v="10"/>
    <n v="2790"/>
    <n v="2790"/>
    <s v="UPI"/>
    <x v="1"/>
    <s v="India"/>
    <x v="28"/>
    <s v="Nubra"/>
    <s v="Premium Shopper"/>
    <x v="1"/>
    <n v="4.8"/>
    <s v="Delivered"/>
    <s v="Standard"/>
    <n v="5"/>
  </r>
  <r>
    <s v="ORD200584"/>
    <s v="CUST100631"/>
    <s v="Men"/>
    <s v="35-44"/>
    <x v="1115"/>
    <x v="4"/>
    <x v="6"/>
    <x v="2"/>
    <n v="7"/>
    <s v="Black"/>
    <n v="1"/>
    <n v="9099"/>
    <n v="15"/>
    <n v="7730"/>
    <n v="7730"/>
    <s v="UPI"/>
    <x v="2"/>
    <s v="India"/>
    <x v="1"/>
    <s v="Margao"/>
    <s v="Performance Seeker"/>
    <x v="2"/>
    <n v="4.2"/>
    <s v="Delivered"/>
    <s v="Express"/>
    <n v="1"/>
  </r>
  <r>
    <s v="ORD200622"/>
    <s v="CUST100728"/>
    <s v="Women"/>
    <s v="25-34"/>
    <x v="1115"/>
    <x v="0"/>
    <x v="19"/>
    <x v="4"/>
    <n v="9"/>
    <s v="White"/>
    <n v="1"/>
    <n v="7899"/>
    <n v="15"/>
    <n v="6710"/>
    <n v="6710"/>
    <s v="UPI"/>
    <x v="1"/>
    <s v="India"/>
    <x v="20"/>
    <s v="Dharamshala"/>
    <s v="Comfort Shopper"/>
    <x v="1"/>
    <n v="5"/>
    <s v="Delivered"/>
    <s v="Standard"/>
    <n v="4"/>
  </r>
  <r>
    <s v="ORD202103"/>
    <s v="CUST100508"/>
    <s v="Women"/>
    <s v="55+"/>
    <x v="1116"/>
    <x v="3"/>
    <x v="5"/>
    <x v="2"/>
    <n v="7"/>
    <s v="White"/>
    <n v="1"/>
    <n v="8599"/>
    <n v="10"/>
    <n v="7740"/>
    <n v="7740"/>
    <s v="Cash on Delivery"/>
    <x v="1"/>
    <s v="India"/>
    <x v="18"/>
    <s v="Bhilai"/>
    <s v="Comfort Shopper"/>
    <x v="1"/>
    <n v="4.7"/>
    <s v="Cancelled"/>
    <s v="Standard"/>
    <n v="4"/>
  </r>
  <r>
    <s v="ORD202215"/>
    <s v="CUST100821"/>
    <s v="Men"/>
    <s v="35-44"/>
    <x v="1117"/>
    <x v="5"/>
    <x v="7"/>
    <x v="1"/>
    <n v="10"/>
    <s v="Blue"/>
    <n v="3"/>
    <n v="6199"/>
    <n v="15"/>
    <n v="5270"/>
    <n v="15810"/>
    <s v="UPI"/>
    <x v="1"/>
    <s v="India"/>
    <x v="6"/>
    <s v="Lucknow"/>
    <s v="Value Shopper"/>
    <x v="0"/>
    <n v="5"/>
    <s v="Delivered"/>
    <s v="Express"/>
    <n v="1"/>
  </r>
  <r>
    <s v="ORD200572"/>
    <s v="CUST100171"/>
    <s v="Women"/>
    <s v="35-44"/>
    <x v="1118"/>
    <x v="5"/>
    <x v="7"/>
    <x v="1"/>
    <n v="6"/>
    <s v="Green"/>
    <n v="2"/>
    <n v="5799"/>
    <n v="20"/>
    <n v="4640"/>
    <n v="9280"/>
    <s v="Net Banking"/>
    <x v="2"/>
    <s v="India"/>
    <x v="30"/>
    <s v="Burail"/>
    <s v="Premium Shopper"/>
    <x v="0"/>
    <n v="4.4000000000000004"/>
    <s v="Returned"/>
    <s v="Standard"/>
    <n v="6"/>
  </r>
  <r>
    <s v="ORD200650"/>
    <s v="CUST100415"/>
    <s v="Men"/>
    <s v="45-54"/>
    <x v="1118"/>
    <x v="1"/>
    <x v="20"/>
    <x v="2"/>
    <n v="10"/>
    <s v="Black"/>
    <n v="1"/>
    <n v="5999"/>
    <n v="20"/>
    <n v="4800"/>
    <n v="4800"/>
    <s v="UPI"/>
    <x v="1"/>
    <s v="India"/>
    <x v="17"/>
    <s v="Puducherry"/>
    <s v="Comfort Shopper"/>
    <x v="1"/>
    <n v="4"/>
    <s v="Delivered"/>
    <s v="Standard"/>
    <n v="2"/>
  </r>
  <r>
    <s v="ORD202732"/>
    <s v="CUST100277"/>
    <s v="Men"/>
    <s v="18-24"/>
    <x v="1119"/>
    <x v="0"/>
    <x v="2"/>
    <x v="2"/>
    <n v="8"/>
    <s v="Black"/>
    <n v="1"/>
    <n v="5099"/>
    <n v="10"/>
    <n v="4590"/>
    <n v="4590"/>
    <s v="UPI"/>
    <x v="2"/>
    <s v="India"/>
    <x v="30"/>
    <s v="Burail"/>
    <s v="Performance Seeker"/>
    <x v="1"/>
    <n v="4.7"/>
    <s v="Delivered"/>
    <s v="Standard"/>
    <n v="2"/>
  </r>
  <r>
    <s v="ORD200644"/>
    <s v="CUST101036"/>
    <s v="Unisex"/>
    <s v="25-34"/>
    <x v="1120"/>
    <x v="3"/>
    <x v="34"/>
    <x v="3"/>
    <n v="6"/>
    <s v="Grey"/>
    <n v="2"/>
    <n v="3899"/>
    <n v="10"/>
    <n v="3510"/>
    <n v="7020"/>
    <s v="UPI"/>
    <x v="2"/>
    <s v="India"/>
    <x v="2"/>
    <s v="Hisar"/>
    <s v="Lifestyle Shopper"/>
    <x v="0"/>
    <n v="4.4000000000000004"/>
    <s v="Delivered"/>
    <s v="Standard"/>
    <n v="3"/>
  </r>
  <r>
    <s v="ORD200855"/>
    <s v="CUST100276"/>
    <s v="Men"/>
    <s v="25-34"/>
    <x v="1121"/>
    <x v="5"/>
    <x v="21"/>
    <x v="2"/>
    <n v="11"/>
    <s v="Blue"/>
    <n v="1"/>
    <n v="8499"/>
    <n v="20"/>
    <n v="6800"/>
    <n v="6800"/>
    <s v="Debit/Credit Card"/>
    <x v="0"/>
    <s v="India"/>
    <x v="25"/>
    <s v="Anantnag"/>
    <s v="Performance Seeker"/>
    <x v="1"/>
    <n v="4.7"/>
    <s v="Delivered"/>
    <s v="Express"/>
    <n v="2"/>
  </r>
  <r>
    <s v="ORD202068"/>
    <s v="CUST100955"/>
    <s v="Men"/>
    <s v="18-24"/>
    <x v="1121"/>
    <x v="5"/>
    <x v="30"/>
    <x v="2"/>
    <n v="9"/>
    <s v="Red"/>
    <n v="1"/>
    <n v="7199"/>
    <n v="0"/>
    <n v="7200"/>
    <n v="7200"/>
    <s v="Debit/Credit Card"/>
    <x v="0"/>
    <s v="India"/>
    <x v="19"/>
    <s v="Shillong"/>
    <s v="Comfort Shopper"/>
    <x v="0"/>
    <n v="4.2"/>
    <s v="Delivered"/>
    <s v="Express"/>
    <n v="3"/>
  </r>
  <r>
    <s v="ORD200672"/>
    <s v="CUST100184"/>
    <s v="Men"/>
    <s v="25-34"/>
    <x v="1122"/>
    <x v="3"/>
    <x v="11"/>
    <x v="4"/>
    <n v="9"/>
    <s v="Red"/>
    <n v="1"/>
    <n v="6699"/>
    <n v="20"/>
    <n v="5360"/>
    <n v="5360"/>
    <s v="UPI"/>
    <x v="2"/>
    <s v="India"/>
    <x v="23"/>
    <s v="Haridwar"/>
    <s v="Lifestyle Shopper"/>
    <x v="0"/>
    <n v="3.9"/>
    <s v="Delivered"/>
    <s v="Standard"/>
    <n v="2"/>
  </r>
  <r>
    <s v="ORD201520"/>
    <s v="CUST100072"/>
    <s v="Men"/>
    <s v="25-34"/>
    <x v="1122"/>
    <x v="4"/>
    <x v="26"/>
    <x v="3"/>
    <n v="6"/>
    <s v="Blue"/>
    <n v="1"/>
    <n v="4099"/>
    <n v="15"/>
    <n v="3480"/>
    <n v="3480"/>
    <s v="UPI"/>
    <x v="1"/>
    <s v="India"/>
    <x v="9"/>
    <s v="Gaya"/>
    <s v="Performance Seeker"/>
    <x v="2"/>
    <n v="4.5999999999999996"/>
    <s v="Delivered"/>
    <s v="Standard"/>
    <n v="5"/>
  </r>
  <r>
    <s v="ORD201412"/>
    <s v="CUST100386"/>
    <s v="Unisex"/>
    <s v="45-54"/>
    <x v="1123"/>
    <x v="1"/>
    <x v="1"/>
    <x v="1"/>
    <n v="10"/>
    <s v="Blue"/>
    <n v="1"/>
    <n v="5499"/>
    <n v="15"/>
    <n v="4670"/>
    <n v="4670"/>
    <s v="Net Banking"/>
    <x v="1"/>
    <s v="India"/>
    <x v="9"/>
    <s v="Patna"/>
    <s v="Lifestyle Shopper"/>
    <x v="0"/>
    <n v="4.0999999999999996"/>
    <s v="Delivered"/>
    <s v="Express"/>
    <n v="1"/>
  </r>
  <r>
    <s v="ORD202355"/>
    <s v="CUST100118"/>
    <s v="Men"/>
    <s v="18-24"/>
    <x v="1123"/>
    <x v="0"/>
    <x v="8"/>
    <x v="3"/>
    <n v="7"/>
    <s v="Blue"/>
    <n v="1"/>
    <n v="5999"/>
    <n v="15"/>
    <n v="5100"/>
    <n v="5100"/>
    <s v="UPI"/>
    <x v="0"/>
    <s v="India"/>
    <x v="0"/>
    <s v="Jorhat"/>
    <s v="Performance Seeker"/>
    <x v="1"/>
    <n v="4.8"/>
    <s v="Cancelled"/>
    <s v="Standard"/>
    <n v="3"/>
  </r>
  <r>
    <s v="ORD200820"/>
    <s v="CUST100232"/>
    <s v="Men"/>
    <s v="45-54"/>
    <x v="1124"/>
    <x v="4"/>
    <x v="17"/>
    <x v="4"/>
    <n v="11"/>
    <s v="Grey"/>
    <n v="1"/>
    <n v="6299"/>
    <n v="25"/>
    <n v="4720"/>
    <n v="4720"/>
    <s v="UPI"/>
    <x v="1"/>
    <s v="India"/>
    <x v="30"/>
    <s v="Burail"/>
    <s v="Value Shopper"/>
    <x v="1"/>
    <n v="3.9"/>
    <s v="Cancelled"/>
    <s v="Express"/>
    <n v="3"/>
  </r>
  <r>
    <s v="ORD201129"/>
    <s v="CUST100647"/>
    <s v="Women"/>
    <s v="25-34"/>
    <x v="1124"/>
    <x v="5"/>
    <x v="7"/>
    <x v="1"/>
    <n v="7"/>
    <s v="Blue"/>
    <n v="1"/>
    <n v="4599"/>
    <n v="30"/>
    <n v="3220"/>
    <n v="3220"/>
    <s v="UPI"/>
    <x v="0"/>
    <s v="India"/>
    <x v="2"/>
    <s v="Faridabad"/>
    <s v="Value Shopper"/>
    <x v="2"/>
    <n v="4"/>
    <s v="Delivered"/>
    <s v="Express"/>
    <n v="1"/>
  </r>
  <r>
    <s v="ORD202924"/>
    <s v="CUST100021"/>
    <s v="Women"/>
    <s v="25-34"/>
    <x v="1124"/>
    <x v="5"/>
    <x v="7"/>
    <x v="1"/>
    <n v="9"/>
    <s v="Blue"/>
    <n v="2"/>
    <n v="3999"/>
    <n v="15"/>
    <n v="3400"/>
    <n v="6800"/>
    <s v="UPI"/>
    <x v="2"/>
    <s v="India"/>
    <x v="29"/>
    <s v="Visakhapatnam"/>
    <s v="Comfort Shopper"/>
    <x v="1"/>
    <n v="3.9"/>
    <s v="Delivered"/>
    <s v="Standard"/>
    <n v="3"/>
  </r>
  <r>
    <s v="ORD200869"/>
    <s v="CUST100453"/>
    <s v="Men"/>
    <s v="25-34"/>
    <x v="1125"/>
    <x v="3"/>
    <x v="35"/>
    <x v="2"/>
    <n v="11"/>
    <s v="White"/>
    <n v="2"/>
    <n v="8099"/>
    <n v="25"/>
    <n v="6070"/>
    <n v="12140"/>
    <s v="UPI"/>
    <x v="2"/>
    <s v="India"/>
    <x v="34"/>
    <s v="Asansol"/>
    <s v="Performance Seeker"/>
    <x v="2"/>
    <n v="4"/>
    <s v="Delivered"/>
    <s v="Express"/>
    <n v="3"/>
  </r>
  <r>
    <s v="ORD200905"/>
    <s v="CUST100725"/>
    <s v="Unisex"/>
    <s v="18-24"/>
    <x v="1125"/>
    <x v="1"/>
    <x v="33"/>
    <x v="0"/>
    <n v="8"/>
    <s v="White"/>
    <n v="1"/>
    <n v="8699"/>
    <n v="30"/>
    <n v="6090"/>
    <n v="6090"/>
    <s v="Debit/Credit Card"/>
    <x v="1"/>
    <s v="India"/>
    <x v="16"/>
    <s v="Surat"/>
    <s v="Comfort Shopper"/>
    <x v="1"/>
    <n v="4.7"/>
    <s v="Delivered"/>
    <s v="Express"/>
    <n v="3"/>
  </r>
  <r>
    <s v="ORD201047"/>
    <s v="CUST100543"/>
    <s v="Men"/>
    <s v="18-24"/>
    <x v="1126"/>
    <x v="3"/>
    <x v="11"/>
    <x v="4"/>
    <n v="7"/>
    <s v="Green"/>
    <n v="1"/>
    <n v="6699"/>
    <n v="35"/>
    <n v="4350"/>
    <n v="4350"/>
    <s v="Debit/Credit Card"/>
    <x v="2"/>
    <s v="India"/>
    <x v="1"/>
    <s v="Margao"/>
    <s v="Performance Seeker"/>
    <x v="2"/>
    <n v="4.8"/>
    <s v="Cancelled"/>
    <s v="Express"/>
    <n v="1"/>
  </r>
  <r>
    <s v="ORD201321"/>
    <s v="CUST100379"/>
    <s v="Women"/>
    <s v="25-34"/>
    <x v="1126"/>
    <x v="5"/>
    <x v="15"/>
    <x v="4"/>
    <n v="10"/>
    <s v="Black"/>
    <n v="1"/>
    <n v="5999"/>
    <n v="0"/>
    <n v="6000"/>
    <n v="6000"/>
    <s v="UPI"/>
    <x v="2"/>
    <s v="India"/>
    <x v="15"/>
    <s v="Delhi"/>
    <s v="Value Shopper"/>
    <x v="2"/>
    <n v="5"/>
    <s v="Cancelled"/>
    <s v="Standard"/>
    <n v="7"/>
  </r>
  <r>
    <s v="ORD202303"/>
    <s v="CUST100094"/>
    <s v="Unisex"/>
    <s v="18-24"/>
    <x v="1126"/>
    <x v="2"/>
    <x v="23"/>
    <x v="0"/>
    <n v="8"/>
    <s v="Black"/>
    <n v="1"/>
    <n v="8699"/>
    <n v="20"/>
    <n v="6960"/>
    <n v="6960"/>
    <s v="Debit/Credit Card"/>
    <x v="1"/>
    <s v="India"/>
    <x v="31"/>
    <s v="Tiruchirappalli"/>
    <s v="Value Shopper"/>
    <x v="2"/>
    <n v="4.4000000000000004"/>
    <s v="Delivered"/>
    <s v="Same Day"/>
    <n v="1"/>
  </r>
  <r>
    <s v="ORD202627"/>
    <s v="CUST100164"/>
    <s v="Men"/>
    <s v="35-44"/>
    <x v="1126"/>
    <x v="0"/>
    <x v="31"/>
    <x v="1"/>
    <n v="9"/>
    <s v="White"/>
    <n v="1"/>
    <n v="5999"/>
    <n v="10"/>
    <n v="5400"/>
    <n v="5400"/>
    <s v="UPI"/>
    <x v="1"/>
    <s v="India"/>
    <x v="27"/>
    <s v="Cuttack"/>
    <s v="Performance Seeker"/>
    <x v="1"/>
    <n v="3.5"/>
    <s v="Delivered"/>
    <s v="Express"/>
    <n v="2"/>
  </r>
  <r>
    <s v="ORD200037"/>
    <s v="CUST100960"/>
    <s v="Women"/>
    <s v="18-24"/>
    <x v="1127"/>
    <x v="1"/>
    <x v="33"/>
    <x v="0"/>
    <n v="10"/>
    <s v="White"/>
    <n v="1"/>
    <n v="8399"/>
    <n v="10"/>
    <n v="7560"/>
    <n v="7560"/>
    <s v="UPI"/>
    <x v="0"/>
    <s v="India"/>
    <x v="26"/>
    <s v="Thiruvananthapuram"/>
    <s v="Value Shopper"/>
    <x v="1"/>
    <n v="5"/>
    <s v="Delivered"/>
    <s v="Standard"/>
    <n v="2"/>
  </r>
  <r>
    <s v="ORD202238"/>
    <s v="CUST100228"/>
    <s v="Men"/>
    <s v="35-44"/>
    <x v="1127"/>
    <x v="0"/>
    <x v="8"/>
    <x v="3"/>
    <n v="7"/>
    <s v="Black"/>
    <n v="1"/>
    <n v="4999"/>
    <n v="15"/>
    <n v="4250"/>
    <n v="4250"/>
    <s v="UPI"/>
    <x v="2"/>
    <s v="India"/>
    <x v="11"/>
    <s v="Amini"/>
    <s v="Performance Seeker"/>
    <x v="2"/>
    <n v="5"/>
    <s v="Cancelled"/>
    <s v="Standard"/>
    <n v="4"/>
  </r>
  <r>
    <s v="ORD201317"/>
    <s v="CUST100566"/>
    <s v="Men"/>
    <s v="25-34"/>
    <x v="1128"/>
    <x v="5"/>
    <x v="15"/>
    <x v="4"/>
    <n v="10"/>
    <s v="White"/>
    <n v="1"/>
    <n v="7799"/>
    <n v="35"/>
    <n v="5070"/>
    <n v="5070"/>
    <s v="UPI"/>
    <x v="1"/>
    <s v="India"/>
    <x v="16"/>
    <s v="Rajkot"/>
    <s v="Lifestyle Shopper"/>
    <x v="2"/>
    <n v="4.9000000000000004"/>
    <s v="Delivered"/>
    <s v="Same Day"/>
    <n v="2"/>
  </r>
  <r>
    <s v="ORD202852"/>
    <s v="CUST100822"/>
    <s v="Women"/>
    <s v="25-34"/>
    <x v="1128"/>
    <x v="5"/>
    <x v="14"/>
    <x v="3"/>
    <n v="9"/>
    <s v="Blue"/>
    <n v="3"/>
    <n v="8699"/>
    <n v="10"/>
    <n v="7830"/>
    <n v="23490"/>
    <s v="UPI"/>
    <x v="0"/>
    <s v="India"/>
    <x v="32"/>
    <s v="Jamshedpur"/>
    <s v="Premium Shopper"/>
    <x v="2"/>
    <n v="4.3"/>
    <s v="Delivered"/>
    <s v="Standard"/>
    <n v="2"/>
  </r>
  <r>
    <s v="ORD201893"/>
    <s v="CUST100211"/>
    <s v="Men"/>
    <s v="18-24"/>
    <x v="1129"/>
    <x v="1"/>
    <x v="33"/>
    <x v="0"/>
    <n v="7"/>
    <s v="Grey"/>
    <n v="1"/>
    <n v="6199"/>
    <n v="10"/>
    <n v="5580"/>
    <n v="5580"/>
    <s v="UPI"/>
    <x v="2"/>
    <s v="India"/>
    <x v="7"/>
    <s v="Indore"/>
    <s v="Performance Seeker"/>
    <x v="2"/>
    <n v="3.5"/>
    <s v="Delivered"/>
    <s v="Standard"/>
    <n v="5"/>
  </r>
  <r>
    <s v="ORD203131"/>
    <s v="CUST100514"/>
    <s v="Men"/>
    <s v="18-24"/>
    <x v="1130"/>
    <x v="4"/>
    <x v="6"/>
    <x v="2"/>
    <n v="10"/>
    <s v="Black"/>
    <n v="1"/>
    <n v="4399"/>
    <n v="25"/>
    <n v="3300"/>
    <n v="3300"/>
    <s v="UPI"/>
    <x v="0"/>
    <s v="India"/>
    <x v="29"/>
    <s v="Vijayawada"/>
    <s v="Performance Seeker"/>
    <x v="0"/>
    <n v="2.5"/>
    <s v="Delivered"/>
    <s v="Standard"/>
    <n v="4"/>
  </r>
  <r>
    <s v="ORD203065"/>
    <s v="CUST100108"/>
    <s v="Men"/>
    <s v="18-24"/>
    <x v="1131"/>
    <x v="5"/>
    <x v="7"/>
    <x v="1"/>
    <n v="7"/>
    <s v="Black"/>
    <n v="1"/>
    <n v="5699"/>
    <n v="15"/>
    <n v="4840"/>
    <n v="4840"/>
    <s v="UPI"/>
    <x v="2"/>
    <s v="India"/>
    <x v="35"/>
    <s v="Aizawl"/>
    <s v="Premium Shopper"/>
    <x v="2"/>
    <n v="3.3"/>
    <s v="Delivered"/>
    <s v="Express"/>
    <n v="2"/>
  </r>
  <r>
    <s v="ORD201849"/>
    <s v="CUST100055"/>
    <s v="Women"/>
    <s v="18-24"/>
    <x v="1132"/>
    <x v="3"/>
    <x v="11"/>
    <x v="4"/>
    <n v="9"/>
    <s v="Black"/>
    <n v="2"/>
    <n v="7199"/>
    <n v="10"/>
    <n v="6480"/>
    <n v="12960"/>
    <s v="Debit/Credit Card"/>
    <x v="1"/>
    <s v="India"/>
    <x v="1"/>
    <s v="Margao"/>
    <s v="Value Shopper"/>
    <x v="2"/>
    <n v="3.6"/>
    <s v="Delivered"/>
    <s v="Express"/>
    <n v="4"/>
  </r>
  <r>
    <s v="ORD200000"/>
    <s v="CUST100025"/>
    <s v="Unisex"/>
    <s v="18-24"/>
    <x v="1133"/>
    <x v="5"/>
    <x v="14"/>
    <x v="3"/>
    <n v="9"/>
    <s v="Blue"/>
    <n v="1"/>
    <n v="7099"/>
    <n v="25"/>
    <n v="5320"/>
    <n v="5320"/>
    <s v="UPI"/>
    <x v="0"/>
    <s v="India"/>
    <x v="29"/>
    <s v="Guntur"/>
    <s v="Value Shopper"/>
    <x v="2"/>
    <n v="3.8"/>
    <s v="Cancelled"/>
    <s v="Standard"/>
    <n v="3"/>
  </r>
  <r>
    <s v="ORD201600"/>
    <s v="CUST100202"/>
    <s v="Women"/>
    <s v="35-44"/>
    <x v="1133"/>
    <x v="4"/>
    <x v="6"/>
    <x v="2"/>
    <n v="11"/>
    <s v="Blue"/>
    <n v="3"/>
    <n v="4299"/>
    <n v="20"/>
    <n v="3440"/>
    <n v="10320"/>
    <s v="Debit/Credit Card"/>
    <x v="0"/>
    <s v="India"/>
    <x v="32"/>
    <s v="Bokaro"/>
    <s v="Premium Shopper"/>
    <x v="1"/>
    <n v="4.0999999999999996"/>
    <s v="Delivered"/>
    <s v="Standard"/>
    <n v="4"/>
  </r>
  <r>
    <s v="ORD200489"/>
    <s v="CUST100090"/>
    <s v="Women"/>
    <s v="25-34"/>
    <x v="1134"/>
    <x v="1"/>
    <x v="12"/>
    <x v="4"/>
    <n v="8"/>
    <s v="Green"/>
    <n v="2"/>
    <n v="7099"/>
    <n v="15"/>
    <n v="6030"/>
    <n v="12060"/>
    <s v="UPI"/>
    <x v="2"/>
    <s v="India"/>
    <x v="35"/>
    <s v="Kolasib"/>
    <s v="Premium Shopper"/>
    <x v="2"/>
    <n v="3.4"/>
    <s v="Returned"/>
    <s v="Standard"/>
    <n v="3"/>
  </r>
  <r>
    <s v="ORD201526"/>
    <s v="CUST100499"/>
    <s v="Women"/>
    <s v="25-34"/>
    <x v="1135"/>
    <x v="3"/>
    <x v="34"/>
    <x v="3"/>
    <n v="8"/>
    <s v="Black"/>
    <n v="1"/>
    <n v="3999"/>
    <n v="20"/>
    <n v="3200"/>
    <n v="3200"/>
    <s v="UPI"/>
    <x v="1"/>
    <s v="India"/>
    <x v="34"/>
    <s v="Kolkata"/>
    <s v="Value Shopper"/>
    <x v="2"/>
    <n v="4.5999999999999996"/>
    <s v="Returned"/>
    <s v="Express"/>
    <n v="4"/>
  </r>
  <r>
    <s v="ORD201716"/>
    <s v="CUST100101"/>
    <s v="Men"/>
    <s v="55+"/>
    <x v="1136"/>
    <x v="2"/>
    <x v="32"/>
    <x v="1"/>
    <n v="6"/>
    <s v="Black"/>
    <n v="2"/>
    <n v="5599"/>
    <n v="15"/>
    <n v="4760"/>
    <n v="9520"/>
    <s v="UPI"/>
    <x v="1"/>
    <s v="India"/>
    <x v="29"/>
    <s v="Guntur"/>
    <s v="Comfort Shopper"/>
    <x v="1"/>
    <n v="4.2"/>
    <s v="Returned"/>
    <s v="Standard"/>
    <n v="4"/>
  </r>
  <r>
    <s v="ORD202043"/>
    <s v="CUST100672"/>
    <s v="Unisex"/>
    <s v="25-34"/>
    <x v="1137"/>
    <x v="2"/>
    <x v="32"/>
    <x v="1"/>
    <n v="7"/>
    <s v="Green"/>
    <n v="2"/>
    <n v="3099"/>
    <n v="15"/>
    <n v="2630"/>
    <n v="5260"/>
    <s v="Debit/Credit Card"/>
    <x v="0"/>
    <s v="India"/>
    <x v="35"/>
    <s v="Aizawl"/>
    <s v="Lifestyle Shopper"/>
    <x v="2"/>
    <n v="3"/>
    <s v="Cancelled"/>
    <s v="Standard"/>
    <n v="6"/>
  </r>
  <r>
    <s v="ORD201036"/>
    <s v="CUST100611"/>
    <s v="Men"/>
    <s v="25-34"/>
    <x v="1138"/>
    <x v="2"/>
    <x v="24"/>
    <x v="4"/>
    <n v="9"/>
    <s v="Blue"/>
    <n v="1"/>
    <n v="2999"/>
    <n v="20"/>
    <n v="2400"/>
    <n v="2400"/>
    <s v="UPI"/>
    <x v="2"/>
    <s v="India"/>
    <x v="34"/>
    <s v="Durgapur"/>
    <s v="Performance Seeker"/>
    <x v="0"/>
    <n v="5"/>
    <s v="Delivered"/>
    <s v="Express"/>
    <n v="2"/>
  </r>
  <r>
    <s v="ORD202693"/>
    <s v="CUST100034"/>
    <s v="Men"/>
    <s v="25-34"/>
    <x v="1138"/>
    <x v="3"/>
    <x v="5"/>
    <x v="2"/>
    <n v="6"/>
    <s v="Blue"/>
    <n v="1"/>
    <n v="7499"/>
    <n v="0"/>
    <n v="7500"/>
    <n v="7500"/>
    <s v="UPI"/>
    <x v="0"/>
    <s v="India"/>
    <x v="14"/>
    <s v="Jalandhar"/>
    <s v="Premium Shopper"/>
    <x v="1"/>
    <n v="4.4000000000000004"/>
    <s v="Delivered"/>
    <s v="Express"/>
    <n v="3"/>
  </r>
  <r>
    <s v="ORD200199"/>
    <s v="CUST100457"/>
    <s v="Women"/>
    <s v="25-34"/>
    <x v="1139"/>
    <x v="4"/>
    <x v="9"/>
    <x v="1"/>
    <n v="8"/>
    <s v="Grey"/>
    <n v="1"/>
    <n v="4599"/>
    <n v="30"/>
    <n v="3220"/>
    <n v="3220"/>
    <s v="UPI"/>
    <x v="2"/>
    <s v="India"/>
    <x v="24"/>
    <s v="Hubballi"/>
    <s v="Comfort Shopper"/>
    <x v="0"/>
    <n v="4.5"/>
    <s v="Delivered"/>
    <s v="Express"/>
    <n v="2"/>
  </r>
  <r>
    <s v="ORD200827"/>
    <s v="CUST100380"/>
    <s v="Unisex"/>
    <s v="18-24"/>
    <x v="1139"/>
    <x v="2"/>
    <x v="3"/>
    <x v="2"/>
    <n v="9"/>
    <s v="Green"/>
    <n v="2"/>
    <n v="8099"/>
    <n v="15"/>
    <n v="6880"/>
    <n v="13760"/>
    <s v="UPI"/>
    <x v="1"/>
    <s v="India"/>
    <x v="16"/>
    <s v="Ahmedabad"/>
    <s v="Performance Seeker"/>
    <x v="1"/>
    <n v="4"/>
    <s v="Delivered"/>
    <s v="Express"/>
    <n v="2"/>
  </r>
  <r>
    <s v="ORD201504"/>
    <s v="CUST100452"/>
    <s v="Men"/>
    <s v="45-54"/>
    <x v="1139"/>
    <x v="4"/>
    <x v="26"/>
    <x v="3"/>
    <n v="9"/>
    <s v="Red"/>
    <n v="1"/>
    <n v="6199"/>
    <n v="30"/>
    <n v="4340"/>
    <n v="4340"/>
    <s v="Cash on Delivery"/>
    <x v="1"/>
    <s v="India"/>
    <x v="4"/>
    <s v="Mangan"/>
    <s v="Comfort Shopper"/>
    <x v="1"/>
    <n v="4.2"/>
    <s v="Delivered"/>
    <s v="Express"/>
    <n v="4"/>
  </r>
  <r>
    <s v="ORD202706"/>
    <s v="CUST100051"/>
    <s v="Women"/>
    <s v="18-24"/>
    <x v="1139"/>
    <x v="4"/>
    <x v="29"/>
    <x v="2"/>
    <n v="8"/>
    <s v="Blue"/>
    <n v="1"/>
    <n v="8999"/>
    <n v="5"/>
    <n v="8550"/>
    <n v="8550"/>
    <s v="Debit/Credit Card"/>
    <x v="1"/>
    <s v="India"/>
    <x v="14"/>
    <s v="Jalandhar"/>
    <s v="Performance Seeker"/>
    <x v="1"/>
    <n v="4.0999999999999996"/>
    <s v="Delivered"/>
    <s v="Express"/>
    <n v="2"/>
  </r>
  <r>
    <s v="ORD201140"/>
    <s v="CUST100309"/>
    <s v="Unisex"/>
    <s v="25-34"/>
    <x v="1140"/>
    <x v="3"/>
    <x v="34"/>
    <x v="3"/>
    <n v="7"/>
    <s v="Green"/>
    <n v="1"/>
    <n v="8099"/>
    <n v="15"/>
    <n v="6880"/>
    <n v="6880"/>
    <s v="UPI"/>
    <x v="2"/>
    <s v="India"/>
    <x v="17"/>
    <s v="Puducherry"/>
    <s v="Lifestyle Shopper"/>
    <x v="0"/>
    <n v="4.5"/>
    <s v="Cancelled"/>
    <s v="Express"/>
    <n v="2"/>
  </r>
  <r>
    <s v="ORD202211"/>
    <s v="CUST100382"/>
    <s v="Men"/>
    <s v="45-54"/>
    <x v="1140"/>
    <x v="4"/>
    <x v="26"/>
    <x v="3"/>
    <n v="8"/>
    <s v="Blue"/>
    <n v="1"/>
    <n v="6599"/>
    <n v="35"/>
    <n v="4290"/>
    <n v="4290"/>
    <s v="UPI"/>
    <x v="1"/>
    <s v="India"/>
    <x v="13"/>
    <s v="Itanagar"/>
    <s v="Premium Shopper"/>
    <x v="1"/>
    <n v="3.4"/>
    <s v="Delivered"/>
    <s v="Standard"/>
    <n v="3"/>
  </r>
  <r>
    <s v="ORD203111"/>
    <s v="CUST100058"/>
    <s v="Women"/>
    <s v="35-44"/>
    <x v="1140"/>
    <x v="0"/>
    <x v="8"/>
    <x v="3"/>
    <n v="10"/>
    <s v="Grey"/>
    <n v="1"/>
    <n v="4199"/>
    <n v="25"/>
    <n v="3150"/>
    <n v="3150"/>
    <s v="UPI"/>
    <x v="0"/>
    <s v="India"/>
    <x v="12"/>
    <s v="Mayabunder"/>
    <s v="Lifestyle Shopper"/>
    <x v="1"/>
    <n v="4.5999999999999996"/>
    <s v="Delivered"/>
    <s v="Express"/>
    <n v="3"/>
  </r>
  <r>
    <s v="ORD201180"/>
    <s v="CUST100284"/>
    <s v="Men"/>
    <s v="35-44"/>
    <x v="1141"/>
    <x v="2"/>
    <x v="4"/>
    <x v="2"/>
    <n v="8"/>
    <s v="Grey"/>
    <n v="1"/>
    <n v="8399"/>
    <n v="10"/>
    <n v="7560"/>
    <n v="7560"/>
    <s v="UPI"/>
    <x v="1"/>
    <s v="India"/>
    <x v="14"/>
    <s v="Jalandhar"/>
    <s v="Comfort Shopper"/>
    <x v="2"/>
    <n v="3.8"/>
    <s v="Delivered"/>
    <s v="Standard"/>
    <n v="3"/>
  </r>
  <r>
    <s v="ORD202761"/>
    <s v="CUST100646"/>
    <s v="Women"/>
    <s v="25-34"/>
    <x v="1141"/>
    <x v="4"/>
    <x v="22"/>
    <x v="0"/>
    <n v="8"/>
    <s v="White"/>
    <n v="2"/>
    <n v="6799"/>
    <n v="25"/>
    <n v="5100"/>
    <n v="10200"/>
    <s v="UPI"/>
    <x v="1"/>
    <s v="India"/>
    <x v="24"/>
    <s v="Mysuru"/>
    <s v="Lifestyle Shopper"/>
    <x v="1"/>
    <n v="4.4000000000000004"/>
    <s v="Delivered"/>
    <s v="Standard"/>
    <n v="7"/>
  </r>
  <r>
    <s v="ORD201025"/>
    <s v="CUST100456"/>
    <s v="Men"/>
    <s v="18-24"/>
    <x v="1142"/>
    <x v="0"/>
    <x v="13"/>
    <x v="2"/>
    <n v="8"/>
    <s v="Red"/>
    <n v="1"/>
    <n v="9599"/>
    <n v="30"/>
    <n v="6720"/>
    <n v="6720"/>
    <s v="Net Banking"/>
    <x v="1"/>
    <s v="India"/>
    <x v="18"/>
    <s v="Korba"/>
    <s v="Premium Shopper"/>
    <x v="2"/>
    <n v="3.9"/>
    <s v="Delivered"/>
    <s v="Standard"/>
    <n v="5"/>
  </r>
  <r>
    <s v="ORD200959"/>
    <s v="CUST100315"/>
    <s v="Women"/>
    <s v="35-44"/>
    <x v="1143"/>
    <x v="4"/>
    <x v="6"/>
    <x v="2"/>
    <n v="9"/>
    <s v="Black"/>
    <n v="2"/>
    <n v="7199"/>
    <n v="20"/>
    <n v="5760"/>
    <n v="11520"/>
    <s v="Cash on Delivery"/>
    <x v="2"/>
    <s v="India"/>
    <x v="8"/>
    <s v="Nizamabad"/>
    <s v="Comfort Shopper"/>
    <x v="1"/>
    <n v="4"/>
    <s v="Delivered"/>
    <s v="Same Day"/>
    <n v="1"/>
  </r>
  <r>
    <s v="ORD201821"/>
    <s v="CUST101026"/>
    <s v="Men"/>
    <s v="25-34"/>
    <x v="1144"/>
    <x v="0"/>
    <x v="19"/>
    <x v="4"/>
    <n v="8"/>
    <s v="Red"/>
    <n v="1"/>
    <n v="5699"/>
    <n v="15"/>
    <n v="4840"/>
    <n v="4840"/>
    <s v="Debit/Credit Card"/>
    <x v="1"/>
    <s v="India"/>
    <x v="32"/>
    <s v="Dhanbad"/>
    <s v="Premium Shopper"/>
    <x v="2"/>
    <n v="4.2"/>
    <s v="Delivered"/>
    <s v="Standard"/>
    <n v="2"/>
  </r>
  <r>
    <s v="ORD201058"/>
    <s v="CUST101005"/>
    <s v="Women"/>
    <s v="35-44"/>
    <x v="1145"/>
    <x v="0"/>
    <x v="0"/>
    <x v="0"/>
    <n v="8"/>
    <s v="White"/>
    <n v="1"/>
    <n v="9599"/>
    <n v="20"/>
    <n v="7680"/>
    <n v="7680"/>
    <s v="UPI"/>
    <x v="2"/>
    <s v="India"/>
    <x v="35"/>
    <s v="Kolasib"/>
    <s v="Comfort Shopper"/>
    <x v="1"/>
    <n v="4"/>
    <s v="Returned"/>
    <s v="Express"/>
    <n v="2"/>
  </r>
  <r>
    <s v="ORD201237"/>
    <s v="CUST100097"/>
    <s v="Men"/>
    <s v="18-24"/>
    <x v="1145"/>
    <x v="4"/>
    <x v="29"/>
    <x v="2"/>
    <n v="8"/>
    <s v="White"/>
    <n v="1"/>
    <n v="8599"/>
    <n v="15"/>
    <n v="7310"/>
    <n v="7310"/>
    <s v="UPI"/>
    <x v="1"/>
    <s v="India"/>
    <x v="25"/>
    <s v="Baramulla"/>
    <s v="Performance Seeker"/>
    <x v="2"/>
    <n v="5"/>
    <s v="Delivered"/>
    <s v="Standard"/>
    <n v="6"/>
  </r>
  <r>
    <s v="ORD203142"/>
    <s v="CUST100656"/>
    <s v="Men"/>
    <s v="35-44"/>
    <x v="1145"/>
    <x v="0"/>
    <x v="19"/>
    <x v="4"/>
    <n v="10"/>
    <s v="Green"/>
    <n v="1"/>
    <n v="3499"/>
    <n v="25"/>
    <n v="2620"/>
    <n v="2620"/>
    <s v="Debit/Credit Card"/>
    <x v="1"/>
    <s v="India"/>
    <x v="15"/>
    <s v="New Delhi"/>
    <s v="Value Shopper"/>
    <x v="0"/>
    <n v="4.5999999999999996"/>
    <s v="Delivered"/>
    <s v="Standard"/>
    <n v="6"/>
  </r>
  <r>
    <s v="ORD200983"/>
    <s v="CUST100465"/>
    <s v="Women"/>
    <s v="25-34"/>
    <x v="1146"/>
    <x v="5"/>
    <x v="14"/>
    <x v="3"/>
    <n v="10"/>
    <s v="Black"/>
    <n v="1"/>
    <n v="4899"/>
    <n v="10"/>
    <n v="4410"/>
    <n v="4410"/>
    <s v="UPI"/>
    <x v="1"/>
    <s v="India"/>
    <x v="34"/>
    <s v="Asansol"/>
    <s v="Performance Seeker"/>
    <x v="2"/>
    <n v="4.5999999999999996"/>
    <s v="Delivered"/>
    <s v="Same Day"/>
    <n v="1"/>
  </r>
  <r>
    <s v="ORD201203"/>
    <s v="CUST100889"/>
    <s v="Women"/>
    <s v="45-54"/>
    <x v="1147"/>
    <x v="4"/>
    <x v="26"/>
    <x v="3"/>
    <n v="9"/>
    <s v="Grey"/>
    <n v="2"/>
    <n v="8799"/>
    <n v="10"/>
    <n v="7920"/>
    <n v="15840"/>
    <s v="Debit/Credit Card"/>
    <x v="1"/>
    <s v="India"/>
    <x v="2"/>
    <s v="Gurugram"/>
    <s v="Lifestyle Shopper"/>
    <x v="1"/>
    <n v="5"/>
    <s v="Delivered"/>
    <s v="Standard"/>
    <n v="2"/>
  </r>
  <r>
    <s v="ORD201528"/>
    <s v="CUST100586"/>
    <s v="Men"/>
    <s v="25-34"/>
    <x v="1147"/>
    <x v="2"/>
    <x v="32"/>
    <x v="1"/>
    <n v="6"/>
    <s v="Black"/>
    <n v="1"/>
    <n v="5999"/>
    <n v="10"/>
    <n v="5400"/>
    <n v="5400"/>
    <s v="UPI"/>
    <x v="2"/>
    <s v="India"/>
    <x v="8"/>
    <s v="Hyderabad"/>
    <s v="Lifestyle Shopper"/>
    <x v="2"/>
    <n v="4.9000000000000004"/>
    <s v="Delivered"/>
    <s v="Standard"/>
    <n v="3"/>
  </r>
  <r>
    <s v="ORD203125"/>
    <s v="CUST100300"/>
    <s v="Women"/>
    <s v="25-34"/>
    <x v="1147"/>
    <x v="1"/>
    <x v="33"/>
    <x v="0"/>
    <n v="7"/>
    <s v="White"/>
    <n v="1"/>
    <n v="5999"/>
    <n v="35"/>
    <n v="3900"/>
    <n v="3900"/>
    <s v="Debit/Credit Card"/>
    <x v="2"/>
    <s v="India"/>
    <x v="31"/>
    <s v="Madurai"/>
    <s v="Lifestyle Shopper"/>
    <x v="1"/>
    <n v="4.8"/>
    <s v="Delivered"/>
    <s v="Standard"/>
    <n v="5"/>
  </r>
  <r>
    <s v="ORD200024"/>
    <s v="CUST101030"/>
    <s v="Men"/>
    <s v="35-44"/>
    <x v="1148"/>
    <x v="0"/>
    <x v="2"/>
    <x v="2"/>
    <n v="12"/>
    <s v="Blue"/>
    <n v="1"/>
    <n v="4799"/>
    <n v="15"/>
    <n v="4080"/>
    <n v="4080"/>
    <s v="Debit/Credit Card"/>
    <x v="0"/>
    <s v="India"/>
    <x v="7"/>
    <s v="Bhopal"/>
    <s v="Performance Seeker"/>
    <x v="1"/>
    <n v="3.9"/>
    <s v="Returned"/>
    <s v="Standard"/>
    <n v="2"/>
  </r>
  <r>
    <s v="ORD200664"/>
    <s v="CUST100504"/>
    <s v="Women"/>
    <s v="18-24"/>
    <x v="1148"/>
    <x v="2"/>
    <x v="32"/>
    <x v="1"/>
    <n v="8"/>
    <s v="White"/>
    <n v="1"/>
    <n v="7499"/>
    <n v="10"/>
    <n v="6750"/>
    <n v="6750"/>
    <s v="UPI"/>
    <x v="2"/>
    <s v="India"/>
    <x v="25"/>
    <s v="Baramulla"/>
    <s v="Premium Shopper"/>
    <x v="1"/>
    <n v="3.6"/>
    <s v="Cancelled"/>
    <s v="Express"/>
    <n v="3"/>
  </r>
  <r>
    <s v="ORD200918"/>
    <s v="CUST100703"/>
    <s v="Unisex"/>
    <s v="25-34"/>
    <x v="1149"/>
    <x v="2"/>
    <x v="23"/>
    <x v="0"/>
    <n v="8"/>
    <s v="White"/>
    <n v="1"/>
    <n v="7899"/>
    <n v="10"/>
    <n v="7110"/>
    <n v="7110"/>
    <s v="UPI"/>
    <x v="2"/>
    <s v="India"/>
    <x v="15"/>
    <s v="Delhi"/>
    <s v="Performance Seeker"/>
    <x v="1"/>
    <n v="4.4000000000000004"/>
    <s v="Delivered"/>
    <s v="Standard"/>
    <n v="2"/>
  </r>
  <r>
    <s v="ORD202523"/>
    <s v="CUST100309"/>
    <s v="Men"/>
    <s v="45-54"/>
    <x v="1149"/>
    <x v="5"/>
    <x v="14"/>
    <x v="3"/>
    <n v="9"/>
    <s v="Black"/>
    <n v="1"/>
    <n v="6899"/>
    <n v="15"/>
    <n v="5860"/>
    <n v="5860"/>
    <s v="Debit/Credit Card"/>
    <x v="2"/>
    <s v="India"/>
    <x v="6"/>
    <s v="Varanasi"/>
    <s v="Comfort Shopper"/>
    <x v="1"/>
    <n v="3.5"/>
    <s v="Delivered"/>
    <s v="Standard"/>
    <n v="2"/>
  </r>
  <r>
    <s v="ORD202436"/>
    <s v="CUST100130"/>
    <s v="Women"/>
    <s v="35-44"/>
    <x v="1150"/>
    <x v="4"/>
    <x v="26"/>
    <x v="3"/>
    <n v="8"/>
    <s v="Blue"/>
    <n v="1"/>
    <n v="6499"/>
    <n v="5"/>
    <n v="6170"/>
    <n v="6170"/>
    <s v="Debit/Credit Card"/>
    <x v="2"/>
    <s v="India"/>
    <x v="28"/>
    <s v="Kargil"/>
    <s v="Performance Seeker"/>
    <x v="2"/>
    <n v="4.4000000000000004"/>
    <s v="Delivered"/>
    <s v="Standard"/>
    <n v="6"/>
  </r>
  <r>
    <s v="ORD201912"/>
    <s v="CUST100154"/>
    <s v="Women"/>
    <s v="45-54"/>
    <x v="1151"/>
    <x v="3"/>
    <x v="11"/>
    <x v="4"/>
    <n v="10"/>
    <s v="Blue"/>
    <n v="2"/>
    <n v="4799"/>
    <n v="20"/>
    <n v="3840"/>
    <n v="7680"/>
    <s v="UPI"/>
    <x v="2"/>
    <s v="India"/>
    <x v="12"/>
    <s v="Port Blair"/>
    <s v="Premium Shopper"/>
    <x v="1"/>
    <n v="3.2"/>
    <s v="Delivered"/>
    <s v="Standard"/>
    <n v="4"/>
  </r>
  <r>
    <s v="ORD200011"/>
    <s v="CUST100447"/>
    <s v="Men"/>
    <s v="18-24"/>
    <x v="1152"/>
    <x v="5"/>
    <x v="7"/>
    <x v="1"/>
    <n v="10"/>
    <s v="White"/>
    <n v="2"/>
    <n v="9199"/>
    <n v="10"/>
    <n v="8280"/>
    <n v="16560"/>
    <s v="UPI"/>
    <x v="1"/>
    <s v="India"/>
    <x v="14"/>
    <s v="Jalandhar"/>
    <s v="Performance Seeker"/>
    <x v="1"/>
    <n v="3.3"/>
    <s v="Returned"/>
    <s v="Standard"/>
    <n v="5"/>
  </r>
  <r>
    <s v="ORD200483"/>
    <s v="CUST100228"/>
    <s v="Women"/>
    <s v="55+"/>
    <x v="1152"/>
    <x v="4"/>
    <x v="29"/>
    <x v="2"/>
    <n v="11"/>
    <s v="Black"/>
    <n v="3"/>
    <n v="6199"/>
    <n v="5"/>
    <n v="5890"/>
    <n v="17670"/>
    <s v="Debit/Credit Card"/>
    <x v="2"/>
    <s v="India"/>
    <x v="0"/>
    <s v="Guwahati"/>
    <s v="Value Shopper"/>
    <x v="2"/>
    <n v="4.0999999999999996"/>
    <s v="Delivered"/>
    <s v="Standard"/>
    <n v="3"/>
  </r>
  <r>
    <s v="ORD202172"/>
    <s v="CUST100346"/>
    <s v="Women"/>
    <s v="35-44"/>
    <x v="1152"/>
    <x v="2"/>
    <x v="23"/>
    <x v="0"/>
    <n v="12"/>
    <s v="Blue"/>
    <n v="1"/>
    <n v="7299"/>
    <n v="10"/>
    <n v="6570"/>
    <n v="6570"/>
    <s v="Debit/Credit Card"/>
    <x v="2"/>
    <s v="India"/>
    <x v="26"/>
    <s v="Thiruvananthapuram"/>
    <s v="Comfort Shopper"/>
    <x v="2"/>
    <n v="3.9"/>
    <s v="Cancelled"/>
    <s v="Same Day"/>
    <n v="1"/>
  </r>
  <r>
    <s v="ORD201905"/>
    <s v="CUST100804"/>
    <s v="Women"/>
    <s v="35-44"/>
    <x v="1153"/>
    <x v="1"/>
    <x v="33"/>
    <x v="0"/>
    <n v="10"/>
    <s v="Red"/>
    <n v="1"/>
    <n v="8999"/>
    <n v="10"/>
    <n v="8100"/>
    <n v="8100"/>
    <s v="UPI"/>
    <x v="1"/>
    <s v="India"/>
    <x v="34"/>
    <s v="Kolkata"/>
    <s v="Comfort Shopper"/>
    <x v="1"/>
    <n v="4.0999999999999996"/>
    <s v="Delivered"/>
    <s v="Standard"/>
    <n v="6"/>
  </r>
  <r>
    <s v="ORD201485"/>
    <s v="CUST100056"/>
    <s v="Men"/>
    <s v="18-24"/>
    <x v="1154"/>
    <x v="1"/>
    <x v="10"/>
    <x v="3"/>
    <n v="8"/>
    <s v="Blue"/>
    <n v="3"/>
    <n v="6499"/>
    <n v="20"/>
    <n v="5200"/>
    <n v="15600"/>
    <s v="UPI"/>
    <x v="1"/>
    <s v="India"/>
    <x v="9"/>
    <s v="Patna"/>
    <s v="Comfort Shopper"/>
    <x v="1"/>
    <n v="4.2"/>
    <s v="Delivered"/>
    <s v="Express"/>
    <n v="2"/>
  </r>
  <r>
    <s v="ORD201899"/>
    <s v="CUST100032"/>
    <s v="Unisex"/>
    <s v="25-34"/>
    <x v="1155"/>
    <x v="5"/>
    <x v="27"/>
    <x v="0"/>
    <n v="10"/>
    <s v="Green"/>
    <n v="2"/>
    <n v="7899"/>
    <n v="20"/>
    <n v="6320"/>
    <n v="12640"/>
    <s v="UPI"/>
    <x v="1"/>
    <s v="India"/>
    <x v="26"/>
    <s v="Kozhikode"/>
    <s v="Lifestyle Shopper"/>
    <x v="1"/>
    <n v="5"/>
    <s v="Delivered"/>
    <s v="Standard"/>
    <n v="6"/>
  </r>
  <r>
    <s v="ORD202649"/>
    <s v="CUST100562"/>
    <s v="Women"/>
    <s v="55+"/>
    <x v="1155"/>
    <x v="3"/>
    <x v="35"/>
    <x v="2"/>
    <n v="12"/>
    <s v="Blue"/>
    <n v="1"/>
    <n v="3599"/>
    <n v="30"/>
    <n v="2520"/>
    <n v="2520"/>
    <s v="UPI"/>
    <x v="2"/>
    <s v="India"/>
    <x v="24"/>
    <s v="Mangaluru"/>
    <s v="Premium Shopper"/>
    <x v="1"/>
    <n v="4.5"/>
    <s v="Delivered"/>
    <s v="Standard"/>
    <n v="6"/>
  </r>
  <r>
    <s v="ORD202901"/>
    <s v="CUST100495"/>
    <s v="Men"/>
    <s v="25-34"/>
    <x v="1156"/>
    <x v="5"/>
    <x v="21"/>
    <x v="2"/>
    <n v="7"/>
    <s v="Black"/>
    <n v="1"/>
    <n v="9999"/>
    <n v="25"/>
    <n v="7500"/>
    <n v="7500"/>
    <s v="UPI"/>
    <x v="0"/>
    <s v="India"/>
    <x v="28"/>
    <s v="Kargil"/>
    <s v="Lifestyle Shopper"/>
    <x v="1"/>
    <n v="4.0999999999999996"/>
    <s v="Returned"/>
    <s v="Standard"/>
    <n v="3"/>
  </r>
  <r>
    <s v="ORD202396"/>
    <s v="CUST100619"/>
    <s v="Unisex"/>
    <s v="35-44"/>
    <x v="1157"/>
    <x v="1"/>
    <x v="10"/>
    <x v="3"/>
    <n v="8"/>
    <s v="Grey"/>
    <n v="1"/>
    <n v="6399"/>
    <n v="30"/>
    <n v="4480"/>
    <n v="4480"/>
    <s v="UPI"/>
    <x v="1"/>
    <s v="India"/>
    <x v="18"/>
    <s v="Bilaspur"/>
    <s v="Performance Seeker"/>
    <x v="1"/>
    <n v="3.7"/>
    <s v="Delivered"/>
    <s v="Standard"/>
    <n v="6"/>
  </r>
  <r>
    <s v="ORD202835"/>
    <s v="CUST100556"/>
    <s v="Men"/>
    <s v="18-24"/>
    <x v="1157"/>
    <x v="0"/>
    <x v="19"/>
    <x v="4"/>
    <n v="7"/>
    <s v="Red"/>
    <n v="1"/>
    <n v="5799"/>
    <n v="5"/>
    <n v="5510"/>
    <n v="5510"/>
    <s v="UPI"/>
    <x v="2"/>
    <s v="India"/>
    <x v="27"/>
    <s v="Cuttack"/>
    <s v="Lifestyle Shopper"/>
    <x v="1"/>
    <n v="3.8"/>
    <s v="Delivered"/>
    <s v="Standard"/>
    <n v="3"/>
  </r>
  <r>
    <s v="ORD201151"/>
    <s v="CUST100812"/>
    <s v="Women"/>
    <s v="25-34"/>
    <x v="1158"/>
    <x v="5"/>
    <x v="14"/>
    <x v="3"/>
    <n v="11"/>
    <s v="Blue"/>
    <n v="1"/>
    <n v="6599"/>
    <n v="15"/>
    <n v="5610"/>
    <n v="5610"/>
    <s v="Debit/Credit Card"/>
    <x v="1"/>
    <s v="India"/>
    <x v="28"/>
    <s v="Leh"/>
    <s v="Lifestyle Shopper"/>
    <x v="1"/>
    <n v="3.7"/>
    <s v="Delivered"/>
    <s v="Standard"/>
    <n v="2"/>
  </r>
  <r>
    <s v="ORD202548"/>
    <s v="CUST100392"/>
    <s v="Men"/>
    <s v="25-34"/>
    <x v="1159"/>
    <x v="4"/>
    <x v="29"/>
    <x v="2"/>
    <n v="6"/>
    <s v="Green"/>
    <n v="2"/>
    <n v="8199"/>
    <n v="20"/>
    <n v="6560"/>
    <n v="13120"/>
    <s v="UPI"/>
    <x v="1"/>
    <s v="India"/>
    <x v="27"/>
    <s v="Cuttack"/>
    <s v="Performance Seeker"/>
    <x v="2"/>
    <n v="3.5"/>
    <s v="Delivered"/>
    <s v="Standard"/>
    <n v="7"/>
  </r>
  <r>
    <s v="ORD203098"/>
    <s v="CUST100522"/>
    <s v="Women"/>
    <s v="18-24"/>
    <x v="1160"/>
    <x v="4"/>
    <x v="17"/>
    <x v="4"/>
    <n v="12"/>
    <s v="White"/>
    <n v="2"/>
    <n v="7199"/>
    <n v="30"/>
    <n v="5040"/>
    <n v="10080"/>
    <s v="UPI"/>
    <x v="1"/>
    <s v="India"/>
    <x v="27"/>
    <s v="Bhubaneswar"/>
    <s v="Lifestyle Shopper"/>
    <x v="1"/>
    <n v="5"/>
    <s v="Delivered"/>
    <s v="Same Day"/>
    <n v="1"/>
  </r>
  <r>
    <s v="ORD201272"/>
    <s v="CUST100470"/>
    <s v="Men"/>
    <s v="18-24"/>
    <x v="1161"/>
    <x v="5"/>
    <x v="30"/>
    <x v="2"/>
    <n v="12"/>
    <s v="Blue"/>
    <n v="1"/>
    <n v="8499"/>
    <n v="0"/>
    <n v="8500"/>
    <n v="8500"/>
    <s v="UPI"/>
    <x v="2"/>
    <s v="India"/>
    <x v="12"/>
    <s v="Mayabunder"/>
    <s v="Performance Seeker"/>
    <x v="2"/>
    <n v="3"/>
    <s v="Delivered"/>
    <s v="Standard"/>
    <n v="2"/>
  </r>
  <r>
    <s v="ORD201405"/>
    <s v="CUST100191"/>
    <s v="Unisex"/>
    <s v="35-44"/>
    <x v="1162"/>
    <x v="3"/>
    <x v="34"/>
    <x v="3"/>
    <n v="7"/>
    <s v="Grey"/>
    <n v="1"/>
    <n v="6999"/>
    <n v="15"/>
    <n v="5950"/>
    <n v="5950"/>
    <s v="UPI"/>
    <x v="0"/>
    <s v="India"/>
    <x v="35"/>
    <s v="Aizawl"/>
    <s v="Performance Seeker"/>
    <x v="0"/>
    <n v="3.9"/>
    <s v="Delivered"/>
    <s v="Express"/>
    <n v="3"/>
  </r>
  <r>
    <s v="ORD201576"/>
    <s v="CUST100973"/>
    <s v="Women"/>
    <s v="18-24"/>
    <x v="1163"/>
    <x v="3"/>
    <x v="34"/>
    <x v="3"/>
    <n v="9"/>
    <s v="Grey"/>
    <n v="4"/>
    <n v="5699"/>
    <n v="20"/>
    <n v="4560"/>
    <n v="18240"/>
    <s v="Debit/Credit Card"/>
    <x v="2"/>
    <s v="India"/>
    <x v="21"/>
    <s v="Tuensang"/>
    <s v="Performance Seeker"/>
    <x v="1"/>
    <n v="3.5"/>
    <s v="Delivered"/>
    <s v="Standard"/>
    <n v="5"/>
  </r>
  <r>
    <s v="ORD200897"/>
    <s v="CUST100099"/>
    <s v="Women"/>
    <s v="45-54"/>
    <x v="1164"/>
    <x v="3"/>
    <x v="16"/>
    <x v="0"/>
    <n v="12"/>
    <s v="Grey"/>
    <n v="1"/>
    <n v="5599"/>
    <n v="15"/>
    <n v="4760"/>
    <n v="4760"/>
    <s v="UPI"/>
    <x v="2"/>
    <s v="India"/>
    <x v="24"/>
    <s v="Mysuru"/>
    <s v="Comfort Shopper"/>
    <x v="1"/>
    <n v="3.5"/>
    <s v="Delivered"/>
    <s v="Standard"/>
    <n v="3"/>
  </r>
  <r>
    <s v="ORD200878"/>
    <s v="CUST100346"/>
    <s v="Men"/>
    <s v="35-44"/>
    <x v="1165"/>
    <x v="0"/>
    <x v="19"/>
    <x v="4"/>
    <n v="10"/>
    <s v="Black"/>
    <n v="2"/>
    <n v="6299"/>
    <n v="5"/>
    <n v="5980"/>
    <n v="11960"/>
    <s v="UPI"/>
    <x v="0"/>
    <s v="India"/>
    <x v="2"/>
    <s v="Panipat"/>
    <s v="Comfort Shopper"/>
    <x v="2"/>
    <n v="3.2"/>
    <s v="Returned"/>
    <s v="Express"/>
    <n v="2"/>
  </r>
  <r>
    <s v="ORD201616"/>
    <s v="CUST100899"/>
    <s v="Men"/>
    <s v="55+"/>
    <x v="1165"/>
    <x v="0"/>
    <x v="8"/>
    <x v="3"/>
    <n v="11"/>
    <s v="Black"/>
    <n v="1"/>
    <n v="5299"/>
    <n v="20"/>
    <n v="4240"/>
    <n v="4240"/>
    <s v="Debit/Credit Card"/>
    <x v="1"/>
    <s v="India"/>
    <x v="16"/>
    <s v="Ahmedabad"/>
    <s v="Comfort Shopper"/>
    <x v="1"/>
    <n v="3.6"/>
    <s v="Returned"/>
    <s v="Express"/>
    <n v="2"/>
  </r>
  <r>
    <s v="ORD201684"/>
    <s v="CUST100437"/>
    <s v="Men"/>
    <s v="25-34"/>
    <x v="1165"/>
    <x v="1"/>
    <x v="18"/>
    <x v="2"/>
    <n v="11"/>
    <s v="Grey"/>
    <n v="1"/>
    <n v="5999"/>
    <n v="20"/>
    <n v="4800"/>
    <n v="4800"/>
    <s v="Debit/Credit Card"/>
    <x v="2"/>
    <s v="India"/>
    <x v="6"/>
    <s v="Kanpur"/>
    <s v="Value Shopper"/>
    <x v="1"/>
    <n v="3.5"/>
    <s v="Delivered"/>
    <s v="Standard"/>
    <n v="3"/>
  </r>
  <r>
    <s v="ORD201686"/>
    <s v="CUST100404"/>
    <s v="Women"/>
    <s v="25-34"/>
    <x v="1166"/>
    <x v="4"/>
    <x v="9"/>
    <x v="1"/>
    <n v="9"/>
    <s v="Black"/>
    <n v="1"/>
    <n v="7699"/>
    <n v="5"/>
    <n v="7310"/>
    <n v="7310"/>
    <s v="Net Banking"/>
    <x v="1"/>
    <s v="India"/>
    <x v="16"/>
    <s v="Surat"/>
    <s v="Premium Shopper"/>
    <x v="0"/>
    <n v="3.7"/>
    <s v="Delivered"/>
    <s v="Standard"/>
    <n v="4"/>
  </r>
  <r>
    <s v="ORD202173"/>
    <s v="CUST100719"/>
    <s v="Men"/>
    <s v="25-34"/>
    <x v="1167"/>
    <x v="1"/>
    <x v="33"/>
    <x v="0"/>
    <n v="10"/>
    <s v="Black"/>
    <n v="1"/>
    <n v="8599"/>
    <n v="20"/>
    <n v="6880"/>
    <n v="6880"/>
    <s v="UPI"/>
    <x v="1"/>
    <s v="India"/>
    <x v="16"/>
    <s v="Ahmedabad"/>
    <s v="Lifestyle Shopper"/>
    <x v="1"/>
    <n v="4.5"/>
    <s v="Delivered"/>
    <s v="Express"/>
    <n v="2"/>
  </r>
  <r>
    <s v="ORD203001"/>
    <s v="CUST100004"/>
    <s v="Men"/>
    <s v="35-44"/>
    <x v="1168"/>
    <x v="3"/>
    <x v="35"/>
    <x v="2"/>
    <n v="10"/>
    <s v="Blue"/>
    <n v="1"/>
    <n v="8899"/>
    <n v="25"/>
    <n v="6670"/>
    <n v="6670"/>
    <s v="Debit/Credit Card"/>
    <x v="2"/>
    <s v="India"/>
    <x v="7"/>
    <s v="Jabalpur"/>
    <s v="Lifestyle Shopper"/>
    <x v="1"/>
    <n v="4.8"/>
    <s v="Returned"/>
    <s v="Express"/>
    <n v="2"/>
  </r>
  <r>
    <s v="ORD201371"/>
    <s v="CUST100586"/>
    <s v="Men"/>
    <s v="35-44"/>
    <x v="1169"/>
    <x v="4"/>
    <x v="22"/>
    <x v="0"/>
    <n v="8"/>
    <s v="Black"/>
    <n v="1"/>
    <n v="5099"/>
    <n v="15"/>
    <n v="4330"/>
    <n v="4330"/>
    <s v="UPI"/>
    <x v="2"/>
    <s v="India"/>
    <x v="18"/>
    <s v="Korba"/>
    <s v="Performance Seeker"/>
    <x v="2"/>
    <n v="4.9000000000000004"/>
    <s v="Delivered"/>
    <s v="Standard"/>
    <n v="5"/>
  </r>
  <r>
    <s v="ORD203127"/>
    <s v="CUST100060"/>
    <s v="Men"/>
    <s v="18-24"/>
    <x v="1170"/>
    <x v="3"/>
    <x v="11"/>
    <x v="4"/>
    <n v="8"/>
    <s v="Black"/>
    <n v="1"/>
    <n v="6199"/>
    <n v="5"/>
    <n v="5890"/>
    <n v="5890"/>
    <s v="UPI"/>
    <x v="1"/>
    <s v="India"/>
    <x v="18"/>
    <s v="Bilaspur"/>
    <s v="Lifestyle Shopper"/>
    <x v="1"/>
    <n v="3.6"/>
    <s v="Delivered"/>
    <s v="Standard"/>
    <n v="3"/>
  </r>
  <r>
    <s v="ORD201409"/>
    <s v="CUST100786"/>
    <s v="Unisex"/>
    <s v="35-44"/>
    <x v="1171"/>
    <x v="4"/>
    <x v="29"/>
    <x v="2"/>
    <n v="8"/>
    <s v="Black"/>
    <n v="1"/>
    <n v="4899"/>
    <n v="10"/>
    <n v="4410"/>
    <n v="4410"/>
    <s v="Net Banking"/>
    <x v="0"/>
    <s v="India"/>
    <x v="30"/>
    <s v="Chandigarh"/>
    <s v="Lifestyle Shopper"/>
    <x v="2"/>
    <n v="3.8"/>
    <s v="Delivered"/>
    <s v="Same Day"/>
    <n v="1"/>
  </r>
  <r>
    <s v="ORD202805"/>
    <s v="CUST100652"/>
    <s v="Men"/>
    <s v="35-44"/>
    <x v="1172"/>
    <x v="0"/>
    <x v="8"/>
    <x v="3"/>
    <n v="8"/>
    <s v="Grey"/>
    <n v="3"/>
    <n v="9199"/>
    <n v="15"/>
    <n v="7820"/>
    <n v="23460"/>
    <s v="UPI"/>
    <x v="1"/>
    <s v="India"/>
    <x v="19"/>
    <s v="Shillong"/>
    <s v="Value Shopper"/>
    <x v="1"/>
    <n v="4"/>
    <s v="Delivered"/>
    <s v="Same Day"/>
    <n v="1"/>
  </r>
  <r>
    <s v="ORD203154"/>
    <s v="CUST100108"/>
    <s v="Women"/>
    <s v="18-24"/>
    <x v="1172"/>
    <x v="0"/>
    <x v="2"/>
    <x v="2"/>
    <n v="11"/>
    <s v="Grey"/>
    <n v="1"/>
    <n v="8499"/>
    <n v="20"/>
    <n v="6800"/>
    <n v="6800"/>
    <s v="Net Banking"/>
    <x v="2"/>
    <s v="India"/>
    <x v="2"/>
    <s v="Faridabad"/>
    <s v="Premium Shopper"/>
    <x v="2"/>
    <n v="3.6"/>
    <s v="Returned"/>
    <s v="Standard"/>
    <n v="3"/>
  </r>
  <r>
    <s v="ORD200623"/>
    <s v="CUST100740"/>
    <s v="Women"/>
    <s v="25-34"/>
    <x v="1173"/>
    <x v="0"/>
    <x v="31"/>
    <x v="1"/>
    <n v="10"/>
    <s v="Grey"/>
    <n v="1"/>
    <n v="8099"/>
    <n v="0"/>
    <n v="8100"/>
    <n v="8100"/>
    <s v="UPI"/>
    <x v="1"/>
    <s v="India"/>
    <x v="23"/>
    <s v="Haridwar"/>
    <s v="Lifestyle Shopper"/>
    <x v="1"/>
    <n v="4.7"/>
    <s v="Returned"/>
    <s v="Same Day"/>
    <n v="2"/>
  </r>
  <r>
    <s v="ORD200359"/>
    <s v="CUST100415"/>
    <s v="Men"/>
    <s v="45-54"/>
    <x v="1174"/>
    <x v="5"/>
    <x v="7"/>
    <x v="1"/>
    <n v="8"/>
    <s v="White"/>
    <n v="2"/>
    <n v="9099"/>
    <n v="20"/>
    <n v="7280"/>
    <n v="14560"/>
    <s v="UPI"/>
    <x v="2"/>
    <s v="India"/>
    <x v="20"/>
    <s v="Dharamshala"/>
    <s v="Performance Seeker"/>
    <x v="2"/>
    <n v="4.3"/>
    <s v="Delivered"/>
    <s v="Standard"/>
    <n v="5"/>
  </r>
  <r>
    <s v="ORD202632"/>
    <s v="CUST100425"/>
    <s v="Men"/>
    <s v="25-34"/>
    <x v="1174"/>
    <x v="3"/>
    <x v="11"/>
    <x v="4"/>
    <n v="10"/>
    <s v="White"/>
    <n v="1"/>
    <n v="4099"/>
    <n v="20"/>
    <n v="3280"/>
    <n v="3280"/>
    <s v="UPI"/>
    <x v="2"/>
    <s v="India"/>
    <x v="34"/>
    <s v="Asansol"/>
    <s v="Value Shopper"/>
    <x v="2"/>
    <n v="4.5"/>
    <s v="Delivered"/>
    <s v="Same Day"/>
    <n v="1"/>
  </r>
  <r>
    <s v="ORD200648"/>
    <s v="CUST100687"/>
    <s v="Men"/>
    <s v="45-54"/>
    <x v="1175"/>
    <x v="2"/>
    <x v="25"/>
    <x v="3"/>
    <n v="10"/>
    <s v="Black"/>
    <n v="1"/>
    <n v="8299"/>
    <n v="25"/>
    <n v="6220"/>
    <n v="6220"/>
    <s v="UPI"/>
    <x v="1"/>
    <s v="India"/>
    <x v="19"/>
    <s v="Jowai"/>
    <s v="Comfort Shopper"/>
    <x v="2"/>
    <n v="5"/>
    <s v="Cancelled"/>
    <s v="Standard"/>
    <n v="3"/>
  </r>
  <r>
    <s v="ORD200899"/>
    <s v="CUST100792"/>
    <s v="Women"/>
    <s v="35-44"/>
    <x v="1175"/>
    <x v="2"/>
    <x v="23"/>
    <x v="0"/>
    <n v="10"/>
    <s v="White"/>
    <n v="2"/>
    <n v="4399"/>
    <n v="5"/>
    <n v="4180"/>
    <n v="8360"/>
    <s v="UPI"/>
    <x v="2"/>
    <s v="India"/>
    <x v="2"/>
    <s v="Gurugram"/>
    <s v="Performance Seeker"/>
    <x v="1"/>
    <n v="4.5999999999999996"/>
    <s v="Delivered"/>
    <s v="Standard"/>
    <n v="3"/>
  </r>
  <r>
    <s v="ORD201903"/>
    <s v="CUST100881"/>
    <s v="Unisex"/>
    <s v="45-54"/>
    <x v="1176"/>
    <x v="2"/>
    <x v="25"/>
    <x v="3"/>
    <n v="7"/>
    <s v="White"/>
    <n v="1"/>
    <n v="5099"/>
    <n v="0"/>
    <n v="5100"/>
    <n v="5100"/>
    <s v="UPI"/>
    <x v="2"/>
    <s v="India"/>
    <x v="12"/>
    <s v="Diglipur"/>
    <s v="Premium Shopper"/>
    <x v="2"/>
    <n v="4.3"/>
    <s v="Delivered"/>
    <s v="Standard"/>
    <n v="4"/>
  </r>
  <r>
    <s v="ORD200971"/>
    <s v="CUST100129"/>
    <s v="Men"/>
    <s v="25-34"/>
    <x v="1177"/>
    <x v="2"/>
    <x v="4"/>
    <x v="2"/>
    <n v="8"/>
    <s v="Grey"/>
    <n v="1"/>
    <n v="6199"/>
    <n v="25"/>
    <n v="4650"/>
    <n v="4650"/>
    <s v="UPI"/>
    <x v="1"/>
    <s v="India"/>
    <x v="23"/>
    <s v="Haridwar"/>
    <s v="Performance Seeker"/>
    <x v="1"/>
    <n v="4.0999999999999996"/>
    <s v="Delivered"/>
    <s v="Standard"/>
    <n v="5"/>
  </r>
  <r>
    <s v="ORD200195"/>
    <s v="CUST100065"/>
    <s v="Men"/>
    <s v="18-24"/>
    <x v="1178"/>
    <x v="0"/>
    <x v="0"/>
    <x v="0"/>
    <n v="12"/>
    <s v="Blue"/>
    <n v="1"/>
    <n v="4099"/>
    <n v="20"/>
    <n v="3280"/>
    <n v="3280"/>
    <s v="UPI"/>
    <x v="1"/>
    <s v="India"/>
    <x v="20"/>
    <s v="Shimla"/>
    <s v="Value Shopper"/>
    <x v="1"/>
    <n v="3.7"/>
    <s v="Delivered"/>
    <s v="Standard"/>
    <n v="3"/>
  </r>
  <r>
    <s v="ORD201308"/>
    <s v="CUST100082"/>
    <s v="Women"/>
    <s v="18-24"/>
    <x v="1179"/>
    <x v="5"/>
    <x v="21"/>
    <x v="2"/>
    <n v="7"/>
    <s v="Green"/>
    <n v="1"/>
    <n v="9699"/>
    <n v="35"/>
    <n v="6300"/>
    <n v="6300"/>
    <s v="Cash on Delivery"/>
    <x v="2"/>
    <s v="India"/>
    <x v="22"/>
    <s v="Kailasahar"/>
    <s v="Value Shopper"/>
    <x v="2"/>
    <n v="4.5"/>
    <s v="Delivered"/>
    <s v="Standard"/>
    <n v="3"/>
  </r>
  <r>
    <s v="ORD200770"/>
    <s v="CUST100378"/>
    <s v="Women"/>
    <s v="35-44"/>
    <x v="1180"/>
    <x v="0"/>
    <x v="2"/>
    <x v="2"/>
    <n v="9"/>
    <s v="White"/>
    <n v="1"/>
    <n v="8699"/>
    <n v="0"/>
    <n v="8700"/>
    <n v="8700"/>
    <s v="Debit/Credit Card"/>
    <x v="0"/>
    <s v="India"/>
    <x v="33"/>
    <s v="Mumbai"/>
    <s v="Value Shopper"/>
    <x v="2"/>
    <n v="3.5"/>
    <s v="Delivered"/>
    <s v="Standard"/>
    <n v="3"/>
  </r>
  <r>
    <s v="ORD201610"/>
    <s v="CUST100247"/>
    <s v="Men"/>
    <s v="25-34"/>
    <x v="1180"/>
    <x v="1"/>
    <x v="1"/>
    <x v="1"/>
    <n v="7"/>
    <s v="Green"/>
    <n v="2"/>
    <n v="5899"/>
    <n v="0"/>
    <n v="5900"/>
    <n v="11800"/>
    <s v="Debit/Credit Card"/>
    <x v="0"/>
    <s v="India"/>
    <x v="6"/>
    <s v="Kanpur"/>
    <s v="Comfort Shopper"/>
    <x v="1"/>
    <n v="4"/>
    <s v="Delivered"/>
    <s v="Express"/>
    <n v="2"/>
  </r>
  <r>
    <s v="ORD201608"/>
    <s v="CUST100092"/>
    <s v="Women"/>
    <s v="45-54"/>
    <x v="1181"/>
    <x v="1"/>
    <x v="10"/>
    <x v="3"/>
    <n v="7"/>
    <s v="Grey"/>
    <n v="1"/>
    <n v="6599"/>
    <n v="10"/>
    <n v="5940"/>
    <n v="5940"/>
    <s v="Debit/Credit Card"/>
    <x v="2"/>
    <s v="India"/>
    <x v="12"/>
    <s v="Mayabunder"/>
    <s v="Value Shopper"/>
    <x v="2"/>
    <n v="4.4000000000000004"/>
    <s v="Delivered"/>
    <s v="Same Day"/>
    <n v="2"/>
  </r>
  <r>
    <s v="ORD200009"/>
    <s v="CUST100403"/>
    <s v="Unisex"/>
    <s v="25-34"/>
    <x v="1182"/>
    <x v="4"/>
    <x v="9"/>
    <x v="1"/>
    <n v="7"/>
    <s v="White"/>
    <n v="1"/>
    <n v="7499"/>
    <n v="15"/>
    <n v="6370"/>
    <n v="6370"/>
    <s v="UPI"/>
    <x v="2"/>
    <s v="India"/>
    <x v="9"/>
    <s v="Gaya"/>
    <s v="Comfort Shopper"/>
    <x v="2"/>
    <n v="3.3"/>
    <s v="Delivered"/>
    <s v="Standard"/>
    <n v="5"/>
  </r>
  <r>
    <s v="ORD201820"/>
    <s v="CUST100699"/>
    <s v="Women"/>
    <s v="18-24"/>
    <x v="1182"/>
    <x v="5"/>
    <x v="14"/>
    <x v="3"/>
    <n v="8"/>
    <s v="Red"/>
    <n v="1"/>
    <n v="8499"/>
    <n v="20"/>
    <n v="6800"/>
    <n v="6800"/>
    <s v="UPI"/>
    <x v="0"/>
    <s v="India"/>
    <x v="35"/>
    <s v="Aizawl"/>
    <s v="Value Shopper"/>
    <x v="1"/>
    <n v="5"/>
    <s v="Delivered"/>
    <s v="Standard"/>
    <n v="4"/>
  </r>
  <r>
    <s v="ORD200587"/>
    <s v="CUST100604"/>
    <s v="Men"/>
    <s v="25-34"/>
    <x v="1183"/>
    <x v="1"/>
    <x v="10"/>
    <x v="3"/>
    <n v="9"/>
    <s v="Grey"/>
    <n v="1"/>
    <n v="4199"/>
    <n v="20"/>
    <n v="3360"/>
    <n v="3360"/>
    <s v="UPI"/>
    <x v="2"/>
    <s v="India"/>
    <x v="0"/>
    <s v="Dibrugarh"/>
    <s v="Comfort Shopper"/>
    <x v="1"/>
    <n v="4.8"/>
    <s v="Returned"/>
    <s v="Standard"/>
    <n v="5"/>
  </r>
  <r>
    <s v="ORD200927"/>
    <s v="CUST100999"/>
    <s v="Men"/>
    <s v="55+"/>
    <x v="1183"/>
    <x v="1"/>
    <x v="18"/>
    <x v="2"/>
    <n v="8"/>
    <s v="Blue"/>
    <n v="1"/>
    <n v="8699"/>
    <n v="5"/>
    <n v="8260"/>
    <n v="8260"/>
    <s v="UPI"/>
    <x v="1"/>
    <s v="India"/>
    <x v="2"/>
    <s v="Panipat"/>
    <s v="Value Shopper"/>
    <x v="0"/>
    <n v="4"/>
    <s v="Returned"/>
    <s v="Standard"/>
    <n v="4"/>
  </r>
  <r>
    <s v="ORD201633"/>
    <s v="CUST100962"/>
    <s v="Women"/>
    <s v="25-34"/>
    <x v="1183"/>
    <x v="4"/>
    <x v="22"/>
    <x v="0"/>
    <n v="8"/>
    <s v="Green"/>
    <n v="1"/>
    <n v="7499"/>
    <n v="35"/>
    <n v="4870"/>
    <n v="4870"/>
    <s v="UPI"/>
    <x v="0"/>
    <s v="India"/>
    <x v="20"/>
    <s v="Mandi"/>
    <s v="Lifestyle Shopper"/>
    <x v="0"/>
    <n v="4.5999999999999996"/>
    <s v="Returned"/>
    <s v="Standard"/>
    <n v="2"/>
  </r>
  <r>
    <s v="ORD201414"/>
    <s v="CUST100807"/>
    <s v="Women"/>
    <s v="25-34"/>
    <x v="1184"/>
    <x v="0"/>
    <x v="8"/>
    <x v="3"/>
    <n v="11"/>
    <s v="White"/>
    <n v="4"/>
    <n v="9099"/>
    <n v="15"/>
    <n v="7730"/>
    <n v="30920"/>
    <s v="UPI"/>
    <x v="1"/>
    <s v="India"/>
    <x v="34"/>
    <s v="Siliguri"/>
    <s v="Performance Seeker"/>
    <x v="1"/>
    <n v="4.9000000000000004"/>
    <s v="Cancelled"/>
    <s v="Express"/>
    <n v="1"/>
  </r>
  <r>
    <s v="ORD203110"/>
    <s v="CUST100535"/>
    <s v="Men"/>
    <s v="45-54"/>
    <x v="1184"/>
    <x v="0"/>
    <x v="8"/>
    <x v="3"/>
    <n v="6"/>
    <s v="White"/>
    <n v="2"/>
    <n v="6999"/>
    <n v="15"/>
    <n v="5950"/>
    <n v="11900"/>
    <s v="UPI"/>
    <x v="0"/>
    <s v="India"/>
    <x v="4"/>
    <s v="Namchi"/>
    <s v="Comfort Shopper"/>
    <x v="1"/>
    <n v="4.2"/>
    <s v="Delivered"/>
    <s v="Express"/>
    <n v="1"/>
  </r>
  <r>
    <s v="ORD200856"/>
    <s v="CUST100938"/>
    <s v="Men"/>
    <s v="18-24"/>
    <x v="1185"/>
    <x v="0"/>
    <x v="13"/>
    <x v="2"/>
    <n v="8"/>
    <s v="Blue"/>
    <n v="1"/>
    <n v="9599"/>
    <n v="25"/>
    <n v="7200"/>
    <n v="7200"/>
    <s v="UPI"/>
    <x v="0"/>
    <s v="India"/>
    <x v="3"/>
    <s v="Kota"/>
    <s v="Lifestyle Shopper"/>
    <x v="0"/>
    <n v="4.0999999999999996"/>
    <s v="Delivered"/>
    <s v="Express"/>
    <n v="3"/>
  </r>
  <r>
    <s v="ORD202002"/>
    <s v="CUST100484"/>
    <s v="Men"/>
    <s v="25-34"/>
    <x v="1185"/>
    <x v="5"/>
    <x v="7"/>
    <x v="1"/>
    <n v="10"/>
    <s v="Red"/>
    <n v="1"/>
    <n v="8199"/>
    <n v="15"/>
    <n v="6970"/>
    <n v="6970"/>
    <s v="UPI"/>
    <x v="1"/>
    <s v="India"/>
    <x v="34"/>
    <s v="Kolkata"/>
    <s v="Premium Shopper"/>
    <x v="1"/>
    <n v="3.7"/>
    <s v="Delivered"/>
    <s v="Standard"/>
    <n v="4"/>
  </r>
  <r>
    <s v="ORD202199"/>
    <s v="CUST101030"/>
    <s v="Women"/>
    <s v="45-54"/>
    <x v="1186"/>
    <x v="1"/>
    <x v="20"/>
    <x v="2"/>
    <n v="8"/>
    <s v="Red"/>
    <n v="1"/>
    <n v="9199"/>
    <n v="15"/>
    <n v="7820"/>
    <n v="7820"/>
    <s v="UPI"/>
    <x v="1"/>
    <s v="India"/>
    <x v="17"/>
    <s v="Mahe"/>
    <s v="Lifestyle Shopper"/>
    <x v="1"/>
    <n v="4.9000000000000004"/>
    <s v="Cancelled"/>
    <s v="Standard"/>
    <n v="2"/>
  </r>
  <r>
    <s v="ORD201791"/>
    <s v="CUST100893"/>
    <s v="Women"/>
    <s v="25-34"/>
    <x v="1187"/>
    <x v="1"/>
    <x v="12"/>
    <x v="4"/>
    <n v="8"/>
    <s v="Black"/>
    <n v="1"/>
    <n v="7799"/>
    <n v="25"/>
    <n v="5850"/>
    <n v="5850"/>
    <s v="Debit/Credit Card"/>
    <x v="2"/>
    <s v="India"/>
    <x v="2"/>
    <s v="Hisar"/>
    <s v="Value Shopper"/>
    <x v="1"/>
    <n v="3.8"/>
    <s v="Delivered"/>
    <s v="Standard"/>
    <n v="2"/>
  </r>
  <r>
    <s v="ORD201889"/>
    <s v="CUST100928"/>
    <s v="Men"/>
    <s v="45-54"/>
    <x v="1187"/>
    <x v="4"/>
    <x v="29"/>
    <x v="2"/>
    <n v="7"/>
    <s v="Grey"/>
    <n v="1"/>
    <n v="4299"/>
    <n v="25"/>
    <n v="3220"/>
    <n v="3220"/>
    <s v="UPI"/>
    <x v="0"/>
    <s v="India"/>
    <x v="9"/>
    <s v="Patna"/>
    <s v="Value Shopper"/>
    <x v="2"/>
    <n v="4.4000000000000004"/>
    <s v="Delivered"/>
    <s v="Standard"/>
    <n v="3"/>
  </r>
  <r>
    <s v="ORD202185"/>
    <s v="CUST100391"/>
    <s v="Men"/>
    <s v="25-34"/>
    <x v="1187"/>
    <x v="5"/>
    <x v="27"/>
    <x v="0"/>
    <n v="9"/>
    <s v="Red"/>
    <n v="1"/>
    <n v="9799"/>
    <n v="10"/>
    <n v="8820"/>
    <n v="8820"/>
    <s v="UPI"/>
    <x v="1"/>
    <s v="India"/>
    <x v="35"/>
    <s v="Lunglei"/>
    <s v="Premium Shopper"/>
    <x v="2"/>
    <n v="4"/>
    <s v="Returned"/>
    <s v="Standard"/>
    <n v="3"/>
  </r>
  <r>
    <s v="ORD200023"/>
    <s v="CUST100444"/>
    <s v="Men"/>
    <s v="45-54"/>
    <x v="1188"/>
    <x v="4"/>
    <x v="22"/>
    <x v="0"/>
    <n v="7"/>
    <s v="Black"/>
    <n v="1"/>
    <n v="6299"/>
    <n v="0"/>
    <n v="6300"/>
    <n v="6300"/>
    <s v="UPI"/>
    <x v="1"/>
    <s v="India"/>
    <x v="24"/>
    <s v="Mangaluru"/>
    <s v="Lifestyle Shopper"/>
    <x v="2"/>
    <n v="3.8"/>
    <s v="Cancelled"/>
    <s v="Standard"/>
    <n v="6"/>
  </r>
  <r>
    <s v="ORD200285"/>
    <s v="CUST100348"/>
    <s v="Men"/>
    <s v="35-44"/>
    <x v="1188"/>
    <x v="0"/>
    <x v="8"/>
    <x v="3"/>
    <n v="10"/>
    <s v="White"/>
    <n v="2"/>
    <n v="7099"/>
    <n v="0"/>
    <n v="7100"/>
    <n v="14200"/>
    <s v="UPI"/>
    <x v="2"/>
    <s v="India"/>
    <x v="0"/>
    <s v="Silchar"/>
    <s v="Lifestyle Shopper"/>
    <x v="1"/>
    <n v="4.5999999999999996"/>
    <s v="Delivered"/>
    <s v="Standard"/>
    <n v="4"/>
  </r>
  <r>
    <s v="ORD202377"/>
    <s v="CUST100253"/>
    <s v="Men"/>
    <s v="18-24"/>
    <x v="1189"/>
    <x v="2"/>
    <x v="4"/>
    <x v="2"/>
    <n v="11"/>
    <s v="Green"/>
    <n v="1"/>
    <n v="7499"/>
    <n v="0"/>
    <n v="7500"/>
    <n v="7500"/>
    <s v="UPI"/>
    <x v="1"/>
    <s v="India"/>
    <x v="16"/>
    <s v="Surat"/>
    <s v="Performance Seeker"/>
    <x v="2"/>
    <n v="4.9000000000000004"/>
    <s v="Delivered"/>
    <s v="Standard"/>
    <n v="3"/>
  </r>
  <r>
    <s v="ORD202270"/>
    <s v="CUST100952"/>
    <s v="Unisex"/>
    <s v="35-44"/>
    <x v="1190"/>
    <x v="2"/>
    <x v="25"/>
    <x v="3"/>
    <n v="7"/>
    <s v="Black"/>
    <n v="1"/>
    <n v="7899"/>
    <n v="15"/>
    <n v="6710"/>
    <n v="6710"/>
    <s v="UPI"/>
    <x v="0"/>
    <s v="India"/>
    <x v="24"/>
    <s v="Mangaluru"/>
    <s v="Comfort Shopper"/>
    <x v="1"/>
    <n v="4"/>
    <s v="Delivered"/>
    <s v="Express"/>
    <n v="2"/>
  </r>
  <r>
    <s v="ORD202721"/>
    <s v="CUST100635"/>
    <s v="Men"/>
    <s v="35-44"/>
    <x v="1191"/>
    <x v="5"/>
    <x v="14"/>
    <x v="3"/>
    <n v="9"/>
    <s v="White"/>
    <n v="1"/>
    <n v="9699"/>
    <n v="25"/>
    <n v="7270"/>
    <n v="7270"/>
    <s v="UPI"/>
    <x v="2"/>
    <s v="India"/>
    <x v="2"/>
    <s v="Faridabad"/>
    <s v="Lifestyle Shopper"/>
    <x v="0"/>
    <n v="4.0999999999999996"/>
    <s v="Delivered"/>
    <s v="Express"/>
    <n v="2"/>
  </r>
  <r>
    <s v="ORD200484"/>
    <s v="CUST100099"/>
    <s v="Men"/>
    <s v="18-24"/>
    <x v="1192"/>
    <x v="1"/>
    <x v="18"/>
    <x v="2"/>
    <n v="7"/>
    <s v="Black"/>
    <n v="1"/>
    <n v="8799"/>
    <n v="10"/>
    <n v="7920"/>
    <n v="7920"/>
    <s v="UPI"/>
    <x v="2"/>
    <s v="India"/>
    <x v="34"/>
    <s v="Durgapur"/>
    <s v="Performance Seeker"/>
    <x v="2"/>
    <n v="4.5"/>
    <s v="Cancelled"/>
    <s v="Express"/>
    <n v="3"/>
  </r>
  <r>
    <s v="ORD201535"/>
    <s v="CUST100314"/>
    <s v="Unisex"/>
    <s v="25-34"/>
    <x v="1193"/>
    <x v="2"/>
    <x v="4"/>
    <x v="2"/>
    <n v="9"/>
    <s v="Red"/>
    <n v="1"/>
    <n v="3399"/>
    <n v="0"/>
    <n v="3400"/>
    <n v="3400"/>
    <s v="Debit/Credit Card"/>
    <x v="1"/>
    <s v="India"/>
    <x v="1"/>
    <s v="Margao"/>
    <s v="Lifestyle Shopper"/>
    <x v="2"/>
    <n v="5"/>
    <s v="Delivered"/>
    <s v="Express"/>
    <n v="4"/>
  </r>
  <r>
    <s v="ORD200520"/>
    <s v="CUST100960"/>
    <s v="Men"/>
    <s v="35-44"/>
    <x v="1194"/>
    <x v="4"/>
    <x v="17"/>
    <x v="4"/>
    <n v="8"/>
    <s v="Blue"/>
    <n v="1"/>
    <n v="7999"/>
    <n v="30"/>
    <n v="5600"/>
    <n v="5600"/>
    <s v="UPI"/>
    <x v="0"/>
    <s v="India"/>
    <x v="25"/>
    <s v="Anantnag"/>
    <s v="Value Shopper"/>
    <x v="1"/>
    <n v="4.3"/>
    <s v="Delivered"/>
    <s v="Standard"/>
    <n v="4"/>
  </r>
  <r>
    <s v="ORD200197"/>
    <s v="CUST100401"/>
    <s v="Men"/>
    <s v="25-34"/>
    <x v="1195"/>
    <x v="1"/>
    <x v="33"/>
    <x v="0"/>
    <n v="12"/>
    <s v="Green"/>
    <n v="3"/>
    <n v="8899"/>
    <n v="25"/>
    <n v="6670"/>
    <n v="20010"/>
    <s v="UPI"/>
    <x v="0"/>
    <s v="India"/>
    <x v="23"/>
    <s v="Haridwar"/>
    <s v="Performance Seeker"/>
    <x v="0"/>
    <n v="5"/>
    <s v="Delivered"/>
    <s v="Standard"/>
    <n v="2"/>
  </r>
  <r>
    <s v="ORD200884"/>
    <s v="CUST100052"/>
    <s v="Women"/>
    <s v="35-44"/>
    <x v="1196"/>
    <x v="0"/>
    <x v="31"/>
    <x v="1"/>
    <n v="12"/>
    <s v="Black"/>
    <n v="1"/>
    <n v="4899"/>
    <n v="20"/>
    <n v="3920"/>
    <n v="3920"/>
    <s v="UPI"/>
    <x v="1"/>
    <s v="India"/>
    <x v="6"/>
    <s v="Noida"/>
    <s v="Lifestyle Shopper"/>
    <x v="2"/>
    <n v="4"/>
    <s v="Delivered"/>
    <s v="Express"/>
    <n v="3"/>
  </r>
  <r>
    <s v="ORD201356"/>
    <s v="CUST100283"/>
    <s v="Men"/>
    <s v="25-34"/>
    <x v="1196"/>
    <x v="5"/>
    <x v="14"/>
    <x v="3"/>
    <n v="11"/>
    <s v="Green"/>
    <n v="1"/>
    <n v="9099"/>
    <n v="20"/>
    <n v="7280"/>
    <n v="7280"/>
    <s v="UPI"/>
    <x v="2"/>
    <s v="India"/>
    <x v="24"/>
    <s v="Hubballi"/>
    <s v="Value Shopper"/>
    <x v="2"/>
    <n v="3.8"/>
    <s v="Returned"/>
    <s v="Standard"/>
    <n v="6"/>
  </r>
  <r>
    <s v="ORD202716"/>
    <s v="CUST100865"/>
    <s v="Men"/>
    <s v="25-34"/>
    <x v="1197"/>
    <x v="0"/>
    <x v="0"/>
    <x v="0"/>
    <n v="7"/>
    <s v="White"/>
    <n v="1"/>
    <n v="8399"/>
    <n v="30"/>
    <n v="5880"/>
    <n v="5880"/>
    <s v="UPI"/>
    <x v="2"/>
    <s v="India"/>
    <x v="34"/>
    <s v="Siliguri"/>
    <s v="Performance Seeker"/>
    <x v="1"/>
    <n v="4"/>
    <s v="Delivered"/>
    <s v="Express"/>
    <n v="3"/>
  </r>
  <r>
    <s v="ORD200955"/>
    <s v="CUST100007"/>
    <s v="Women"/>
    <s v="55+"/>
    <x v="1198"/>
    <x v="2"/>
    <x v="25"/>
    <x v="3"/>
    <n v="7"/>
    <s v="Black"/>
    <n v="3"/>
    <n v="5999"/>
    <n v="15"/>
    <n v="5100"/>
    <n v="15300"/>
    <s v="Cash on Delivery"/>
    <x v="1"/>
    <s v="India"/>
    <x v="17"/>
    <s v="Puducherry"/>
    <s v="Value Shopper"/>
    <x v="1"/>
    <n v="4.8"/>
    <s v="Delivered"/>
    <s v="Standard"/>
    <n v="4"/>
  </r>
  <r>
    <s v="ORD202008"/>
    <s v="CUST100449"/>
    <s v="Women"/>
    <s v="35-44"/>
    <x v="1199"/>
    <x v="1"/>
    <x v="33"/>
    <x v="0"/>
    <n v="11"/>
    <s v="Black"/>
    <n v="1"/>
    <n v="7099"/>
    <n v="20"/>
    <n v="5680"/>
    <n v="5680"/>
    <s v="Debit/Credit Card"/>
    <x v="1"/>
    <s v="India"/>
    <x v="9"/>
    <s v="Muzaffarpur"/>
    <s v="Performance Seeker"/>
    <x v="1"/>
    <n v="3.9"/>
    <s v="Delivered"/>
    <s v="Standard"/>
    <n v="6"/>
  </r>
  <r>
    <s v="ORD200937"/>
    <s v="CUST100251"/>
    <s v="Unisex"/>
    <s v="25-34"/>
    <x v="1200"/>
    <x v="0"/>
    <x v="0"/>
    <x v="0"/>
    <n v="11"/>
    <s v="Grey"/>
    <n v="1"/>
    <n v="5399"/>
    <n v="0"/>
    <n v="5400"/>
    <n v="5400"/>
    <s v="UPI"/>
    <x v="1"/>
    <s v="India"/>
    <x v="6"/>
    <s v="Varanasi"/>
    <s v="Comfort Shopper"/>
    <x v="0"/>
    <n v="5"/>
    <s v="Delivered"/>
    <s v="Express"/>
    <n v="3"/>
  </r>
  <r>
    <s v="ORD202317"/>
    <s v="CUST100226"/>
    <s v="Women"/>
    <s v="25-34"/>
    <x v="1200"/>
    <x v="3"/>
    <x v="11"/>
    <x v="4"/>
    <n v="9"/>
    <s v="Green"/>
    <n v="1"/>
    <n v="6599"/>
    <n v="20"/>
    <n v="5280"/>
    <n v="5280"/>
    <s v="Debit/Credit Card"/>
    <x v="0"/>
    <s v="India"/>
    <x v="6"/>
    <s v="Lucknow"/>
    <s v="Comfort Shopper"/>
    <x v="1"/>
    <n v="4.8"/>
    <s v="Delivered"/>
    <s v="Standard"/>
    <n v="6"/>
  </r>
  <r>
    <s v="ORD202752"/>
    <s v="CUST100384"/>
    <s v="Women"/>
    <s v="35-44"/>
    <x v="1201"/>
    <x v="5"/>
    <x v="14"/>
    <x v="3"/>
    <n v="9"/>
    <s v="Grey"/>
    <n v="1"/>
    <n v="7099"/>
    <n v="15"/>
    <n v="6030"/>
    <n v="6030"/>
    <s v="UPI"/>
    <x v="0"/>
    <s v="India"/>
    <x v="7"/>
    <s v="Indore"/>
    <s v="Premium Shopper"/>
    <x v="1"/>
    <n v="4.2"/>
    <s v="Returned"/>
    <s v="Standard"/>
    <n v="4"/>
  </r>
  <r>
    <s v="ORD200482"/>
    <s v="CUST100208"/>
    <s v="Women"/>
    <s v="25-34"/>
    <x v="1202"/>
    <x v="3"/>
    <x v="34"/>
    <x v="3"/>
    <n v="6"/>
    <s v="Grey"/>
    <n v="1"/>
    <n v="5199"/>
    <n v="20"/>
    <n v="4160"/>
    <n v="4160"/>
    <s v="UPI"/>
    <x v="1"/>
    <s v="India"/>
    <x v="9"/>
    <s v="Bhagalpur"/>
    <s v="Performance Seeker"/>
    <x v="2"/>
    <n v="4.5999999999999996"/>
    <s v="Delivered"/>
    <s v="Standard"/>
    <n v="4"/>
  </r>
  <r>
    <s v="ORD201182"/>
    <s v="CUST100782"/>
    <s v="Unisex"/>
    <s v="18-24"/>
    <x v="1202"/>
    <x v="4"/>
    <x v="26"/>
    <x v="3"/>
    <n v="8"/>
    <s v="Grey"/>
    <n v="2"/>
    <n v="7399"/>
    <n v="0"/>
    <n v="7400"/>
    <n v="14800"/>
    <s v="UPI"/>
    <x v="1"/>
    <s v="India"/>
    <x v="31"/>
    <s v="Madurai"/>
    <s v="Lifestyle Shopper"/>
    <x v="1"/>
    <n v="5"/>
    <s v="Delivered"/>
    <s v="Standard"/>
    <n v="7"/>
  </r>
  <r>
    <s v="ORD200792"/>
    <s v="CUST100864"/>
    <s v="Men"/>
    <s v="35-44"/>
    <x v="1203"/>
    <x v="4"/>
    <x v="6"/>
    <x v="2"/>
    <n v="11"/>
    <s v="Black"/>
    <n v="1"/>
    <n v="8899"/>
    <n v="10"/>
    <n v="8010"/>
    <n v="8010"/>
    <s v="UPI"/>
    <x v="1"/>
    <s v="India"/>
    <x v="32"/>
    <s v="Jamshedpur"/>
    <s v="Value Shopper"/>
    <x v="0"/>
    <n v="4.5"/>
    <s v="Delivered"/>
    <s v="Standard"/>
    <n v="3"/>
  </r>
  <r>
    <s v="ORD201014"/>
    <s v="CUST100459"/>
    <s v="Women"/>
    <s v="25-34"/>
    <x v="1204"/>
    <x v="1"/>
    <x v="20"/>
    <x v="2"/>
    <n v="8"/>
    <s v="Red"/>
    <n v="1"/>
    <n v="6199"/>
    <n v="10"/>
    <n v="5580"/>
    <n v="5580"/>
    <s v="Cash on Delivery"/>
    <x v="2"/>
    <s v="India"/>
    <x v="27"/>
    <s v="Cuttack"/>
    <s v="Premium Shopper"/>
    <x v="1"/>
    <n v="3.5"/>
    <s v="Delivered"/>
    <s v="Same Day"/>
    <n v="1"/>
  </r>
  <r>
    <s v="ORD201682"/>
    <s v="CUST100699"/>
    <s v="Women"/>
    <s v="25-34"/>
    <x v="1205"/>
    <x v="0"/>
    <x v="2"/>
    <x v="2"/>
    <n v="9"/>
    <s v="Blue"/>
    <n v="2"/>
    <n v="8499"/>
    <n v="20"/>
    <n v="6800"/>
    <n v="13600"/>
    <s v="Debit/Credit Card"/>
    <x v="1"/>
    <s v="India"/>
    <x v="10"/>
    <s v="Silvassa"/>
    <s v="Performance Seeker"/>
    <x v="2"/>
    <n v="2.5"/>
    <s v="Delivered"/>
    <s v="Express"/>
    <n v="2"/>
  </r>
  <r>
    <s v="ORD200088"/>
    <s v="CUST100004"/>
    <s v="Women"/>
    <s v="35-44"/>
    <x v="1206"/>
    <x v="3"/>
    <x v="35"/>
    <x v="2"/>
    <n v="6"/>
    <s v="White"/>
    <n v="2"/>
    <n v="6599"/>
    <n v="15"/>
    <n v="5610"/>
    <n v="11220"/>
    <s v="UPI"/>
    <x v="2"/>
    <s v="India"/>
    <x v="16"/>
    <s v="Vadodara"/>
    <s v="Performance Seeker"/>
    <x v="2"/>
    <n v="4.4000000000000004"/>
    <s v="Cancelled"/>
    <s v="Standard"/>
    <n v="5"/>
  </r>
  <r>
    <s v="ORD200694"/>
    <s v="CUST100872"/>
    <s v="Women"/>
    <s v="18-24"/>
    <x v="1206"/>
    <x v="0"/>
    <x v="13"/>
    <x v="2"/>
    <n v="8"/>
    <s v="Green"/>
    <n v="1"/>
    <n v="8399"/>
    <n v="10"/>
    <n v="7560"/>
    <n v="7560"/>
    <s v="UPI"/>
    <x v="2"/>
    <s v="India"/>
    <x v="18"/>
    <s v="Raipur"/>
    <s v="Premium Shopper"/>
    <x v="1"/>
    <n v="3.6"/>
    <s v="Delivered"/>
    <s v="Standard"/>
    <n v="4"/>
  </r>
  <r>
    <s v="ORD200040"/>
    <s v="CUST100229"/>
    <s v="Men"/>
    <s v="35-44"/>
    <x v="1207"/>
    <x v="2"/>
    <x v="32"/>
    <x v="1"/>
    <n v="11"/>
    <s v="White"/>
    <n v="1"/>
    <n v="4699"/>
    <n v="5"/>
    <n v="4460"/>
    <n v="4460"/>
    <s v="UPI"/>
    <x v="1"/>
    <s v="India"/>
    <x v="2"/>
    <s v="Hisar"/>
    <s v="Performance Seeker"/>
    <x v="2"/>
    <n v="4.4000000000000004"/>
    <s v="Delivered"/>
    <s v="Standard"/>
    <n v="5"/>
  </r>
  <r>
    <s v="ORD200580"/>
    <s v="CUST100372"/>
    <s v="Men"/>
    <s v="55+"/>
    <x v="1207"/>
    <x v="0"/>
    <x v="2"/>
    <x v="2"/>
    <n v="7"/>
    <s v="Green"/>
    <n v="1"/>
    <n v="4999"/>
    <n v="10"/>
    <n v="4500"/>
    <n v="4500"/>
    <s v="UPI"/>
    <x v="1"/>
    <s v="India"/>
    <x v="31"/>
    <s v="Madurai"/>
    <s v="Premium Shopper"/>
    <x v="1"/>
    <n v="4.2"/>
    <s v="Delivered"/>
    <s v="Express"/>
    <n v="3"/>
  </r>
  <r>
    <s v="ORD201316"/>
    <s v="CUST100555"/>
    <s v="Women"/>
    <s v="35-44"/>
    <x v="1207"/>
    <x v="5"/>
    <x v="7"/>
    <x v="1"/>
    <n v="9"/>
    <s v="Green"/>
    <n v="2"/>
    <n v="8899"/>
    <n v="35"/>
    <n v="5780"/>
    <n v="11560"/>
    <s v="Debit/Credit Card"/>
    <x v="1"/>
    <s v="India"/>
    <x v="7"/>
    <s v="Jabalpur"/>
    <s v="Value Shopper"/>
    <x v="1"/>
    <n v="2.2999999999999998"/>
    <s v="Cancelled"/>
    <s v="Standard"/>
    <n v="1"/>
  </r>
  <r>
    <s v="ORD200014"/>
    <s v="CUST100336"/>
    <s v="Women"/>
    <s v="35-44"/>
    <x v="1208"/>
    <x v="1"/>
    <x v="12"/>
    <x v="4"/>
    <n v="8"/>
    <s v="Black"/>
    <n v="3"/>
    <n v="4599"/>
    <n v="35"/>
    <n v="2990"/>
    <n v="8970"/>
    <s v="UPI"/>
    <x v="0"/>
    <s v="India"/>
    <x v="32"/>
    <s v="Ranchi"/>
    <s v="Comfort Shopper"/>
    <x v="1"/>
    <n v="3.9"/>
    <s v="Returned"/>
    <s v="Standard"/>
    <n v="4"/>
  </r>
  <r>
    <s v="ORD201664"/>
    <s v="CUST100269"/>
    <s v="Men"/>
    <s v="25-34"/>
    <x v="1208"/>
    <x v="4"/>
    <x v="22"/>
    <x v="0"/>
    <n v="8"/>
    <s v="Grey"/>
    <n v="1"/>
    <n v="4499"/>
    <n v="20"/>
    <n v="3600"/>
    <n v="3600"/>
    <s v="UPI"/>
    <x v="1"/>
    <s v="India"/>
    <x v="0"/>
    <s v="Silchar"/>
    <s v="Performance Seeker"/>
    <x v="2"/>
    <n v="3.3"/>
    <s v="Delivered"/>
    <s v="Express"/>
    <n v="4"/>
  </r>
  <r>
    <s v="ORD200013"/>
    <s v="CUST100530"/>
    <s v="Men"/>
    <s v="18-24"/>
    <x v="1209"/>
    <x v="3"/>
    <x v="28"/>
    <x v="1"/>
    <n v="8"/>
    <s v="Black"/>
    <n v="1"/>
    <n v="8599"/>
    <n v="15"/>
    <n v="7310"/>
    <n v="7310"/>
    <s v="UPI"/>
    <x v="1"/>
    <s v="India"/>
    <x v="34"/>
    <s v="Durgapur"/>
    <s v="Premium Shopper"/>
    <x v="1"/>
    <n v="4.0999999999999996"/>
    <s v="Delivered"/>
    <s v="Standard"/>
    <n v="4"/>
  </r>
  <r>
    <s v="ORD200475"/>
    <s v="CUST100230"/>
    <s v="Men"/>
    <s v="18-24"/>
    <x v="1209"/>
    <x v="2"/>
    <x v="24"/>
    <x v="4"/>
    <n v="8"/>
    <s v="Black"/>
    <n v="1"/>
    <n v="5599"/>
    <n v="25"/>
    <n v="4200"/>
    <n v="4200"/>
    <s v="UPI"/>
    <x v="1"/>
    <s v="India"/>
    <x v="17"/>
    <s v="Karaikal"/>
    <s v="Performance Seeker"/>
    <x v="1"/>
    <n v="4.5"/>
    <s v="Delivered"/>
    <s v="Standard"/>
    <n v="3"/>
  </r>
  <r>
    <s v="ORD201225"/>
    <s v="CUST100504"/>
    <s v="Men"/>
    <s v="25-34"/>
    <x v="1209"/>
    <x v="4"/>
    <x v="26"/>
    <x v="3"/>
    <n v="7"/>
    <s v="Black"/>
    <n v="1"/>
    <n v="5899"/>
    <n v="15"/>
    <n v="5010"/>
    <n v="5010"/>
    <s v="UPI"/>
    <x v="1"/>
    <s v="India"/>
    <x v="8"/>
    <s v="Nizamabad"/>
    <s v="Premium Shopper"/>
    <x v="2"/>
    <n v="3.5"/>
    <s v="Delivered"/>
    <s v="Standard"/>
    <n v="1"/>
  </r>
  <r>
    <s v="ORD202460"/>
    <s v="CUST100575"/>
    <s v="Men"/>
    <s v="25-34"/>
    <x v="1210"/>
    <x v="3"/>
    <x v="35"/>
    <x v="2"/>
    <n v="7"/>
    <s v="Green"/>
    <n v="1"/>
    <n v="7499"/>
    <n v="25"/>
    <n v="5620"/>
    <n v="5620"/>
    <s v="UPI"/>
    <x v="1"/>
    <s v="India"/>
    <x v="31"/>
    <s v="Chennai"/>
    <s v="Value Shopper"/>
    <x v="1"/>
    <n v="4.4000000000000004"/>
    <s v="Cancelled"/>
    <s v="Standard"/>
    <n v="4"/>
  </r>
  <r>
    <s v="ORD202774"/>
    <s v="CUST100909"/>
    <s v="Men"/>
    <s v="35-44"/>
    <x v="1210"/>
    <x v="4"/>
    <x v="6"/>
    <x v="2"/>
    <n v="11"/>
    <s v="Grey"/>
    <n v="2"/>
    <n v="8399"/>
    <n v="0"/>
    <n v="8400"/>
    <n v="16800"/>
    <s v="Debit/Credit Card"/>
    <x v="2"/>
    <s v="India"/>
    <x v="6"/>
    <s v="Varanasi"/>
    <s v="Lifestyle Shopper"/>
    <x v="1"/>
    <n v="5"/>
    <s v="Delivered"/>
    <s v="Express"/>
    <n v="2"/>
  </r>
  <r>
    <s v="ORD201645"/>
    <s v="CUST100257"/>
    <s v="Men"/>
    <s v="45-54"/>
    <x v="1211"/>
    <x v="5"/>
    <x v="14"/>
    <x v="3"/>
    <n v="9"/>
    <s v="Green"/>
    <n v="1"/>
    <n v="6499"/>
    <n v="25"/>
    <n v="4870"/>
    <n v="4870"/>
    <s v="Debit/Credit Card"/>
    <x v="1"/>
    <s v="India"/>
    <x v="10"/>
    <s v="Amli"/>
    <s v="Value Shopper"/>
    <x v="1"/>
    <n v="3.8"/>
    <s v="Delivered"/>
    <s v="Standard"/>
    <n v="1"/>
  </r>
  <r>
    <s v="ORD200663"/>
    <s v="CUST100805"/>
    <s v="Unisex"/>
    <s v="18-24"/>
    <x v="1212"/>
    <x v="0"/>
    <x v="19"/>
    <x v="4"/>
    <n v="8"/>
    <s v="White"/>
    <n v="2"/>
    <n v="4399"/>
    <n v="10"/>
    <n v="3960"/>
    <n v="7920"/>
    <s v="Debit/Credit Card"/>
    <x v="1"/>
    <s v="India"/>
    <x v="26"/>
    <s v="Kozhikode"/>
    <s v="Performance Seeker"/>
    <x v="0"/>
    <n v="4.5999999999999996"/>
    <s v="Returned"/>
    <s v="Standard"/>
    <n v="6"/>
  </r>
  <r>
    <s v="ORD200259"/>
    <s v="CUST100527"/>
    <s v="Unisex"/>
    <s v="35-44"/>
    <x v="1213"/>
    <x v="3"/>
    <x v="11"/>
    <x v="4"/>
    <n v="7"/>
    <s v="Black"/>
    <n v="2"/>
    <n v="5299"/>
    <n v="5"/>
    <n v="5030"/>
    <n v="10060"/>
    <s v="Net Banking"/>
    <x v="2"/>
    <s v="India"/>
    <x v="18"/>
    <s v="Bilaspur"/>
    <s v="Value Shopper"/>
    <x v="1"/>
    <n v="3.3"/>
    <s v="Returned"/>
    <s v="Express"/>
    <n v="2"/>
  </r>
  <r>
    <s v="ORD200696"/>
    <s v="CUST100387"/>
    <s v="Women"/>
    <s v="55+"/>
    <x v="1213"/>
    <x v="2"/>
    <x v="25"/>
    <x v="3"/>
    <n v="11"/>
    <s v="Grey"/>
    <n v="1"/>
    <n v="6699"/>
    <n v="35"/>
    <n v="4350"/>
    <n v="4350"/>
    <s v="Cash on Delivery"/>
    <x v="2"/>
    <s v="India"/>
    <x v="7"/>
    <s v="Indore"/>
    <s v="Premium Shopper"/>
    <x v="1"/>
    <n v="4.3"/>
    <s v="Delivered"/>
    <s v="Standard"/>
    <n v="4"/>
  </r>
  <r>
    <s v="ORD202514"/>
    <s v="CUST100987"/>
    <s v="Men"/>
    <s v="35-44"/>
    <x v="1214"/>
    <x v="0"/>
    <x v="31"/>
    <x v="1"/>
    <n v="11"/>
    <s v="White"/>
    <n v="1"/>
    <n v="4699"/>
    <n v="15"/>
    <n v="3990"/>
    <n v="3990"/>
    <s v="Debit/Credit Card"/>
    <x v="0"/>
    <s v="India"/>
    <x v="30"/>
    <s v="Daria"/>
    <s v="Performance Seeker"/>
    <x v="1"/>
    <n v="3.6"/>
    <s v="Returned"/>
    <s v="Standard"/>
    <n v="4"/>
  </r>
  <r>
    <s v="ORD200502"/>
    <s v="CUST100521"/>
    <s v="Men"/>
    <s v="18-24"/>
    <x v="1215"/>
    <x v="3"/>
    <x v="28"/>
    <x v="1"/>
    <n v="10"/>
    <s v="Red"/>
    <n v="1"/>
    <n v="3399"/>
    <n v="35"/>
    <n v="2210"/>
    <n v="2210"/>
    <s v="Cash on Delivery"/>
    <x v="2"/>
    <s v="India"/>
    <x v="32"/>
    <s v="Dhanbad"/>
    <s v="Premium Shopper"/>
    <x v="2"/>
    <n v="3.9"/>
    <s v="Cancelled"/>
    <s v="Standard"/>
    <n v="4"/>
  </r>
  <r>
    <s v="ORD201162"/>
    <s v="CUST100002"/>
    <s v="Men"/>
    <s v="25-34"/>
    <x v="1215"/>
    <x v="1"/>
    <x v="18"/>
    <x v="2"/>
    <n v="10"/>
    <s v="Grey"/>
    <n v="1"/>
    <n v="4399"/>
    <n v="20"/>
    <n v="3520"/>
    <n v="3520"/>
    <s v="Debit/Credit Card"/>
    <x v="0"/>
    <s v="India"/>
    <x v="10"/>
    <s v="Silvassa"/>
    <s v="Performance Seeker"/>
    <x v="1"/>
    <n v="4.3"/>
    <s v="Delivered"/>
    <s v="Express"/>
    <n v="3"/>
  </r>
  <r>
    <s v="ORD202605"/>
    <s v="CUST100486"/>
    <s v="Men"/>
    <s v="25-34"/>
    <x v="1215"/>
    <x v="3"/>
    <x v="35"/>
    <x v="2"/>
    <n v="10"/>
    <s v="Black"/>
    <n v="2"/>
    <n v="5699"/>
    <n v="20"/>
    <n v="4560"/>
    <n v="9120"/>
    <s v="UPI"/>
    <x v="0"/>
    <s v="India"/>
    <x v="8"/>
    <s v="Nizamabad"/>
    <s v="Performance Seeker"/>
    <x v="0"/>
    <n v="4.0999999999999996"/>
    <s v="Delivered"/>
    <s v="Standard"/>
    <n v="6"/>
  </r>
  <r>
    <s v="ORD202315"/>
    <s v="CUST100374"/>
    <s v="Women"/>
    <s v="25-34"/>
    <x v="1216"/>
    <x v="1"/>
    <x v="18"/>
    <x v="2"/>
    <n v="9"/>
    <s v="Black"/>
    <n v="4"/>
    <n v="6899"/>
    <n v="15"/>
    <n v="5860"/>
    <n v="23440"/>
    <s v="UPI"/>
    <x v="2"/>
    <s v="India"/>
    <x v="1"/>
    <s v="Vasco da Gama"/>
    <s v="Lifestyle Shopper"/>
    <x v="1"/>
    <n v="4.5999999999999996"/>
    <s v="Delivered"/>
    <s v="Standard"/>
    <n v="7"/>
  </r>
  <r>
    <s v="ORD202120"/>
    <s v="CUST100545"/>
    <s v="Men"/>
    <s v="45-54"/>
    <x v="1217"/>
    <x v="5"/>
    <x v="27"/>
    <x v="0"/>
    <n v="12"/>
    <s v="Blue"/>
    <n v="1"/>
    <n v="9699"/>
    <n v="10"/>
    <n v="8730"/>
    <n v="8730"/>
    <s v="UPI"/>
    <x v="1"/>
    <s v="India"/>
    <x v="28"/>
    <s v="Nubra"/>
    <s v="Value Shopper"/>
    <x v="1"/>
    <n v="4.2"/>
    <s v="Delivered"/>
    <s v="Standard"/>
    <n v="6"/>
  </r>
  <r>
    <s v="ORD202226"/>
    <s v="CUST100050"/>
    <s v="Men"/>
    <s v="25-34"/>
    <x v="1217"/>
    <x v="0"/>
    <x v="19"/>
    <x v="4"/>
    <n v="8"/>
    <s v="Green"/>
    <n v="2"/>
    <n v="7599"/>
    <n v="10"/>
    <n v="6840"/>
    <n v="13680"/>
    <s v="UPI"/>
    <x v="0"/>
    <s v="India"/>
    <x v="34"/>
    <s v="Asansol"/>
    <s v="Comfort Shopper"/>
    <x v="2"/>
    <n v="5"/>
    <s v="Delivered"/>
    <s v="Standard"/>
    <n v="3"/>
  </r>
  <r>
    <s v="ORD201011"/>
    <s v="CUST100288"/>
    <s v="Men"/>
    <s v="45-54"/>
    <x v="1218"/>
    <x v="5"/>
    <x v="27"/>
    <x v="0"/>
    <n v="11"/>
    <s v="Grey"/>
    <n v="1"/>
    <n v="5099"/>
    <n v="20"/>
    <n v="4080"/>
    <n v="4080"/>
    <s v="Cash on Delivery"/>
    <x v="0"/>
    <s v="India"/>
    <x v="8"/>
    <s v="Hyderabad"/>
    <s v="Performance Seeker"/>
    <x v="1"/>
    <n v="5"/>
    <s v="Cancelled"/>
    <s v="Standard"/>
    <n v="4"/>
  </r>
  <r>
    <s v="ORD203138"/>
    <s v="CUST100016"/>
    <s v="Women"/>
    <s v="18-24"/>
    <x v="1218"/>
    <x v="2"/>
    <x v="23"/>
    <x v="0"/>
    <n v="11"/>
    <s v="Green"/>
    <n v="1"/>
    <n v="6799"/>
    <n v="10"/>
    <n v="6120"/>
    <n v="6120"/>
    <s v="UPI"/>
    <x v="1"/>
    <s v="India"/>
    <x v="28"/>
    <s v="Leh"/>
    <s v="Lifestyle Shopper"/>
    <x v="2"/>
    <n v="3.7"/>
    <s v="Delivered"/>
    <s v="Express"/>
    <n v="3"/>
  </r>
  <r>
    <s v="ORD202268"/>
    <s v="CUST100119"/>
    <s v="Women"/>
    <s v="25-34"/>
    <x v="1219"/>
    <x v="2"/>
    <x v="24"/>
    <x v="4"/>
    <n v="8"/>
    <s v="Green"/>
    <n v="1"/>
    <n v="3199"/>
    <n v="5"/>
    <n v="3040"/>
    <n v="3040"/>
    <s v="UPI"/>
    <x v="1"/>
    <s v="India"/>
    <x v="33"/>
    <s v="Mumbai"/>
    <s v="Premium Shopper"/>
    <x v="2"/>
    <n v="4.7"/>
    <s v="Delivered"/>
    <s v="Standard"/>
    <n v="5"/>
  </r>
  <r>
    <s v="ORD202743"/>
    <s v="CUST100213"/>
    <s v="Men"/>
    <s v="18-24"/>
    <x v="1219"/>
    <x v="0"/>
    <x v="19"/>
    <x v="4"/>
    <n v="10"/>
    <s v="White"/>
    <n v="2"/>
    <n v="7599"/>
    <n v="25"/>
    <n v="5700"/>
    <n v="11400"/>
    <s v="UPI"/>
    <x v="1"/>
    <s v="India"/>
    <x v="19"/>
    <s v="Jowai"/>
    <s v="Performance Seeker"/>
    <x v="1"/>
    <n v="3.7"/>
    <s v="Delivered"/>
    <s v="Standard"/>
    <n v="4"/>
  </r>
  <r>
    <s v="ORD202989"/>
    <s v="CUST100661"/>
    <s v="Men"/>
    <s v="35-44"/>
    <x v="1219"/>
    <x v="2"/>
    <x v="25"/>
    <x v="3"/>
    <n v="10"/>
    <s v="White"/>
    <n v="1"/>
    <n v="4999"/>
    <n v="25"/>
    <n v="3750"/>
    <n v="3750"/>
    <s v="UPI"/>
    <x v="1"/>
    <s v="India"/>
    <x v="12"/>
    <s v="Port Blair"/>
    <s v="Performance Seeker"/>
    <x v="2"/>
    <n v="3.5"/>
    <s v="Delivered"/>
    <s v="Same Day"/>
    <n v="2"/>
  </r>
  <r>
    <s v="ORD200311"/>
    <s v="CUST100405"/>
    <s v="Men"/>
    <s v="18-24"/>
    <x v="1220"/>
    <x v="2"/>
    <x v="32"/>
    <x v="1"/>
    <n v="6"/>
    <s v="Blue"/>
    <n v="1"/>
    <n v="3199"/>
    <n v="40"/>
    <n v="1920"/>
    <n v="1920"/>
    <s v="Debit/Credit Card"/>
    <x v="0"/>
    <s v="India"/>
    <x v="5"/>
    <s v="Churachandpur"/>
    <s v="Value Shopper"/>
    <x v="1"/>
    <n v="3.7"/>
    <s v="Delivered"/>
    <s v="Standard"/>
    <n v="4"/>
  </r>
  <r>
    <s v="ORD200485"/>
    <s v="CUST100866"/>
    <s v="Men"/>
    <s v="25-34"/>
    <x v="1220"/>
    <x v="4"/>
    <x v="26"/>
    <x v="3"/>
    <n v="7"/>
    <s v="Green"/>
    <n v="4"/>
    <n v="8899"/>
    <n v="15"/>
    <n v="7560"/>
    <n v="30240"/>
    <s v="Debit/Credit Card"/>
    <x v="1"/>
    <s v="India"/>
    <x v="10"/>
    <s v="Daman"/>
    <s v="Premium Shopper"/>
    <x v="1"/>
    <n v="4.3"/>
    <s v="Delivered"/>
    <s v="Standard"/>
    <n v="4"/>
  </r>
  <r>
    <s v="ORD201452"/>
    <s v="CUST100233"/>
    <s v="Men"/>
    <s v="18-24"/>
    <x v="1220"/>
    <x v="4"/>
    <x v="6"/>
    <x v="2"/>
    <n v="12"/>
    <s v="Red"/>
    <n v="3"/>
    <n v="8999"/>
    <n v="35"/>
    <n v="5850"/>
    <n v="17550"/>
    <s v="UPI"/>
    <x v="0"/>
    <s v="India"/>
    <x v="35"/>
    <s v="Champhai"/>
    <s v="Premium Shopper"/>
    <x v="2"/>
    <n v="4.9000000000000004"/>
    <s v="Delivered"/>
    <s v="Standard"/>
    <n v="4"/>
  </r>
  <r>
    <s v="ORD201210"/>
    <s v="CUST100063"/>
    <s v="Unisex"/>
    <s v="25-34"/>
    <x v="1221"/>
    <x v="4"/>
    <x v="29"/>
    <x v="2"/>
    <n v="7"/>
    <s v="Blue"/>
    <n v="1"/>
    <n v="5299"/>
    <n v="15"/>
    <n v="4500"/>
    <n v="4500"/>
    <s v="UPI"/>
    <x v="1"/>
    <s v="India"/>
    <x v="20"/>
    <s v="Solan"/>
    <s v="Lifestyle Shopper"/>
    <x v="2"/>
    <n v="3.9"/>
    <s v="Delivered"/>
    <s v="Standard"/>
    <n v="2"/>
  </r>
  <r>
    <s v="ORD201190"/>
    <s v="CUST100589"/>
    <s v="Unisex"/>
    <s v="25-34"/>
    <x v="1222"/>
    <x v="0"/>
    <x v="0"/>
    <x v="0"/>
    <n v="7"/>
    <s v="White"/>
    <n v="1"/>
    <n v="6899"/>
    <n v="20"/>
    <n v="5520"/>
    <n v="5520"/>
    <s v="Cash on Delivery"/>
    <x v="2"/>
    <s v="India"/>
    <x v="13"/>
    <s v="Naharlagun"/>
    <s v="Performance Seeker"/>
    <x v="1"/>
    <n v="4"/>
    <s v="Returned"/>
    <s v="Standard"/>
    <n v="4"/>
  </r>
  <r>
    <s v="ORD201593"/>
    <s v="CUST100873"/>
    <s v="Women"/>
    <s v="18-24"/>
    <x v="1223"/>
    <x v="3"/>
    <x v="28"/>
    <x v="1"/>
    <n v="9"/>
    <s v="Grey"/>
    <n v="1"/>
    <n v="7499"/>
    <n v="25"/>
    <n v="5620"/>
    <n v="5620"/>
    <s v="Debit/Credit Card"/>
    <x v="2"/>
    <s v="India"/>
    <x v="6"/>
    <s v="Varanasi"/>
    <s v="Value Shopper"/>
    <x v="0"/>
    <n v="4.3"/>
    <s v="Delivered"/>
    <s v="Standard"/>
    <n v="4"/>
  </r>
  <r>
    <s v="ORD203141"/>
    <s v="CUST100243"/>
    <s v="Men"/>
    <s v="18-24"/>
    <x v="1223"/>
    <x v="2"/>
    <x v="4"/>
    <x v="2"/>
    <n v="7"/>
    <s v="Green"/>
    <n v="1"/>
    <n v="4199"/>
    <n v="25"/>
    <n v="3150"/>
    <n v="3150"/>
    <s v="UPI"/>
    <x v="1"/>
    <s v="India"/>
    <x v="30"/>
    <s v="Chandigarh"/>
    <s v="Value Shopper"/>
    <x v="2"/>
    <n v="3.2"/>
    <s v="Cancelled"/>
    <s v="Standard"/>
    <n v="2"/>
  </r>
  <r>
    <s v="ORD200511"/>
    <s v="CUST100288"/>
    <s v="Women"/>
    <s v="55+"/>
    <x v="1224"/>
    <x v="1"/>
    <x v="20"/>
    <x v="2"/>
    <n v="7"/>
    <s v="Black"/>
    <n v="2"/>
    <n v="4799"/>
    <n v="20"/>
    <n v="3840"/>
    <n v="7680"/>
    <s v="UPI"/>
    <x v="1"/>
    <s v="India"/>
    <x v="34"/>
    <s v="Siliguri"/>
    <s v="Premium Shopper"/>
    <x v="2"/>
    <n v="4.7"/>
    <s v="Delivered"/>
    <s v="Standard"/>
    <n v="3"/>
  </r>
  <r>
    <s v="ORD202219"/>
    <s v="CUST100027"/>
    <s v="Women"/>
    <s v="35-44"/>
    <x v="1224"/>
    <x v="4"/>
    <x v="22"/>
    <x v="0"/>
    <n v="9"/>
    <s v="Grey"/>
    <n v="2"/>
    <n v="7899"/>
    <n v="20"/>
    <n v="6320"/>
    <n v="12640"/>
    <s v="Debit/Credit Card"/>
    <x v="1"/>
    <s v="India"/>
    <x v="1"/>
    <s v="Vasco da Gama"/>
    <s v="Comfort Shopper"/>
    <x v="2"/>
    <n v="4.3"/>
    <s v="Cancelled"/>
    <s v="Standard"/>
    <n v="6"/>
  </r>
  <r>
    <s v="ORD202869"/>
    <s v="CUST100441"/>
    <s v="Women"/>
    <s v="35-44"/>
    <x v="1224"/>
    <x v="2"/>
    <x v="24"/>
    <x v="4"/>
    <n v="11"/>
    <s v="Red"/>
    <n v="1"/>
    <n v="3999"/>
    <n v="15"/>
    <n v="3400"/>
    <n v="3400"/>
    <s v="UPI"/>
    <x v="1"/>
    <s v="India"/>
    <x v="17"/>
    <s v="Karaikal"/>
    <s v="Premium Shopper"/>
    <x v="1"/>
    <n v="3.2"/>
    <s v="Delivered"/>
    <s v="Standard"/>
    <n v="2"/>
  </r>
  <r>
    <s v="ORD202657"/>
    <s v="CUST100669"/>
    <s v="Men"/>
    <s v="55+"/>
    <x v="1225"/>
    <x v="4"/>
    <x v="6"/>
    <x v="2"/>
    <n v="11"/>
    <s v="Black"/>
    <n v="1"/>
    <n v="7099"/>
    <n v="25"/>
    <n v="5320"/>
    <n v="5320"/>
    <s v="UPI"/>
    <x v="1"/>
    <s v="India"/>
    <x v="34"/>
    <s v="Siliguri"/>
    <s v="Comfort Shopper"/>
    <x v="2"/>
    <n v="3.8"/>
    <s v="Delivered"/>
    <s v="Express"/>
    <n v="4"/>
  </r>
  <r>
    <s v="ORD202029"/>
    <s v="CUST100543"/>
    <s v="Men"/>
    <s v="35-44"/>
    <x v="1226"/>
    <x v="0"/>
    <x v="8"/>
    <x v="3"/>
    <n v="11"/>
    <s v="Red"/>
    <n v="3"/>
    <n v="5399"/>
    <n v="0"/>
    <n v="5400"/>
    <n v="16200"/>
    <s v="UPI"/>
    <x v="1"/>
    <s v="India"/>
    <x v="6"/>
    <s v="Varanasi"/>
    <s v="Lifestyle Shopper"/>
    <x v="2"/>
    <n v="3.4"/>
    <s v="Delivered"/>
    <s v="Standard"/>
    <n v="5"/>
  </r>
  <r>
    <s v="ORD200207"/>
    <s v="CUST100528"/>
    <s v="Women"/>
    <s v="35-44"/>
    <x v="1227"/>
    <x v="3"/>
    <x v="28"/>
    <x v="1"/>
    <n v="10"/>
    <s v="Black"/>
    <n v="2"/>
    <n v="5899"/>
    <n v="0"/>
    <n v="5900"/>
    <n v="11800"/>
    <s v="UPI"/>
    <x v="1"/>
    <s v="India"/>
    <x v="0"/>
    <s v="Jorhat"/>
    <s v="Performance Seeker"/>
    <x v="2"/>
    <n v="4"/>
    <s v="Delivered"/>
    <s v="Standard"/>
    <n v="3"/>
  </r>
  <r>
    <s v="ORD201701"/>
    <s v="CUST100442"/>
    <s v="Women"/>
    <s v="25-34"/>
    <x v="1227"/>
    <x v="2"/>
    <x v="23"/>
    <x v="0"/>
    <n v="8"/>
    <s v="Black"/>
    <n v="1"/>
    <n v="6299"/>
    <n v="20"/>
    <n v="5040"/>
    <n v="5040"/>
    <s v="Debit/Credit Card"/>
    <x v="1"/>
    <s v="India"/>
    <x v="16"/>
    <s v="Surat"/>
    <s v="Lifestyle Shopper"/>
    <x v="2"/>
    <n v="3.9"/>
    <s v="Delivered"/>
    <s v="Standard"/>
    <n v="5"/>
  </r>
  <r>
    <s v="ORD200144"/>
    <s v="CUST100726"/>
    <s v="Men"/>
    <s v="35-44"/>
    <x v="1228"/>
    <x v="2"/>
    <x v="24"/>
    <x v="4"/>
    <n v="10"/>
    <s v="Grey"/>
    <n v="2"/>
    <n v="5299"/>
    <n v="0"/>
    <n v="5300"/>
    <n v="10600"/>
    <s v="Debit/Credit Card"/>
    <x v="1"/>
    <s v="India"/>
    <x v="19"/>
    <s v="Shillong"/>
    <s v="Comfort Shopper"/>
    <x v="2"/>
    <n v="4.8"/>
    <s v="Delivered"/>
    <s v="Express"/>
    <n v="3"/>
  </r>
  <r>
    <s v="ORD201212"/>
    <s v="CUST100319"/>
    <s v="Men"/>
    <s v="35-44"/>
    <x v="1228"/>
    <x v="2"/>
    <x v="32"/>
    <x v="1"/>
    <n v="7"/>
    <s v="Blue"/>
    <n v="2"/>
    <n v="3499"/>
    <n v="20"/>
    <n v="2800"/>
    <n v="5600"/>
    <s v="UPI"/>
    <x v="1"/>
    <s v="India"/>
    <x v="33"/>
    <s v="Nashik"/>
    <s v="Performance Seeker"/>
    <x v="2"/>
    <n v="4.5999999999999996"/>
    <s v="Delivered"/>
    <s v="Standard"/>
    <n v="4"/>
  </r>
  <r>
    <s v="ORD201933"/>
    <s v="CUST100711"/>
    <s v="Women"/>
    <s v="25-34"/>
    <x v="1228"/>
    <x v="3"/>
    <x v="11"/>
    <x v="4"/>
    <n v="9"/>
    <s v="Black"/>
    <n v="1"/>
    <n v="6899"/>
    <n v="15"/>
    <n v="5860"/>
    <n v="5860"/>
    <s v="UPI"/>
    <x v="0"/>
    <s v="India"/>
    <x v="0"/>
    <s v="Guwahati"/>
    <s v="Performance Seeker"/>
    <x v="1"/>
    <n v="3.9"/>
    <s v="Returned"/>
    <s v="Standard"/>
    <n v="2"/>
  </r>
  <r>
    <s v="ORD201172"/>
    <s v="CUST100530"/>
    <s v="Men"/>
    <s v="55+"/>
    <x v="1229"/>
    <x v="2"/>
    <x v="25"/>
    <x v="3"/>
    <n v="6"/>
    <s v="Grey"/>
    <n v="3"/>
    <n v="7299"/>
    <n v="20"/>
    <n v="5840"/>
    <n v="17520"/>
    <s v="UPI"/>
    <x v="2"/>
    <s v="India"/>
    <x v="12"/>
    <s v="Port Blair"/>
    <s v="Value Shopper"/>
    <x v="2"/>
    <n v="3.3"/>
    <s v="Delivered"/>
    <s v="Express"/>
    <n v="3"/>
  </r>
  <r>
    <s v="ORD202880"/>
    <s v="CUST100508"/>
    <s v="Men"/>
    <s v="18-24"/>
    <x v="1230"/>
    <x v="3"/>
    <x v="5"/>
    <x v="2"/>
    <n v="8"/>
    <s v="White"/>
    <n v="1"/>
    <n v="5899"/>
    <n v="30"/>
    <n v="4130"/>
    <n v="4130"/>
    <s v="UPI"/>
    <x v="1"/>
    <s v="India"/>
    <x v="31"/>
    <s v="Coimbatore"/>
    <s v="Performance Seeker"/>
    <x v="2"/>
    <n v="4.4000000000000004"/>
    <s v="Delivered"/>
    <s v="Standard"/>
    <n v="2"/>
  </r>
  <r>
    <s v="ORD201031"/>
    <s v="CUST100794"/>
    <s v="Women"/>
    <s v="25-34"/>
    <x v="1231"/>
    <x v="5"/>
    <x v="7"/>
    <x v="1"/>
    <n v="11"/>
    <s v="Red"/>
    <n v="1"/>
    <n v="4599"/>
    <n v="20"/>
    <n v="3680"/>
    <n v="3680"/>
    <s v="UPI"/>
    <x v="1"/>
    <s v="India"/>
    <x v="8"/>
    <s v="Karimnagar"/>
    <s v="Performance Seeker"/>
    <x v="1"/>
    <n v="4.0999999999999996"/>
    <s v="Cancelled"/>
    <s v="Standard"/>
    <n v="4"/>
  </r>
  <r>
    <s v="ORD201929"/>
    <s v="CUST100762"/>
    <s v="Men"/>
    <s v="35-44"/>
    <x v="1231"/>
    <x v="5"/>
    <x v="30"/>
    <x v="2"/>
    <n v="10"/>
    <s v="White"/>
    <n v="3"/>
    <n v="7099"/>
    <n v="15"/>
    <n v="6030"/>
    <n v="18090"/>
    <s v="Debit/Credit Card"/>
    <x v="1"/>
    <s v="India"/>
    <x v="14"/>
    <s v="Amritsar"/>
    <s v="Premium Shopper"/>
    <x v="1"/>
    <n v="4"/>
    <s v="Returned"/>
    <s v="Standard"/>
    <n v="4"/>
  </r>
  <r>
    <s v="ORD201368"/>
    <s v="CUST100721"/>
    <s v="Women"/>
    <s v="45-54"/>
    <x v="1232"/>
    <x v="5"/>
    <x v="14"/>
    <x v="3"/>
    <n v="9"/>
    <s v="White"/>
    <n v="3"/>
    <n v="9099"/>
    <n v="10"/>
    <n v="8190"/>
    <n v="24570"/>
    <s v="Net Banking"/>
    <x v="1"/>
    <s v="India"/>
    <x v="22"/>
    <s v="Agartala"/>
    <s v="Value Shopper"/>
    <x v="1"/>
    <n v="4.4000000000000004"/>
    <s v="Delivered"/>
    <s v="Same Day"/>
    <n v="1"/>
  </r>
  <r>
    <s v="ORD202589"/>
    <s v="CUST100699"/>
    <s v="Men"/>
    <s v="25-34"/>
    <x v="1232"/>
    <x v="4"/>
    <x v="22"/>
    <x v="0"/>
    <n v="7"/>
    <s v="Red"/>
    <n v="1"/>
    <n v="9299"/>
    <n v="15"/>
    <n v="7900"/>
    <n v="7900"/>
    <s v="Debit/Credit Card"/>
    <x v="1"/>
    <s v="India"/>
    <x v="6"/>
    <s v="Varanasi"/>
    <s v="Performance Seeker"/>
    <x v="2"/>
    <n v="4"/>
    <s v="Delivered"/>
    <s v="Express"/>
    <n v="3"/>
  </r>
  <r>
    <s v="ORD201020"/>
    <s v="CUST100883"/>
    <s v="Women"/>
    <s v="45-54"/>
    <x v="1233"/>
    <x v="3"/>
    <x v="28"/>
    <x v="1"/>
    <n v="10"/>
    <s v="Grey"/>
    <n v="1"/>
    <n v="5099"/>
    <n v="10"/>
    <n v="4590"/>
    <n v="4590"/>
    <s v="UPI"/>
    <x v="1"/>
    <s v="India"/>
    <x v="24"/>
    <s v="Bengaluru"/>
    <s v="Comfort Shopper"/>
    <x v="1"/>
    <n v="5"/>
    <s v="Delivered"/>
    <s v="Standard"/>
    <n v="2"/>
  </r>
  <r>
    <s v="ORD201343"/>
    <s v="CUST100150"/>
    <s v="Women"/>
    <s v="25-34"/>
    <x v="1233"/>
    <x v="5"/>
    <x v="30"/>
    <x v="2"/>
    <n v="9"/>
    <s v="Black"/>
    <n v="2"/>
    <n v="6299"/>
    <n v="15"/>
    <n v="5350"/>
    <n v="10700"/>
    <s v="UPI"/>
    <x v="1"/>
    <s v="India"/>
    <x v="16"/>
    <s v="Surat"/>
    <s v="Lifestyle Shopper"/>
    <x v="1"/>
    <n v="4"/>
    <s v="Delivered"/>
    <s v="Same Day"/>
    <n v="1"/>
  </r>
  <r>
    <s v="ORD201637"/>
    <s v="CUST100686"/>
    <s v="Women"/>
    <s v="25-34"/>
    <x v="1233"/>
    <x v="0"/>
    <x v="2"/>
    <x v="2"/>
    <n v="11"/>
    <s v="White"/>
    <n v="1"/>
    <n v="8799"/>
    <n v="15"/>
    <n v="7480"/>
    <n v="7480"/>
    <s v="UPI"/>
    <x v="0"/>
    <s v="India"/>
    <x v="10"/>
    <s v="Daman"/>
    <s v="Lifestyle Shopper"/>
    <x v="1"/>
    <n v="3"/>
    <s v="Delivered"/>
    <s v="Express"/>
    <n v="1"/>
  </r>
  <r>
    <s v="ORD201934"/>
    <s v="CUST100201"/>
    <s v="Men"/>
    <s v="25-34"/>
    <x v="1233"/>
    <x v="0"/>
    <x v="2"/>
    <x v="2"/>
    <n v="6"/>
    <s v="Blue"/>
    <n v="1"/>
    <n v="5799"/>
    <n v="15"/>
    <n v="4930"/>
    <n v="4930"/>
    <s v="Debit/Credit Card"/>
    <x v="1"/>
    <s v="India"/>
    <x v="22"/>
    <s v="Agartala"/>
    <s v="Value Shopper"/>
    <x v="2"/>
    <n v="3.7"/>
    <s v="Delivered"/>
    <s v="Express"/>
    <n v="3"/>
  </r>
  <r>
    <s v="ORD201609"/>
    <s v="CUST100249"/>
    <s v="Men"/>
    <s v="35-44"/>
    <x v="1234"/>
    <x v="4"/>
    <x v="22"/>
    <x v="0"/>
    <n v="9"/>
    <s v="Black"/>
    <n v="2"/>
    <n v="5399"/>
    <n v="15"/>
    <n v="4590"/>
    <n v="9180"/>
    <s v="Debit/Credit Card"/>
    <x v="1"/>
    <s v="India"/>
    <x v="11"/>
    <s v="Amini"/>
    <s v="Premium Shopper"/>
    <x v="2"/>
    <n v="4.9000000000000004"/>
    <s v="Delivered"/>
    <s v="Standard"/>
    <n v="4"/>
  </r>
  <r>
    <s v="ORD202773"/>
    <s v="CUST100027"/>
    <s v="Men"/>
    <s v="45-54"/>
    <x v="1234"/>
    <x v="4"/>
    <x v="29"/>
    <x v="2"/>
    <n v="9"/>
    <s v="White"/>
    <n v="1"/>
    <n v="6799"/>
    <n v="20"/>
    <n v="5440"/>
    <n v="5440"/>
    <s v="UPI"/>
    <x v="0"/>
    <s v="India"/>
    <x v="9"/>
    <s v="Gaya"/>
    <s v="Comfort Shopper"/>
    <x v="2"/>
    <n v="5"/>
    <s v="Delivered"/>
    <s v="Express"/>
    <n v="3"/>
  </r>
  <r>
    <s v="ORD202614"/>
    <s v="CUST100028"/>
    <s v="Men"/>
    <s v="45-54"/>
    <x v="1235"/>
    <x v="2"/>
    <x v="24"/>
    <x v="4"/>
    <n v="9"/>
    <s v="White"/>
    <n v="1"/>
    <n v="4299"/>
    <n v="20"/>
    <n v="3440"/>
    <n v="3440"/>
    <s v="UPI"/>
    <x v="1"/>
    <s v="India"/>
    <x v="6"/>
    <s v="Noida"/>
    <s v="Comfort Shopper"/>
    <x v="1"/>
    <n v="4.8"/>
    <s v="Returned"/>
    <s v="Express"/>
    <n v="1"/>
  </r>
  <r>
    <s v="ORD202363"/>
    <s v="CUST100268"/>
    <s v="Men"/>
    <s v="35-44"/>
    <x v="1236"/>
    <x v="0"/>
    <x v="13"/>
    <x v="2"/>
    <n v="8"/>
    <s v="Green"/>
    <n v="1"/>
    <n v="6799"/>
    <n v="25"/>
    <n v="5100"/>
    <n v="5100"/>
    <s v="UPI"/>
    <x v="2"/>
    <s v="India"/>
    <x v="27"/>
    <s v="Rourkela"/>
    <s v="Performance Seeker"/>
    <x v="1"/>
    <n v="3.7"/>
    <s v="Delivered"/>
    <s v="Standard"/>
    <n v="4"/>
  </r>
  <r>
    <s v="ORD202376"/>
    <s v="CUST100451"/>
    <s v="Men"/>
    <s v="25-34"/>
    <x v="1237"/>
    <x v="4"/>
    <x v="17"/>
    <x v="4"/>
    <n v="7"/>
    <s v="Blue"/>
    <n v="1"/>
    <n v="7999"/>
    <n v="35"/>
    <n v="5200"/>
    <n v="5200"/>
    <s v="UPI"/>
    <x v="1"/>
    <s v="India"/>
    <x v="6"/>
    <s v="Noida"/>
    <s v="Premium Shopper"/>
    <x v="1"/>
    <n v="3.6"/>
    <s v="Delivered"/>
    <s v="Standard"/>
    <n v="6"/>
  </r>
  <r>
    <s v="ORD200340"/>
    <s v="CUST100879"/>
    <s v="Men"/>
    <s v="25-34"/>
    <x v="1238"/>
    <x v="0"/>
    <x v="31"/>
    <x v="1"/>
    <n v="10"/>
    <s v="Blue"/>
    <n v="1"/>
    <n v="4099"/>
    <n v="10"/>
    <n v="3690"/>
    <n v="3690"/>
    <s v="UPI"/>
    <x v="2"/>
    <s v="India"/>
    <x v="34"/>
    <s v="Durgapur"/>
    <s v="Performance Seeker"/>
    <x v="1"/>
    <n v="3.1"/>
    <s v="Returned"/>
    <s v="Standard"/>
    <n v="1"/>
  </r>
  <r>
    <s v="ORD201740"/>
    <s v="CUST100438"/>
    <s v="Women"/>
    <s v="35-44"/>
    <x v="1238"/>
    <x v="3"/>
    <x v="5"/>
    <x v="2"/>
    <n v="7"/>
    <s v="Black"/>
    <n v="1"/>
    <n v="3499"/>
    <n v="20"/>
    <n v="2800"/>
    <n v="2800"/>
    <s v="UPI"/>
    <x v="0"/>
    <s v="India"/>
    <x v="1"/>
    <s v="Panaji"/>
    <s v="Comfort Shopper"/>
    <x v="1"/>
    <n v="4.2"/>
    <s v="Delivered"/>
    <s v="Standard"/>
    <n v="4"/>
  </r>
  <r>
    <s v="ORD200655"/>
    <s v="CUST100368"/>
    <s v="Men"/>
    <s v="25-34"/>
    <x v="1239"/>
    <x v="5"/>
    <x v="14"/>
    <x v="3"/>
    <n v="9"/>
    <s v="Red"/>
    <n v="1"/>
    <n v="9199"/>
    <n v="10"/>
    <n v="8280"/>
    <n v="8280"/>
    <s v="UPI"/>
    <x v="2"/>
    <s v="India"/>
    <x v="5"/>
    <s v="Thoubal"/>
    <s v="Value Shopper"/>
    <x v="0"/>
    <n v="3.5"/>
    <s v="Delivered"/>
    <s v="Same Day"/>
    <n v="1"/>
  </r>
  <r>
    <s v="ORD201091"/>
    <s v="CUST101046"/>
    <s v="Men"/>
    <s v="18-24"/>
    <x v="1239"/>
    <x v="2"/>
    <x v="32"/>
    <x v="1"/>
    <n v="10"/>
    <s v="Black"/>
    <n v="2"/>
    <n v="5699"/>
    <n v="10"/>
    <n v="5130"/>
    <n v="10260"/>
    <s v="UPI"/>
    <x v="2"/>
    <s v="India"/>
    <x v="5"/>
    <s v="Imphal"/>
    <s v="Value Shopper"/>
    <x v="2"/>
    <n v="4.7"/>
    <s v="Delivered"/>
    <s v="Express"/>
    <n v="3"/>
  </r>
  <r>
    <s v="ORD201385"/>
    <s v="CUST100814"/>
    <s v="Unisex"/>
    <s v="35-44"/>
    <x v="1239"/>
    <x v="4"/>
    <x v="26"/>
    <x v="3"/>
    <n v="10"/>
    <s v="Red"/>
    <n v="1"/>
    <n v="5799"/>
    <n v="5"/>
    <n v="5510"/>
    <n v="5510"/>
    <s v="UPI"/>
    <x v="2"/>
    <s v="India"/>
    <x v="30"/>
    <s v="Burail"/>
    <s v="Value Shopper"/>
    <x v="1"/>
    <n v="4.4000000000000004"/>
    <s v="Returned"/>
    <s v="Standard"/>
    <n v="4"/>
  </r>
  <r>
    <s v="ORD201696"/>
    <s v="CUST100747"/>
    <s v="Women"/>
    <s v="45-54"/>
    <x v="1239"/>
    <x v="3"/>
    <x v="34"/>
    <x v="3"/>
    <n v="11"/>
    <s v="Blue"/>
    <n v="1"/>
    <n v="6299"/>
    <n v="25"/>
    <n v="4720"/>
    <n v="4720"/>
    <s v="Debit/Credit Card"/>
    <x v="1"/>
    <s v="India"/>
    <x v="30"/>
    <s v="Manimajra"/>
    <s v="Comfort Shopper"/>
    <x v="0"/>
    <n v="3.9"/>
    <s v="Cancelled"/>
    <s v="Standard"/>
    <n v="4"/>
  </r>
  <r>
    <s v="ORD203102"/>
    <s v="CUST100199"/>
    <s v="Men"/>
    <s v="18-24"/>
    <x v="1239"/>
    <x v="3"/>
    <x v="28"/>
    <x v="1"/>
    <n v="6"/>
    <s v="Grey"/>
    <n v="1"/>
    <n v="4299"/>
    <n v="10"/>
    <n v="3870"/>
    <n v="3870"/>
    <s v="Debit/Credit Card"/>
    <x v="0"/>
    <s v="India"/>
    <x v="1"/>
    <s v="Vasco da Gama"/>
    <s v="Premium Shopper"/>
    <x v="1"/>
    <n v="4"/>
    <s v="Delivered"/>
    <s v="Standard"/>
    <n v="2"/>
  </r>
  <r>
    <s v="ORD200435"/>
    <s v="CUST100640"/>
    <s v="Men"/>
    <s v="25-34"/>
    <x v="1240"/>
    <x v="0"/>
    <x v="0"/>
    <x v="0"/>
    <n v="7"/>
    <s v="Green"/>
    <n v="2"/>
    <n v="8199"/>
    <n v="10"/>
    <n v="7380"/>
    <n v="14760"/>
    <s v="UPI"/>
    <x v="0"/>
    <s v="India"/>
    <x v="7"/>
    <s v="Indore"/>
    <s v="Performance Seeker"/>
    <x v="0"/>
    <n v="3.6"/>
    <s v="Returned"/>
    <s v="Same Day"/>
    <n v="1"/>
  </r>
  <r>
    <s v="ORD202394"/>
    <s v="CUST100084"/>
    <s v="Men"/>
    <s v="18-24"/>
    <x v="1241"/>
    <x v="0"/>
    <x v="2"/>
    <x v="2"/>
    <n v="7"/>
    <s v="Grey"/>
    <n v="1"/>
    <n v="8699"/>
    <n v="15"/>
    <n v="7390"/>
    <n v="7390"/>
    <s v="UPI"/>
    <x v="0"/>
    <s v="India"/>
    <x v="28"/>
    <s v="Nubra"/>
    <s v="Premium Shopper"/>
    <x v="2"/>
    <n v="3.9"/>
    <s v="Cancelled"/>
    <s v="Standard"/>
    <n v="3"/>
  </r>
  <r>
    <s v="ORD202634"/>
    <s v="CUST100452"/>
    <s v="Men"/>
    <s v="55+"/>
    <x v="1241"/>
    <x v="5"/>
    <x v="7"/>
    <x v="1"/>
    <n v="9"/>
    <s v="Black"/>
    <n v="2"/>
    <n v="8299"/>
    <n v="15"/>
    <n v="7050"/>
    <n v="14100"/>
    <s v="Debit/Credit Card"/>
    <x v="2"/>
    <s v="India"/>
    <x v="15"/>
    <s v="Rohini"/>
    <s v="Comfort Shopper"/>
    <x v="1"/>
    <n v="3.4"/>
    <s v="Delivered"/>
    <s v="Standard"/>
    <n v="6"/>
  </r>
  <r>
    <s v="ORD200594"/>
    <s v="CUST100707"/>
    <s v="Women"/>
    <s v="45-54"/>
    <x v="1242"/>
    <x v="1"/>
    <x v="12"/>
    <x v="4"/>
    <n v="9"/>
    <s v="Blue"/>
    <n v="1"/>
    <n v="7799"/>
    <n v="10"/>
    <n v="7020"/>
    <n v="7020"/>
    <s v="Debit/Credit Card"/>
    <x v="0"/>
    <s v="India"/>
    <x v="24"/>
    <s v="Mangaluru"/>
    <s v="Performance Seeker"/>
    <x v="1"/>
    <n v="4.5999999999999996"/>
    <s v="Delivered"/>
    <s v="Standard"/>
    <n v="5"/>
  </r>
  <r>
    <s v="ORD200654"/>
    <s v="CUST100033"/>
    <s v="Women"/>
    <s v="25-34"/>
    <x v="1242"/>
    <x v="3"/>
    <x v="5"/>
    <x v="2"/>
    <n v="9"/>
    <s v="White"/>
    <n v="2"/>
    <n v="4199"/>
    <n v="10"/>
    <n v="3780"/>
    <n v="7560"/>
    <s v="UPI"/>
    <x v="0"/>
    <s v="India"/>
    <x v="21"/>
    <s v="Dimapur"/>
    <s v="Value Shopper"/>
    <x v="2"/>
    <n v="3.6"/>
    <s v="Delivered"/>
    <s v="Express"/>
    <n v="3"/>
  </r>
  <r>
    <s v="ORD202093"/>
    <s v="CUST100105"/>
    <s v="Men"/>
    <s v="25-34"/>
    <x v="1242"/>
    <x v="2"/>
    <x v="3"/>
    <x v="2"/>
    <n v="8"/>
    <s v="Black"/>
    <n v="1"/>
    <n v="4599"/>
    <n v="15"/>
    <n v="3910"/>
    <n v="3910"/>
    <s v="UPI"/>
    <x v="1"/>
    <s v="India"/>
    <x v="24"/>
    <s v="Bengaluru"/>
    <s v="Value Shopper"/>
    <x v="1"/>
    <n v="3.8"/>
    <s v="Cancelled"/>
    <s v="Express"/>
    <n v="4"/>
  </r>
  <r>
    <s v="ORD202164"/>
    <s v="CUST100172"/>
    <s v="Unisex"/>
    <s v="18-24"/>
    <x v="1243"/>
    <x v="2"/>
    <x v="32"/>
    <x v="1"/>
    <n v="9"/>
    <s v="White"/>
    <n v="2"/>
    <n v="5499"/>
    <n v="5"/>
    <n v="5220"/>
    <n v="10440"/>
    <s v="Debit/Credit Card"/>
    <x v="2"/>
    <s v="India"/>
    <x v="29"/>
    <s v="Vijayawada"/>
    <s v="Lifestyle Shopper"/>
    <x v="2"/>
    <n v="3.4"/>
    <s v="Delivered"/>
    <s v="Same Day"/>
    <n v="1"/>
  </r>
  <r>
    <s v="ORD200350"/>
    <s v="CUST100411"/>
    <s v="Women"/>
    <s v="35-44"/>
    <x v="1244"/>
    <x v="2"/>
    <x v="24"/>
    <x v="4"/>
    <n v="9"/>
    <s v="White"/>
    <n v="1"/>
    <n v="6499"/>
    <n v="0"/>
    <n v="6500"/>
    <n v="6500"/>
    <s v="Debit/Credit Card"/>
    <x v="1"/>
    <s v="India"/>
    <x v="1"/>
    <s v="Mapusa"/>
    <s v="Lifestyle Shopper"/>
    <x v="2"/>
    <n v="4.2"/>
    <s v="Delivered"/>
    <s v="Express"/>
    <n v="2"/>
  </r>
  <r>
    <s v="ORD201614"/>
    <s v="CUST100755"/>
    <s v="Women"/>
    <s v="25-34"/>
    <x v="1244"/>
    <x v="0"/>
    <x v="19"/>
    <x v="4"/>
    <n v="7"/>
    <s v="Red"/>
    <n v="1"/>
    <n v="4899"/>
    <n v="5"/>
    <n v="4650"/>
    <n v="4650"/>
    <s v="UPI"/>
    <x v="0"/>
    <s v="India"/>
    <x v="25"/>
    <s v="Jammu"/>
    <s v="Comfort Shopper"/>
    <x v="1"/>
    <n v="3.9"/>
    <s v="Delivered"/>
    <s v="Standard"/>
    <n v="4"/>
  </r>
  <r>
    <s v="ORD201955"/>
    <s v="CUST100337"/>
    <s v="Women"/>
    <s v="25-34"/>
    <x v="1244"/>
    <x v="3"/>
    <x v="35"/>
    <x v="2"/>
    <n v="8"/>
    <s v="Green"/>
    <n v="1"/>
    <n v="3599"/>
    <n v="15"/>
    <n v="3060"/>
    <n v="3060"/>
    <s v="Cash on Delivery"/>
    <x v="1"/>
    <s v="India"/>
    <x v="32"/>
    <s v="Ranchi"/>
    <s v="Performance Seeker"/>
    <x v="1"/>
    <n v="3.9"/>
    <s v="Cancelled"/>
    <s v="Standard"/>
    <n v="2"/>
  </r>
  <r>
    <s v="ORD202497"/>
    <s v="CUST100325"/>
    <s v="Women"/>
    <s v="25-34"/>
    <x v="1244"/>
    <x v="1"/>
    <x v="1"/>
    <x v="1"/>
    <n v="11"/>
    <s v="Red"/>
    <n v="1"/>
    <n v="4199"/>
    <n v="30"/>
    <n v="2940"/>
    <n v="2940"/>
    <s v="Debit/Credit Card"/>
    <x v="1"/>
    <s v="India"/>
    <x v="26"/>
    <s v="Kozhikode"/>
    <s v="Value Shopper"/>
    <x v="2"/>
    <n v="4.9000000000000004"/>
    <s v="Delivered"/>
    <s v="Standard"/>
    <n v="6"/>
  </r>
  <r>
    <s v="ORD202425"/>
    <s v="CUST100410"/>
    <s v="Unisex"/>
    <s v="18-24"/>
    <x v="1245"/>
    <x v="2"/>
    <x v="4"/>
    <x v="2"/>
    <n v="7"/>
    <s v="Blue"/>
    <n v="2"/>
    <n v="3699"/>
    <n v="20"/>
    <n v="2960"/>
    <n v="5920"/>
    <s v="UPI"/>
    <x v="1"/>
    <s v="India"/>
    <x v="7"/>
    <s v="Gwalior"/>
    <s v="Premium Shopper"/>
    <x v="2"/>
    <n v="4"/>
    <s v="Delivered"/>
    <s v="Standard"/>
    <n v="3"/>
  </r>
  <r>
    <s v="ORD203007"/>
    <s v="CUST100637"/>
    <s v="Women"/>
    <s v="18-24"/>
    <x v="1245"/>
    <x v="5"/>
    <x v="27"/>
    <x v="0"/>
    <n v="9"/>
    <s v="Green"/>
    <n v="2"/>
    <n v="8199"/>
    <n v="20"/>
    <n v="6560"/>
    <n v="13120"/>
    <s v="Net Banking"/>
    <x v="0"/>
    <s v="India"/>
    <x v="2"/>
    <s v="Faridabad"/>
    <s v="Lifestyle Shopper"/>
    <x v="2"/>
    <n v="2.6"/>
    <s v="Delivered"/>
    <s v="Standard"/>
    <n v="6"/>
  </r>
  <r>
    <s v="ORD202213"/>
    <s v="CUST101010"/>
    <s v="Men"/>
    <s v="25-34"/>
    <x v="1246"/>
    <x v="3"/>
    <x v="35"/>
    <x v="2"/>
    <n v="9"/>
    <s v="Black"/>
    <n v="1"/>
    <n v="8299"/>
    <n v="25"/>
    <n v="6220"/>
    <n v="6220"/>
    <s v="UPI"/>
    <x v="2"/>
    <s v="India"/>
    <x v="34"/>
    <s v="Kolkata"/>
    <s v="Lifestyle Shopper"/>
    <x v="1"/>
    <n v="4.3"/>
    <s v="Returned"/>
    <s v="Standard"/>
    <n v="7"/>
  </r>
  <r>
    <s v="ORD202838"/>
    <s v="CUST100413"/>
    <s v="Women"/>
    <s v="55+"/>
    <x v="1247"/>
    <x v="0"/>
    <x v="0"/>
    <x v="0"/>
    <n v="12"/>
    <s v="White"/>
    <n v="1"/>
    <n v="4399"/>
    <n v="10"/>
    <n v="3960"/>
    <n v="3960"/>
    <s v="Debit/Credit Card"/>
    <x v="2"/>
    <s v="India"/>
    <x v="26"/>
    <s v="Kochi"/>
    <s v="Performance Seeker"/>
    <x v="1"/>
    <n v="5"/>
    <s v="Cancelled"/>
    <s v="Standard"/>
    <n v="3"/>
  </r>
  <r>
    <s v="ORD200718"/>
    <s v="CUST100452"/>
    <s v="Women"/>
    <s v="25-34"/>
    <x v="1248"/>
    <x v="0"/>
    <x v="2"/>
    <x v="2"/>
    <n v="8"/>
    <s v="Green"/>
    <n v="3"/>
    <n v="6799"/>
    <n v="15"/>
    <n v="5780"/>
    <n v="17340"/>
    <s v="Debit/Credit Card"/>
    <x v="1"/>
    <s v="India"/>
    <x v="23"/>
    <s v="Dehradun"/>
    <s v="Premium Shopper"/>
    <x v="2"/>
    <n v="3.1"/>
    <s v="Delivered"/>
    <s v="Standard"/>
    <n v="2"/>
  </r>
  <r>
    <s v="ORD200387"/>
    <s v="CUST100602"/>
    <s v="Women"/>
    <s v="18-24"/>
    <x v="1249"/>
    <x v="2"/>
    <x v="23"/>
    <x v="0"/>
    <n v="9"/>
    <s v="Green"/>
    <n v="1"/>
    <n v="7999"/>
    <n v="10"/>
    <n v="7200"/>
    <n v="7200"/>
    <s v="UPI"/>
    <x v="2"/>
    <s v="India"/>
    <x v="11"/>
    <s v="Agatti"/>
    <s v="Value Shopper"/>
    <x v="0"/>
    <n v="4.2"/>
    <s v="Delivered"/>
    <s v="Standard"/>
    <n v="2"/>
  </r>
  <r>
    <s v="ORD200487"/>
    <s v="CUST100101"/>
    <s v="Women"/>
    <s v="35-44"/>
    <x v="1250"/>
    <x v="4"/>
    <x v="6"/>
    <x v="2"/>
    <n v="10"/>
    <s v="Blue"/>
    <n v="1"/>
    <n v="5599"/>
    <n v="10"/>
    <n v="5040"/>
    <n v="5040"/>
    <s v="Debit/Credit Card"/>
    <x v="1"/>
    <s v="India"/>
    <x v="8"/>
    <s v="Warangal"/>
    <s v="Premium Shopper"/>
    <x v="2"/>
    <n v="3.4"/>
    <s v="Delivered"/>
    <s v="Express"/>
    <n v="2"/>
  </r>
  <r>
    <s v="ORD202858"/>
    <s v="CUST100125"/>
    <s v="Unisex"/>
    <s v="18-24"/>
    <x v="1251"/>
    <x v="4"/>
    <x v="22"/>
    <x v="0"/>
    <n v="10"/>
    <s v="Red"/>
    <n v="1"/>
    <n v="8399"/>
    <n v="10"/>
    <n v="7560"/>
    <n v="7560"/>
    <s v="Cash on Delivery"/>
    <x v="1"/>
    <s v="India"/>
    <x v="17"/>
    <s v="Yanam"/>
    <s v="Lifestyle Shopper"/>
    <x v="1"/>
    <n v="4.2"/>
    <s v="Cancelled"/>
    <s v="Express"/>
    <n v="1"/>
  </r>
  <r>
    <s v="ORD200608"/>
    <s v="CUST100137"/>
    <s v="Unisex"/>
    <s v="18-24"/>
    <x v="1252"/>
    <x v="3"/>
    <x v="5"/>
    <x v="2"/>
    <n v="10"/>
    <s v="Grey"/>
    <n v="4"/>
    <n v="4999"/>
    <n v="20"/>
    <n v="4000"/>
    <n v="16000"/>
    <s v="UPI"/>
    <x v="1"/>
    <s v="India"/>
    <x v="17"/>
    <s v="Puducherry"/>
    <s v="Premium Shopper"/>
    <x v="1"/>
    <n v="4.2"/>
    <s v="Delivered"/>
    <s v="Standard"/>
    <n v="2"/>
  </r>
  <r>
    <s v="ORD200811"/>
    <s v="CUST100951"/>
    <s v="Women"/>
    <s v="35-44"/>
    <x v="1252"/>
    <x v="0"/>
    <x v="13"/>
    <x v="2"/>
    <n v="8"/>
    <s v="Black"/>
    <n v="1"/>
    <n v="6899"/>
    <n v="5"/>
    <n v="6550"/>
    <n v="6550"/>
    <s v="UPI"/>
    <x v="2"/>
    <s v="India"/>
    <x v="5"/>
    <s v="Imphal"/>
    <s v="Premium Shopper"/>
    <x v="1"/>
    <n v="4.5999999999999996"/>
    <s v="Cancelled"/>
    <s v="Standard"/>
    <n v="7"/>
  </r>
  <r>
    <s v="ORD202116"/>
    <s v="CUST100274"/>
    <s v="Women"/>
    <s v="55+"/>
    <x v="1252"/>
    <x v="3"/>
    <x v="16"/>
    <x v="0"/>
    <n v="11"/>
    <s v="White"/>
    <n v="1"/>
    <n v="5899"/>
    <n v="20"/>
    <n v="4720"/>
    <n v="4720"/>
    <s v="Debit/Credit Card"/>
    <x v="1"/>
    <s v="India"/>
    <x v="21"/>
    <s v="Tuensang"/>
    <s v="Comfort Shopper"/>
    <x v="1"/>
    <n v="5"/>
    <s v="Delivered"/>
    <s v="Express"/>
    <n v="2"/>
  </r>
  <r>
    <s v="ORD200581"/>
    <s v="CUST100100"/>
    <s v="Unisex"/>
    <s v="18-24"/>
    <x v="1253"/>
    <x v="3"/>
    <x v="34"/>
    <x v="3"/>
    <n v="7"/>
    <s v="Blue"/>
    <n v="1"/>
    <n v="7099"/>
    <n v="10"/>
    <n v="6390"/>
    <n v="6390"/>
    <s v="Debit/Credit Card"/>
    <x v="1"/>
    <s v="India"/>
    <x v="9"/>
    <s v="Patna"/>
    <s v="Premium Shopper"/>
    <x v="1"/>
    <n v="4.5999999999999996"/>
    <s v="Delivered"/>
    <s v="Standard"/>
    <n v="3"/>
  </r>
  <r>
    <s v="ORD203134"/>
    <s v="CUST100295"/>
    <s v="Men"/>
    <s v="45-54"/>
    <x v="1253"/>
    <x v="1"/>
    <x v="12"/>
    <x v="4"/>
    <n v="10"/>
    <s v="Red"/>
    <n v="1"/>
    <n v="7299"/>
    <n v="30"/>
    <n v="5110"/>
    <n v="5110"/>
    <s v="Debit/Credit Card"/>
    <x v="1"/>
    <s v="India"/>
    <x v="3"/>
    <s v="Jaipur"/>
    <s v="Comfort Shopper"/>
    <x v="1"/>
    <n v="4.5999999999999996"/>
    <s v="Delivered"/>
    <s v="Standard"/>
    <n v="3"/>
  </r>
  <r>
    <s v="ORD201672"/>
    <s v="CUST100154"/>
    <s v="Men"/>
    <s v="35-44"/>
    <x v="1254"/>
    <x v="4"/>
    <x v="29"/>
    <x v="2"/>
    <n v="9"/>
    <s v="White"/>
    <n v="2"/>
    <n v="7999"/>
    <n v="5"/>
    <n v="7600"/>
    <n v="15200"/>
    <s v="UPI"/>
    <x v="0"/>
    <s v="India"/>
    <x v="15"/>
    <s v="Rohini"/>
    <s v="Comfort Shopper"/>
    <x v="1"/>
    <n v="5"/>
    <s v="Returned"/>
    <s v="Express"/>
    <n v="1"/>
  </r>
  <r>
    <s v="ORD201429"/>
    <s v="CUST100052"/>
    <s v="Women"/>
    <s v="18-24"/>
    <x v="1255"/>
    <x v="3"/>
    <x v="34"/>
    <x v="3"/>
    <n v="8"/>
    <s v="Blue"/>
    <n v="3"/>
    <n v="6099"/>
    <n v="10"/>
    <n v="5490"/>
    <n v="16470"/>
    <s v="UPI"/>
    <x v="2"/>
    <s v="India"/>
    <x v="20"/>
    <s v="Solan"/>
    <s v="Value Shopper"/>
    <x v="2"/>
    <n v="3.8"/>
    <s v="Cancelled"/>
    <s v="Standard"/>
    <n v="1"/>
  </r>
  <r>
    <s v="ORD203021"/>
    <s v="CUST100160"/>
    <s v="Unisex"/>
    <s v="18-24"/>
    <x v="1255"/>
    <x v="5"/>
    <x v="27"/>
    <x v="0"/>
    <n v="7"/>
    <s v="White"/>
    <n v="1"/>
    <n v="5999"/>
    <n v="10"/>
    <n v="5400"/>
    <n v="5400"/>
    <s v="UPI"/>
    <x v="1"/>
    <s v="India"/>
    <x v="28"/>
    <s v="Nubra"/>
    <s v="Premium Shopper"/>
    <x v="2"/>
    <n v="5"/>
    <s v="Delivered"/>
    <s v="Standard"/>
    <n v="2"/>
  </r>
  <r>
    <s v="ORD200481"/>
    <s v="CUST100519"/>
    <s v="Unisex"/>
    <s v="45-54"/>
    <x v="1256"/>
    <x v="5"/>
    <x v="7"/>
    <x v="1"/>
    <n v="11"/>
    <s v="Black"/>
    <n v="1"/>
    <n v="7899"/>
    <n v="15"/>
    <n v="6710"/>
    <n v="6710"/>
    <s v="Debit/Credit Card"/>
    <x v="1"/>
    <s v="India"/>
    <x v="22"/>
    <s v="Agartala"/>
    <s v="Value Shopper"/>
    <x v="1"/>
    <n v="2.8"/>
    <s v="Delivered"/>
    <s v="Standard"/>
    <n v="4"/>
  </r>
  <r>
    <s v="ORD200835"/>
    <s v="CUST100787"/>
    <s v="Unisex"/>
    <s v="25-34"/>
    <x v="1257"/>
    <x v="4"/>
    <x v="26"/>
    <x v="3"/>
    <n v="8"/>
    <s v="Grey"/>
    <n v="1"/>
    <n v="4399"/>
    <n v="20"/>
    <n v="3520"/>
    <n v="3520"/>
    <s v="UPI"/>
    <x v="1"/>
    <s v="India"/>
    <x v="27"/>
    <s v="Berhampur"/>
    <s v="Value Shopper"/>
    <x v="1"/>
    <n v="4"/>
    <s v="Delivered"/>
    <s v="Standard"/>
    <n v="3"/>
  </r>
  <r>
    <s v="ORD201001"/>
    <s v="CUST100447"/>
    <s v="Women"/>
    <s v="25-34"/>
    <x v="1257"/>
    <x v="1"/>
    <x v="20"/>
    <x v="2"/>
    <n v="10"/>
    <s v="White"/>
    <n v="2"/>
    <n v="5199"/>
    <n v="5"/>
    <n v="4940"/>
    <n v="9880"/>
    <s v="UPI"/>
    <x v="0"/>
    <s v="India"/>
    <x v="35"/>
    <s v="Kolasib"/>
    <s v="Performance Seeker"/>
    <x v="2"/>
    <n v="4"/>
    <s v="Returned"/>
    <s v="Standard"/>
    <n v="3"/>
  </r>
  <r>
    <s v="ORD201886"/>
    <s v="CUST100395"/>
    <s v="Men"/>
    <s v="25-34"/>
    <x v="1257"/>
    <x v="4"/>
    <x v="22"/>
    <x v="0"/>
    <n v="9"/>
    <s v="Blue"/>
    <n v="1"/>
    <n v="7399"/>
    <n v="10"/>
    <n v="6660"/>
    <n v="6660"/>
    <s v="Cash on Delivery"/>
    <x v="0"/>
    <s v="India"/>
    <x v="30"/>
    <s v="Burail"/>
    <s v="Premium Shopper"/>
    <x v="1"/>
    <n v="4"/>
    <s v="Delivered"/>
    <s v="Standard"/>
    <n v="3"/>
  </r>
  <r>
    <s v="ORD201131"/>
    <s v="CUST101007"/>
    <s v="Women"/>
    <s v="35-44"/>
    <x v="1258"/>
    <x v="4"/>
    <x v="6"/>
    <x v="2"/>
    <n v="10"/>
    <s v="White"/>
    <n v="1"/>
    <n v="5999"/>
    <n v="0"/>
    <n v="6000"/>
    <n v="6000"/>
    <s v="Cash on Delivery"/>
    <x v="1"/>
    <s v="India"/>
    <x v="24"/>
    <s v="Mangaluru"/>
    <s v="Value Shopper"/>
    <x v="1"/>
    <n v="3.2"/>
    <s v="Delivered"/>
    <s v="Express"/>
    <n v="2"/>
  </r>
  <r>
    <s v="ORD201418"/>
    <s v="CUST100799"/>
    <s v="Women"/>
    <s v="25-34"/>
    <x v="1258"/>
    <x v="1"/>
    <x v="18"/>
    <x v="2"/>
    <n v="11"/>
    <s v="Black"/>
    <n v="1"/>
    <n v="9299"/>
    <n v="15"/>
    <n v="7900"/>
    <n v="7900"/>
    <s v="UPI"/>
    <x v="2"/>
    <s v="India"/>
    <x v="10"/>
    <s v="Daman"/>
    <s v="Value Shopper"/>
    <x v="2"/>
    <n v="3.6"/>
    <s v="Delivered"/>
    <s v="Standard"/>
    <n v="3"/>
  </r>
  <r>
    <s v="ORD201917"/>
    <s v="CUST100331"/>
    <s v="Women"/>
    <s v="45-54"/>
    <x v="1259"/>
    <x v="2"/>
    <x v="24"/>
    <x v="4"/>
    <n v="8"/>
    <s v="Black"/>
    <n v="1"/>
    <n v="6899"/>
    <n v="0"/>
    <n v="6900"/>
    <n v="6900"/>
    <s v="UPI"/>
    <x v="2"/>
    <s v="India"/>
    <x v="29"/>
    <s v="Guntur"/>
    <s v="Value Shopper"/>
    <x v="2"/>
    <n v="4.9000000000000004"/>
    <s v="Delivered"/>
    <s v="Standard"/>
    <n v="1"/>
  </r>
  <r>
    <s v="ORD202347"/>
    <s v="CUST100137"/>
    <s v="Women"/>
    <s v="35-44"/>
    <x v="1260"/>
    <x v="0"/>
    <x v="8"/>
    <x v="3"/>
    <n v="10"/>
    <s v="Blue"/>
    <n v="2"/>
    <n v="4099"/>
    <n v="35"/>
    <n v="2660"/>
    <n v="5320"/>
    <s v="Debit/Credit Card"/>
    <x v="2"/>
    <s v="India"/>
    <x v="6"/>
    <s v="Kanpur"/>
    <s v="Premium Shopper"/>
    <x v="2"/>
    <n v="4.3"/>
    <s v="Delivered"/>
    <s v="Standard"/>
    <n v="6"/>
  </r>
  <r>
    <s v="ORD200641"/>
    <s v="CUST101005"/>
    <s v="Women"/>
    <s v="55+"/>
    <x v="1261"/>
    <x v="1"/>
    <x v="1"/>
    <x v="1"/>
    <n v="11"/>
    <s v="Grey"/>
    <n v="1"/>
    <n v="8899"/>
    <n v="25"/>
    <n v="6670"/>
    <n v="6670"/>
    <s v="UPI"/>
    <x v="1"/>
    <s v="India"/>
    <x v="31"/>
    <s v="Chennai"/>
    <s v="Comfort Shopper"/>
    <x v="1"/>
    <n v="4.0999999999999996"/>
    <s v="Cancelled"/>
    <s v="Express"/>
    <n v="2"/>
  </r>
  <r>
    <s v="ORD200881"/>
    <s v="CUST100077"/>
    <s v="Men"/>
    <s v="25-34"/>
    <x v="1262"/>
    <x v="5"/>
    <x v="7"/>
    <x v="1"/>
    <n v="8"/>
    <s v="Blue"/>
    <n v="2"/>
    <n v="9099"/>
    <n v="10"/>
    <n v="8190"/>
    <n v="16380"/>
    <s v="UPI"/>
    <x v="1"/>
    <s v="India"/>
    <x v="24"/>
    <s v="Mangaluru"/>
    <s v="Performance Seeker"/>
    <x v="2"/>
    <n v="4.7"/>
    <s v="Delivered"/>
    <s v="Standard"/>
    <n v="6"/>
  </r>
  <r>
    <s v="ORD201146"/>
    <s v="CUST100340"/>
    <s v="Men"/>
    <s v="25-34"/>
    <x v="1262"/>
    <x v="0"/>
    <x v="13"/>
    <x v="2"/>
    <n v="6"/>
    <s v="Red"/>
    <n v="2"/>
    <n v="7899"/>
    <n v="15"/>
    <n v="6710"/>
    <n v="13420"/>
    <s v="Debit/Credit Card"/>
    <x v="1"/>
    <s v="India"/>
    <x v="3"/>
    <s v="Jodhpur"/>
    <s v="Performance Seeker"/>
    <x v="2"/>
    <n v="4.0999999999999996"/>
    <s v="Delivered"/>
    <s v="Express"/>
    <n v="2"/>
  </r>
  <r>
    <s v="ORD201273"/>
    <s v="CUST100487"/>
    <s v="Men"/>
    <s v="45-54"/>
    <x v="1262"/>
    <x v="2"/>
    <x v="3"/>
    <x v="2"/>
    <n v="9"/>
    <s v="Black"/>
    <n v="1"/>
    <n v="7799"/>
    <n v="30"/>
    <n v="5460"/>
    <n v="5460"/>
    <s v="UPI"/>
    <x v="2"/>
    <s v="India"/>
    <x v="15"/>
    <s v="Delhi"/>
    <s v="Premium Shopper"/>
    <x v="1"/>
    <n v="3.9"/>
    <s v="Returned"/>
    <s v="Express"/>
    <n v="2"/>
  </r>
  <r>
    <s v="ORD202896"/>
    <s v="CUST100094"/>
    <s v="Men"/>
    <s v="25-34"/>
    <x v="1262"/>
    <x v="3"/>
    <x v="5"/>
    <x v="2"/>
    <n v="8"/>
    <s v="Green"/>
    <n v="1"/>
    <n v="3399"/>
    <n v="20"/>
    <n v="2720"/>
    <n v="2720"/>
    <s v="Debit/Credit Card"/>
    <x v="2"/>
    <s v="India"/>
    <x v="5"/>
    <s v="Churachandpur"/>
    <s v="Value Shopper"/>
    <x v="2"/>
    <n v="4.2"/>
    <s v="Delivered"/>
    <s v="Express"/>
    <n v="2"/>
  </r>
  <r>
    <s v="ORD203069"/>
    <s v="CUST100256"/>
    <s v="Men"/>
    <s v="25-34"/>
    <x v="1262"/>
    <x v="2"/>
    <x v="25"/>
    <x v="3"/>
    <n v="9"/>
    <s v="Black"/>
    <n v="4"/>
    <n v="5999"/>
    <n v="15"/>
    <n v="5100"/>
    <n v="20400"/>
    <s v="Debit/Credit Card"/>
    <x v="1"/>
    <s v="India"/>
    <x v="6"/>
    <s v="Noida"/>
    <s v="Value Shopper"/>
    <x v="2"/>
    <n v="4"/>
    <s v="Cancelled"/>
    <s v="Standard"/>
    <n v="5"/>
  </r>
  <r>
    <s v="ORD200307"/>
    <s v="CUST100192"/>
    <s v="Unisex"/>
    <s v="45-54"/>
    <x v="1263"/>
    <x v="0"/>
    <x v="31"/>
    <x v="1"/>
    <n v="10"/>
    <s v="White"/>
    <n v="1"/>
    <n v="4599"/>
    <n v="15"/>
    <n v="3910"/>
    <n v="3910"/>
    <s v="Debit/Credit Card"/>
    <x v="0"/>
    <s v="India"/>
    <x v="24"/>
    <s v="Mangaluru"/>
    <s v="Comfort Shopper"/>
    <x v="0"/>
    <n v="4.5999999999999996"/>
    <s v="Delivered"/>
    <s v="Express"/>
    <n v="2"/>
  </r>
  <r>
    <s v="ORD202489"/>
    <s v="CUST100149"/>
    <s v="Men"/>
    <s v="45-54"/>
    <x v="1263"/>
    <x v="5"/>
    <x v="30"/>
    <x v="2"/>
    <n v="8"/>
    <s v="Grey"/>
    <n v="4"/>
    <n v="9699"/>
    <n v="20"/>
    <n v="7760"/>
    <n v="31040"/>
    <s v="UPI"/>
    <x v="2"/>
    <s v="India"/>
    <x v="31"/>
    <s v="Tiruchirappalli"/>
    <s v="Value Shopper"/>
    <x v="1"/>
    <n v="4.4000000000000004"/>
    <s v="Delivered"/>
    <s v="Standard"/>
    <n v="4"/>
  </r>
  <r>
    <s v="ORD200163"/>
    <s v="CUST100588"/>
    <s v="Men"/>
    <s v="25-34"/>
    <x v="1264"/>
    <x v="4"/>
    <x v="26"/>
    <x v="3"/>
    <n v="8"/>
    <s v="Grey"/>
    <n v="2"/>
    <n v="9099"/>
    <n v="30"/>
    <n v="6370"/>
    <n v="12740"/>
    <s v="UPI"/>
    <x v="1"/>
    <s v="India"/>
    <x v="0"/>
    <s v="Dibrugarh"/>
    <s v="Premium Shopper"/>
    <x v="0"/>
    <n v="4.2"/>
    <s v="Returned"/>
    <s v="Same Day"/>
    <n v="2"/>
  </r>
  <r>
    <s v="ORD202057"/>
    <s v="CUST100643"/>
    <s v="Men"/>
    <s v="35-44"/>
    <x v="1264"/>
    <x v="0"/>
    <x v="19"/>
    <x v="4"/>
    <n v="8"/>
    <s v="Red"/>
    <n v="2"/>
    <n v="3799"/>
    <n v="5"/>
    <n v="3610"/>
    <n v="7220"/>
    <s v="Debit/Credit Card"/>
    <x v="1"/>
    <s v="India"/>
    <x v="21"/>
    <s v="Kohima"/>
    <s v="Premium Shopper"/>
    <x v="0"/>
    <n v="5"/>
    <s v="Delivered"/>
    <s v="Express"/>
    <n v="2"/>
  </r>
  <r>
    <s v="ORD202341"/>
    <s v="CUST100207"/>
    <s v="Unisex"/>
    <s v="55+"/>
    <x v="1264"/>
    <x v="2"/>
    <x v="24"/>
    <x v="4"/>
    <n v="7"/>
    <s v="Red"/>
    <n v="3"/>
    <n v="5499"/>
    <n v="0"/>
    <n v="5500"/>
    <n v="16500"/>
    <s v="Debit/Credit Card"/>
    <x v="0"/>
    <s v="India"/>
    <x v="6"/>
    <s v="Lucknow"/>
    <s v="Lifestyle Shopper"/>
    <x v="1"/>
    <n v="4.2"/>
    <s v="Delivered"/>
    <s v="Standard"/>
    <n v="1"/>
  </r>
  <r>
    <s v="ORD200266"/>
    <s v="CUST100434"/>
    <s v="Men"/>
    <s v="18-24"/>
    <x v="1265"/>
    <x v="3"/>
    <x v="5"/>
    <x v="2"/>
    <n v="10"/>
    <s v="Black"/>
    <n v="1"/>
    <n v="3699"/>
    <n v="15"/>
    <n v="3140"/>
    <n v="3140"/>
    <s v="Cash on Delivery"/>
    <x v="1"/>
    <s v="India"/>
    <x v="24"/>
    <s v="Hubballi"/>
    <s v="Value Shopper"/>
    <x v="1"/>
    <n v="4.2"/>
    <s v="Cancelled"/>
    <s v="Standard"/>
    <n v="4"/>
  </r>
  <r>
    <s v="ORD200795"/>
    <s v="CUST100238"/>
    <s v="Unisex"/>
    <s v="18-24"/>
    <x v="1265"/>
    <x v="5"/>
    <x v="27"/>
    <x v="0"/>
    <n v="7"/>
    <s v="Red"/>
    <n v="1"/>
    <n v="5399"/>
    <n v="0"/>
    <n v="5400"/>
    <n v="5400"/>
    <s v="Debit/Credit Card"/>
    <x v="0"/>
    <s v="India"/>
    <x v="22"/>
    <s v="Dharmanagar"/>
    <s v="Lifestyle Shopper"/>
    <x v="1"/>
    <n v="2.2999999999999998"/>
    <s v="Delivered"/>
    <s v="Standard"/>
    <n v="2"/>
  </r>
  <r>
    <s v="ORD201887"/>
    <s v="CUST100514"/>
    <s v="Men"/>
    <s v="18-24"/>
    <x v="1266"/>
    <x v="0"/>
    <x v="8"/>
    <x v="3"/>
    <n v="7"/>
    <s v="Green"/>
    <n v="1"/>
    <n v="8499"/>
    <n v="30"/>
    <n v="5950"/>
    <n v="5950"/>
    <s v="UPI"/>
    <x v="2"/>
    <s v="India"/>
    <x v="7"/>
    <s v="Gwalior"/>
    <s v="Comfort Shopper"/>
    <x v="1"/>
    <n v="2.8"/>
    <s v="Cancelled"/>
    <s v="Standard"/>
    <n v="3"/>
  </r>
  <r>
    <s v="ORD202047"/>
    <s v="CUST100400"/>
    <s v="Unisex"/>
    <s v="25-34"/>
    <x v="1266"/>
    <x v="3"/>
    <x v="35"/>
    <x v="2"/>
    <n v="9"/>
    <s v="Grey"/>
    <n v="2"/>
    <n v="4199"/>
    <n v="25"/>
    <n v="3150"/>
    <n v="6300"/>
    <s v="Cash on Delivery"/>
    <x v="1"/>
    <s v="India"/>
    <x v="12"/>
    <s v="Mayabunder"/>
    <s v="Premium Shopper"/>
    <x v="1"/>
    <n v="3.8"/>
    <s v="Delivered"/>
    <s v="Standard"/>
    <n v="1"/>
  </r>
  <r>
    <s v="ORD202210"/>
    <s v="CUST100042"/>
    <s v="Women"/>
    <s v="25-34"/>
    <x v="1266"/>
    <x v="1"/>
    <x v="1"/>
    <x v="1"/>
    <n v="7"/>
    <s v="Red"/>
    <n v="1"/>
    <n v="8099"/>
    <n v="25"/>
    <n v="6070"/>
    <n v="6070"/>
    <s v="UPI"/>
    <x v="2"/>
    <s v="India"/>
    <x v="32"/>
    <s v="Dhanbad"/>
    <s v="Premium Shopper"/>
    <x v="1"/>
    <n v="4.3"/>
    <s v="Delivered"/>
    <s v="Express"/>
    <n v="4"/>
  </r>
  <r>
    <s v="ORD202520"/>
    <s v="CUST100965"/>
    <s v="Women"/>
    <s v="35-44"/>
    <x v="1266"/>
    <x v="0"/>
    <x v="2"/>
    <x v="2"/>
    <n v="8"/>
    <s v="Green"/>
    <n v="1"/>
    <n v="8099"/>
    <n v="25"/>
    <n v="6070"/>
    <n v="6070"/>
    <s v="Debit/Credit Card"/>
    <x v="1"/>
    <s v="India"/>
    <x v="2"/>
    <s v="Hisar"/>
    <s v="Comfort Shopper"/>
    <x v="0"/>
    <n v="5"/>
    <s v="Delivered"/>
    <s v="Standard"/>
    <n v="4"/>
  </r>
  <r>
    <s v="ORD202522"/>
    <s v="CUST100408"/>
    <s v="Unisex"/>
    <s v="25-34"/>
    <x v="1266"/>
    <x v="2"/>
    <x v="3"/>
    <x v="2"/>
    <n v="7"/>
    <s v="Red"/>
    <n v="1"/>
    <n v="5399"/>
    <n v="15"/>
    <n v="4590"/>
    <n v="4590"/>
    <s v="UPI"/>
    <x v="0"/>
    <s v="India"/>
    <x v="23"/>
    <s v="Haldwani"/>
    <s v="Performance Seeker"/>
    <x v="1"/>
    <n v="4.4000000000000004"/>
    <s v="Delivered"/>
    <s v="Standard"/>
    <n v="3"/>
  </r>
  <r>
    <s v="ORD202978"/>
    <s v="CUST100256"/>
    <s v="Men"/>
    <s v="35-44"/>
    <x v="1266"/>
    <x v="0"/>
    <x v="0"/>
    <x v="0"/>
    <n v="11"/>
    <s v="White"/>
    <n v="1"/>
    <n v="7199"/>
    <n v="5"/>
    <n v="6840"/>
    <n v="6840"/>
    <s v="UPI"/>
    <x v="2"/>
    <s v="India"/>
    <x v="26"/>
    <s v="Thrissur"/>
    <s v="Comfort Shopper"/>
    <x v="2"/>
    <n v="2.9"/>
    <s v="Delivered"/>
    <s v="Standard"/>
    <n v="3"/>
  </r>
  <r>
    <s v="ORD203045"/>
    <s v="CUST100686"/>
    <s v="Women"/>
    <s v="45-54"/>
    <x v="1266"/>
    <x v="4"/>
    <x v="22"/>
    <x v="0"/>
    <n v="8"/>
    <s v="Black"/>
    <n v="2"/>
    <n v="9499"/>
    <n v="25"/>
    <n v="7120"/>
    <n v="14240"/>
    <s v="Debit/Credit Card"/>
    <x v="2"/>
    <s v="India"/>
    <x v="2"/>
    <s v="Panipat"/>
    <s v="Comfort Shopper"/>
    <x v="2"/>
    <n v="3.9"/>
    <s v="Cancelled"/>
    <s v="Standard"/>
    <n v="4"/>
  </r>
  <r>
    <s v="ORD203135"/>
    <s v="CUST100012"/>
    <s v="Women"/>
    <s v="45-54"/>
    <x v="1266"/>
    <x v="1"/>
    <x v="20"/>
    <x v="2"/>
    <n v="8"/>
    <s v="White"/>
    <n v="1"/>
    <n v="5899"/>
    <n v="30"/>
    <n v="4130"/>
    <n v="4130"/>
    <s v="Debit/Credit Card"/>
    <x v="2"/>
    <s v="India"/>
    <x v="20"/>
    <s v="Mandi"/>
    <s v="Performance Seeker"/>
    <x v="2"/>
    <n v="3.8"/>
    <s v="Delivered"/>
    <s v="Standard"/>
    <n v="3"/>
  </r>
  <r>
    <s v="ORD200465"/>
    <s v="CUST100566"/>
    <s v="Women"/>
    <s v="35-44"/>
    <x v="1267"/>
    <x v="3"/>
    <x v="11"/>
    <x v="4"/>
    <n v="6"/>
    <s v="Black"/>
    <n v="1"/>
    <n v="3599"/>
    <n v="20"/>
    <n v="2880"/>
    <n v="2880"/>
    <s v="UPI"/>
    <x v="1"/>
    <s v="India"/>
    <x v="31"/>
    <s v="Madurai"/>
    <s v="Premium Shopper"/>
    <x v="2"/>
    <n v="3.6"/>
    <s v="Delivered"/>
    <s v="Standard"/>
    <n v="2"/>
  </r>
  <r>
    <s v="ORD202129"/>
    <s v="CUST100325"/>
    <s v="Men"/>
    <s v="25-34"/>
    <x v="1267"/>
    <x v="0"/>
    <x v="19"/>
    <x v="4"/>
    <n v="10"/>
    <s v="Black"/>
    <n v="3"/>
    <n v="3699"/>
    <n v="5"/>
    <n v="3510"/>
    <n v="10530"/>
    <s v="UPI"/>
    <x v="0"/>
    <s v="India"/>
    <x v="12"/>
    <s v="Rangat"/>
    <s v="Performance Seeker"/>
    <x v="2"/>
    <n v="4.0999999999999996"/>
    <s v="Delivered"/>
    <s v="Standard"/>
    <n v="4"/>
  </r>
  <r>
    <s v="ORD202424"/>
    <s v="CUST100370"/>
    <s v="Men"/>
    <s v="35-44"/>
    <x v="1267"/>
    <x v="3"/>
    <x v="16"/>
    <x v="0"/>
    <n v="8"/>
    <s v="Grey"/>
    <n v="1"/>
    <n v="6999"/>
    <n v="0"/>
    <n v="7000"/>
    <n v="7000"/>
    <s v="Debit/Credit Card"/>
    <x v="1"/>
    <s v="India"/>
    <x v="26"/>
    <s v="Thiruvananthapuram"/>
    <s v="Performance Seeker"/>
    <x v="1"/>
    <n v="4.2"/>
    <s v="Cancelled"/>
    <s v="Standard"/>
    <n v="3"/>
  </r>
  <r>
    <s v="ORD200325"/>
    <s v="CUST100485"/>
    <s v="Women"/>
    <s v="35-44"/>
    <x v="1268"/>
    <x v="2"/>
    <x v="23"/>
    <x v="0"/>
    <n v="12"/>
    <s v="Blue"/>
    <n v="1"/>
    <n v="7399"/>
    <n v="10"/>
    <n v="6660"/>
    <n v="6660"/>
    <s v="UPI"/>
    <x v="1"/>
    <s v="India"/>
    <x v="14"/>
    <s v="Amritsar"/>
    <s v="Premium Shopper"/>
    <x v="0"/>
    <n v="3.8"/>
    <s v="Delivered"/>
    <s v="Standard"/>
    <n v="4"/>
  </r>
  <r>
    <s v="ORD200941"/>
    <s v="CUST100252"/>
    <s v="Women"/>
    <s v="35-44"/>
    <x v="1268"/>
    <x v="0"/>
    <x v="8"/>
    <x v="3"/>
    <n v="7"/>
    <s v="Red"/>
    <n v="1"/>
    <n v="4799"/>
    <n v="15"/>
    <n v="4080"/>
    <n v="4080"/>
    <s v="UPI"/>
    <x v="0"/>
    <s v="India"/>
    <x v="14"/>
    <s v="Jalandhar"/>
    <s v="Comfort Shopper"/>
    <x v="2"/>
    <n v="4.5999999999999996"/>
    <s v="Delivered"/>
    <s v="Express"/>
    <n v="1"/>
  </r>
  <r>
    <s v="ORD202236"/>
    <s v="CUST100052"/>
    <s v="Men"/>
    <s v="18-24"/>
    <x v="1268"/>
    <x v="5"/>
    <x v="30"/>
    <x v="2"/>
    <n v="7"/>
    <s v="Black"/>
    <n v="2"/>
    <n v="6499"/>
    <n v="10"/>
    <n v="5850"/>
    <n v="11700"/>
    <s v="UPI"/>
    <x v="1"/>
    <s v="India"/>
    <x v="22"/>
    <s v="Kailasahar"/>
    <s v="Comfort Shopper"/>
    <x v="2"/>
    <n v="5"/>
    <s v="Delivered"/>
    <s v="Standard"/>
    <n v="6"/>
  </r>
  <r>
    <s v="ORD202710"/>
    <s v="CUST100435"/>
    <s v="Men"/>
    <s v="45-54"/>
    <x v="1268"/>
    <x v="1"/>
    <x v="1"/>
    <x v="1"/>
    <n v="8"/>
    <s v="Grey"/>
    <n v="1"/>
    <n v="5599"/>
    <n v="5"/>
    <n v="5320"/>
    <n v="5320"/>
    <s v="Debit/Credit Card"/>
    <x v="1"/>
    <s v="India"/>
    <x v="14"/>
    <s v="Ludhiana"/>
    <s v="Comfort Shopper"/>
    <x v="2"/>
    <n v="4.3"/>
    <s v="Returned"/>
    <s v="Standard"/>
    <n v="6"/>
  </r>
  <r>
    <s v="ORD202564"/>
    <s v="CUST100387"/>
    <s v="Men"/>
    <s v="18-24"/>
    <x v="1269"/>
    <x v="0"/>
    <x v="13"/>
    <x v="2"/>
    <n v="9"/>
    <s v="Black"/>
    <n v="1"/>
    <n v="9599"/>
    <n v="30"/>
    <n v="6720"/>
    <n v="6720"/>
    <s v="Debit/Credit Card"/>
    <x v="1"/>
    <s v="India"/>
    <x v="9"/>
    <s v="Gaya"/>
    <s v="Lifestyle Shopper"/>
    <x v="2"/>
    <n v="4.3"/>
    <s v="Returned"/>
    <s v="Express"/>
    <n v="3"/>
  </r>
  <r>
    <s v="ORD200596"/>
    <s v="CUST100270"/>
    <s v="Men"/>
    <s v="18-24"/>
    <x v="1270"/>
    <x v="1"/>
    <x v="1"/>
    <x v="1"/>
    <n v="8"/>
    <s v="Green"/>
    <n v="2"/>
    <n v="8799"/>
    <n v="5"/>
    <n v="8360"/>
    <n v="16720"/>
    <s v="Debit/Credit Card"/>
    <x v="1"/>
    <s v="India"/>
    <x v="32"/>
    <s v="Bokaro"/>
    <s v="Comfort Shopper"/>
    <x v="1"/>
    <n v="5"/>
    <s v="Delivered"/>
    <s v="Standard"/>
    <n v="2"/>
  </r>
  <r>
    <s v="ORD200579"/>
    <s v="CUST100884"/>
    <s v="Men"/>
    <s v="25-34"/>
    <x v="1271"/>
    <x v="3"/>
    <x v="16"/>
    <x v="0"/>
    <n v="7"/>
    <s v="Green"/>
    <n v="1"/>
    <n v="7999"/>
    <n v="10"/>
    <n v="7200"/>
    <n v="7200"/>
    <s v="Debit/Credit Card"/>
    <x v="1"/>
    <s v="India"/>
    <x v="28"/>
    <s v="Nubra"/>
    <s v="Comfort Shopper"/>
    <x v="2"/>
    <n v="4.5999999999999996"/>
    <s v="Delivered"/>
    <s v="Express"/>
    <n v="2"/>
  </r>
  <r>
    <s v="ORD200921"/>
    <s v="CUST100249"/>
    <s v="Men"/>
    <s v="45-54"/>
    <x v="1272"/>
    <x v="3"/>
    <x v="11"/>
    <x v="4"/>
    <n v="9"/>
    <s v="White"/>
    <n v="1"/>
    <n v="4199"/>
    <n v="0"/>
    <n v="4200"/>
    <n v="4200"/>
    <s v="Debit/Credit Card"/>
    <x v="1"/>
    <s v="India"/>
    <x v="4"/>
    <s v="Mangan"/>
    <s v="Comfort Shopper"/>
    <x v="2"/>
    <n v="4.4000000000000004"/>
    <s v="Delivered"/>
    <s v="Express"/>
    <n v="3"/>
  </r>
  <r>
    <s v="ORD201296"/>
    <s v="CUST100088"/>
    <s v="Unisex"/>
    <s v="35-44"/>
    <x v="1272"/>
    <x v="1"/>
    <x v="20"/>
    <x v="2"/>
    <n v="7"/>
    <s v="Red"/>
    <n v="2"/>
    <n v="8199"/>
    <n v="35"/>
    <n v="5330"/>
    <n v="10660"/>
    <s v="UPI"/>
    <x v="1"/>
    <s v="India"/>
    <x v="10"/>
    <s v="Diu"/>
    <s v="Performance Seeker"/>
    <x v="1"/>
    <n v="3.9"/>
    <s v="Returned"/>
    <s v="Standard"/>
    <n v="3"/>
  </r>
  <r>
    <s v="ORD201706"/>
    <s v="CUST100551"/>
    <s v="Women"/>
    <s v="35-44"/>
    <x v="1272"/>
    <x v="0"/>
    <x v="2"/>
    <x v="2"/>
    <n v="6"/>
    <s v="Red"/>
    <n v="2"/>
    <n v="9399"/>
    <n v="5"/>
    <n v="8930"/>
    <n v="17860"/>
    <s v="Net Banking"/>
    <x v="1"/>
    <s v="India"/>
    <x v="4"/>
    <s v="Gyalshing"/>
    <s v="Premium Shopper"/>
    <x v="1"/>
    <n v="4.5"/>
    <s v="Delivered"/>
    <s v="Standard"/>
    <n v="3"/>
  </r>
  <r>
    <s v="ORD201872"/>
    <s v="CUST100490"/>
    <s v="Women"/>
    <s v="45-54"/>
    <x v="1273"/>
    <x v="2"/>
    <x v="4"/>
    <x v="2"/>
    <n v="8"/>
    <s v="Grey"/>
    <n v="1"/>
    <n v="8299"/>
    <n v="0"/>
    <n v="8300"/>
    <n v="8300"/>
    <s v="Debit/Credit Card"/>
    <x v="1"/>
    <s v="India"/>
    <x v="27"/>
    <s v="Cuttack"/>
    <s v="Performance Seeker"/>
    <x v="1"/>
    <n v="3.6"/>
    <s v="Delivered"/>
    <s v="Express"/>
    <n v="3"/>
  </r>
  <r>
    <s v="ORD200169"/>
    <s v="CUST100885"/>
    <s v="Women"/>
    <s v="25-34"/>
    <x v="1274"/>
    <x v="5"/>
    <x v="15"/>
    <x v="4"/>
    <n v="7"/>
    <s v="Black"/>
    <n v="1"/>
    <n v="7199"/>
    <n v="35"/>
    <n v="4680"/>
    <n v="4680"/>
    <s v="Debit/Credit Card"/>
    <x v="2"/>
    <s v="India"/>
    <x v="30"/>
    <s v="Manimajra"/>
    <s v="Performance Seeker"/>
    <x v="1"/>
    <n v="4.9000000000000004"/>
    <s v="Delivered"/>
    <s v="Standard"/>
    <n v="5"/>
  </r>
  <r>
    <s v="ORD200343"/>
    <s v="CUST100264"/>
    <s v="Men"/>
    <s v="18-24"/>
    <x v="1275"/>
    <x v="4"/>
    <x v="6"/>
    <x v="2"/>
    <n v="8"/>
    <s v="Blue"/>
    <n v="1"/>
    <n v="6199"/>
    <n v="20"/>
    <n v="4960"/>
    <n v="4960"/>
    <s v="UPI"/>
    <x v="2"/>
    <s v="India"/>
    <x v="6"/>
    <s v="Varanasi"/>
    <s v="Lifestyle Shopper"/>
    <x v="2"/>
    <n v="5"/>
    <s v="Delivered"/>
    <s v="Express"/>
    <n v="2"/>
  </r>
  <r>
    <s v="ORD201815"/>
    <s v="CUST100306"/>
    <s v="Men"/>
    <s v="25-34"/>
    <x v="1275"/>
    <x v="3"/>
    <x v="16"/>
    <x v="0"/>
    <n v="9"/>
    <s v="Blue"/>
    <n v="1"/>
    <n v="4399"/>
    <n v="5"/>
    <n v="4180"/>
    <n v="4180"/>
    <s v="Net Banking"/>
    <x v="0"/>
    <s v="India"/>
    <x v="23"/>
    <s v="Haridwar"/>
    <s v="Comfort Shopper"/>
    <x v="2"/>
    <n v="4.9000000000000004"/>
    <s v="Delivered"/>
    <s v="Standard"/>
    <n v="4"/>
  </r>
  <r>
    <s v="ORD201094"/>
    <s v="CUST100696"/>
    <s v="Women"/>
    <s v="45-54"/>
    <x v="1276"/>
    <x v="3"/>
    <x v="16"/>
    <x v="0"/>
    <n v="8"/>
    <s v="Black"/>
    <n v="1"/>
    <n v="5299"/>
    <n v="0"/>
    <n v="5300"/>
    <n v="5300"/>
    <s v="UPI"/>
    <x v="1"/>
    <s v="India"/>
    <x v="25"/>
    <s v="Anantnag"/>
    <s v="Comfort Shopper"/>
    <x v="0"/>
    <n v="4.4000000000000004"/>
    <s v="Delivered"/>
    <s v="Express"/>
    <n v="2"/>
  </r>
  <r>
    <s v="ORD202061"/>
    <s v="CUST100685"/>
    <s v="Women"/>
    <s v="18-24"/>
    <x v="1276"/>
    <x v="3"/>
    <x v="5"/>
    <x v="2"/>
    <n v="8"/>
    <s v="Green"/>
    <n v="1"/>
    <n v="8599"/>
    <n v="20"/>
    <n v="6880"/>
    <n v="6880"/>
    <s v="Debit/Credit Card"/>
    <x v="1"/>
    <s v="India"/>
    <x v="32"/>
    <s v="Ranchi"/>
    <s v="Value Shopper"/>
    <x v="0"/>
    <n v="4.5999999999999996"/>
    <s v="Delivered"/>
    <s v="Standard"/>
    <n v="2"/>
  </r>
  <r>
    <s v="ORD202466"/>
    <s v="CUST101045"/>
    <s v="Men"/>
    <s v="55+"/>
    <x v="1276"/>
    <x v="3"/>
    <x v="11"/>
    <x v="4"/>
    <n v="7"/>
    <s v="Black"/>
    <n v="1"/>
    <n v="7399"/>
    <n v="20"/>
    <n v="5920"/>
    <n v="5920"/>
    <s v="UPI"/>
    <x v="1"/>
    <s v="India"/>
    <x v="0"/>
    <s v="Silchar"/>
    <s v="Premium Shopper"/>
    <x v="1"/>
    <n v="3.6"/>
    <s v="Returned"/>
    <s v="Standard"/>
    <n v="2"/>
  </r>
  <r>
    <s v="ORD203126"/>
    <s v="CUST100043"/>
    <s v="Unisex"/>
    <s v="25-34"/>
    <x v="1276"/>
    <x v="1"/>
    <x v="20"/>
    <x v="2"/>
    <n v="10"/>
    <s v="Black"/>
    <n v="1"/>
    <n v="8599"/>
    <n v="10"/>
    <n v="7740"/>
    <n v="7740"/>
    <s v="UPI"/>
    <x v="2"/>
    <s v="India"/>
    <x v="15"/>
    <s v="Delhi"/>
    <s v="Performance Seeker"/>
    <x v="2"/>
    <n v="3.7"/>
    <s v="Delivered"/>
    <s v="Standard"/>
    <n v="1"/>
  </r>
  <r>
    <s v="ORD200329"/>
    <s v="CUST100211"/>
    <s v="Men"/>
    <s v="25-34"/>
    <x v="1277"/>
    <x v="2"/>
    <x v="3"/>
    <x v="2"/>
    <n v="8"/>
    <s v="White"/>
    <n v="1"/>
    <n v="4899"/>
    <n v="15"/>
    <n v="4160"/>
    <n v="4160"/>
    <s v="UPI"/>
    <x v="0"/>
    <s v="India"/>
    <x v="12"/>
    <s v="Port Blair"/>
    <s v="Comfort Shopper"/>
    <x v="2"/>
    <n v="3.4"/>
    <s v="Delivered"/>
    <s v="Standard"/>
    <n v="3"/>
  </r>
  <r>
    <s v="ORD201200"/>
    <s v="CUST100270"/>
    <s v="Men"/>
    <s v="25-34"/>
    <x v="1277"/>
    <x v="1"/>
    <x v="12"/>
    <x v="4"/>
    <n v="7"/>
    <s v="Black"/>
    <n v="1"/>
    <n v="4399"/>
    <n v="20"/>
    <n v="3520"/>
    <n v="3520"/>
    <s v="UPI"/>
    <x v="1"/>
    <s v="India"/>
    <x v="20"/>
    <s v="Mandi"/>
    <s v="Premium Shopper"/>
    <x v="2"/>
    <n v="3.2"/>
    <s v="Delivered"/>
    <s v="Standard"/>
    <n v="5"/>
  </r>
  <r>
    <s v="ORD201562"/>
    <s v="CUST100320"/>
    <s v="Unisex"/>
    <s v="18-24"/>
    <x v="1277"/>
    <x v="1"/>
    <x v="1"/>
    <x v="1"/>
    <n v="6"/>
    <s v="Grey"/>
    <n v="2"/>
    <n v="7699"/>
    <n v="35"/>
    <n v="5000"/>
    <n v="10000"/>
    <s v="Debit/Credit Card"/>
    <x v="1"/>
    <s v="India"/>
    <x v="8"/>
    <s v="Nizamabad"/>
    <s v="Lifestyle Shopper"/>
    <x v="2"/>
    <n v="4.2"/>
    <s v="Delivered"/>
    <s v="Standard"/>
    <n v="5"/>
  </r>
  <r>
    <s v="ORD203039"/>
    <s v="CUST100488"/>
    <s v="Men"/>
    <s v="25-34"/>
    <x v="1277"/>
    <x v="0"/>
    <x v="0"/>
    <x v="0"/>
    <n v="9"/>
    <s v="Black"/>
    <n v="1"/>
    <n v="8199"/>
    <n v="25"/>
    <n v="6150"/>
    <n v="6150"/>
    <s v="UPI"/>
    <x v="0"/>
    <s v="India"/>
    <x v="9"/>
    <s v="Muzaffarpur"/>
    <s v="Performance Seeker"/>
    <x v="1"/>
    <n v="4.4000000000000004"/>
    <s v="Cancelled"/>
    <s v="Same Day"/>
    <n v="1"/>
  </r>
  <r>
    <s v="ORD202098"/>
    <s v="CUST100414"/>
    <s v="Women"/>
    <s v="18-24"/>
    <x v="1278"/>
    <x v="3"/>
    <x v="28"/>
    <x v="1"/>
    <n v="12"/>
    <s v="Black"/>
    <n v="1"/>
    <n v="7999"/>
    <n v="25"/>
    <n v="6000"/>
    <n v="6000"/>
    <s v="Debit/Credit Card"/>
    <x v="1"/>
    <s v="India"/>
    <x v="5"/>
    <s v="Kakching"/>
    <s v="Value Shopper"/>
    <x v="1"/>
    <n v="4.5"/>
    <s v="Cancelled"/>
    <s v="Express"/>
    <n v="3"/>
  </r>
  <r>
    <s v="ORD203114"/>
    <s v="CUST100092"/>
    <s v="Unisex"/>
    <s v="55+"/>
    <x v="1278"/>
    <x v="1"/>
    <x v="10"/>
    <x v="3"/>
    <n v="9"/>
    <s v="Green"/>
    <n v="1"/>
    <n v="6199"/>
    <n v="30"/>
    <n v="4340"/>
    <n v="4340"/>
    <s v="Debit/Credit Card"/>
    <x v="1"/>
    <s v="India"/>
    <x v="35"/>
    <s v="Champhai"/>
    <s v="Lifestyle Shopper"/>
    <x v="2"/>
    <n v="3.8"/>
    <s v="Delivered"/>
    <s v="Standard"/>
    <n v="3"/>
  </r>
  <r>
    <s v="ORD203132"/>
    <s v="CUST100585"/>
    <s v="Women"/>
    <s v="35-44"/>
    <x v="1278"/>
    <x v="4"/>
    <x v="17"/>
    <x v="4"/>
    <n v="8"/>
    <s v="White"/>
    <n v="1"/>
    <n v="6199"/>
    <n v="30"/>
    <n v="4340"/>
    <n v="4340"/>
    <s v="UPI"/>
    <x v="1"/>
    <s v="India"/>
    <x v="5"/>
    <s v="Thoubal"/>
    <s v="Performance Seeker"/>
    <x v="0"/>
    <n v="3.3"/>
    <s v="Delivered"/>
    <s v="Same Day"/>
    <n v="1"/>
  </r>
  <r>
    <s v="ORD200621"/>
    <s v="CUST100389"/>
    <s v="Women"/>
    <s v="35-44"/>
    <x v="1279"/>
    <x v="4"/>
    <x v="17"/>
    <x v="4"/>
    <n v="10"/>
    <s v="Black"/>
    <n v="1"/>
    <n v="6199"/>
    <n v="15"/>
    <n v="5270"/>
    <n v="5270"/>
    <s v="UPI"/>
    <x v="2"/>
    <s v="India"/>
    <x v="13"/>
    <s v="Pasighat"/>
    <s v="Performance Seeker"/>
    <x v="1"/>
    <n v="3.2"/>
    <s v="Delivered"/>
    <s v="Standard"/>
    <n v="5"/>
  </r>
  <r>
    <s v="ORD200823"/>
    <s v="CUST100607"/>
    <s v="Women"/>
    <s v="35-44"/>
    <x v="1279"/>
    <x v="0"/>
    <x v="8"/>
    <x v="3"/>
    <n v="10"/>
    <s v="Grey"/>
    <n v="2"/>
    <n v="5899"/>
    <n v="10"/>
    <n v="5310"/>
    <n v="10620"/>
    <s v="UPI"/>
    <x v="1"/>
    <s v="India"/>
    <x v="28"/>
    <s v="Nubra"/>
    <s v="Premium Shopper"/>
    <x v="1"/>
    <n v="3.9"/>
    <s v="Delivered"/>
    <s v="Standard"/>
    <n v="3"/>
  </r>
  <r>
    <s v="ORD200875"/>
    <s v="CUST100200"/>
    <s v="Unisex"/>
    <s v="25-34"/>
    <x v="1279"/>
    <x v="1"/>
    <x v="10"/>
    <x v="3"/>
    <n v="9"/>
    <s v="Grey"/>
    <n v="1"/>
    <n v="8999"/>
    <n v="0"/>
    <n v="9000"/>
    <n v="9000"/>
    <s v="Debit/Credit Card"/>
    <x v="1"/>
    <s v="India"/>
    <x v="19"/>
    <s v="Tura"/>
    <s v="Performance Seeker"/>
    <x v="1"/>
    <n v="3.4"/>
    <s v="Delivered"/>
    <s v="Express"/>
    <n v="3"/>
  </r>
  <r>
    <s v="ORD201808"/>
    <s v="CUST100384"/>
    <s v="Men"/>
    <s v="25-34"/>
    <x v="1280"/>
    <x v="0"/>
    <x v="13"/>
    <x v="2"/>
    <n v="6"/>
    <s v="White"/>
    <n v="1"/>
    <n v="5099"/>
    <n v="35"/>
    <n v="3310"/>
    <n v="3310"/>
    <s v="Debit/Credit Card"/>
    <x v="2"/>
    <s v="India"/>
    <x v="16"/>
    <s v="Vadodara"/>
    <s v="Premium Shopper"/>
    <x v="1"/>
    <n v="3.6"/>
    <s v="Delivered"/>
    <s v="Standard"/>
    <n v="4"/>
  </r>
  <r>
    <s v="ORD201046"/>
    <s v="CUST100177"/>
    <s v="Women"/>
    <s v="35-44"/>
    <x v="1281"/>
    <x v="1"/>
    <x v="1"/>
    <x v="1"/>
    <n v="9"/>
    <s v="Green"/>
    <n v="1"/>
    <n v="4599"/>
    <n v="35"/>
    <n v="2990"/>
    <n v="2990"/>
    <s v="UPI"/>
    <x v="1"/>
    <s v="India"/>
    <x v="2"/>
    <s v="Panipat"/>
    <s v="Comfort Shopper"/>
    <x v="0"/>
    <n v="4.4000000000000004"/>
    <s v="Delivered"/>
    <s v="Standard"/>
    <n v="6"/>
  </r>
  <r>
    <s v="ORD201916"/>
    <s v="CUST100496"/>
    <s v="Men"/>
    <s v="35-44"/>
    <x v="1281"/>
    <x v="4"/>
    <x v="6"/>
    <x v="2"/>
    <n v="10"/>
    <s v="Red"/>
    <n v="1"/>
    <n v="8899"/>
    <n v="5"/>
    <n v="8450"/>
    <n v="8450"/>
    <s v="UPI"/>
    <x v="2"/>
    <s v="India"/>
    <x v="7"/>
    <s v="Jabalpur"/>
    <s v="Comfort Shopper"/>
    <x v="1"/>
    <n v="4"/>
    <s v="Returned"/>
    <s v="Express"/>
    <n v="2"/>
  </r>
  <r>
    <s v="ORD200575"/>
    <s v="CUST100511"/>
    <s v="Men"/>
    <s v="45-54"/>
    <x v="1282"/>
    <x v="2"/>
    <x v="4"/>
    <x v="2"/>
    <n v="8"/>
    <s v="Green"/>
    <n v="1"/>
    <n v="8499"/>
    <n v="0"/>
    <n v="8500"/>
    <n v="8500"/>
    <s v="UPI"/>
    <x v="1"/>
    <s v="India"/>
    <x v="6"/>
    <s v="Varanasi"/>
    <s v="Lifestyle Shopper"/>
    <x v="2"/>
    <n v="3.7"/>
    <s v="Delivered"/>
    <s v="Standard"/>
    <n v="7"/>
  </r>
  <r>
    <s v="ORD201189"/>
    <s v="CUST100842"/>
    <s v="Men"/>
    <s v="18-24"/>
    <x v="1282"/>
    <x v="0"/>
    <x v="13"/>
    <x v="2"/>
    <n v="8"/>
    <s v="Black"/>
    <n v="1"/>
    <n v="8099"/>
    <n v="15"/>
    <n v="6880"/>
    <n v="6880"/>
    <s v="UPI"/>
    <x v="2"/>
    <s v="India"/>
    <x v="21"/>
    <s v="Kohima"/>
    <s v="Lifestyle Shopper"/>
    <x v="1"/>
    <n v="4.3"/>
    <s v="Delivered"/>
    <s v="Standard"/>
    <n v="3"/>
  </r>
  <r>
    <s v="ORD200479"/>
    <s v="CUST100065"/>
    <s v="Women"/>
    <s v="25-34"/>
    <x v="1283"/>
    <x v="3"/>
    <x v="34"/>
    <x v="3"/>
    <n v="11"/>
    <s v="Black"/>
    <n v="2"/>
    <n v="7399"/>
    <n v="25"/>
    <n v="5550"/>
    <n v="11100"/>
    <s v="Cash on Delivery"/>
    <x v="0"/>
    <s v="India"/>
    <x v="27"/>
    <s v="Berhampur"/>
    <s v="Performance Seeker"/>
    <x v="2"/>
    <n v="3.9"/>
    <s v="Cancelled"/>
    <s v="Standard"/>
    <n v="4"/>
  </r>
  <r>
    <s v="ORD202246"/>
    <s v="CUST100325"/>
    <s v="Unisex"/>
    <s v="45-54"/>
    <x v="1283"/>
    <x v="2"/>
    <x v="24"/>
    <x v="4"/>
    <n v="7"/>
    <s v="Black"/>
    <n v="1"/>
    <n v="6899"/>
    <n v="10"/>
    <n v="6210"/>
    <n v="6210"/>
    <s v="UPI"/>
    <x v="0"/>
    <s v="India"/>
    <x v="9"/>
    <s v="Bhagalpur"/>
    <s v="Value Shopper"/>
    <x v="2"/>
    <n v="3.8"/>
    <s v="Delivered"/>
    <s v="Express"/>
    <n v="2"/>
  </r>
  <r>
    <s v="ORD201932"/>
    <s v="CUST100314"/>
    <s v="Women"/>
    <s v="25-34"/>
    <x v="1284"/>
    <x v="4"/>
    <x v="9"/>
    <x v="1"/>
    <n v="7"/>
    <s v="Black"/>
    <n v="1"/>
    <n v="5899"/>
    <n v="15"/>
    <n v="5010"/>
    <n v="5010"/>
    <s v="UPI"/>
    <x v="2"/>
    <s v="India"/>
    <x v="32"/>
    <s v="Dhanbad"/>
    <s v="Premium Shopper"/>
    <x v="2"/>
    <n v="4.4000000000000004"/>
    <s v="Delivered"/>
    <s v="Express"/>
    <n v="3"/>
  </r>
  <r>
    <s v="ORD200703"/>
    <s v="CUST100456"/>
    <s v="Unisex"/>
    <s v="18-24"/>
    <x v="1285"/>
    <x v="5"/>
    <x v="7"/>
    <x v="1"/>
    <n v="10"/>
    <s v="Grey"/>
    <n v="4"/>
    <n v="8699"/>
    <n v="0"/>
    <n v="8700"/>
    <n v="34800"/>
    <s v="Debit/Credit Card"/>
    <x v="0"/>
    <s v="India"/>
    <x v="25"/>
    <s v="Jammu"/>
    <s v="Performance Seeker"/>
    <x v="2"/>
    <n v="3.6"/>
    <s v="Returned"/>
    <s v="Standard"/>
    <n v="3"/>
  </r>
  <r>
    <s v="ORD200837"/>
    <s v="CUST100003"/>
    <s v="Men"/>
    <s v="25-34"/>
    <x v="1285"/>
    <x v="4"/>
    <x v="29"/>
    <x v="2"/>
    <n v="8"/>
    <s v="Blue"/>
    <n v="2"/>
    <n v="5499"/>
    <n v="25"/>
    <n v="4120"/>
    <n v="8240"/>
    <s v="Debit/Credit Card"/>
    <x v="2"/>
    <s v="India"/>
    <x v="6"/>
    <s v="Varanasi"/>
    <s v="Value Shopper"/>
    <x v="1"/>
    <n v="4.2"/>
    <s v="Delivered"/>
    <s v="Standard"/>
    <n v="5"/>
  </r>
  <r>
    <s v="ORD201628"/>
    <s v="CUST100146"/>
    <s v="Men"/>
    <s v="25-34"/>
    <x v="1285"/>
    <x v="5"/>
    <x v="27"/>
    <x v="0"/>
    <n v="8"/>
    <s v="Blue"/>
    <n v="1"/>
    <n v="9699"/>
    <n v="20"/>
    <n v="7760"/>
    <n v="7760"/>
    <s v="Debit/Credit Card"/>
    <x v="1"/>
    <s v="India"/>
    <x v="27"/>
    <s v="Rourkela"/>
    <s v="Premium Shopper"/>
    <x v="0"/>
    <n v="3.7"/>
    <s v="Delivered"/>
    <s v="Standard"/>
    <n v="3"/>
  </r>
  <r>
    <s v="ORD202310"/>
    <s v="CUST100301"/>
    <s v="Unisex"/>
    <s v="35-44"/>
    <x v="1286"/>
    <x v="4"/>
    <x v="22"/>
    <x v="0"/>
    <n v="10"/>
    <s v="White"/>
    <n v="1"/>
    <n v="5799"/>
    <n v="20"/>
    <n v="4640"/>
    <n v="4640"/>
    <s v="UPI"/>
    <x v="0"/>
    <s v="India"/>
    <x v="24"/>
    <s v="Mysuru"/>
    <s v="Performance Seeker"/>
    <x v="1"/>
    <n v="4.8"/>
    <s v="Cancelled"/>
    <s v="Standard"/>
    <n v="5"/>
  </r>
  <r>
    <s v="ORD202998"/>
    <s v="CUST100151"/>
    <s v="Women"/>
    <s v="35-44"/>
    <x v="1286"/>
    <x v="4"/>
    <x v="17"/>
    <x v="4"/>
    <n v="7"/>
    <s v="White"/>
    <n v="1"/>
    <n v="5599"/>
    <n v="5"/>
    <n v="5320"/>
    <n v="5320"/>
    <s v="Cash on Delivery"/>
    <x v="1"/>
    <s v="India"/>
    <x v="4"/>
    <s v="Mangan"/>
    <s v="Performance Seeker"/>
    <x v="0"/>
    <n v="4.0999999999999996"/>
    <s v="Delivered"/>
    <s v="Standard"/>
    <n v="3"/>
  </r>
  <r>
    <s v="ORD202760"/>
    <s v="CUST100574"/>
    <s v="Men"/>
    <s v="18-24"/>
    <x v="1287"/>
    <x v="4"/>
    <x v="17"/>
    <x v="4"/>
    <n v="10"/>
    <s v="White"/>
    <n v="1"/>
    <n v="4599"/>
    <n v="20"/>
    <n v="3680"/>
    <n v="3680"/>
    <s v="UPI"/>
    <x v="2"/>
    <s v="India"/>
    <x v="22"/>
    <s v="Kailasahar"/>
    <s v="Lifestyle Shopper"/>
    <x v="1"/>
    <n v="4.3"/>
    <s v="Delivered"/>
    <s v="Standard"/>
    <n v="2"/>
  </r>
  <r>
    <s v="ORD201904"/>
    <s v="CUST100026"/>
    <s v="Men"/>
    <s v="25-34"/>
    <x v="1288"/>
    <x v="4"/>
    <x v="29"/>
    <x v="2"/>
    <n v="8"/>
    <s v="Grey"/>
    <n v="1"/>
    <n v="9699"/>
    <n v="15"/>
    <n v="8240"/>
    <n v="8240"/>
    <s v="Debit/Credit Card"/>
    <x v="1"/>
    <s v="India"/>
    <x v="2"/>
    <s v="Gurugram"/>
    <s v="Lifestyle Shopper"/>
    <x v="2"/>
    <n v="4.3"/>
    <s v="Delivered"/>
    <s v="Standard"/>
    <n v="4"/>
  </r>
  <r>
    <s v="ORD200804"/>
    <s v="CUST100883"/>
    <s v="Unisex"/>
    <s v="18-24"/>
    <x v="1289"/>
    <x v="4"/>
    <x v="22"/>
    <x v="0"/>
    <n v="7"/>
    <s v="Black"/>
    <n v="1"/>
    <n v="8699"/>
    <n v="20"/>
    <n v="6960"/>
    <n v="6960"/>
    <s v="UPI"/>
    <x v="2"/>
    <s v="India"/>
    <x v="34"/>
    <s v="Asansol"/>
    <s v="Lifestyle Shopper"/>
    <x v="1"/>
    <n v="4"/>
    <s v="Returned"/>
    <s v="Standard"/>
    <n v="6"/>
  </r>
  <r>
    <s v="ORD201186"/>
    <s v="CUST100732"/>
    <s v="Men"/>
    <s v="45-54"/>
    <x v="1289"/>
    <x v="2"/>
    <x v="24"/>
    <x v="4"/>
    <n v="10"/>
    <s v="Green"/>
    <n v="2"/>
    <n v="7099"/>
    <n v="20"/>
    <n v="5680"/>
    <n v="11360"/>
    <s v="UPI"/>
    <x v="1"/>
    <s v="India"/>
    <x v="25"/>
    <s v="Srinagar"/>
    <s v="Value Shopper"/>
    <x v="1"/>
    <n v="4.4000000000000004"/>
    <s v="Delivered"/>
    <s v="Express"/>
    <n v="1"/>
  </r>
  <r>
    <s v="ORD201269"/>
    <s v="CUST100680"/>
    <s v="Men"/>
    <s v="45-54"/>
    <x v="1289"/>
    <x v="4"/>
    <x v="9"/>
    <x v="1"/>
    <n v="11"/>
    <s v="Green"/>
    <n v="1"/>
    <n v="7299"/>
    <n v="10"/>
    <n v="6570"/>
    <n v="6570"/>
    <s v="UPI"/>
    <x v="2"/>
    <s v="India"/>
    <x v="32"/>
    <s v="Bokaro"/>
    <s v="Premium Shopper"/>
    <x v="2"/>
    <n v="4.4000000000000004"/>
    <s v="Cancelled"/>
    <s v="Standard"/>
    <n v="4"/>
  </r>
  <r>
    <s v="ORD202467"/>
    <s v="CUST100823"/>
    <s v="Men"/>
    <s v="25-34"/>
    <x v="1289"/>
    <x v="1"/>
    <x v="33"/>
    <x v="0"/>
    <n v="10"/>
    <s v="Grey"/>
    <n v="2"/>
    <n v="4999"/>
    <n v="10"/>
    <n v="4500"/>
    <n v="9000"/>
    <s v="UPI"/>
    <x v="1"/>
    <s v="India"/>
    <x v="22"/>
    <s v="Dharmanagar"/>
    <s v="Performance Seeker"/>
    <x v="1"/>
    <n v="3.9"/>
    <s v="Delivered"/>
    <s v="Standard"/>
    <n v="3"/>
  </r>
  <r>
    <s v="ORD201790"/>
    <s v="CUST100565"/>
    <s v="Men"/>
    <s v="35-44"/>
    <x v="1290"/>
    <x v="2"/>
    <x v="32"/>
    <x v="1"/>
    <n v="7"/>
    <s v="Grey"/>
    <n v="1"/>
    <n v="5699"/>
    <n v="20"/>
    <n v="4560"/>
    <n v="4560"/>
    <s v="Cash on Delivery"/>
    <x v="1"/>
    <s v="India"/>
    <x v="21"/>
    <s v="Mokokchung"/>
    <s v="Performance Seeker"/>
    <x v="1"/>
    <n v="4.0999999999999996"/>
    <s v="Delivered"/>
    <s v="Standard"/>
    <n v="4"/>
  </r>
  <r>
    <s v="ORD202125"/>
    <s v="CUST100176"/>
    <s v="Men"/>
    <s v="25-34"/>
    <x v="1290"/>
    <x v="3"/>
    <x v="5"/>
    <x v="2"/>
    <n v="7"/>
    <s v="Black"/>
    <n v="1"/>
    <n v="4199"/>
    <n v="10"/>
    <n v="3780"/>
    <n v="3780"/>
    <s v="UPI"/>
    <x v="1"/>
    <s v="India"/>
    <x v="2"/>
    <s v="Panipat"/>
    <s v="Value Shopper"/>
    <x v="1"/>
    <n v="5"/>
    <s v="Returned"/>
    <s v="Standard"/>
    <n v="3"/>
  </r>
  <r>
    <s v="ORD202755"/>
    <s v="CUST100834"/>
    <s v="Men"/>
    <s v="18-24"/>
    <x v="1290"/>
    <x v="0"/>
    <x v="13"/>
    <x v="2"/>
    <n v="8"/>
    <s v="Black"/>
    <n v="4"/>
    <n v="6199"/>
    <n v="20"/>
    <n v="4960"/>
    <n v="19840"/>
    <s v="Debit/Credit Card"/>
    <x v="1"/>
    <s v="India"/>
    <x v="10"/>
    <s v="Amli"/>
    <s v="Value Shopper"/>
    <x v="1"/>
    <n v="3.6"/>
    <s v="Delivered"/>
    <s v="Standard"/>
    <n v="2"/>
  </r>
  <r>
    <s v="ORD200653"/>
    <s v="CUST101029"/>
    <s v="Women"/>
    <s v="55+"/>
    <x v="1291"/>
    <x v="0"/>
    <x v="19"/>
    <x v="4"/>
    <n v="7"/>
    <s v="White"/>
    <n v="1"/>
    <n v="5099"/>
    <n v="20"/>
    <n v="4080"/>
    <n v="4080"/>
    <s v="UPI"/>
    <x v="1"/>
    <s v="India"/>
    <x v="13"/>
    <s v="Itanagar"/>
    <s v="Comfort Shopper"/>
    <x v="0"/>
    <n v="3.6"/>
    <s v="Delivered"/>
    <s v="Standard"/>
    <n v="4"/>
  </r>
  <r>
    <s v="ORD201998"/>
    <s v="CUST100046"/>
    <s v="Women"/>
    <s v="45-54"/>
    <x v="1291"/>
    <x v="5"/>
    <x v="30"/>
    <x v="2"/>
    <n v="10"/>
    <s v="White"/>
    <n v="3"/>
    <n v="9999"/>
    <n v="15"/>
    <n v="8500"/>
    <n v="25500"/>
    <s v="UPI"/>
    <x v="2"/>
    <s v="India"/>
    <x v="7"/>
    <s v="Indore"/>
    <s v="Performance Seeker"/>
    <x v="2"/>
    <n v="3.5"/>
    <s v="Delivered"/>
    <s v="Standard"/>
    <n v="3"/>
  </r>
  <r>
    <s v="ORD202109"/>
    <s v="CUST100502"/>
    <s v="Men"/>
    <s v="25-34"/>
    <x v="1291"/>
    <x v="0"/>
    <x v="31"/>
    <x v="1"/>
    <n v="7"/>
    <s v="Black"/>
    <n v="1"/>
    <n v="6399"/>
    <n v="5"/>
    <n v="6080"/>
    <n v="6080"/>
    <s v="UPI"/>
    <x v="2"/>
    <s v="India"/>
    <x v="19"/>
    <s v="Nongpoh"/>
    <s v="Performance Seeker"/>
    <x v="0"/>
    <n v="3.7"/>
    <s v="Delivered"/>
    <s v="Standard"/>
    <n v="4"/>
  </r>
  <r>
    <s v="ORD201381"/>
    <s v="CUST100182"/>
    <s v="Men"/>
    <s v="35-44"/>
    <x v="1292"/>
    <x v="1"/>
    <x v="33"/>
    <x v="0"/>
    <n v="8"/>
    <s v="Black"/>
    <n v="2"/>
    <n v="6799"/>
    <n v="30"/>
    <n v="4760"/>
    <n v="9520"/>
    <s v="Cash on Delivery"/>
    <x v="2"/>
    <s v="India"/>
    <x v="17"/>
    <s v="Puducherry"/>
    <s v="Premium Shopper"/>
    <x v="2"/>
    <n v="4.7"/>
    <s v="Delivered"/>
    <s v="Standard"/>
    <n v="3"/>
  </r>
  <r>
    <s v="ORD201459"/>
    <s v="CUST100917"/>
    <s v="Unisex"/>
    <s v="35-44"/>
    <x v="1292"/>
    <x v="5"/>
    <x v="27"/>
    <x v="0"/>
    <n v="7"/>
    <s v="Red"/>
    <n v="1"/>
    <n v="8599"/>
    <n v="5"/>
    <n v="8170"/>
    <n v="8170"/>
    <s v="Net Banking"/>
    <x v="2"/>
    <s v="India"/>
    <x v="28"/>
    <s v="Leh"/>
    <s v="Premium Shopper"/>
    <x v="1"/>
    <n v="4.8"/>
    <s v="Returned"/>
    <s v="Standard"/>
    <n v="5"/>
  </r>
  <r>
    <s v="ORD201490"/>
    <s v="CUST100966"/>
    <s v="Men"/>
    <s v="25-34"/>
    <x v="1292"/>
    <x v="1"/>
    <x v="20"/>
    <x v="2"/>
    <n v="7"/>
    <s v="White"/>
    <n v="3"/>
    <n v="6199"/>
    <n v="10"/>
    <n v="5580"/>
    <n v="16740"/>
    <s v="UPI"/>
    <x v="1"/>
    <s v="India"/>
    <x v="7"/>
    <s v="Indore"/>
    <s v="Performance Seeker"/>
    <x v="0"/>
    <n v="4.4000000000000004"/>
    <s v="Delivered"/>
    <s v="Express"/>
    <n v="2"/>
  </r>
  <r>
    <s v="ORD201656"/>
    <s v="CUST100027"/>
    <s v="Women"/>
    <s v="35-44"/>
    <x v="1292"/>
    <x v="5"/>
    <x v="14"/>
    <x v="3"/>
    <n v="6"/>
    <s v="White"/>
    <n v="2"/>
    <n v="8699"/>
    <n v="10"/>
    <n v="7830"/>
    <n v="15660"/>
    <s v="Cash on Delivery"/>
    <x v="0"/>
    <s v="India"/>
    <x v="28"/>
    <s v="Leh"/>
    <s v="Comfort Shopper"/>
    <x v="2"/>
    <n v="4"/>
    <s v="Delivered"/>
    <s v="Same Day"/>
    <n v="1"/>
  </r>
  <r>
    <s v="ORD201991"/>
    <s v="CUST100393"/>
    <s v="Men"/>
    <s v="35-44"/>
    <x v="1292"/>
    <x v="4"/>
    <x v="6"/>
    <x v="2"/>
    <n v="6"/>
    <s v="White"/>
    <n v="1"/>
    <n v="6099"/>
    <n v="30"/>
    <n v="4270"/>
    <n v="4270"/>
    <s v="Cash on Delivery"/>
    <x v="0"/>
    <s v="India"/>
    <x v="22"/>
    <s v="Agartala"/>
    <s v="Comfort Shopper"/>
    <x v="1"/>
    <n v="4.4000000000000004"/>
    <s v="Delivered"/>
    <s v="Express"/>
    <n v="3"/>
  </r>
  <r>
    <s v="ORD202850"/>
    <s v="CUST100988"/>
    <s v="Women"/>
    <s v="55+"/>
    <x v="1292"/>
    <x v="4"/>
    <x v="29"/>
    <x v="2"/>
    <n v="7"/>
    <s v="Red"/>
    <n v="1"/>
    <n v="8599"/>
    <n v="5"/>
    <n v="8170"/>
    <n v="8170"/>
    <s v="UPI"/>
    <x v="2"/>
    <s v="India"/>
    <x v="35"/>
    <s v="Aizawl"/>
    <s v="Comfort Shopper"/>
    <x v="1"/>
    <n v="3.3"/>
    <s v="Cancelled"/>
    <s v="Standard"/>
    <n v="4"/>
  </r>
  <r>
    <s v="ORD202166"/>
    <s v="CUST100387"/>
    <s v="Unisex"/>
    <s v="35-44"/>
    <x v="1293"/>
    <x v="4"/>
    <x v="9"/>
    <x v="1"/>
    <n v="7"/>
    <s v="White"/>
    <n v="1"/>
    <n v="6499"/>
    <n v="15"/>
    <n v="5520"/>
    <n v="5520"/>
    <s v="UPI"/>
    <x v="1"/>
    <s v="India"/>
    <x v="19"/>
    <s v="Jowai"/>
    <s v="Value Shopper"/>
    <x v="2"/>
    <n v="4.2"/>
    <s v="Cancelled"/>
    <s v="Express"/>
    <n v="2"/>
  </r>
  <r>
    <s v="ORD200322"/>
    <s v="CUST100230"/>
    <s v="Women"/>
    <s v="25-34"/>
    <x v="1294"/>
    <x v="0"/>
    <x v="8"/>
    <x v="3"/>
    <n v="8"/>
    <s v="Green"/>
    <n v="1"/>
    <n v="9099"/>
    <n v="15"/>
    <n v="7730"/>
    <n v="7730"/>
    <s v="UPI"/>
    <x v="1"/>
    <s v="India"/>
    <x v="20"/>
    <s v="Solan"/>
    <s v="Performance Seeker"/>
    <x v="2"/>
    <n v="4"/>
    <s v="Delivered"/>
    <s v="Express"/>
    <n v="1"/>
  </r>
  <r>
    <s v="ORD200048"/>
    <s v="CUST100988"/>
    <s v="Men"/>
    <s v="25-34"/>
    <x v="1295"/>
    <x v="0"/>
    <x v="0"/>
    <x v="0"/>
    <n v="10"/>
    <s v="Grey"/>
    <n v="1"/>
    <n v="4099"/>
    <n v="5"/>
    <n v="3890"/>
    <n v="3890"/>
    <s v="UPI"/>
    <x v="1"/>
    <s v="India"/>
    <x v="25"/>
    <s v="Jammu"/>
    <s v="Performance Seeker"/>
    <x v="1"/>
    <n v="3.9"/>
    <s v="Delivered"/>
    <s v="Standard"/>
    <n v="6"/>
  </r>
  <r>
    <s v="ORD202257"/>
    <s v="CUST100476"/>
    <s v="Men"/>
    <s v="55+"/>
    <x v="1295"/>
    <x v="2"/>
    <x v="25"/>
    <x v="3"/>
    <n v="8"/>
    <s v="Green"/>
    <n v="1"/>
    <n v="6099"/>
    <n v="10"/>
    <n v="5490"/>
    <n v="5490"/>
    <s v="UPI"/>
    <x v="1"/>
    <s v="India"/>
    <x v="5"/>
    <s v="Thoubal"/>
    <s v="Premium Shopper"/>
    <x v="2"/>
    <n v="4.2"/>
    <s v="Cancelled"/>
    <s v="Standard"/>
    <n v="1"/>
  </r>
  <r>
    <s v="ORD203118"/>
    <s v="CUST100331"/>
    <s v="Unisex"/>
    <s v="18-24"/>
    <x v="1295"/>
    <x v="5"/>
    <x v="7"/>
    <x v="1"/>
    <n v="9"/>
    <s v="Grey"/>
    <n v="1"/>
    <n v="7499"/>
    <n v="20"/>
    <n v="6000"/>
    <n v="6000"/>
    <s v="UPI"/>
    <x v="1"/>
    <s v="India"/>
    <x v="32"/>
    <s v="Dhanbad"/>
    <s v="Comfort Shopper"/>
    <x v="2"/>
    <n v="3.3"/>
    <s v="Delivered"/>
    <s v="Standard"/>
    <n v="4"/>
  </r>
  <r>
    <s v="ORD200563"/>
    <s v="CUST100037"/>
    <s v="Men"/>
    <s v="45-54"/>
    <x v="1296"/>
    <x v="2"/>
    <x v="4"/>
    <x v="2"/>
    <n v="8"/>
    <s v="White"/>
    <n v="1"/>
    <n v="3699"/>
    <n v="10"/>
    <n v="3330"/>
    <n v="3330"/>
    <s v="UPI"/>
    <x v="2"/>
    <s v="India"/>
    <x v="22"/>
    <s v="Udaipur"/>
    <s v="Value Shopper"/>
    <x v="1"/>
    <n v="4"/>
    <s v="Delivered"/>
    <s v="Standard"/>
    <n v="4"/>
  </r>
  <r>
    <s v="ORD200838"/>
    <s v="CUST100186"/>
    <s v="Men"/>
    <s v="35-44"/>
    <x v="1296"/>
    <x v="5"/>
    <x v="27"/>
    <x v="0"/>
    <n v="12"/>
    <s v="Black"/>
    <n v="1"/>
    <n v="6699"/>
    <n v="25"/>
    <n v="5020"/>
    <n v="5020"/>
    <s v="Debit/Credit Card"/>
    <x v="0"/>
    <s v="India"/>
    <x v="17"/>
    <s v="Puducherry"/>
    <s v="Value Shopper"/>
    <x v="0"/>
    <n v="4"/>
    <s v="Delivered"/>
    <s v="Standard"/>
    <n v="3"/>
  </r>
  <r>
    <s v="ORD201689"/>
    <s v="CUST100561"/>
    <s v="Women"/>
    <s v="18-24"/>
    <x v="1297"/>
    <x v="4"/>
    <x v="26"/>
    <x v="3"/>
    <n v="10"/>
    <s v="Green"/>
    <n v="1"/>
    <n v="7399"/>
    <n v="5"/>
    <n v="7030"/>
    <n v="7030"/>
    <s v="UPI"/>
    <x v="1"/>
    <s v="India"/>
    <x v="33"/>
    <s v="Nagpur"/>
    <s v="Value Shopper"/>
    <x v="0"/>
    <n v="3"/>
    <s v="Delivered"/>
    <s v="Express"/>
    <n v="1"/>
  </r>
  <r>
    <s v="ORD201319"/>
    <s v="CUST100428"/>
    <s v="Unisex"/>
    <s v="35-44"/>
    <x v="1298"/>
    <x v="2"/>
    <x v="3"/>
    <x v="2"/>
    <n v="11"/>
    <s v="Grey"/>
    <n v="2"/>
    <n v="7299"/>
    <n v="25"/>
    <n v="5470"/>
    <n v="10940"/>
    <s v="Debit/Credit Card"/>
    <x v="1"/>
    <s v="India"/>
    <x v="26"/>
    <s v="Kochi"/>
    <s v="Performance Seeker"/>
    <x v="1"/>
    <n v="4.7"/>
    <s v="Delivered"/>
    <s v="Express"/>
    <n v="2"/>
  </r>
  <r>
    <s v="ORD201943"/>
    <s v="CUST100315"/>
    <s v="Men"/>
    <s v="25-34"/>
    <x v="1298"/>
    <x v="4"/>
    <x v="6"/>
    <x v="2"/>
    <n v="8"/>
    <s v="White"/>
    <n v="1"/>
    <n v="6099"/>
    <n v="15"/>
    <n v="5180"/>
    <n v="5180"/>
    <s v="UPI"/>
    <x v="1"/>
    <s v="India"/>
    <x v="12"/>
    <s v="Rangat"/>
    <s v="Performance Seeker"/>
    <x v="2"/>
    <n v="3.1"/>
    <s v="Delivered"/>
    <s v="Express"/>
    <n v="1"/>
  </r>
  <r>
    <s v="ORD202794"/>
    <s v="CUST100733"/>
    <s v="Men"/>
    <s v="55+"/>
    <x v="1298"/>
    <x v="1"/>
    <x v="20"/>
    <x v="2"/>
    <n v="8"/>
    <s v="Blue"/>
    <n v="1"/>
    <n v="6799"/>
    <n v="15"/>
    <n v="5780"/>
    <n v="5780"/>
    <s v="Debit/Credit Card"/>
    <x v="1"/>
    <s v="India"/>
    <x v="27"/>
    <s v="Berhampur"/>
    <s v="Comfort Shopper"/>
    <x v="0"/>
    <n v="5"/>
    <s v="Delivered"/>
    <s v="Express"/>
    <n v="2"/>
  </r>
  <r>
    <s v="ORD200529"/>
    <s v="CUST100761"/>
    <s v="Women"/>
    <s v="25-34"/>
    <x v="1299"/>
    <x v="0"/>
    <x v="0"/>
    <x v="0"/>
    <n v="8"/>
    <s v="Red"/>
    <n v="2"/>
    <n v="6099"/>
    <n v="15"/>
    <n v="5180"/>
    <n v="10360"/>
    <s v="UPI"/>
    <x v="1"/>
    <s v="India"/>
    <x v="0"/>
    <s v="Silchar"/>
    <s v="Premium Shopper"/>
    <x v="1"/>
    <n v="3.9"/>
    <s v="Delivered"/>
    <s v="Standard"/>
    <n v="2"/>
  </r>
  <r>
    <s v="ORD200931"/>
    <s v="CUST100687"/>
    <s v="Unisex"/>
    <s v="18-24"/>
    <x v="1299"/>
    <x v="5"/>
    <x v="14"/>
    <x v="3"/>
    <n v="11"/>
    <s v="White"/>
    <n v="3"/>
    <n v="8199"/>
    <n v="20"/>
    <n v="6560"/>
    <n v="19680"/>
    <s v="Debit/Credit Card"/>
    <x v="2"/>
    <s v="India"/>
    <x v="25"/>
    <s v="Anantnag"/>
    <s v="Value Shopper"/>
    <x v="2"/>
    <n v="5"/>
    <s v="Delivered"/>
    <s v="Standard"/>
    <n v="5"/>
  </r>
  <r>
    <s v="ORD201113"/>
    <s v="CUST100375"/>
    <s v="Unisex"/>
    <s v="25-34"/>
    <x v="1299"/>
    <x v="5"/>
    <x v="15"/>
    <x v="4"/>
    <n v="10"/>
    <s v="Grey"/>
    <n v="1"/>
    <n v="9199"/>
    <n v="20"/>
    <n v="7360"/>
    <n v="7360"/>
    <s v="UPI"/>
    <x v="1"/>
    <s v="India"/>
    <x v="3"/>
    <s v="Kota"/>
    <s v="Lifestyle Shopper"/>
    <x v="0"/>
    <n v="3.8"/>
    <s v="Delivered"/>
    <s v="Express"/>
    <n v="2"/>
  </r>
  <r>
    <s v="ORD202372"/>
    <s v="CUST100940"/>
    <s v="Men"/>
    <s v="45-54"/>
    <x v="1299"/>
    <x v="2"/>
    <x v="25"/>
    <x v="3"/>
    <n v="7"/>
    <s v="Grey"/>
    <n v="1"/>
    <n v="6199"/>
    <n v="5"/>
    <n v="5890"/>
    <n v="5890"/>
    <s v="UPI"/>
    <x v="0"/>
    <s v="India"/>
    <x v="16"/>
    <s v="Vadodara"/>
    <s v="Comfort Shopper"/>
    <x v="0"/>
    <n v="5"/>
    <s v="Delivered"/>
    <s v="Standard"/>
    <n v="5"/>
  </r>
  <r>
    <s v="ORD202392"/>
    <s v="CUST100035"/>
    <s v="Men"/>
    <s v="35-44"/>
    <x v="1299"/>
    <x v="4"/>
    <x v="22"/>
    <x v="0"/>
    <n v="11"/>
    <s v="Black"/>
    <n v="2"/>
    <n v="8099"/>
    <n v="20"/>
    <n v="6480"/>
    <n v="12960"/>
    <s v="UPI"/>
    <x v="2"/>
    <s v="India"/>
    <x v="33"/>
    <s v="Pune"/>
    <s v="Value Shopper"/>
    <x v="1"/>
    <n v="4.5"/>
    <s v="Delivered"/>
    <s v="Express"/>
    <n v="2"/>
  </r>
  <r>
    <s v="ORD200138"/>
    <s v="CUST100988"/>
    <s v="Women"/>
    <s v="18-24"/>
    <x v="1300"/>
    <x v="4"/>
    <x v="6"/>
    <x v="2"/>
    <n v="8"/>
    <s v="Red"/>
    <n v="1"/>
    <n v="6399"/>
    <n v="20"/>
    <n v="5120"/>
    <n v="5120"/>
    <s v="Debit/Credit Card"/>
    <x v="2"/>
    <s v="India"/>
    <x v="17"/>
    <s v="Karaikal"/>
    <s v="Performance Seeker"/>
    <x v="2"/>
    <n v="4.2"/>
    <s v="Returned"/>
    <s v="Standard"/>
    <n v="3"/>
  </r>
  <r>
    <s v="ORD200367"/>
    <s v="CUST100917"/>
    <s v="Men"/>
    <s v="25-34"/>
    <x v="1300"/>
    <x v="2"/>
    <x v="4"/>
    <x v="2"/>
    <n v="11"/>
    <s v="White"/>
    <n v="2"/>
    <n v="6199"/>
    <n v="0"/>
    <n v="6200"/>
    <n v="12400"/>
    <s v="UPI"/>
    <x v="0"/>
    <s v="India"/>
    <x v="7"/>
    <s v="Jabalpur"/>
    <s v="Performance Seeker"/>
    <x v="1"/>
    <n v="3.8"/>
    <s v="Delivered"/>
    <s v="Standard"/>
    <n v="5"/>
  </r>
  <r>
    <s v="ORD200627"/>
    <s v="CUST100747"/>
    <s v="Men"/>
    <s v="45-54"/>
    <x v="1300"/>
    <x v="1"/>
    <x v="10"/>
    <x v="3"/>
    <n v="11"/>
    <s v="Grey"/>
    <n v="2"/>
    <n v="7499"/>
    <n v="25"/>
    <n v="5620"/>
    <n v="11240"/>
    <s v="UPI"/>
    <x v="1"/>
    <s v="India"/>
    <x v="34"/>
    <s v="Durgapur"/>
    <s v="Lifestyle Shopper"/>
    <x v="1"/>
    <n v="4.4000000000000004"/>
    <s v="Cancelled"/>
    <s v="Standard"/>
    <n v="6"/>
  </r>
  <r>
    <s v="ORD202483"/>
    <s v="CUST100113"/>
    <s v="Women"/>
    <s v="35-44"/>
    <x v="1300"/>
    <x v="4"/>
    <x v="6"/>
    <x v="2"/>
    <n v="12"/>
    <s v="Black"/>
    <n v="1"/>
    <n v="8699"/>
    <n v="15"/>
    <n v="7390"/>
    <n v="7390"/>
    <s v="UPI"/>
    <x v="0"/>
    <s v="India"/>
    <x v="0"/>
    <s v="Guwahati"/>
    <s v="Premium Shopper"/>
    <x v="0"/>
    <n v="4.5999999999999996"/>
    <s v="Delivered"/>
    <s v="Standard"/>
    <n v="4"/>
  </r>
  <r>
    <s v="ORD202623"/>
    <s v="CUST100599"/>
    <s v="Women"/>
    <s v="25-34"/>
    <x v="1300"/>
    <x v="2"/>
    <x v="24"/>
    <x v="4"/>
    <n v="11"/>
    <s v="Grey"/>
    <n v="2"/>
    <n v="6199"/>
    <n v="15"/>
    <n v="5270"/>
    <n v="10540"/>
    <s v="Cash on Delivery"/>
    <x v="2"/>
    <s v="India"/>
    <x v="4"/>
    <s v="Namchi"/>
    <s v="Value Shopper"/>
    <x v="1"/>
    <n v="5"/>
    <s v="Delivered"/>
    <s v="Standard"/>
    <n v="6"/>
  </r>
  <r>
    <s v="ORD200407"/>
    <s v="CUST100210"/>
    <s v="Women"/>
    <s v="35-44"/>
    <x v="1301"/>
    <x v="5"/>
    <x v="30"/>
    <x v="2"/>
    <n v="10"/>
    <s v="Blue"/>
    <n v="1"/>
    <n v="6599"/>
    <n v="20"/>
    <n v="5280"/>
    <n v="5280"/>
    <s v="Cash on Delivery"/>
    <x v="0"/>
    <s v="India"/>
    <x v="21"/>
    <s v="Dimapur"/>
    <s v="Comfort Shopper"/>
    <x v="1"/>
    <n v="3.1"/>
    <s v="Delivered"/>
    <s v="Standard"/>
    <n v="4"/>
  </r>
  <r>
    <s v="ORD202469"/>
    <s v="CUST100173"/>
    <s v="Men"/>
    <s v="18-24"/>
    <x v="1302"/>
    <x v="2"/>
    <x v="24"/>
    <x v="4"/>
    <n v="10"/>
    <s v="Green"/>
    <n v="2"/>
    <n v="4899"/>
    <n v="5"/>
    <n v="4650"/>
    <n v="9300"/>
    <s v="Cash on Delivery"/>
    <x v="1"/>
    <s v="India"/>
    <x v="5"/>
    <s v="Churachandpur"/>
    <s v="Performance Seeker"/>
    <x v="1"/>
    <n v="4.5"/>
    <s v="Returned"/>
    <s v="Standard"/>
    <n v="4"/>
  </r>
  <r>
    <s v="ORD200150"/>
    <s v="CUST100493"/>
    <s v="Men"/>
    <s v="18-24"/>
    <x v="1303"/>
    <x v="1"/>
    <x v="12"/>
    <x v="4"/>
    <n v="11"/>
    <s v="White"/>
    <n v="1"/>
    <n v="6099"/>
    <n v="15"/>
    <n v="5180"/>
    <n v="5180"/>
    <s v="Net Banking"/>
    <x v="2"/>
    <s v="India"/>
    <x v="17"/>
    <s v="Mahe"/>
    <s v="Comfort Shopper"/>
    <x v="2"/>
    <n v="3.3"/>
    <s v="Cancelled"/>
    <s v="Standard"/>
    <n v="4"/>
  </r>
  <r>
    <s v="ORD200966"/>
    <s v="CUST100392"/>
    <s v="Men"/>
    <s v="55+"/>
    <x v="1303"/>
    <x v="1"/>
    <x v="10"/>
    <x v="3"/>
    <n v="9"/>
    <s v="Blue"/>
    <n v="1"/>
    <n v="4899"/>
    <n v="15"/>
    <n v="4160"/>
    <n v="4160"/>
    <s v="UPI"/>
    <x v="2"/>
    <s v="India"/>
    <x v="13"/>
    <s v="Naharlagun"/>
    <s v="Value Shopper"/>
    <x v="2"/>
    <n v="4.4000000000000004"/>
    <s v="Cancelled"/>
    <s v="Express"/>
    <n v="1"/>
  </r>
  <r>
    <s v="ORD201324"/>
    <s v="CUST100964"/>
    <s v="Men"/>
    <s v="35-44"/>
    <x v="1304"/>
    <x v="2"/>
    <x v="32"/>
    <x v="1"/>
    <n v="7"/>
    <s v="White"/>
    <n v="1"/>
    <n v="5999"/>
    <n v="15"/>
    <n v="5100"/>
    <n v="5100"/>
    <s v="UPI"/>
    <x v="1"/>
    <s v="India"/>
    <x v="0"/>
    <s v="Silchar"/>
    <s v="Performance Seeker"/>
    <x v="1"/>
    <n v="3.3"/>
    <s v="Cancelled"/>
    <s v="Express"/>
    <n v="2"/>
  </r>
  <r>
    <s v="ORD202963"/>
    <s v="CUST100480"/>
    <s v="Men"/>
    <s v="45-54"/>
    <x v="1305"/>
    <x v="5"/>
    <x v="14"/>
    <x v="3"/>
    <n v="12"/>
    <s v="Blue"/>
    <n v="1"/>
    <n v="7399"/>
    <n v="20"/>
    <n v="5920"/>
    <n v="5920"/>
    <s v="UPI"/>
    <x v="1"/>
    <s v="India"/>
    <x v="12"/>
    <s v="Port Blair"/>
    <s v="Value Shopper"/>
    <x v="0"/>
    <n v="3.2"/>
    <s v="Delivered"/>
    <s v="Standard"/>
    <n v="6"/>
  </r>
  <r>
    <s v="ORD201660"/>
    <s v="CUST100355"/>
    <s v="Women"/>
    <s v="35-44"/>
    <x v="1306"/>
    <x v="2"/>
    <x v="24"/>
    <x v="4"/>
    <n v="11"/>
    <s v="Black"/>
    <n v="2"/>
    <n v="7799"/>
    <n v="0"/>
    <n v="7800"/>
    <n v="15600"/>
    <s v="UPI"/>
    <x v="2"/>
    <s v="India"/>
    <x v="32"/>
    <s v="Jamshedpur"/>
    <s v="Value Shopper"/>
    <x v="1"/>
    <n v="4.8"/>
    <s v="Delivered"/>
    <s v="Standard"/>
    <n v="3"/>
  </r>
  <r>
    <s v="ORD200455"/>
    <s v="CUST100748"/>
    <s v="Women"/>
    <s v="45-54"/>
    <x v="1307"/>
    <x v="1"/>
    <x v="20"/>
    <x v="2"/>
    <n v="8"/>
    <s v="White"/>
    <n v="3"/>
    <n v="6299"/>
    <n v="35"/>
    <n v="4090"/>
    <n v="12270"/>
    <s v="UPI"/>
    <x v="1"/>
    <s v="India"/>
    <x v="23"/>
    <s v="Rishikesh"/>
    <s v="Value Shopper"/>
    <x v="1"/>
    <n v="4.3"/>
    <s v="Returned"/>
    <s v="Standard"/>
    <n v="3"/>
  </r>
  <r>
    <s v="ORD202356"/>
    <s v="CUST100487"/>
    <s v="Women"/>
    <s v="35-44"/>
    <x v="1308"/>
    <x v="0"/>
    <x v="31"/>
    <x v="1"/>
    <n v="6"/>
    <s v="Black"/>
    <n v="1"/>
    <n v="7299"/>
    <n v="5"/>
    <n v="6930"/>
    <n v="6930"/>
    <s v="UPI"/>
    <x v="0"/>
    <s v="India"/>
    <x v="32"/>
    <s v="Jamshedpur"/>
    <s v="Performance Seeker"/>
    <x v="2"/>
    <n v="3.6"/>
    <s v="Cancelled"/>
    <s v="Standard"/>
    <n v="6"/>
  </r>
  <r>
    <s v="ORD202975"/>
    <s v="CUST100964"/>
    <s v="Men"/>
    <s v="25-34"/>
    <x v="1308"/>
    <x v="1"/>
    <x v="1"/>
    <x v="1"/>
    <n v="10"/>
    <s v="White"/>
    <n v="1"/>
    <n v="8999"/>
    <n v="25"/>
    <n v="6750"/>
    <n v="6750"/>
    <s v="UPI"/>
    <x v="1"/>
    <s v="India"/>
    <x v="10"/>
    <s v="Daman"/>
    <s v="Performance Seeker"/>
    <x v="1"/>
    <n v="3.2"/>
    <s v="Delivered"/>
    <s v="Same Day"/>
    <n v="1"/>
  </r>
  <r>
    <s v="ORD200017"/>
    <s v="CUST100376"/>
    <s v="Women"/>
    <s v="35-44"/>
    <x v="1309"/>
    <x v="3"/>
    <x v="34"/>
    <x v="3"/>
    <n v="8"/>
    <s v="Grey"/>
    <n v="1"/>
    <n v="3199"/>
    <n v="15"/>
    <n v="2720"/>
    <n v="2720"/>
    <s v="UPI"/>
    <x v="1"/>
    <s v="India"/>
    <x v="23"/>
    <s v="Haridwar"/>
    <s v="Performance Seeker"/>
    <x v="1"/>
    <n v="3.8"/>
    <s v="Delivered"/>
    <s v="Standard"/>
    <n v="3"/>
  </r>
  <r>
    <s v="ORD201027"/>
    <s v="CUST100143"/>
    <s v="Men"/>
    <s v="35-44"/>
    <x v="1309"/>
    <x v="2"/>
    <x v="24"/>
    <x v="4"/>
    <n v="11"/>
    <s v="Green"/>
    <n v="1"/>
    <n v="4499"/>
    <n v="0"/>
    <n v="4500"/>
    <n v="4500"/>
    <s v="UPI"/>
    <x v="0"/>
    <s v="India"/>
    <x v="32"/>
    <s v="Dhanbad"/>
    <s v="Lifestyle Shopper"/>
    <x v="2"/>
    <n v="4.2"/>
    <s v="Delivered"/>
    <s v="Standard"/>
    <n v="2"/>
  </r>
  <r>
    <s v="ORD201278"/>
    <s v="CUST100588"/>
    <s v="Men"/>
    <s v="35-44"/>
    <x v="1309"/>
    <x v="0"/>
    <x v="8"/>
    <x v="3"/>
    <n v="11"/>
    <s v="Black"/>
    <n v="1"/>
    <n v="8799"/>
    <n v="25"/>
    <n v="6600"/>
    <n v="6600"/>
    <s v="Debit/Credit Card"/>
    <x v="1"/>
    <s v="India"/>
    <x v="26"/>
    <s v="Kozhikode"/>
    <s v="Premium Shopper"/>
    <x v="1"/>
    <n v="3.9"/>
    <s v="Delivered"/>
    <s v="Standard"/>
    <n v="4"/>
  </r>
  <r>
    <s v="ORD201599"/>
    <s v="CUST100120"/>
    <s v="Men"/>
    <s v="25-34"/>
    <x v="1309"/>
    <x v="2"/>
    <x v="3"/>
    <x v="2"/>
    <n v="9"/>
    <s v="Green"/>
    <n v="2"/>
    <n v="3399"/>
    <n v="10"/>
    <n v="3060"/>
    <n v="6120"/>
    <s v="Debit/Credit Card"/>
    <x v="0"/>
    <s v="India"/>
    <x v="6"/>
    <s v="Varanasi"/>
    <s v="Comfort Shopper"/>
    <x v="1"/>
    <n v="4.3"/>
    <s v="Delivered"/>
    <s v="Standard"/>
    <n v="4"/>
  </r>
  <r>
    <s v="ORD203053"/>
    <s v="CUST100309"/>
    <s v="Men"/>
    <s v="25-34"/>
    <x v="1310"/>
    <x v="3"/>
    <x v="28"/>
    <x v="1"/>
    <n v="10"/>
    <s v="Black"/>
    <n v="1"/>
    <n v="8299"/>
    <n v="25"/>
    <n v="6220"/>
    <n v="6220"/>
    <s v="Net Banking"/>
    <x v="0"/>
    <s v="India"/>
    <x v="29"/>
    <s v="Tirupati"/>
    <s v="Lifestyle Shopper"/>
    <x v="1"/>
    <n v="3.3"/>
    <s v="Delivered"/>
    <s v="Express"/>
    <n v="2"/>
  </r>
  <r>
    <s v="ORD200134"/>
    <s v="CUST100126"/>
    <s v="Women"/>
    <s v="25-34"/>
    <x v="1311"/>
    <x v="2"/>
    <x v="32"/>
    <x v="1"/>
    <n v="12"/>
    <s v="Black"/>
    <n v="1"/>
    <n v="2799"/>
    <n v="15"/>
    <n v="2380"/>
    <n v="2380"/>
    <s v="UPI"/>
    <x v="2"/>
    <s v="India"/>
    <x v="18"/>
    <s v="Bhilai"/>
    <s v="Premium Shopper"/>
    <x v="1"/>
    <n v="3"/>
    <s v="Delivered"/>
    <s v="Standard"/>
    <n v="3"/>
  </r>
  <r>
    <s v="ORD201615"/>
    <s v="CUST100144"/>
    <s v="Men"/>
    <s v="18-24"/>
    <x v="1311"/>
    <x v="5"/>
    <x v="21"/>
    <x v="2"/>
    <n v="12"/>
    <s v="White"/>
    <n v="1"/>
    <n v="5299"/>
    <n v="0"/>
    <n v="5300"/>
    <n v="5300"/>
    <s v="UPI"/>
    <x v="0"/>
    <s v="India"/>
    <x v="33"/>
    <s v="Nashik"/>
    <s v="Comfort Shopper"/>
    <x v="2"/>
    <n v="4.3"/>
    <s v="Delivered"/>
    <s v="Standard"/>
    <n v="4"/>
  </r>
  <r>
    <s v="ORD200940"/>
    <s v="CUST100475"/>
    <s v="Men"/>
    <s v="45-54"/>
    <x v="1312"/>
    <x v="1"/>
    <x v="20"/>
    <x v="2"/>
    <n v="11"/>
    <s v="Green"/>
    <n v="1"/>
    <n v="9299"/>
    <n v="10"/>
    <n v="8370"/>
    <n v="8370"/>
    <s v="Debit/Credit Card"/>
    <x v="2"/>
    <s v="India"/>
    <x v="27"/>
    <s v="Berhampur"/>
    <s v="Premium Shopper"/>
    <x v="1"/>
    <n v="4.8"/>
    <s v="Returned"/>
    <s v="Standard"/>
    <n v="6"/>
  </r>
  <r>
    <s v="ORD203082"/>
    <s v="CUST101023"/>
    <s v="Women"/>
    <s v="45-54"/>
    <x v="1313"/>
    <x v="2"/>
    <x v="24"/>
    <x v="4"/>
    <n v="6"/>
    <s v="Black"/>
    <n v="1"/>
    <n v="7799"/>
    <n v="15"/>
    <n v="6630"/>
    <n v="6630"/>
    <s v="Debit/Credit Card"/>
    <x v="1"/>
    <s v="India"/>
    <x v="3"/>
    <s v="Jodhpur"/>
    <s v="Performance Seeker"/>
    <x v="0"/>
    <n v="4.8"/>
    <s v="Delivered"/>
    <s v="Express"/>
    <n v="2"/>
  </r>
  <r>
    <s v="ORD201430"/>
    <s v="CUST100697"/>
    <s v="Women"/>
    <s v="25-34"/>
    <x v="1314"/>
    <x v="4"/>
    <x v="6"/>
    <x v="2"/>
    <n v="7"/>
    <s v="White"/>
    <n v="1"/>
    <n v="9899"/>
    <n v="30"/>
    <n v="6930"/>
    <n v="6930"/>
    <s v="Debit/Credit Card"/>
    <x v="0"/>
    <s v="India"/>
    <x v="2"/>
    <s v="Panipat"/>
    <s v="Performance Seeker"/>
    <x v="1"/>
    <n v="3.6"/>
    <s v="Delivered"/>
    <s v="Express"/>
    <n v="3"/>
  </r>
  <r>
    <s v="ORD203013"/>
    <s v="CUST100327"/>
    <s v="Women"/>
    <s v="25-34"/>
    <x v="1314"/>
    <x v="2"/>
    <x v="24"/>
    <x v="4"/>
    <n v="8"/>
    <s v="White"/>
    <n v="1"/>
    <n v="2899"/>
    <n v="10"/>
    <n v="2610"/>
    <n v="2610"/>
    <s v="Debit/Credit Card"/>
    <x v="1"/>
    <s v="India"/>
    <x v="1"/>
    <s v="Margao"/>
    <s v="Value Shopper"/>
    <x v="2"/>
    <n v="4.2"/>
    <s v="Delivered"/>
    <s v="Standard"/>
    <n v="3"/>
  </r>
  <r>
    <s v="ORD200705"/>
    <s v="CUST100582"/>
    <s v="Women"/>
    <s v="45-54"/>
    <x v="1315"/>
    <x v="5"/>
    <x v="7"/>
    <x v="1"/>
    <n v="7"/>
    <s v="Green"/>
    <n v="1"/>
    <n v="9299"/>
    <n v="0"/>
    <n v="9300"/>
    <n v="9300"/>
    <s v="Debit/Credit Card"/>
    <x v="2"/>
    <s v="India"/>
    <x v="35"/>
    <s v="Champhai"/>
    <s v="Performance Seeker"/>
    <x v="1"/>
    <n v="3.2"/>
    <s v="Returned"/>
    <s v="Standard"/>
    <n v="3"/>
  </r>
  <r>
    <s v="ORD201017"/>
    <s v="CUST100382"/>
    <s v="Men"/>
    <s v="35-44"/>
    <x v="1316"/>
    <x v="1"/>
    <x v="1"/>
    <x v="1"/>
    <n v="9"/>
    <s v="White"/>
    <n v="1"/>
    <n v="6599"/>
    <n v="15"/>
    <n v="5610"/>
    <n v="5610"/>
    <s v="UPI"/>
    <x v="2"/>
    <s v="India"/>
    <x v="26"/>
    <s v="Thrissur"/>
    <s v="Premium Shopper"/>
    <x v="2"/>
    <n v="4.3"/>
    <s v="Delivered"/>
    <s v="Standard"/>
    <n v="3"/>
  </r>
  <r>
    <s v="ORD200695"/>
    <s v="CUST100667"/>
    <s v="Women"/>
    <s v="35-44"/>
    <x v="1317"/>
    <x v="4"/>
    <x v="26"/>
    <x v="3"/>
    <n v="11"/>
    <s v="Blue"/>
    <n v="1"/>
    <n v="6999"/>
    <n v="5"/>
    <n v="6650"/>
    <n v="6650"/>
    <s v="UPI"/>
    <x v="1"/>
    <s v="India"/>
    <x v="28"/>
    <s v="Kargil"/>
    <s v="Comfort Shopper"/>
    <x v="1"/>
    <n v="4"/>
    <s v="Delivered"/>
    <s v="Standard"/>
    <n v="3"/>
  </r>
  <r>
    <s v="ORD202965"/>
    <s v="CUST100513"/>
    <s v="Women"/>
    <s v="45-54"/>
    <x v="1317"/>
    <x v="4"/>
    <x v="17"/>
    <x v="4"/>
    <n v="10"/>
    <s v="White"/>
    <n v="1"/>
    <n v="5699"/>
    <n v="10"/>
    <n v="5130"/>
    <n v="5130"/>
    <s v="UPI"/>
    <x v="1"/>
    <s v="India"/>
    <x v="22"/>
    <s v="Udaipur"/>
    <s v="Comfort Shopper"/>
    <x v="2"/>
    <n v="3.6"/>
    <s v="Delivered"/>
    <s v="Express"/>
    <n v="3"/>
  </r>
  <r>
    <s v="ORD200002"/>
    <s v="CUST100159"/>
    <s v="Women"/>
    <s v="45-54"/>
    <x v="1318"/>
    <x v="2"/>
    <x v="25"/>
    <x v="3"/>
    <n v="12"/>
    <s v="White"/>
    <n v="2"/>
    <n v="6499"/>
    <n v="10"/>
    <n v="5850"/>
    <n v="11700"/>
    <s v="UPI"/>
    <x v="2"/>
    <s v="India"/>
    <x v="7"/>
    <s v="Gwalior"/>
    <s v="Value Shopper"/>
    <x v="1"/>
    <n v="3.3"/>
    <s v="Delivered"/>
    <s v="Standard"/>
    <n v="5"/>
  </r>
  <r>
    <s v="ORD201727"/>
    <s v="CUST100117"/>
    <s v="Men"/>
    <s v="35-44"/>
    <x v="1319"/>
    <x v="1"/>
    <x v="1"/>
    <x v="1"/>
    <n v="9"/>
    <s v="Green"/>
    <n v="1"/>
    <n v="5699"/>
    <n v="10"/>
    <n v="5130"/>
    <n v="5130"/>
    <s v="UPI"/>
    <x v="1"/>
    <s v="India"/>
    <x v="2"/>
    <s v="Panipat"/>
    <s v="Value Shopper"/>
    <x v="1"/>
    <n v="4.0999999999999996"/>
    <s v="Returned"/>
    <s v="Same Day"/>
    <n v="1"/>
  </r>
  <r>
    <s v="ORD202918"/>
    <s v="CUST100135"/>
    <s v="Unisex"/>
    <s v="25-34"/>
    <x v="1320"/>
    <x v="0"/>
    <x v="2"/>
    <x v="2"/>
    <n v="7"/>
    <s v="White"/>
    <n v="1"/>
    <n v="8399"/>
    <n v="35"/>
    <n v="5460"/>
    <n v="5460"/>
    <s v="Debit/Credit Card"/>
    <x v="0"/>
    <s v="India"/>
    <x v="5"/>
    <s v="Imphal"/>
    <s v="Performance Seeker"/>
    <x v="1"/>
    <n v="4.3"/>
    <s v="Cancelled"/>
    <s v="Express"/>
    <n v="1"/>
  </r>
  <r>
    <s v="ORD200779"/>
    <s v="CUST100486"/>
    <s v="Men"/>
    <s v="45-54"/>
    <x v="1321"/>
    <x v="0"/>
    <x v="2"/>
    <x v="2"/>
    <n v="7"/>
    <s v="Green"/>
    <n v="1"/>
    <n v="8899"/>
    <n v="20"/>
    <n v="7120"/>
    <n v="7120"/>
    <s v="UPI"/>
    <x v="0"/>
    <s v="India"/>
    <x v="26"/>
    <s v="Kochi"/>
    <s v="Comfort Shopper"/>
    <x v="1"/>
    <n v="3.2"/>
    <s v="Returned"/>
    <s v="Same Day"/>
    <n v="1"/>
  </r>
  <r>
    <s v="ORD202175"/>
    <s v="CUST100366"/>
    <s v="Men"/>
    <s v="45-54"/>
    <x v="1322"/>
    <x v="5"/>
    <x v="21"/>
    <x v="2"/>
    <n v="9"/>
    <s v="White"/>
    <n v="1"/>
    <n v="9899"/>
    <n v="35"/>
    <n v="6430"/>
    <n v="6430"/>
    <s v="UPI"/>
    <x v="1"/>
    <s v="India"/>
    <x v="33"/>
    <s v="Nashik"/>
    <s v="Lifestyle Shopper"/>
    <x v="2"/>
    <n v="4.7"/>
    <s v="Delivered"/>
    <s v="Express"/>
    <n v="1"/>
  </r>
  <r>
    <s v="ORD200356"/>
    <s v="CUST100287"/>
    <s v="Men"/>
    <s v="35-44"/>
    <x v="1323"/>
    <x v="2"/>
    <x v="25"/>
    <x v="3"/>
    <n v="8"/>
    <s v="Blue"/>
    <n v="2"/>
    <n v="4499"/>
    <n v="20"/>
    <n v="3600"/>
    <n v="7200"/>
    <s v="Debit/Credit Card"/>
    <x v="1"/>
    <s v="India"/>
    <x v="17"/>
    <s v="Karaikal"/>
    <s v="Comfort Shopper"/>
    <x v="1"/>
    <n v="3.7"/>
    <s v="Delivered"/>
    <s v="Standard"/>
    <n v="5"/>
  </r>
  <r>
    <s v="ORD201586"/>
    <s v="CUST100671"/>
    <s v="Men"/>
    <s v="25-34"/>
    <x v="1324"/>
    <x v="0"/>
    <x v="19"/>
    <x v="4"/>
    <n v="7"/>
    <s v="White"/>
    <n v="1"/>
    <n v="5899"/>
    <n v="15"/>
    <n v="5010"/>
    <n v="5010"/>
    <s v="UPI"/>
    <x v="0"/>
    <s v="India"/>
    <x v="19"/>
    <s v="Tura"/>
    <s v="Comfort Shopper"/>
    <x v="2"/>
    <n v="5"/>
    <s v="Delivered"/>
    <s v="Standard"/>
    <n v="3"/>
  </r>
  <r>
    <s v="ORD202348"/>
    <s v="CUST100811"/>
    <s v="Women"/>
    <s v="25-34"/>
    <x v="1325"/>
    <x v="1"/>
    <x v="20"/>
    <x v="2"/>
    <n v="10"/>
    <s v="Black"/>
    <n v="1"/>
    <n v="8799"/>
    <n v="15"/>
    <n v="7480"/>
    <n v="7480"/>
    <s v="UPI"/>
    <x v="2"/>
    <s v="India"/>
    <x v="8"/>
    <s v="Warangal"/>
    <s v="Performance Seeker"/>
    <x v="0"/>
    <n v="4.5999999999999996"/>
    <s v="Delivered"/>
    <s v="Standard"/>
    <n v="4"/>
  </r>
  <r>
    <s v="ORD200341"/>
    <s v="CUST100654"/>
    <s v="Men"/>
    <s v="35-44"/>
    <x v="1326"/>
    <x v="5"/>
    <x v="27"/>
    <x v="0"/>
    <n v="9"/>
    <s v="Green"/>
    <n v="1"/>
    <n v="5399"/>
    <n v="5"/>
    <n v="5130"/>
    <n v="5130"/>
    <s v="UPI"/>
    <x v="1"/>
    <s v="India"/>
    <x v="21"/>
    <s v="Kohima"/>
    <s v="Premium Shopper"/>
    <x v="1"/>
    <n v="4"/>
    <s v="Delivered"/>
    <s v="Standard"/>
    <n v="5"/>
  </r>
  <r>
    <s v="ORD201572"/>
    <s v="CUST100346"/>
    <s v="Men"/>
    <s v="25-34"/>
    <x v="1326"/>
    <x v="1"/>
    <x v="10"/>
    <x v="3"/>
    <n v="10"/>
    <s v="Blue"/>
    <n v="2"/>
    <n v="3799"/>
    <n v="5"/>
    <n v="3610"/>
    <n v="7220"/>
    <s v="Debit/Credit Card"/>
    <x v="0"/>
    <s v="India"/>
    <x v="13"/>
    <s v="Tawang"/>
    <s v="Comfort Shopper"/>
    <x v="2"/>
    <n v="4.8"/>
    <s v="Delivered"/>
    <s v="Standard"/>
    <n v="3"/>
  </r>
  <r>
    <s v="ORD201742"/>
    <s v="CUST100013"/>
    <s v="Men"/>
    <s v="25-34"/>
    <x v="1326"/>
    <x v="0"/>
    <x v="8"/>
    <x v="3"/>
    <n v="9"/>
    <s v="Black"/>
    <n v="2"/>
    <n v="3799"/>
    <n v="30"/>
    <n v="2660"/>
    <n v="5320"/>
    <s v="Cash on Delivery"/>
    <x v="1"/>
    <s v="India"/>
    <x v="8"/>
    <s v="Warangal"/>
    <s v="Performance Seeker"/>
    <x v="2"/>
    <n v="3.3"/>
    <s v="Delivered"/>
    <s v="Express"/>
    <n v="1"/>
  </r>
  <r>
    <s v="ORD201147"/>
    <s v="CUST100442"/>
    <s v="Men"/>
    <s v="25-34"/>
    <x v="1327"/>
    <x v="3"/>
    <x v="16"/>
    <x v="0"/>
    <n v="7"/>
    <s v="Black"/>
    <n v="3"/>
    <n v="5999"/>
    <n v="15"/>
    <n v="5100"/>
    <n v="15300"/>
    <s v="Debit/Credit Card"/>
    <x v="1"/>
    <s v="India"/>
    <x v="6"/>
    <s v="Kanpur"/>
    <s v="Lifestyle Shopper"/>
    <x v="2"/>
    <n v="3.7"/>
    <s v="Delivered"/>
    <s v="Standard"/>
    <n v="3"/>
  </r>
  <r>
    <s v="ORD202905"/>
    <s v="CUST100251"/>
    <s v="Women"/>
    <s v="25-34"/>
    <x v="1327"/>
    <x v="0"/>
    <x v="0"/>
    <x v="0"/>
    <n v="11"/>
    <s v="Grey"/>
    <n v="1"/>
    <n v="7099"/>
    <n v="25"/>
    <n v="5320"/>
    <n v="5320"/>
    <s v="UPI"/>
    <x v="1"/>
    <s v="India"/>
    <x v="16"/>
    <s v="Rajkot"/>
    <s v="Lifestyle Shopper"/>
    <x v="1"/>
    <n v="3.7"/>
    <s v="Returned"/>
    <s v="Same Day"/>
    <n v="1"/>
  </r>
  <r>
    <s v="ORD201292"/>
    <s v="CUST100161"/>
    <s v="Men"/>
    <s v="35-44"/>
    <x v="1328"/>
    <x v="5"/>
    <x v="15"/>
    <x v="4"/>
    <n v="10"/>
    <s v="Black"/>
    <n v="2"/>
    <n v="8399"/>
    <n v="15"/>
    <n v="7140"/>
    <n v="14280"/>
    <s v="UPI"/>
    <x v="2"/>
    <s v="India"/>
    <x v="11"/>
    <s v="Agatti"/>
    <s v="Premium Shopper"/>
    <x v="1"/>
    <n v="4.4000000000000004"/>
    <s v="Returned"/>
    <s v="Standard"/>
    <n v="5"/>
  </r>
  <r>
    <s v="ORD201913"/>
    <s v="CUST100449"/>
    <s v="Men"/>
    <s v="18-24"/>
    <x v="1328"/>
    <x v="2"/>
    <x v="25"/>
    <x v="3"/>
    <n v="8"/>
    <s v="Black"/>
    <n v="1"/>
    <n v="8499"/>
    <n v="10"/>
    <n v="7650"/>
    <n v="7650"/>
    <s v="UPI"/>
    <x v="0"/>
    <s v="India"/>
    <x v="9"/>
    <s v="Patna"/>
    <s v="Lifestyle Shopper"/>
    <x v="2"/>
    <n v="4.5"/>
    <s v="Cancelled"/>
    <s v="Standard"/>
    <n v="4"/>
  </r>
  <r>
    <s v="ORD201234"/>
    <s v="CUST100577"/>
    <s v="Men"/>
    <s v="18-24"/>
    <x v="1329"/>
    <x v="0"/>
    <x v="2"/>
    <x v="2"/>
    <n v="8"/>
    <s v="Red"/>
    <n v="1"/>
    <n v="6799"/>
    <n v="20"/>
    <n v="5440"/>
    <n v="5440"/>
    <s v="UPI"/>
    <x v="1"/>
    <s v="India"/>
    <x v="1"/>
    <s v="Panaji"/>
    <s v="Performance Seeker"/>
    <x v="2"/>
    <n v="4.8"/>
    <s v="Returned"/>
    <s v="Express"/>
    <n v="3"/>
  </r>
  <r>
    <s v="ORD201170"/>
    <s v="CUST100234"/>
    <s v="Men"/>
    <s v="25-34"/>
    <x v="1330"/>
    <x v="1"/>
    <x v="33"/>
    <x v="0"/>
    <n v="9"/>
    <s v="White"/>
    <n v="2"/>
    <n v="9099"/>
    <n v="10"/>
    <n v="8190"/>
    <n v="16380"/>
    <s v="UPI"/>
    <x v="2"/>
    <s v="India"/>
    <x v="2"/>
    <s v="Faridabad"/>
    <s v="Value Shopper"/>
    <x v="2"/>
    <n v="5"/>
    <s v="Delivered"/>
    <s v="Express"/>
    <n v="4"/>
  </r>
  <r>
    <s v="ORD200783"/>
    <s v="CUST100272"/>
    <s v="Men"/>
    <s v="25-34"/>
    <x v="1331"/>
    <x v="3"/>
    <x v="35"/>
    <x v="2"/>
    <n v="10"/>
    <s v="Black"/>
    <n v="1"/>
    <n v="6899"/>
    <n v="30"/>
    <n v="4830"/>
    <n v="4830"/>
    <s v="UPI"/>
    <x v="1"/>
    <s v="India"/>
    <x v="29"/>
    <s v="Guntur"/>
    <s v="Value Shopper"/>
    <x v="2"/>
    <n v="4"/>
    <s v="Delivered"/>
    <s v="Express"/>
    <n v="1"/>
  </r>
  <r>
    <s v="ORD202234"/>
    <s v="CUST100210"/>
    <s v="Women"/>
    <s v="25-34"/>
    <x v="1331"/>
    <x v="4"/>
    <x v="17"/>
    <x v="4"/>
    <n v="9"/>
    <s v="Grey"/>
    <n v="1"/>
    <n v="8199"/>
    <n v="15"/>
    <n v="6970"/>
    <n v="6970"/>
    <s v="Debit/Credit Card"/>
    <x v="1"/>
    <s v="India"/>
    <x v="5"/>
    <s v="Churachandpur"/>
    <s v="Comfort Shopper"/>
    <x v="1"/>
    <n v="5"/>
    <s v="Delivered"/>
    <s v="Standard"/>
    <n v="5"/>
  </r>
  <r>
    <s v="ORD202867"/>
    <s v="CUST100080"/>
    <s v="Men"/>
    <s v="25-34"/>
    <x v="1331"/>
    <x v="4"/>
    <x v="26"/>
    <x v="3"/>
    <n v="9"/>
    <s v="Grey"/>
    <n v="1"/>
    <n v="9699"/>
    <n v="0"/>
    <n v="9700"/>
    <n v="9700"/>
    <s v="Debit/Credit Card"/>
    <x v="1"/>
    <s v="India"/>
    <x v="34"/>
    <s v="Siliguri"/>
    <s v="Value Shopper"/>
    <x v="1"/>
    <n v="3.9"/>
    <s v="Delivered"/>
    <s v="Standard"/>
    <n v="3"/>
  </r>
  <r>
    <s v="ORD200493"/>
    <s v="CUST100765"/>
    <s v="Men"/>
    <s v="25-34"/>
    <x v="1332"/>
    <x v="5"/>
    <x v="27"/>
    <x v="0"/>
    <n v="11"/>
    <s v="Green"/>
    <n v="1"/>
    <n v="6599"/>
    <n v="20"/>
    <n v="5280"/>
    <n v="5280"/>
    <s v="Cash on Delivery"/>
    <x v="2"/>
    <s v="India"/>
    <x v="27"/>
    <s v="Rourkela"/>
    <s v="Lifestyle Shopper"/>
    <x v="1"/>
    <n v="5"/>
    <s v="Delivered"/>
    <s v="Express"/>
    <n v="1"/>
  </r>
  <r>
    <s v="ORD202618"/>
    <s v="CUST100273"/>
    <s v="Men"/>
    <s v="45-54"/>
    <x v="1332"/>
    <x v="3"/>
    <x v="35"/>
    <x v="2"/>
    <n v="10"/>
    <s v="Green"/>
    <n v="2"/>
    <n v="4799"/>
    <n v="5"/>
    <n v="4560"/>
    <n v="9120"/>
    <s v="UPI"/>
    <x v="1"/>
    <s v="India"/>
    <x v="5"/>
    <s v="Thoubal"/>
    <s v="Premium Shopper"/>
    <x v="1"/>
    <n v="4.2"/>
    <s v="Delivered"/>
    <s v="Standard"/>
    <n v="3"/>
  </r>
  <r>
    <s v="ORD202948"/>
    <s v="CUST100003"/>
    <s v="Women"/>
    <s v="45-54"/>
    <x v="1332"/>
    <x v="5"/>
    <x v="27"/>
    <x v="0"/>
    <n v="11"/>
    <s v="Green"/>
    <n v="2"/>
    <n v="5699"/>
    <n v="5"/>
    <n v="5410"/>
    <n v="10820"/>
    <s v="UPI"/>
    <x v="0"/>
    <s v="India"/>
    <x v="1"/>
    <s v="Margao"/>
    <s v="Premium Shopper"/>
    <x v="2"/>
    <n v="3.5"/>
    <s v="Delivered"/>
    <s v="Standard"/>
    <n v="5"/>
  </r>
  <r>
    <s v="ORD202631"/>
    <s v="CUST101025"/>
    <s v="Unisex"/>
    <s v="25-34"/>
    <x v="1333"/>
    <x v="1"/>
    <x v="1"/>
    <x v="1"/>
    <n v="7"/>
    <s v="Green"/>
    <n v="1"/>
    <n v="8499"/>
    <n v="15"/>
    <n v="7220"/>
    <n v="7220"/>
    <s v="UPI"/>
    <x v="1"/>
    <s v="India"/>
    <x v="7"/>
    <s v="Indore"/>
    <s v="Value Shopper"/>
    <x v="0"/>
    <n v="4.5"/>
    <s v="Delivered"/>
    <s v="Standard"/>
    <n v="3"/>
  </r>
  <r>
    <s v="ORD200063"/>
    <s v="CUST100020"/>
    <s v="Men"/>
    <s v="25-34"/>
    <x v="1334"/>
    <x v="0"/>
    <x v="2"/>
    <x v="2"/>
    <n v="8"/>
    <s v="Red"/>
    <n v="1"/>
    <n v="4999"/>
    <n v="25"/>
    <n v="3750"/>
    <n v="3750"/>
    <s v="Debit/Credit Card"/>
    <x v="2"/>
    <s v="India"/>
    <x v="21"/>
    <s v="Kohima"/>
    <s v="Value Shopper"/>
    <x v="1"/>
    <n v="5"/>
    <s v="Delivered"/>
    <s v="Standard"/>
    <n v="4"/>
  </r>
  <r>
    <s v="ORD201958"/>
    <s v="CUST100022"/>
    <s v="Unisex"/>
    <s v="18-24"/>
    <x v="1334"/>
    <x v="1"/>
    <x v="10"/>
    <x v="3"/>
    <n v="10"/>
    <s v="Blue"/>
    <n v="1"/>
    <n v="4099"/>
    <n v="25"/>
    <n v="3070"/>
    <n v="3070"/>
    <s v="UPI"/>
    <x v="2"/>
    <s v="India"/>
    <x v="35"/>
    <s v="Kolasib"/>
    <s v="Premium Shopper"/>
    <x v="2"/>
    <n v="5"/>
    <s v="Cancelled"/>
    <s v="Standard"/>
    <n v="4"/>
  </r>
  <r>
    <s v="ORD200514"/>
    <s v="CUST100241"/>
    <s v="Women"/>
    <s v="35-44"/>
    <x v="1335"/>
    <x v="0"/>
    <x v="31"/>
    <x v="1"/>
    <n v="8"/>
    <s v="Blue"/>
    <n v="1"/>
    <n v="3699"/>
    <n v="5"/>
    <n v="3510"/>
    <n v="3510"/>
    <s v="Debit/Credit Card"/>
    <x v="2"/>
    <s v="India"/>
    <x v="18"/>
    <s v="Bhilai"/>
    <s v="Premium Shopper"/>
    <x v="2"/>
    <n v="4.2"/>
    <s v="Delivered"/>
    <s v="Standard"/>
    <n v="2"/>
  </r>
  <r>
    <s v="ORD201571"/>
    <s v="CUST100531"/>
    <s v="Unisex"/>
    <s v="25-34"/>
    <x v="1336"/>
    <x v="4"/>
    <x v="6"/>
    <x v="2"/>
    <n v="9"/>
    <s v="White"/>
    <n v="1"/>
    <n v="6999"/>
    <n v="10"/>
    <n v="6300"/>
    <n v="6300"/>
    <s v="Debit/Credit Card"/>
    <x v="1"/>
    <s v="India"/>
    <x v="23"/>
    <s v="Rishikesh"/>
    <s v="Value Shopper"/>
    <x v="2"/>
    <n v="3.9"/>
    <s v="Returned"/>
    <s v="Same Day"/>
    <n v="1"/>
  </r>
  <r>
    <s v="ORD200568"/>
    <s v="CUST101040"/>
    <s v="Men"/>
    <s v="45-54"/>
    <x v="1337"/>
    <x v="3"/>
    <x v="35"/>
    <x v="2"/>
    <n v="9"/>
    <s v="Red"/>
    <n v="1"/>
    <n v="6099"/>
    <n v="25"/>
    <n v="4570"/>
    <n v="4570"/>
    <s v="UPI"/>
    <x v="1"/>
    <s v="India"/>
    <x v="10"/>
    <s v="Silvassa"/>
    <s v="Comfort Shopper"/>
    <x v="1"/>
    <n v="4.4000000000000004"/>
    <s v="Delivered"/>
    <s v="Standard"/>
    <n v="4"/>
  </r>
  <r>
    <s v="ORD201794"/>
    <s v="CUST100753"/>
    <s v="Unisex"/>
    <s v="45-54"/>
    <x v="1338"/>
    <x v="4"/>
    <x v="29"/>
    <x v="2"/>
    <n v="12"/>
    <s v="Black"/>
    <n v="1"/>
    <n v="6699"/>
    <n v="20"/>
    <n v="5360"/>
    <n v="5360"/>
    <s v="UPI"/>
    <x v="0"/>
    <s v="India"/>
    <x v="32"/>
    <s v="Bokaro"/>
    <s v="Performance Seeker"/>
    <x v="1"/>
    <n v="3.4"/>
    <s v="Delivered"/>
    <s v="Same Day"/>
    <n v="2"/>
  </r>
  <r>
    <s v="ORD200558"/>
    <s v="CUST100797"/>
    <s v="Men"/>
    <s v="25-34"/>
    <x v="1339"/>
    <x v="0"/>
    <x v="8"/>
    <x v="3"/>
    <n v="7"/>
    <s v="White"/>
    <n v="1"/>
    <n v="8299"/>
    <n v="10"/>
    <n v="7470"/>
    <n v="7470"/>
    <s v="UPI"/>
    <x v="0"/>
    <s v="India"/>
    <x v="24"/>
    <s v="Bengaluru"/>
    <s v="Performance Seeker"/>
    <x v="1"/>
    <n v="3.9"/>
    <s v="Delivered"/>
    <s v="Standard"/>
    <n v="6"/>
  </r>
  <r>
    <s v="ORD202298"/>
    <s v="CUST100322"/>
    <s v="Women"/>
    <s v="55+"/>
    <x v="1339"/>
    <x v="1"/>
    <x v="33"/>
    <x v="0"/>
    <n v="10"/>
    <s v="Black"/>
    <n v="1"/>
    <n v="7399"/>
    <n v="15"/>
    <n v="6290"/>
    <n v="6290"/>
    <s v="UPI"/>
    <x v="1"/>
    <s v="India"/>
    <x v="13"/>
    <s v="Naharlagun"/>
    <s v="Comfort Shopper"/>
    <x v="2"/>
    <n v="3.6"/>
    <s v="Delivered"/>
    <s v="Standard"/>
    <n v="4"/>
  </r>
  <r>
    <s v="ORD201667"/>
    <s v="CUST100038"/>
    <s v="Men"/>
    <s v="35-44"/>
    <x v="1340"/>
    <x v="1"/>
    <x v="20"/>
    <x v="2"/>
    <n v="10"/>
    <s v="Blue"/>
    <n v="1"/>
    <n v="4299"/>
    <n v="0"/>
    <n v="4300"/>
    <n v="4300"/>
    <s v="UPI"/>
    <x v="0"/>
    <s v="India"/>
    <x v="16"/>
    <s v="Rajkot"/>
    <s v="Premium Shopper"/>
    <x v="2"/>
    <n v="4"/>
    <s v="Delivered"/>
    <s v="Standard"/>
    <n v="4"/>
  </r>
  <r>
    <s v="ORD202063"/>
    <s v="CUST100419"/>
    <s v="Men"/>
    <s v="45-54"/>
    <x v="1341"/>
    <x v="2"/>
    <x v="4"/>
    <x v="2"/>
    <n v="8"/>
    <s v="White"/>
    <n v="3"/>
    <n v="5999"/>
    <n v="5"/>
    <n v="5700"/>
    <n v="17100"/>
    <s v="UPI"/>
    <x v="2"/>
    <s v="India"/>
    <x v="14"/>
    <s v="Jalandhar"/>
    <s v="Comfort Shopper"/>
    <x v="2"/>
    <n v="3.3"/>
    <s v="Cancelled"/>
    <s v="Express"/>
    <n v="3"/>
  </r>
  <r>
    <s v="ORD202643"/>
    <s v="CUST100470"/>
    <s v="Men"/>
    <s v="45-54"/>
    <x v="1341"/>
    <x v="0"/>
    <x v="8"/>
    <x v="3"/>
    <n v="7"/>
    <s v="Red"/>
    <n v="1"/>
    <n v="6299"/>
    <n v="15"/>
    <n v="5350"/>
    <n v="5350"/>
    <s v="Cash on Delivery"/>
    <x v="1"/>
    <s v="India"/>
    <x v="24"/>
    <s v="Mysuru"/>
    <s v="Comfort Shopper"/>
    <x v="2"/>
    <n v="3.4"/>
    <s v="Delivered"/>
    <s v="Express"/>
    <n v="2"/>
  </r>
  <r>
    <s v="ORD201548"/>
    <s v="CUST100538"/>
    <s v="Women"/>
    <s v="18-24"/>
    <x v="1342"/>
    <x v="1"/>
    <x v="18"/>
    <x v="2"/>
    <n v="7"/>
    <s v="Blue"/>
    <n v="1"/>
    <n v="9299"/>
    <n v="15"/>
    <n v="7900"/>
    <n v="7900"/>
    <s v="Debit/Credit Card"/>
    <x v="1"/>
    <s v="India"/>
    <x v="5"/>
    <s v="Churachandpur"/>
    <s v="Value Shopper"/>
    <x v="0"/>
    <n v="5"/>
    <s v="Delivered"/>
    <s v="Standard"/>
    <n v="3"/>
  </r>
  <r>
    <s v="ORD201590"/>
    <s v="CUST100672"/>
    <s v="Men"/>
    <s v="35-44"/>
    <x v="1342"/>
    <x v="5"/>
    <x v="14"/>
    <x v="3"/>
    <n v="10"/>
    <s v="White"/>
    <n v="1"/>
    <n v="4599"/>
    <n v="35"/>
    <n v="2990"/>
    <n v="2990"/>
    <s v="UPI"/>
    <x v="1"/>
    <s v="India"/>
    <x v="14"/>
    <s v="Jalandhar"/>
    <s v="Comfort Shopper"/>
    <x v="2"/>
    <n v="4.0999999999999996"/>
    <s v="Cancelled"/>
    <s v="Standard"/>
    <n v="4"/>
  </r>
  <r>
    <s v="ORD200442"/>
    <s v="CUST100609"/>
    <s v="Women"/>
    <s v="25-34"/>
    <x v="1343"/>
    <x v="3"/>
    <x v="35"/>
    <x v="2"/>
    <n v="8"/>
    <s v="Black"/>
    <n v="1"/>
    <n v="7299"/>
    <n v="20"/>
    <n v="5840"/>
    <n v="5840"/>
    <s v="UPI"/>
    <x v="1"/>
    <s v="India"/>
    <x v="25"/>
    <s v="Anantnag"/>
    <s v="Value Shopper"/>
    <x v="0"/>
    <n v="4.0999999999999996"/>
    <s v="Returned"/>
    <s v="Express"/>
    <n v="1"/>
  </r>
  <r>
    <s v="ORD202309"/>
    <s v="CUST100933"/>
    <s v="Women"/>
    <s v="25-34"/>
    <x v="1343"/>
    <x v="2"/>
    <x v="32"/>
    <x v="1"/>
    <n v="8"/>
    <s v="Black"/>
    <n v="1"/>
    <n v="4099"/>
    <n v="30"/>
    <n v="2870"/>
    <n v="2870"/>
    <s v="UPI"/>
    <x v="2"/>
    <s v="India"/>
    <x v="28"/>
    <s v="Leh"/>
    <s v="Lifestyle Shopper"/>
    <x v="2"/>
    <n v="5"/>
    <s v="Returned"/>
    <s v="Express"/>
    <n v="2"/>
  </r>
  <r>
    <s v="ORD202964"/>
    <s v="CUST100328"/>
    <s v="Men"/>
    <s v="18-24"/>
    <x v="1343"/>
    <x v="4"/>
    <x v="29"/>
    <x v="2"/>
    <n v="7"/>
    <s v="Grey"/>
    <n v="1"/>
    <n v="5399"/>
    <n v="25"/>
    <n v="4050"/>
    <n v="4050"/>
    <s v="Cash on Delivery"/>
    <x v="0"/>
    <s v="India"/>
    <x v="13"/>
    <s v="Itanagar"/>
    <s v="Premium Shopper"/>
    <x v="1"/>
    <n v="4.0999999999999996"/>
    <s v="Delivered"/>
    <s v="Standard"/>
    <n v="5"/>
  </r>
  <r>
    <s v="ORD202084"/>
    <s v="CUST100204"/>
    <s v="Unisex"/>
    <s v="55+"/>
    <x v="1344"/>
    <x v="1"/>
    <x v="33"/>
    <x v="0"/>
    <n v="9"/>
    <s v="Grey"/>
    <n v="1"/>
    <n v="6399"/>
    <n v="0"/>
    <n v="6400"/>
    <n v="6400"/>
    <s v="UPI"/>
    <x v="1"/>
    <s v="India"/>
    <x v="18"/>
    <s v="Bilaspur"/>
    <s v="Lifestyle Shopper"/>
    <x v="1"/>
    <n v="4.0999999999999996"/>
    <s v="Delivered"/>
    <s v="Standard"/>
    <n v="3"/>
  </r>
  <r>
    <s v="ORD202851"/>
    <s v="CUST100516"/>
    <s v="Men"/>
    <s v="35-44"/>
    <x v="1345"/>
    <x v="5"/>
    <x v="15"/>
    <x v="4"/>
    <n v="8"/>
    <s v="Green"/>
    <n v="1"/>
    <n v="5099"/>
    <n v="10"/>
    <n v="4590"/>
    <n v="4590"/>
    <s v="UPI"/>
    <x v="2"/>
    <s v="India"/>
    <x v="15"/>
    <s v="New Delhi"/>
    <s v="Lifestyle Shopper"/>
    <x v="0"/>
    <n v="3.7"/>
    <s v="Delivered"/>
    <s v="Standard"/>
    <n v="4"/>
  </r>
  <r>
    <s v="ORD200127"/>
    <s v="CUST100878"/>
    <s v="Women"/>
    <s v="25-34"/>
    <x v="1346"/>
    <x v="0"/>
    <x v="2"/>
    <x v="2"/>
    <n v="6"/>
    <s v="Black"/>
    <n v="1"/>
    <n v="9099"/>
    <n v="0"/>
    <n v="9100"/>
    <n v="9100"/>
    <s v="UPI"/>
    <x v="2"/>
    <s v="India"/>
    <x v="26"/>
    <s v="Kochi"/>
    <s v="Premium Shopper"/>
    <x v="1"/>
    <n v="3.6"/>
    <s v="Delivered"/>
    <s v="Standard"/>
    <n v="3"/>
  </r>
  <r>
    <s v="ORD200143"/>
    <s v="CUST100367"/>
    <s v="Unisex"/>
    <s v="25-34"/>
    <x v="1347"/>
    <x v="0"/>
    <x v="8"/>
    <x v="3"/>
    <n v="12"/>
    <s v="Blue"/>
    <n v="1"/>
    <n v="8899"/>
    <n v="25"/>
    <n v="6670"/>
    <n v="6670"/>
    <s v="Debit/Credit Card"/>
    <x v="0"/>
    <s v="India"/>
    <x v="3"/>
    <s v="Kota"/>
    <s v="Performance Seeker"/>
    <x v="1"/>
    <n v="4.8"/>
    <s v="Delivered"/>
    <s v="Express"/>
    <n v="2"/>
  </r>
  <r>
    <s v="ORD200264"/>
    <s v="CUST100340"/>
    <s v="Men"/>
    <s v="18-24"/>
    <x v="1347"/>
    <x v="2"/>
    <x v="24"/>
    <x v="4"/>
    <n v="6"/>
    <s v="Grey"/>
    <n v="1"/>
    <n v="3099"/>
    <n v="15"/>
    <n v="2630"/>
    <n v="2630"/>
    <s v="UPI"/>
    <x v="2"/>
    <s v="India"/>
    <x v="3"/>
    <s v="Jodhpur"/>
    <s v="Comfort Shopper"/>
    <x v="2"/>
    <n v="4.5"/>
    <s v="Delivered"/>
    <s v="Express"/>
    <n v="3"/>
  </r>
  <r>
    <s v="ORD200733"/>
    <s v="CUST100058"/>
    <s v="Unisex"/>
    <s v="25-34"/>
    <x v="1347"/>
    <x v="5"/>
    <x v="7"/>
    <x v="1"/>
    <n v="8"/>
    <s v="Red"/>
    <n v="1"/>
    <n v="7999"/>
    <n v="35"/>
    <n v="5200"/>
    <n v="5200"/>
    <s v="Debit/Credit Card"/>
    <x v="2"/>
    <s v="India"/>
    <x v="35"/>
    <s v="Champhai"/>
    <s v="Premium Shopper"/>
    <x v="2"/>
    <n v="4.7"/>
    <s v="Cancelled"/>
    <s v="Express"/>
    <n v="2"/>
  </r>
  <r>
    <s v="ORD201078"/>
    <s v="CUST100555"/>
    <s v="Women"/>
    <s v="35-44"/>
    <x v="1347"/>
    <x v="5"/>
    <x v="14"/>
    <x v="3"/>
    <n v="7"/>
    <s v="Green"/>
    <n v="2"/>
    <n v="5099"/>
    <n v="10"/>
    <n v="4590"/>
    <n v="9180"/>
    <s v="Debit/Credit Card"/>
    <x v="2"/>
    <s v="India"/>
    <x v="9"/>
    <s v="Bhagalpur"/>
    <s v="Lifestyle Shopper"/>
    <x v="2"/>
    <n v="4.7"/>
    <s v="Delivered"/>
    <s v="Same Day"/>
    <n v="1"/>
  </r>
  <r>
    <s v="ORD201946"/>
    <s v="CUST100494"/>
    <s v="Men"/>
    <s v="55+"/>
    <x v="1347"/>
    <x v="1"/>
    <x v="18"/>
    <x v="2"/>
    <n v="8"/>
    <s v="Red"/>
    <n v="2"/>
    <n v="7499"/>
    <n v="0"/>
    <n v="7500"/>
    <n v="15000"/>
    <s v="UPI"/>
    <x v="2"/>
    <s v="India"/>
    <x v="28"/>
    <s v="Leh"/>
    <s v="Value Shopper"/>
    <x v="1"/>
    <n v="4.3"/>
    <s v="Delivered"/>
    <s v="Standard"/>
    <n v="4"/>
  </r>
  <r>
    <s v="ORD200366"/>
    <s v="CUST100550"/>
    <s v="Women"/>
    <s v="35-44"/>
    <x v="1348"/>
    <x v="4"/>
    <x v="9"/>
    <x v="1"/>
    <n v="7"/>
    <s v="Black"/>
    <n v="1"/>
    <n v="8599"/>
    <n v="25"/>
    <n v="6450"/>
    <n v="6450"/>
    <s v="Debit/Credit Card"/>
    <x v="0"/>
    <s v="India"/>
    <x v="20"/>
    <s v="Mandi"/>
    <s v="Comfort Shopper"/>
    <x v="2"/>
    <n v="4.0999999999999996"/>
    <s v="Delivered"/>
    <s v="Standard"/>
    <n v="6"/>
  </r>
  <r>
    <s v="ORD202981"/>
    <s v="CUST100625"/>
    <s v="Unisex"/>
    <s v="55+"/>
    <x v="1349"/>
    <x v="0"/>
    <x v="13"/>
    <x v="2"/>
    <n v="10"/>
    <s v="Green"/>
    <n v="1"/>
    <n v="5199"/>
    <n v="25"/>
    <n v="3900"/>
    <n v="3900"/>
    <s v="UPI"/>
    <x v="1"/>
    <s v="India"/>
    <x v="30"/>
    <s v="Burail"/>
    <s v="Comfort Shopper"/>
    <x v="1"/>
    <n v="5"/>
    <s v="Delivered"/>
    <s v="Standard"/>
    <n v="2"/>
  </r>
  <r>
    <s v="ORD200155"/>
    <s v="CUST100677"/>
    <s v="Women"/>
    <s v="18-24"/>
    <x v="1350"/>
    <x v="3"/>
    <x v="28"/>
    <x v="1"/>
    <n v="7"/>
    <s v="Black"/>
    <n v="3"/>
    <n v="3599"/>
    <n v="10"/>
    <n v="3240"/>
    <n v="9720"/>
    <s v="UPI"/>
    <x v="2"/>
    <s v="India"/>
    <x v="3"/>
    <s v="Jodhpur"/>
    <s v="Comfort Shopper"/>
    <x v="1"/>
    <n v="3.1"/>
    <s v="Delivered"/>
    <s v="Express"/>
    <n v="2"/>
  </r>
  <r>
    <s v="ORD201769"/>
    <s v="CUST100922"/>
    <s v="Men"/>
    <s v="25-34"/>
    <x v="1350"/>
    <x v="4"/>
    <x v="26"/>
    <x v="3"/>
    <n v="7"/>
    <s v="Black"/>
    <n v="1"/>
    <n v="8999"/>
    <n v="15"/>
    <n v="7650"/>
    <n v="7650"/>
    <s v="UPI"/>
    <x v="2"/>
    <s v="India"/>
    <x v="19"/>
    <s v="Nongpoh"/>
    <s v="Performance Seeker"/>
    <x v="0"/>
    <n v="3.6"/>
    <s v="Delivered"/>
    <s v="Standard"/>
    <n v="4"/>
  </r>
  <r>
    <s v="ORD200560"/>
    <s v="CUST100044"/>
    <s v="Men"/>
    <s v="35-44"/>
    <x v="1351"/>
    <x v="2"/>
    <x v="25"/>
    <x v="3"/>
    <n v="9"/>
    <s v="Green"/>
    <n v="1"/>
    <n v="8599"/>
    <n v="10"/>
    <n v="7740"/>
    <n v="7740"/>
    <s v="Debit/Credit Card"/>
    <x v="0"/>
    <s v="India"/>
    <x v="26"/>
    <s v="Kochi"/>
    <s v="Lifestyle Shopper"/>
    <x v="2"/>
    <n v="3.9"/>
    <s v="Delivered"/>
    <s v="Standard"/>
    <n v="3"/>
  </r>
  <r>
    <s v="ORD202892"/>
    <s v="CUST100825"/>
    <s v="Men"/>
    <s v="18-24"/>
    <x v="1352"/>
    <x v="1"/>
    <x v="20"/>
    <x v="2"/>
    <n v="11"/>
    <s v="White"/>
    <n v="1"/>
    <n v="6799"/>
    <n v="15"/>
    <n v="5780"/>
    <n v="5780"/>
    <s v="UPI"/>
    <x v="1"/>
    <s v="India"/>
    <x v="27"/>
    <s v="Cuttack"/>
    <s v="Comfort Shopper"/>
    <x v="0"/>
    <n v="5"/>
    <s v="Delivered"/>
    <s v="Express"/>
    <n v="2"/>
  </r>
  <r>
    <s v="ORD201902"/>
    <s v="CUST100115"/>
    <s v="Men"/>
    <s v="18-24"/>
    <x v="1353"/>
    <x v="0"/>
    <x v="19"/>
    <x v="4"/>
    <n v="7"/>
    <s v="Blue"/>
    <n v="1"/>
    <n v="5199"/>
    <n v="20"/>
    <n v="4160"/>
    <n v="4160"/>
    <s v="UPI"/>
    <x v="1"/>
    <s v="India"/>
    <x v="33"/>
    <s v="Mumbai"/>
    <s v="Lifestyle Shopper"/>
    <x v="1"/>
    <n v="4.8"/>
    <s v="Delivered"/>
    <s v="Standard"/>
    <n v="5"/>
  </r>
  <r>
    <s v="ORD201206"/>
    <s v="CUST100032"/>
    <s v="Women"/>
    <s v="35-44"/>
    <x v="1354"/>
    <x v="4"/>
    <x v="29"/>
    <x v="2"/>
    <n v="9"/>
    <s v="White"/>
    <n v="2"/>
    <n v="7799"/>
    <n v="0"/>
    <n v="7800"/>
    <n v="15600"/>
    <s v="UPI"/>
    <x v="1"/>
    <s v="India"/>
    <x v="8"/>
    <s v="Nizamabad"/>
    <s v="Comfort Shopper"/>
    <x v="1"/>
    <n v="3.1"/>
    <s v="Delivered"/>
    <s v="Standard"/>
    <n v="2"/>
  </r>
  <r>
    <s v="ORD200924"/>
    <s v="CUST100497"/>
    <s v="Unisex"/>
    <s v="18-24"/>
    <x v="1355"/>
    <x v="0"/>
    <x v="19"/>
    <x v="4"/>
    <n v="8"/>
    <s v="Blue"/>
    <n v="1"/>
    <n v="5799"/>
    <n v="25"/>
    <n v="4350"/>
    <n v="4350"/>
    <s v="Debit/Credit Card"/>
    <x v="1"/>
    <s v="India"/>
    <x v="24"/>
    <s v="Bengaluru"/>
    <s v="Premium Shopper"/>
    <x v="1"/>
    <n v="3.6"/>
    <s v="Delivered"/>
    <s v="Express"/>
    <n v="3"/>
  </r>
  <r>
    <s v="ORD201119"/>
    <s v="CUST100676"/>
    <s v="Men"/>
    <s v="35-44"/>
    <x v="1355"/>
    <x v="1"/>
    <x v="20"/>
    <x v="2"/>
    <n v="7"/>
    <s v="Grey"/>
    <n v="1"/>
    <n v="4499"/>
    <n v="25"/>
    <n v="3370"/>
    <n v="3370"/>
    <s v="UPI"/>
    <x v="1"/>
    <s v="India"/>
    <x v="15"/>
    <s v="Rohini"/>
    <s v="Comfort Shopper"/>
    <x v="1"/>
    <n v="4.4000000000000004"/>
    <s v="Returned"/>
    <s v="Same Day"/>
    <n v="2"/>
  </r>
  <r>
    <s v="ORD201515"/>
    <s v="CUST100531"/>
    <s v="Men"/>
    <s v="25-34"/>
    <x v="1356"/>
    <x v="0"/>
    <x v="31"/>
    <x v="1"/>
    <n v="6"/>
    <s v="Red"/>
    <n v="1"/>
    <n v="6799"/>
    <n v="5"/>
    <n v="6460"/>
    <n v="6460"/>
    <s v="Debit/Credit Card"/>
    <x v="2"/>
    <s v="India"/>
    <x v="18"/>
    <s v="Bhilai"/>
    <s v="Performance Seeker"/>
    <x v="2"/>
    <n v="3.4"/>
    <s v="Returned"/>
    <s v="Express"/>
    <n v="3"/>
  </r>
  <r>
    <s v="ORD201448"/>
    <s v="CUST100023"/>
    <s v="Men"/>
    <s v="55+"/>
    <x v="1357"/>
    <x v="3"/>
    <x v="5"/>
    <x v="2"/>
    <n v="9"/>
    <s v="Black"/>
    <n v="1"/>
    <n v="4699"/>
    <n v="10"/>
    <n v="4230"/>
    <n v="4230"/>
    <s v="UPI"/>
    <x v="1"/>
    <s v="India"/>
    <x v="17"/>
    <s v="Mahe"/>
    <s v="Value Shopper"/>
    <x v="2"/>
    <n v="3.7"/>
    <s v="Delivered"/>
    <s v="Standard"/>
    <n v="4"/>
  </r>
  <r>
    <s v="ORD202157"/>
    <s v="CUST100596"/>
    <s v="Men"/>
    <s v="45-54"/>
    <x v="1357"/>
    <x v="5"/>
    <x v="27"/>
    <x v="0"/>
    <n v="8"/>
    <s v="Green"/>
    <n v="1"/>
    <n v="9999"/>
    <n v="25"/>
    <n v="7500"/>
    <n v="7500"/>
    <s v="UPI"/>
    <x v="1"/>
    <s v="India"/>
    <x v="17"/>
    <s v="Yanam"/>
    <s v="Comfort Shopper"/>
    <x v="1"/>
    <n v="4.8"/>
    <s v="Delivered"/>
    <s v="Express"/>
    <n v="3"/>
  </r>
  <r>
    <s v="ORD202636"/>
    <s v="CUST100167"/>
    <s v="Women"/>
    <s v="18-24"/>
    <x v="1357"/>
    <x v="2"/>
    <x v="3"/>
    <x v="2"/>
    <n v="10"/>
    <s v="Red"/>
    <n v="2"/>
    <n v="7899"/>
    <n v="25"/>
    <n v="5920"/>
    <n v="11840"/>
    <s v="UPI"/>
    <x v="0"/>
    <s v="India"/>
    <x v="17"/>
    <s v="Yanam"/>
    <s v="Performance Seeker"/>
    <x v="2"/>
    <n v="3.4"/>
    <s v="Delivered"/>
    <s v="Standard"/>
    <n v="3"/>
  </r>
  <r>
    <s v="ORD201629"/>
    <s v="CUST100508"/>
    <s v="Women"/>
    <s v="18-24"/>
    <x v="1358"/>
    <x v="2"/>
    <x v="24"/>
    <x v="4"/>
    <n v="7"/>
    <s v="Black"/>
    <n v="2"/>
    <n v="3299"/>
    <n v="15"/>
    <n v="2800"/>
    <n v="5600"/>
    <s v="UPI"/>
    <x v="1"/>
    <s v="India"/>
    <x v="35"/>
    <s v="Champhai"/>
    <s v="Performance Seeker"/>
    <x v="2"/>
    <n v="4.5"/>
    <s v="Delivered"/>
    <s v="Standard"/>
    <n v="1"/>
  </r>
  <r>
    <s v="ORD202898"/>
    <s v="CUST100589"/>
    <s v="Men"/>
    <s v="35-44"/>
    <x v="1358"/>
    <x v="4"/>
    <x v="9"/>
    <x v="1"/>
    <n v="7"/>
    <s v="Grey"/>
    <n v="1"/>
    <n v="8399"/>
    <n v="15"/>
    <n v="7140"/>
    <n v="7140"/>
    <s v="UPI"/>
    <x v="2"/>
    <s v="India"/>
    <x v="26"/>
    <s v="Thiruvananthapuram"/>
    <s v="Lifestyle Shopper"/>
    <x v="2"/>
    <n v="4.4000000000000004"/>
    <s v="Returned"/>
    <s v="Standard"/>
    <n v="2"/>
  </r>
  <r>
    <s v="ORD202314"/>
    <s v="CUST100072"/>
    <s v="Women"/>
    <s v="35-44"/>
    <x v="1359"/>
    <x v="2"/>
    <x v="32"/>
    <x v="1"/>
    <n v="10"/>
    <s v="White"/>
    <n v="1"/>
    <n v="3999"/>
    <n v="15"/>
    <n v="3400"/>
    <n v="3400"/>
    <s v="UPI"/>
    <x v="1"/>
    <s v="India"/>
    <x v="2"/>
    <s v="Panipat"/>
    <s v="Value Shopper"/>
    <x v="2"/>
    <n v="4"/>
    <s v="Delivered"/>
    <s v="Standard"/>
    <n v="1"/>
  </r>
  <r>
    <s v="ORD201122"/>
    <s v="CUST100084"/>
    <s v="Women"/>
    <s v="18-24"/>
    <x v="1360"/>
    <x v="3"/>
    <x v="11"/>
    <x v="4"/>
    <n v="8"/>
    <s v="White"/>
    <n v="1"/>
    <n v="4199"/>
    <n v="20"/>
    <n v="3360"/>
    <n v="3360"/>
    <s v="UPI"/>
    <x v="1"/>
    <s v="India"/>
    <x v="24"/>
    <s v="Mangaluru"/>
    <s v="Performance Seeker"/>
    <x v="2"/>
    <n v="3.7"/>
    <s v="Returned"/>
    <s v="Standard"/>
    <n v="3"/>
  </r>
  <r>
    <s v="ORD201522"/>
    <s v="CUST100591"/>
    <s v="Men"/>
    <s v="25-34"/>
    <x v="1361"/>
    <x v="1"/>
    <x v="1"/>
    <x v="1"/>
    <n v="8"/>
    <s v="Black"/>
    <n v="2"/>
    <n v="6799"/>
    <n v="0"/>
    <n v="6800"/>
    <n v="13600"/>
    <s v="UPI"/>
    <x v="1"/>
    <s v="India"/>
    <x v="6"/>
    <s v="Lucknow"/>
    <s v="Premium Shopper"/>
    <x v="0"/>
    <n v="4"/>
    <s v="Delivered"/>
    <s v="Same Day"/>
    <n v="1"/>
  </r>
  <r>
    <s v="ORD201924"/>
    <s v="CUST100775"/>
    <s v="Women"/>
    <s v="18-24"/>
    <x v="1361"/>
    <x v="5"/>
    <x v="21"/>
    <x v="2"/>
    <n v="10"/>
    <s v="White"/>
    <n v="1"/>
    <n v="9699"/>
    <n v="5"/>
    <n v="9210"/>
    <n v="9210"/>
    <s v="Debit/Credit Card"/>
    <x v="0"/>
    <s v="India"/>
    <x v="31"/>
    <s v="Coimbatore"/>
    <s v="Value Shopper"/>
    <x v="1"/>
    <n v="4"/>
    <s v="Delivered"/>
    <s v="Standard"/>
    <n v="5"/>
  </r>
  <r>
    <s v="ORD202198"/>
    <s v="CUST100155"/>
    <s v="Men"/>
    <s v="45-54"/>
    <x v="1361"/>
    <x v="5"/>
    <x v="15"/>
    <x v="4"/>
    <n v="8"/>
    <s v="Black"/>
    <n v="1"/>
    <n v="3899"/>
    <n v="10"/>
    <n v="3510"/>
    <n v="3510"/>
    <s v="UPI"/>
    <x v="1"/>
    <s v="India"/>
    <x v="21"/>
    <s v="Kohima"/>
    <s v="Comfort Shopper"/>
    <x v="0"/>
    <n v="4"/>
    <s v="Delivered"/>
    <s v="Standard"/>
    <n v="6"/>
  </r>
  <r>
    <s v="ORD200645"/>
    <s v="CUST100233"/>
    <s v="Men"/>
    <s v="55+"/>
    <x v="1362"/>
    <x v="5"/>
    <x v="30"/>
    <x v="2"/>
    <n v="11"/>
    <s v="Black"/>
    <n v="2"/>
    <n v="5999"/>
    <n v="10"/>
    <n v="5400"/>
    <n v="10800"/>
    <s v="Debit/Credit Card"/>
    <x v="0"/>
    <s v="India"/>
    <x v="0"/>
    <s v="Jorhat"/>
    <s v="Comfort Shopper"/>
    <x v="2"/>
    <n v="5"/>
    <s v="Delivered"/>
    <s v="Express"/>
    <n v="1"/>
  </r>
  <r>
    <s v="ORD201073"/>
    <s v="CUST100156"/>
    <s v="Women"/>
    <s v="18-24"/>
    <x v="1362"/>
    <x v="2"/>
    <x v="25"/>
    <x v="3"/>
    <n v="12"/>
    <s v="Black"/>
    <n v="3"/>
    <n v="3099"/>
    <n v="20"/>
    <n v="2480"/>
    <n v="7440"/>
    <s v="Debit/Credit Card"/>
    <x v="1"/>
    <s v="India"/>
    <x v="1"/>
    <s v="Margao"/>
    <s v="Lifestyle Shopper"/>
    <x v="2"/>
    <n v="3.8"/>
    <s v="Cancelled"/>
    <s v="Express"/>
    <n v="2"/>
  </r>
  <r>
    <s v="ORD201102"/>
    <s v="CUST100666"/>
    <s v="Men"/>
    <s v="35-44"/>
    <x v="1363"/>
    <x v="5"/>
    <x v="7"/>
    <x v="1"/>
    <n v="9"/>
    <s v="Green"/>
    <n v="1"/>
    <n v="7499"/>
    <n v="20"/>
    <n v="6000"/>
    <n v="6000"/>
    <s v="UPI"/>
    <x v="2"/>
    <s v="India"/>
    <x v="18"/>
    <s v="Bilaspur"/>
    <s v="Premium Shopper"/>
    <x v="1"/>
    <n v="5"/>
    <s v="Delivered"/>
    <s v="Standard"/>
    <n v="5"/>
  </r>
  <r>
    <s v="ORD200602"/>
    <s v="CUST100533"/>
    <s v="Men"/>
    <s v="25-34"/>
    <x v="1364"/>
    <x v="2"/>
    <x v="24"/>
    <x v="4"/>
    <n v="7"/>
    <s v="Red"/>
    <n v="2"/>
    <n v="3499"/>
    <n v="20"/>
    <n v="2800"/>
    <n v="5600"/>
    <s v="Cash on Delivery"/>
    <x v="0"/>
    <s v="India"/>
    <x v="13"/>
    <s v="Naharlagun"/>
    <s v="Performance Seeker"/>
    <x v="1"/>
    <n v="4.9000000000000004"/>
    <s v="Delivered"/>
    <s v="Standard"/>
    <n v="1"/>
  </r>
  <r>
    <s v="ORD200610"/>
    <s v="CUST100751"/>
    <s v="Women"/>
    <s v="18-24"/>
    <x v="1364"/>
    <x v="0"/>
    <x v="31"/>
    <x v="1"/>
    <n v="7"/>
    <s v="Blue"/>
    <n v="2"/>
    <n v="6099"/>
    <n v="15"/>
    <n v="5180"/>
    <n v="10360"/>
    <s v="Debit/Credit Card"/>
    <x v="0"/>
    <s v="India"/>
    <x v="31"/>
    <s v="Chennai"/>
    <s v="Performance Seeker"/>
    <x v="1"/>
    <n v="4.3"/>
    <s v="Delivered"/>
    <s v="Standard"/>
    <n v="5"/>
  </r>
  <r>
    <s v="ORD200222"/>
    <s v="CUST100166"/>
    <s v="Unisex"/>
    <s v="18-24"/>
    <x v="1365"/>
    <x v="3"/>
    <x v="11"/>
    <x v="4"/>
    <n v="10"/>
    <s v="Grey"/>
    <n v="1"/>
    <n v="3899"/>
    <n v="20"/>
    <n v="3120"/>
    <n v="3120"/>
    <s v="UPI"/>
    <x v="2"/>
    <s v="India"/>
    <x v="5"/>
    <s v="Imphal"/>
    <s v="Premium Shopper"/>
    <x v="2"/>
    <n v="3.5"/>
    <s v="Delivered"/>
    <s v="Standard"/>
    <n v="2"/>
  </r>
  <r>
    <s v="ORD200989"/>
    <s v="CUST100106"/>
    <s v="Men"/>
    <s v="18-24"/>
    <x v="1366"/>
    <x v="0"/>
    <x v="31"/>
    <x v="1"/>
    <n v="11"/>
    <s v="Grey"/>
    <n v="3"/>
    <n v="6499"/>
    <n v="25"/>
    <n v="4870"/>
    <n v="14610"/>
    <s v="UPI"/>
    <x v="1"/>
    <s v="India"/>
    <x v="34"/>
    <s v="Siliguri"/>
    <s v="Value Shopper"/>
    <x v="1"/>
    <n v="4.4000000000000004"/>
    <s v="Cancelled"/>
    <s v="Standard"/>
    <n v="4"/>
  </r>
  <r>
    <s v="ORD203073"/>
    <s v="CUST100676"/>
    <s v="Men"/>
    <s v="25-34"/>
    <x v="1367"/>
    <x v="1"/>
    <x v="20"/>
    <x v="2"/>
    <n v="8"/>
    <s v="Blue"/>
    <n v="2"/>
    <n v="4199"/>
    <n v="5"/>
    <n v="3990"/>
    <n v="7980"/>
    <s v="UPI"/>
    <x v="1"/>
    <s v="India"/>
    <x v="5"/>
    <s v="Thoubal"/>
    <s v="Premium Shopper"/>
    <x v="1"/>
    <n v="4.2"/>
    <s v="Delivered"/>
    <s v="Standard"/>
    <n v="6"/>
  </r>
  <r>
    <s v="ORD201285"/>
    <s v="CUST100223"/>
    <s v="Women"/>
    <s v="45-54"/>
    <x v="1368"/>
    <x v="0"/>
    <x v="2"/>
    <x v="2"/>
    <n v="11"/>
    <s v="Black"/>
    <n v="1"/>
    <n v="4099"/>
    <n v="10"/>
    <n v="3690"/>
    <n v="3690"/>
    <s v="UPI"/>
    <x v="2"/>
    <s v="India"/>
    <x v="18"/>
    <s v="Bilaspur"/>
    <s v="Performance Seeker"/>
    <x v="1"/>
    <n v="4.5999999999999996"/>
    <s v="Delivered"/>
    <s v="Same Day"/>
    <n v="1"/>
  </r>
  <r>
    <s v="ORD202340"/>
    <s v="CUST100381"/>
    <s v="Women"/>
    <s v="35-44"/>
    <x v="1369"/>
    <x v="3"/>
    <x v="35"/>
    <x v="2"/>
    <n v="6"/>
    <s v="Black"/>
    <n v="4"/>
    <n v="3599"/>
    <n v="5"/>
    <n v="3420"/>
    <n v="13680"/>
    <s v="Debit/Credit Card"/>
    <x v="0"/>
    <s v="India"/>
    <x v="15"/>
    <s v="New Delhi"/>
    <s v="Comfort Shopper"/>
    <x v="1"/>
    <n v="3.7"/>
    <s v="Delivered"/>
    <s v="Express"/>
    <n v="2"/>
  </r>
  <r>
    <s v="ORD200690"/>
    <s v="CUST100833"/>
    <s v="Men"/>
    <s v="25-34"/>
    <x v="1370"/>
    <x v="4"/>
    <x v="26"/>
    <x v="3"/>
    <n v="12"/>
    <s v="White"/>
    <n v="1"/>
    <n v="8799"/>
    <n v="15"/>
    <n v="7480"/>
    <n v="7480"/>
    <s v="UPI"/>
    <x v="2"/>
    <s v="India"/>
    <x v="11"/>
    <s v="Kavaratti"/>
    <s v="Lifestyle Shopper"/>
    <x v="0"/>
    <n v="5"/>
    <s v="Returned"/>
    <s v="Standard"/>
    <n v="5"/>
  </r>
  <r>
    <s v="ORD200970"/>
    <s v="CUST100660"/>
    <s v="Men"/>
    <s v="35-44"/>
    <x v="1370"/>
    <x v="4"/>
    <x v="26"/>
    <x v="3"/>
    <n v="8"/>
    <s v="White"/>
    <n v="1"/>
    <n v="6899"/>
    <n v="20"/>
    <n v="5520"/>
    <n v="5520"/>
    <s v="UPI"/>
    <x v="1"/>
    <s v="India"/>
    <x v="2"/>
    <s v="Faridabad"/>
    <s v="Comfort Shopper"/>
    <x v="1"/>
    <n v="4.4000000000000004"/>
    <s v="Delivered"/>
    <s v="Express"/>
    <n v="2"/>
  </r>
  <r>
    <s v="ORD200642"/>
    <s v="CUST100881"/>
    <s v="Unisex"/>
    <s v="25-34"/>
    <x v="1371"/>
    <x v="2"/>
    <x v="24"/>
    <x v="4"/>
    <n v="9"/>
    <s v="Blue"/>
    <n v="1"/>
    <n v="7799"/>
    <n v="20"/>
    <n v="6240"/>
    <n v="6240"/>
    <s v="Debit/Credit Card"/>
    <x v="1"/>
    <s v="India"/>
    <x v="20"/>
    <s v="Dharamshala"/>
    <s v="Premium Shopper"/>
    <x v="2"/>
    <n v="2.9"/>
    <s v="Delivered"/>
    <s v="Standard"/>
    <n v="3"/>
  </r>
  <r>
    <s v="ORD202454"/>
    <s v="CUST100453"/>
    <s v="Men"/>
    <s v="55+"/>
    <x v="1372"/>
    <x v="2"/>
    <x v="3"/>
    <x v="2"/>
    <n v="9"/>
    <s v="Black"/>
    <n v="2"/>
    <n v="4799"/>
    <n v="20"/>
    <n v="3840"/>
    <n v="7680"/>
    <s v="UPI"/>
    <x v="1"/>
    <s v="India"/>
    <x v="14"/>
    <s v="Jalandhar"/>
    <s v="Performance Seeker"/>
    <x v="2"/>
    <n v="3.7"/>
    <s v="Delivered"/>
    <s v="Express"/>
    <n v="4"/>
  </r>
  <r>
    <s v="ORD201231"/>
    <s v="CUST100792"/>
    <s v="Women"/>
    <s v="18-24"/>
    <x v="1373"/>
    <x v="5"/>
    <x v="15"/>
    <x v="4"/>
    <n v="8"/>
    <s v="Red"/>
    <n v="3"/>
    <n v="9199"/>
    <n v="0"/>
    <n v="9200"/>
    <n v="27600"/>
    <s v="Debit/Credit Card"/>
    <x v="1"/>
    <s v="India"/>
    <x v="14"/>
    <s v="Amritsar"/>
    <s v="Comfort Shopper"/>
    <x v="2"/>
    <n v="3.7"/>
    <s v="Delivered"/>
    <s v="Standard"/>
    <n v="3"/>
  </r>
  <r>
    <s v="ORD201287"/>
    <s v="CUST100897"/>
    <s v="Men"/>
    <s v="18-24"/>
    <x v="1373"/>
    <x v="2"/>
    <x v="3"/>
    <x v="2"/>
    <n v="9"/>
    <s v="White"/>
    <n v="1"/>
    <n v="3299"/>
    <n v="20"/>
    <n v="2640"/>
    <n v="2640"/>
    <s v="Debit/Credit Card"/>
    <x v="0"/>
    <s v="India"/>
    <x v="23"/>
    <s v="Haridwar"/>
    <s v="Lifestyle Shopper"/>
    <x v="1"/>
    <n v="3.7"/>
    <s v="Cancelled"/>
    <s v="Standard"/>
    <n v="3"/>
  </r>
  <r>
    <s v="ORD202658"/>
    <s v="CUST100743"/>
    <s v="Men"/>
    <s v="25-34"/>
    <x v="1373"/>
    <x v="2"/>
    <x v="3"/>
    <x v="2"/>
    <n v="7"/>
    <s v="Grey"/>
    <n v="1"/>
    <n v="3799"/>
    <n v="30"/>
    <n v="2660"/>
    <n v="2660"/>
    <s v="Debit/Credit Card"/>
    <x v="2"/>
    <s v="India"/>
    <x v="10"/>
    <s v="Silvassa"/>
    <s v="Lifestyle Shopper"/>
    <x v="1"/>
    <n v="3.8"/>
    <s v="Delivered"/>
    <s v="Standard"/>
    <n v="5"/>
  </r>
  <r>
    <s v="ORD202889"/>
    <s v="CUST100328"/>
    <s v="Unisex"/>
    <s v="45-54"/>
    <x v="1373"/>
    <x v="0"/>
    <x v="2"/>
    <x v="2"/>
    <n v="10"/>
    <s v="Black"/>
    <n v="2"/>
    <n v="8399"/>
    <n v="15"/>
    <n v="7140"/>
    <n v="14280"/>
    <s v="UPI"/>
    <x v="0"/>
    <s v="India"/>
    <x v="13"/>
    <s v="Pasighat"/>
    <s v="Comfort Shopper"/>
    <x v="1"/>
    <n v="5"/>
    <s v="Delivered"/>
    <s v="Standard"/>
    <n v="2"/>
  </r>
  <r>
    <s v="ORD201171"/>
    <s v="CUST100454"/>
    <s v="Women"/>
    <s v="25-34"/>
    <x v="1374"/>
    <x v="4"/>
    <x v="26"/>
    <x v="3"/>
    <n v="12"/>
    <s v="White"/>
    <n v="1"/>
    <n v="6499"/>
    <n v="15"/>
    <n v="5520"/>
    <n v="5520"/>
    <s v="Cash on Delivery"/>
    <x v="1"/>
    <s v="India"/>
    <x v="30"/>
    <s v="Burail"/>
    <s v="Performance Seeker"/>
    <x v="0"/>
    <n v="4.7"/>
    <s v="Delivered"/>
    <s v="Express"/>
    <n v="3"/>
  </r>
  <r>
    <s v="ORD201957"/>
    <s v="CUST100376"/>
    <s v="Women"/>
    <s v="25-34"/>
    <x v="1374"/>
    <x v="5"/>
    <x v="30"/>
    <x v="2"/>
    <n v="9"/>
    <s v="White"/>
    <n v="1"/>
    <n v="9899"/>
    <n v="15"/>
    <n v="8410"/>
    <n v="8410"/>
    <s v="UPI"/>
    <x v="1"/>
    <s v="India"/>
    <x v="27"/>
    <s v="Cuttack"/>
    <s v="Comfort Shopper"/>
    <x v="2"/>
    <n v="5"/>
    <s v="Cancelled"/>
    <s v="Same Day"/>
    <n v="1"/>
  </r>
  <r>
    <s v="ORD202661"/>
    <s v="CUST100429"/>
    <s v="Men"/>
    <s v="25-34"/>
    <x v="1374"/>
    <x v="1"/>
    <x v="12"/>
    <x v="4"/>
    <n v="7"/>
    <s v="White"/>
    <n v="3"/>
    <n v="4499"/>
    <n v="0"/>
    <n v="4500"/>
    <n v="13500"/>
    <s v="Debit/Credit Card"/>
    <x v="0"/>
    <s v="India"/>
    <x v="28"/>
    <s v="Leh"/>
    <s v="Value Shopper"/>
    <x v="1"/>
    <n v="3.7"/>
    <s v="Delivered"/>
    <s v="Same Day"/>
    <n v="1"/>
  </r>
  <r>
    <s v="ORD201685"/>
    <s v="CUST100227"/>
    <s v="Men"/>
    <s v="18-24"/>
    <x v="1375"/>
    <x v="5"/>
    <x v="21"/>
    <x v="2"/>
    <n v="8"/>
    <s v="Grey"/>
    <n v="2"/>
    <n v="5599"/>
    <n v="0"/>
    <n v="5600"/>
    <n v="11200"/>
    <s v="UPI"/>
    <x v="0"/>
    <s v="India"/>
    <x v="0"/>
    <s v="Jorhat"/>
    <s v="Value Shopper"/>
    <x v="2"/>
    <n v="4.2"/>
    <s v="Delivered"/>
    <s v="Express"/>
    <n v="2"/>
  </r>
  <r>
    <s v="ORD200344"/>
    <s v="CUST100031"/>
    <s v="Men"/>
    <s v="18-24"/>
    <x v="1376"/>
    <x v="3"/>
    <x v="28"/>
    <x v="1"/>
    <n v="10"/>
    <s v="Blue"/>
    <n v="2"/>
    <n v="5099"/>
    <n v="15"/>
    <n v="4330"/>
    <n v="8660"/>
    <s v="Debit/Credit Card"/>
    <x v="1"/>
    <s v="India"/>
    <x v="8"/>
    <s v="Nizamabad"/>
    <s v="Premium Shopper"/>
    <x v="1"/>
    <n v="4.5999999999999996"/>
    <s v="Returned"/>
    <s v="Standard"/>
    <n v="7"/>
  </r>
  <r>
    <s v="ORD202568"/>
    <s v="CUST100561"/>
    <s v="Women"/>
    <s v="18-24"/>
    <x v="1377"/>
    <x v="1"/>
    <x v="33"/>
    <x v="0"/>
    <n v="8"/>
    <s v="Black"/>
    <n v="2"/>
    <n v="4299"/>
    <n v="10"/>
    <n v="3870"/>
    <n v="7740"/>
    <s v="UPI"/>
    <x v="0"/>
    <s v="India"/>
    <x v="35"/>
    <s v="Aizawl"/>
    <s v="Lifestyle Shopper"/>
    <x v="1"/>
    <n v="3.8"/>
    <s v="Delivered"/>
    <s v="Express"/>
    <n v="2"/>
  </r>
  <r>
    <s v="ORD202592"/>
    <s v="CUST100690"/>
    <s v="Women"/>
    <s v="18-24"/>
    <x v="1377"/>
    <x v="5"/>
    <x v="15"/>
    <x v="4"/>
    <n v="8"/>
    <s v="Black"/>
    <n v="1"/>
    <n v="6899"/>
    <n v="15"/>
    <n v="5860"/>
    <n v="5860"/>
    <s v="UPI"/>
    <x v="1"/>
    <s v="India"/>
    <x v="32"/>
    <s v="Dhanbad"/>
    <s v="Lifestyle Shopper"/>
    <x v="0"/>
    <n v="4.2"/>
    <s v="Delivered"/>
    <s v="Standard"/>
    <n v="5"/>
  </r>
  <r>
    <s v="ORD200824"/>
    <s v="CUST100452"/>
    <s v="Women"/>
    <s v="35-44"/>
    <x v="1378"/>
    <x v="0"/>
    <x v="8"/>
    <x v="3"/>
    <n v="8"/>
    <s v="White"/>
    <n v="2"/>
    <n v="7399"/>
    <n v="15"/>
    <n v="6290"/>
    <n v="12580"/>
    <s v="Debit/Credit Card"/>
    <x v="1"/>
    <s v="India"/>
    <x v="33"/>
    <s v="Pune"/>
    <s v="Premium Shopper"/>
    <x v="2"/>
    <n v="3.4"/>
    <s v="Delivered"/>
    <s v="Standard"/>
    <n v="5"/>
  </r>
  <r>
    <s v="ORD202724"/>
    <s v="CUST100950"/>
    <s v="Men"/>
    <s v="18-24"/>
    <x v="1379"/>
    <x v="0"/>
    <x v="19"/>
    <x v="4"/>
    <n v="12"/>
    <s v="White"/>
    <n v="2"/>
    <n v="8299"/>
    <n v="10"/>
    <n v="7470"/>
    <n v="14940"/>
    <s v="Debit/Credit Card"/>
    <x v="1"/>
    <s v="India"/>
    <x v="19"/>
    <s v="Tura"/>
    <s v="Lifestyle Shopper"/>
    <x v="0"/>
    <n v="3.7"/>
    <s v="Delivered"/>
    <s v="Express"/>
    <n v="2"/>
  </r>
  <r>
    <s v="ORD200430"/>
    <s v="CUST100564"/>
    <s v="Men"/>
    <s v="35-44"/>
    <x v="1380"/>
    <x v="1"/>
    <x v="33"/>
    <x v="0"/>
    <n v="10"/>
    <s v="White"/>
    <n v="3"/>
    <n v="6799"/>
    <n v="30"/>
    <n v="4760"/>
    <n v="14280"/>
    <s v="Debit/Credit Card"/>
    <x v="0"/>
    <s v="India"/>
    <x v="5"/>
    <s v="Imphal"/>
    <s v="Lifestyle Shopper"/>
    <x v="0"/>
    <n v="3.8"/>
    <s v="Delivered"/>
    <s v="Standard"/>
    <n v="5"/>
  </r>
  <r>
    <s v="ORD201831"/>
    <s v="CUST100779"/>
    <s v="Women"/>
    <s v="35-44"/>
    <x v="1381"/>
    <x v="4"/>
    <x v="17"/>
    <x v="4"/>
    <n v="9"/>
    <s v="White"/>
    <n v="2"/>
    <n v="4199"/>
    <n v="10"/>
    <n v="3780"/>
    <n v="7560"/>
    <s v="UPI"/>
    <x v="0"/>
    <s v="India"/>
    <x v="29"/>
    <s v="Tirupati"/>
    <s v="Value Shopper"/>
    <x v="0"/>
    <n v="4.2"/>
    <s v="Delivered"/>
    <s v="Standard"/>
    <n v="4"/>
  </r>
  <r>
    <s v="ORD202012"/>
    <s v="CUST100224"/>
    <s v="Men"/>
    <s v="25-34"/>
    <x v="1381"/>
    <x v="1"/>
    <x v="10"/>
    <x v="3"/>
    <n v="11"/>
    <s v="Green"/>
    <n v="1"/>
    <n v="8699"/>
    <n v="10"/>
    <n v="7830"/>
    <n v="7830"/>
    <s v="UPI"/>
    <x v="1"/>
    <s v="India"/>
    <x v="24"/>
    <s v="Hubballi"/>
    <s v="Performance Seeker"/>
    <x v="1"/>
    <n v="5"/>
    <s v="Delivered"/>
    <s v="Standard"/>
    <n v="3"/>
  </r>
  <r>
    <s v="ORD202516"/>
    <s v="CUST100305"/>
    <s v="Women"/>
    <s v="35-44"/>
    <x v="1382"/>
    <x v="4"/>
    <x v="22"/>
    <x v="0"/>
    <n v="8"/>
    <s v="Red"/>
    <n v="1"/>
    <n v="7899"/>
    <n v="25"/>
    <n v="5920"/>
    <n v="5920"/>
    <s v="Debit/Credit Card"/>
    <x v="2"/>
    <s v="India"/>
    <x v="28"/>
    <s v="Nubra"/>
    <s v="Lifestyle Shopper"/>
    <x v="2"/>
    <n v="3.8"/>
    <s v="Cancelled"/>
    <s v="Standard"/>
    <n v="3"/>
  </r>
  <r>
    <s v="ORD200633"/>
    <s v="CUST100306"/>
    <s v="Men"/>
    <s v="25-34"/>
    <x v="1383"/>
    <x v="1"/>
    <x v="10"/>
    <x v="3"/>
    <n v="11"/>
    <s v="Green"/>
    <n v="1"/>
    <n v="7699"/>
    <n v="5"/>
    <n v="7310"/>
    <n v="7310"/>
    <s v="UPI"/>
    <x v="1"/>
    <s v="India"/>
    <x v="17"/>
    <s v="Puducherry"/>
    <s v="Performance Seeker"/>
    <x v="2"/>
    <n v="4.5999999999999996"/>
    <s v="Cancelled"/>
    <s v="Same Day"/>
    <n v="1"/>
  </r>
  <r>
    <s v="ORD201712"/>
    <s v="CUST100172"/>
    <s v="Unisex"/>
    <s v="25-34"/>
    <x v="1383"/>
    <x v="1"/>
    <x v="1"/>
    <x v="1"/>
    <n v="10"/>
    <s v="Red"/>
    <n v="2"/>
    <n v="5999"/>
    <n v="10"/>
    <n v="5400"/>
    <n v="10800"/>
    <s v="UPI"/>
    <x v="1"/>
    <s v="India"/>
    <x v="18"/>
    <s v="Bhilai"/>
    <s v="Premium Shopper"/>
    <x v="2"/>
    <n v="4.4000000000000004"/>
    <s v="Delivered"/>
    <s v="Express"/>
    <n v="4"/>
  </r>
  <r>
    <s v="ORD200932"/>
    <s v="CUST100372"/>
    <s v="Men"/>
    <s v="25-34"/>
    <x v="1384"/>
    <x v="5"/>
    <x v="15"/>
    <x v="4"/>
    <n v="9"/>
    <s v="Grey"/>
    <n v="3"/>
    <n v="7699"/>
    <n v="15"/>
    <n v="6540"/>
    <n v="19620"/>
    <s v="UPI"/>
    <x v="1"/>
    <s v="India"/>
    <x v="8"/>
    <s v="Hyderabad"/>
    <s v="Value Shopper"/>
    <x v="1"/>
    <n v="4.4000000000000004"/>
    <s v="Delivered"/>
    <s v="Standard"/>
    <n v="3"/>
  </r>
  <r>
    <s v="ORD202006"/>
    <s v="CUST100933"/>
    <s v="Men"/>
    <s v="25-34"/>
    <x v="1385"/>
    <x v="0"/>
    <x v="19"/>
    <x v="4"/>
    <n v="11"/>
    <s v="Black"/>
    <n v="1"/>
    <n v="4599"/>
    <n v="10"/>
    <n v="4140"/>
    <n v="4140"/>
    <s v="UPI"/>
    <x v="1"/>
    <s v="India"/>
    <x v="29"/>
    <s v="Visakhapatnam"/>
    <s v="Comfort Shopper"/>
    <x v="2"/>
    <n v="4.0999999999999996"/>
    <s v="Delivered"/>
    <s v="Standard"/>
    <n v="5"/>
  </r>
  <r>
    <s v="ORD200614"/>
    <s v="CUST100794"/>
    <s v="Unisex"/>
    <s v="35-44"/>
    <x v="1386"/>
    <x v="4"/>
    <x v="26"/>
    <x v="3"/>
    <n v="9"/>
    <s v="Green"/>
    <n v="1"/>
    <n v="6799"/>
    <n v="30"/>
    <n v="4760"/>
    <n v="4760"/>
    <s v="UPI"/>
    <x v="2"/>
    <s v="India"/>
    <x v="34"/>
    <s v="Siliguri"/>
    <s v="Premium Shopper"/>
    <x v="2"/>
    <n v="4.9000000000000004"/>
    <s v="Delivered"/>
    <s v="Express"/>
    <n v="4"/>
  </r>
  <r>
    <s v="ORD201838"/>
    <s v="CUST100225"/>
    <s v="Men"/>
    <s v="18-24"/>
    <x v="1386"/>
    <x v="1"/>
    <x v="20"/>
    <x v="2"/>
    <n v="8"/>
    <s v="Blue"/>
    <n v="1"/>
    <n v="9499"/>
    <n v="35"/>
    <n v="6170"/>
    <n v="6170"/>
    <s v="Debit/Credit Card"/>
    <x v="1"/>
    <s v="India"/>
    <x v="14"/>
    <s v="Patiala"/>
    <s v="Lifestyle Shopper"/>
    <x v="1"/>
    <n v="3.8"/>
    <s v="Delivered"/>
    <s v="Standard"/>
    <n v="2"/>
  </r>
  <r>
    <s v="ORD200952"/>
    <s v="CUST100439"/>
    <s v="Men"/>
    <s v="25-34"/>
    <x v="1387"/>
    <x v="5"/>
    <x v="7"/>
    <x v="1"/>
    <n v="9"/>
    <s v="Red"/>
    <n v="1"/>
    <n v="5799"/>
    <n v="10"/>
    <n v="5220"/>
    <n v="5220"/>
    <s v="UPI"/>
    <x v="1"/>
    <s v="India"/>
    <x v="7"/>
    <s v="Bhopal"/>
    <s v="Performance Seeker"/>
    <x v="2"/>
    <n v="5"/>
    <s v="Delivered"/>
    <s v="Standard"/>
    <n v="3"/>
  </r>
  <r>
    <s v="ORD201093"/>
    <s v="CUST100187"/>
    <s v="Men"/>
    <s v="18-24"/>
    <x v="1387"/>
    <x v="3"/>
    <x v="34"/>
    <x v="3"/>
    <n v="11"/>
    <s v="Grey"/>
    <n v="1"/>
    <n v="7599"/>
    <n v="20"/>
    <n v="6080"/>
    <n v="6080"/>
    <s v="Debit/Credit Card"/>
    <x v="2"/>
    <s v="India"/>
    <x v="14"/>
    <s v="Ludhiana"/>
    <s v="Value Shopper"/>
    <x v="0"/>
    <n v="3.7"/>
    <s v="Delivered"/>
    <s v="Standard"/>
    <n v="4"/>
  </r>
  <r>
    <s v="ORD202907"/>
    <s v="CUST100380"/>
    <s v="Women"/>
    <s v="35-44"/>
    <x v="1387"/>
    <x v="3"/>
    <x v="28"/>
    <x v="1"/>
    <n v="9"/>
    <s v="Black"/>
    <n v="1"/>
    <n v="3699"/>
    <n v="30"/>
    <n v="2590"/>
    <n v="2590"/>
    <s v="Debit/Credit Card"/>
    <x v="1"/>
    <s v="India"/>
    <x v="34"/>
    <s v="Siliguri"/>
    <s v="Lifestyle Shopper"/>
    <x v="1"/>
    <n v="4.0999999999999996"/>
    <s v="Delivered"/>
    <s v="Standard"/>
    <n v="6"/>
  </r>
  <r>
    <s v="ORD200038"/>
    <s v="CUST100501"/>
    <s v="Women"/>
    <s v="35-44"/>
    <x v="1388"/>
    <x v="3"/>
    <x v="28"/>
    <x v="1"/>
    <n v="9"/>
    <s v="Black"/>
    <n v="3"/>
    <n v="6199"/>
    <n v="20"/>
    <n v="4960"/>
    <n v="14880"/>
    <s v="UPI"/>
    <x v="2"/>
    <s v="India"/>
    <x v="30"/>
    <s v="Burail"/>
    <s v="Performance Seeker"/>
    <x v="0"/>
    <n v="3.4"/>
    <s v="Returned"/>
    <s v="Same Day"/>
    <n v="1"/>
  </r>
  <r>
    <s v="ORD201112"/>
    <s v="CUST100256"/>
    <s v="Women"/>
    <s v="45-54"/>
    <x v="1388"/>
    <x v="5"/>
    <x v="21"/>
    <x v="2"/>
    <n v="7"/>
    <s v="Blue"/>
    <n v="1"/>
    <n v="8999"/>
    <n v="5"/>
    <n v="8550"/>
    <n v="8550"/>
    <s v="UPI"/>
    <x v="1"/>
    <s v="India"/>
    <x v="6"/>
    <s v="Kanpur"/>
    <s v="Comfort Shopper"/>
    <x v="2"/>
    <n v="3.3"/>
    <s v="Delivered"/>
    <s v="Standard"/>
    <n v="3"/>
  </r>
  <r>
    <s v="ORD200212"/>
    <s v="CUST100875"/>
    <s v="Men"/>
    <s v="45-54"/>
    <x v="1389"/>
    <x v="3"/>
    <x v="35"/>
    <x v="2"/>
    <n v="9"/>
    <s v="Blue"/>
    <n v="1"/>
    <n v="6299"/>
    <n v="20"/>
    <n v="5040"/>
    <n v="5040"/>
    <s v="UPI"/>
    <x v="2"/>
    <s v="India"/>
    <x v="25"/>
    <s v="Srinagar"/>
    <s v="Comfort Shopper"/>
    <x v="2"/>
    <n v="4"/>
    <s v="Delivered"/>
    <s v="Same Day"/>
    <n v="1"/>
  </r>
  <r>
    <s v="ORD200847"/>
    <s v="CUST100858"/>
    <s v="Men"/>
    <s v="18-24"/>
    <x v="1390"/>
    <x v="0"/>
    <x v="19"/>
    <x v="4"/>
    <n v="6"/>
    <s v="Blue"/>
    <n v="1"/>
    <n v="5999"/>
    <n v="0"/>
    <n v="6000"/>
    <n v="6000"/>
    <s v="UPI"/>
    <x v="2"/>
    <s v="India"/>
    <x v="16"/>
    <s v="Surat"/>
    <s v="Value Shopper"/>
    <x v="1"/>
    <n v="4"/>
    <s v="Delivered"/>
    <s v="Standard"/>
    <n v="3"/>
  </r>
  <r>
    <s v="ORD202957"/>
    <s v="CUST100563"/>
    <s v="Men"/>
    <s v="18-24"/>
    <x v="1390"/>
    <x v="0"/>
    <x v="31"/>
    <x v="1"/>
    <n v="9"/>
    <s v="Grey"/>
    <n v="2"/>
    <n v="4699"/>
    <n v="10"/>
    <n v="4230"/>
    <n v="8460"/>
    <s v="UPI"/>
    <x v="0"/>
    <s v="India"/>
    <x v="29"/>
    <s v="Guntur"/>
    <s v="Premium Shopper"/>
    <x v="1"/>
    <n v="3.4"/>
    <s v="Cancelled"/>
    <s v="Standard"/>
    <n v="3"/>
  </r>
  <r>
    <s v="ORD200253"/>
    <s v="CUST100432"/>
    <s v="Women"/>
    <s v="25-34"/>
    <x v="1391"/>
    <x v="5"/>
    <x v="21"/>
    <x v="2"/>
    <n v="7"/>
    <s v="White"/>
    <n v="1"/>
    <n v="7899"/>
    <n v="20"/>
    <n v="6320"/>
    <n v="6320"/>
    <s v="Net Banking"/>
    <x v="1"/>
    <s v="India"/>
    <x v="27"/>
    <s v="Berhampur"/>
    <s v="Premium Shopper"/>
    <x v="1"/>
    <n v="4.7"/>
    <s v="Delivered"/>
    <s v="Standard"/>
    <n v="6"/>
  </r>
  <r>
    <s v="ORD200297"/>
    <s v="CUST100699"/>
    <s v="Women"/>
    <s v="18-24"/>
    <x v="1392"/>
    <x v="3"/>
    <x v="11"/>
    <x v="4"/>
    <n v="8"/>
    <s v="Green"/>
    <n v="1"/>
    <n v="6599"/>
    <n v="15"/>
    <n v="5610"/>
    <n v="5610"/>
    <s v="UPI"/>
    <x v="0"/>
    <s v="India"/>
    <x v="0"/>
    <s v="Guwahati"/>
    <s v="Value Shopper"/>
    <x v="2"/>
    <n v="3.7"/>
    <s v="Delivered"/>
    <s v="Standard"/>
    <n v="4"/>
  </r>
  <r>
    <s v="ORD200600"/>
    <s v="CUST100654"/>
    <s v="Men"/>
    <s v="18-24"/>
    <x v="1392"/>
    <x v="2"/>
    <x v="3"/>
    <x v="2"/>
    <n v="7"/>
    <s v="White"/>
    <n v="1"/>
    <n v="3999"/>
    <n v="10"/>
    <n v="3600"/>
    <n v="3600"/>
    <s v="Debit/Credit Card"/>
    <x v="1"/>
    <s v="India"/>
    <x v="22"/>
    <s v="Agartala"/>
    <s v="Value Shopper"/>
    <x v="2"/>
    <n v="3.5"/>
    <s v="Delivered"/>
    <s v="Express"/>
    <n v="4"/>
  </r>
  <r>
    <s v="ORD202664"/>
    <s v="CUST101007"/>
    <s v="Men"/>
    <s v="35-44"/>
    <x v="1392"/>
    <x v="0"/>
    <x v="2"/>
    <x v="2"/>
    <n v="8"/>
    <s v="Black"/>
    <n v="1"/>
    <n v="5899"/>
    <n v="20"/>
    <n v="4720"/>
    <n v="4720"/>
    <s v="Debit/Credit Card"/>
    <x v="1"/>
    <s v="India"/>
    <x v="13"/>
    <s v="Pasighat"/>
    <s v="Performance Seeker"/>
    <x v="1"/>
    <n v="3.5"/>
    <s v="Returned"/>
    <s v="Standard"/>
    <n v="4"/>
  </r>
  <r>
    <s v="ORD200062"/>
    <s v="CUST100238"/>
    <s v="Women"/>
    <s v="35-44"/>
    <x v="1393"/>
    <x v="0"/>
    <x v="0"/>
    <x v="0"/>
    <n v="9"/>
    <s v="Grey"/>
    <n v="2"/>
    <n v="4699"/>
    <n v="20"/>
    <n v="3760"/>
    <n v="7520"/>
    <s v="UPI"/>
    <x v="1"/>
    <s v="India"/>
    <x v="34"/>
    <s v="Kolkata"/>
    <s v="Comfort Shopper"/>
    <x v="2"/>
    <n v="3.9"/>
    <s v="Returned"/>
    <s v="Express"/>
    <n v="4"/>
  </r>
  <r>
    <s v="ORD201257"/>
    <s v="CUST100407"/>
    <s v="Women"/>
    <s v="18-24"/>
    <x v="1394"/>
    <x v="4"/>
    <x v="17"/>
    <x v="4"/>
    <n v="8"/>
    <s v="Grey"/>
    <n v="2"/>
    <n v="6199"/>
    <n v="20"/>
    <n v="4960"/>
    <n v="9920"/>
    <s v="Debit/Credit Card"/>
    <x v="1"/>
    <s v="India"/>
    <x v="35"/>
    <s v="Champhai"/>
    <s v="Performance Seeker"/>
    <x v="1"/>
    <n v="4.8"/>
    <s v="Delivered"/>
    <s v="Standard"/>
    <n v="3"/>
  </r>
  <r>
    <s v="ORD201378"/>
    <s v="CUST100942"/>
    <s v="Women"/>
    <s v="18-24"/>
    <x v="1395"/>
    <x v="3"/>
    <x v="35"/>
    <x v="2"/>
    <n v="7"/>
    <s v="White"/>
    <n v="1"/>
    <n v="6799"/>
    <n v="10"/>
    <n v="6120"/>
    <n v="6120"/>
    <s v="Cash on Delivery"/>
    <x v="2"/>
    <s v="India"/>
    <x v="11"/>
    <s v="Kavaratti"/>
    <s v="Premium Shopper"/>
    <x v="1"/>
    <n v="4.7"/>
    <s v="Delivered"/>
    <s v="Express"/>
    <n v="4"/>
  </r>
  <r>
    <s v="ORD202607"/>
    <s v="CUST100254"/>
    <s v="Women"/>
    <s v="18-24"/>
    <x v="1395"/>
    <x v="4"/>
    <x v="22"/>
    <x v="0"/>
    <n v="7"/>
    <s v="Grey"/>
    <n v="1"/>
    <n v="6199"/>
    <n v="15"/>
    <n v="5270"/>
    <n v="5270"/>
    <s v="Cash on Delivery"/>
    <x v="1"/>
    <s v="India"/>
    <x v="23"/>
    <s v="Haldwani"/>
    <s v="Value Shopper"/>
    <x v="1"/>
    <n v="2.2999999999999998"/>
    <s v="Cancelled"/>
    <s v="Standard"/>
    <n v="4"/>
  </r>
  <r>
    <s v="ORD202859"/>
    <s v="CUST100588"/>
    <s v="Men"/>
    <s v="18-24"/>
    <x v="1395"/>
    <x v="5"/>
    <x v="27"/>
    <x v="0"/>
    <n v="9"/>
    <s v="Red"/>
    <n v="1"/>
    <n v="4699"/>
    <n v="5"/>
    <n v="4460"/>
    <n v="4460"/>
    <s v="Debit/Credit Card"/>
    <x v="1"/>
    <s v="India"/>
    <x v="15"/>
    <s v="Delhi"/>
    <s v="Performance Seeker"/>
    <x v="1"/>
    <n v="3.5"/>
    <s v="Returned"/>
    <s v="Same Day"/>
    <n v="1"/>
  </r>
  <r>
    <s v="ORD200068"/>
    <s v="CUST100949"/>
    <s v="Women"/>
    <s v="25-34"/>
    <x v="1396"/>
    <x v="5"/>
    <x v="21"/>
    <x v="2"/>
    <n v="9"/>
    <s v="Black"/>
    <n v="1"/>
    <n v="9499"/>
    <n v="15"/>
    <n v="8070"/>
    <n v="8070"/>
    <s v="UPI"/>
    <x v="1"/>
    <s v="India"/>
    <x v="2"/>
    <s v="Gurugram"/>
    <s v="Value Shopper"/>
    <x v="1"/>
    <n v="3"/>
    <s v="Delivered"/>
    <s v="Express"/>
    <n v="2"/>
  </r>
  <r>
    <s v="ORD200089"/>
    <s v="CUST100872"/>
    <s v="Men"/>
    <s v="18-24"/>
    <x v="1396"/>
    <x v="0"/>
    <x v="8"/>
    <x v="3"/>
    <n v="9"/>
    <s v="Green"/>
    <n v="1"/>
    <n v="8199"/>
    <n v="20"/>
    <n v="6560"/>
    <n v="6560"/>
    <s v="Debit/Credit Card"/>
    <x v="1"/>
    <s v="India"/>
    <x v="21"/>
    <s v="Mokokchung"/>
    <s v="Value Shopper"/>
    <x v="1"/>
    <n v="5"/>
    <s v="Delivered"/>
    <s v="Standard"/>
    <n v="4"/>
  </r>
  <r>
    <s v="ORD202979"/>
    <s v="CUST100415"/>
    <s v="Men"/>
    <s v="18-24"/>
    <x v="1396"/>
    <x v="4"/>
    <x v="22"/>
    <x v="0"/>
    <n v="8"/>
    <s v="Grey"/>
    <n v="1"/>
    <n v="9299"/>
    <n v="10"/>
    <n v="8370"/>
    <n v="8370"/>
    <s v="UPI"/>
    <x v="1"/>
    <s v="India"/>
    <x v="17"/>
    <s v="Yanam"/>
    <s v="Lifestyle Shopper"/>
    <x v="2"/>
    <n v="4.0999999999999996"/>
    <s v="Delivered"/>
    <s v="Standard"/>
    <n v="1"/>
  </r>
  <r>
    <s v="ORD202248"/>
    <s v="CUST100320"/>
    <s v="Men"/>
    <s v="18-24"/>
    <x v="1397"/>
    <x v="3"/>
    <x v="35"/>
    <x v="2"/>
    <n v="8"/>
    <s v="White"/>
    <n v="4"/>
    <n v="7199"/>
    <n v="25"/>
    <n v="5400"/>
    <n v="21600"/>
    <s v="UPI"/>
    <x v="1"/>
    <s v="India"/>
    <x v="2"/>
    <s v="Panipat"/>
    <s v="Premium Shopper"/>
    <x v="2"/>
    <n v="4.7"/>
    <s v="Delivered"/>
    <s v="Standard"/>
    <n v="7"/>
  </r>
  <r>
    <s v="ORD202599"/>
    <s v="CUST100231"/>
    <s v="Women"/>
    <s v="18-24"/>
    <x v="1397"/>
    <x v="2"/>
    <x v="4"/>
    <x v="2"/>
    <n v="9"/>
    <s v="White"/>
    <n v="2"/>
    <n v="8099"/>
    <n v="30"/>
    <n v="5670"/>
    <n v="11340"/>
    <s v="UPI"/>
    <x v="1"/>
    <s v="India"/>
    <x v="31"/>
    <s v="Madurai"/>
    <s v="Lifestyle Shopper"/>
    <x v="1"/>
    <n v="4.7"/>
    <s v="Delivered"/>
    <s v="Standard"/>
    <n v="3"/>
  </r>
  <r>
    <s v="ORD201596"/>
    <s v="CUST100203"/>
    <s v="Men"/>
    <s v="25-34"/>
    <x v="1398"/>
    <x v="1"/>
    <x v="18"/>
    <x v="2"/>
    <n v="8"/>
    <s v="Green"/>
    <n v="1"/>
    <n v="6999"/>
    <n v="10"/>
    <n v="6300"/>
    <n v="6300"/>
    <s v="UPI"/>
    <x v="1"/>
    <s v="India"/>
    <x v="8"/>
    <s v="Warangal"/>
    <s v="Lifestyle Shopper"/>
    <x v="2"/>
    <n v="5"/>
    <s v="Delivered"/>
    <s v="Standard"/>
    <n v="3"/>
  </r>
  <r>
    <s v="ORD200571"/>
    <s v="CUST101048"/>
    <s v="Men"/>
    <s v="25-34"/>
    <x v="1399"/>
    <x v="3"/>
    <x v="34"/>
    <x v="3"/>
    <n v="6"/>
    <s v="Green"/>
    <n v="3"/>
    <n v="7999"/>
    <n v="15"/>
    <n v="6800"/>
    <n v="20400"/>
    <s v="Cash on Delivery"/>
    <x v="1"/>
    <s v="India"/>
    <x v="2"/>
    <s v="Panipat"/>
    <s v="Lifestyle Shopper"/>
    <x v="0"/>
    <n v="4.0999999999999996"/>
    <s v="Delivered"/>
    <s v="Standard"/>
    <n v="6"/>
  </r>
  <r>
    <s v="ORD200508"/>
    <s v="CUST100659"/>
    <s v="Men"/>
    <s v="18-24"/>
    <x v="1400"/>
    <x v="4"/>
    <x v="26"/>
    <x v="3"/>
    <n v="6"/>
    <s v="Blue"/>
    <n v="1"/>
    <n v="5599"/>
    <n v="5"/>
    <n v="5320"/>
    <n v="5320"/>
    <s v="UPI"/>
    <x v="1"/>
    <s v="India"/>
    <x v="14"/>
    <s v="Jalandhar"/>
    <s v="Value Shopper"/>
    <x v="0"/>
    <n v="4.5999999999999996"/>
    <s v="Returned"/>
    <s v="Standard"/>
    <n v="3"/>
  </r>
  <r>
    <s v="ORD202577"/>
    <s v="CUST100690"/>
    <s v="Women"/>
    <s v="25-34"/>
    <x v="1401"/>
    <x v="3"/>
    <x v="34"/>
    <x v="3"/>
    <n v="8"/>
    <s v="Grey"/>
    <n v="1"/>
    <n v="6399"/>
    <n v="15"/>
    <n v="5440"/>
    <n v="5440"/>
    <s v="UPI"/>
    <x v="1"/>
    <s v="India"/>
    <x v="27"/>
    <s v="Bhubaneswar"/>
    <s v="Performance Seeker"/>
    <x v="1"/>
    <n v="4.9000000000000004"/>
    <s v="Delivered"/>
    <s v="Standard"/>
    <n v="6"/>
  </r>
  <r>
    <s v="ORD201039"/>
    <s v="CUST100418"/>
    <s v="Men"/>
    <s v="45-54"/>
    <x v="1402"/>
    <x v="4"/>
    <x v="29"/>
    <x v="2"/>
    <n v="9"/>
    <s v="White"/>
    <n v="2"/>
    <n v="7999"/>
    <n v="20"/>
    <n v="6400"/>
    <n v="12800"/>
    <s v="Debit/Credit Card"/>
    <x v="0"/>
    <s v="India"/>
    <x v="16"/>
    <s v="Rajkot"/>
    <s v="Comfort Shopper"/>
    <x v="1"/>
    <n v="4"/>
    <s v="Delivered"/>
    <s v="Express"/>
    <n v="2"/>
  </r>
  <r>
    <s v="ORD202953"/>
    <s v="CUST100172"/>
    <s v="Women"/>
    <s v="25-34"/>
    <x v="1402"/>
    <x v="1"/>
    <x v="33"/>
    <x v="0"/>
    <n v="9"/>
    <s v="Red"/>
    <n v="1"/>
    <n v="8699"/>
    <n v="0"/>
    <n v="8700"/>
    <n v="8700"/>
    <s v="Debit/Credit Card"/>
    <x v="1"/>
    <s v="India"/>
    <x v="32"/>
    <s v="Bokaro"/>
    <s v="Comfort Shopper"/>
    <x v="2"/>
    <n v="4.5999999999999996"/>
    <s v="Delivered"/>
    <s v="Express"/>
    <n v="2"/>
  </r>
  <r>
    <s v="ORD201084"/>
    <s v="CUST100193"/>
    <s v="Women"/>
    <s v="35-44"/>
    <x v="1403"/>
    <x v="2"/>
    <x v="4"/>
    <x v="2"/>
    <n v="9"/>
    <s v="White"/>
    <n v="1"/>
    <n v="5699"/>
    <n v="10"/>
    <n v="5130"/>
    <n v="5130"/>
    <s v="UPI"/>
    <x v="1"/>
    <s v="India"/>
    <x v="18"/>
    <s v="Bhilai"/>
    <s v="Premium Shopper"/>
    <x v="1"/>
    <n v="3.3"/>
    <s v="Delivered"/>
    <s v="Standard"/>
    <n v="5"/>
  </r>
  <r>
    <s v="ORD202728"/>
    <s v="CUST100702"/>
    <s v="Men"/>
    <s v="18-24"/>
    <x v="1404"/>
    <x v="1"/>
    <x v="33"/>
    <x v="0"/>
    <n v="10"/>
    <s v="Black"/>
    <n v="2"/>
    <n v="5299"/>
    <n v="15"/>
    <n v="4500"/>
    <n v="9000"/>
    <s v="Debit/Credit Card"/>
    <x v="1"/>
    <s v="India"/>
    <x v="4"/>
    <s v="Gangtok"/>
    <s v="Lifestyle Shopper"/>
    <x v="1"/>
    <n v="3.9"/>
    <s v="Returned"/>
    <s v="Standard"/>
    <n v="6"/>
  </r>
  <r>
    <s v="ORD202544"/>
    <s v="CUST100482"/>
    <s v="Men"/>
    <s v="25-34"/>
    <x v="1405"/>
    <x v="5"/>
    <x v="21"/>
    <x v="2"/>
    <n v="7"/>
    <s v="Black"/>
    <n v="3"/>
    <n v="4899"/>
    <n v="25"/>
    <n v="3670"/>
    <n v="11010"/>
    <s v="UPI"/>
    <x v="2"/>
    <s v="India"/>
    <x v="6"/>
    <s v="Lucknow"/>
    <s v="Premium Shopper"/>
    <x v="2"/>
    <n v="3.4"/>
    <s v="Returned"/>
    <s v="Standard"/>
    <n v="3"/>
  </r>
  <r>
    <s v="ORD203147"/>
    <s v="CUST100199"/>
    <s v="Unisex"/>
    <s v="18-24"/>
    <x v="1405"/>
    <x v="0"/>
    <x v="0"/>
    <x v="0"/>
    <n v="10"/>
    <s v="White"/>
    <n v="1"/>
    <n v="5499"/>
    <n v="20"/>
    <n v="4400"/>
    <n v="4400"/>
    <s v="UPI"/>
    <x v="1"/>
    <s v="India"/>
    <x v="12"/>
    <s v="Rangat"/>
    <s v="Value Shopper"/>
    <x v="1"/>
    <n v="4.4000000000000004"/>
    <s v="Delivered"/>
    <s v="Standard"/>
    <n v="3"/>
  </r>
  <r>
    <s v="ORD200975"/>
    <s v="CUST100021"/>
    <s v="Women"/>
    <s v="18-24"/>
    <x v="1406"/>
    <x v="4"/>
    <x v="6"/>
    <x v="2"/>
    <n v="8"/>
    <s v="Black"/>
    <n v="1"/>
    <n v="5099"/>
    <n v="0"/>
    <n v="5100"/>
    <n v="5100"/>
    <s v="UPI"/>
    <x v="1"/>
    <s v="India"/>
    <x v="24"/>
    <s v="Mangaluru"/>
    <s v="Value Shopper"/>
    <x v="2"/>
    <n v="4.2"/>
    <s v="Delivered"/>
    <s v="Standard"/>
    <n v="5"/>
  </r>
  <r>
    <s v="ORD200956"/>
    <s v="CUST100446"/>
    <s v="Men"/>
    <s v="25-34"/>
    <x v="1407"/>
    <x v="1"/>
    <x v="1"/>
    <x v="1"/>
    <n v="11"/>
    <s v="Red"/>
    <n v="1"/>
    <n v="7899"/>
    <n v="25"/>
    <n v="5920"/>
    <n v="5920"/>
    <s v="UPI"/>
    <x v="0"/>
    <s v="India"/>
    <x v="33"/>
    <s v="Nashik"/>
    <s v="Premium Shopper"/>
    <x v="0"/>
    <n v="4.2"/>
    <s v="Delivered"/>
    <s v="Standard"/>
    <n v="4"/>
  </r>
  <r>
    <s v="ORD200179"/>
    <s v="CUST100353"/>
    <s v="Women"/>
    <s v="18-24"/>
    <x v="1408"/>
    <x v="2"/>
    <x v="4"/>
    <x v="2"/>
    <n v="10"/>
    <s v="Grey"/>
    <n v="1"/>
    <n v="4899"/>
    <n v="30"/>
    <n v="3430"/>
    <n v="3430"/>
    <s v="Debit/Credit Card"/>
    <x v="0"/>
    <s v="India"/>
    <x v="15"/>
    <s v="New Delhi"/>
    <s v="Performance Seeker"/>
    <x v="1"/>
    <n v="2.4"/>
    <s v="Delivered"/>
    <s v="Standard"/>
    <n v="6"/>
  </r>
  <r>
    <s v="ORD200047"/>
    <s v="CUST101018"/>
    <s v="Men"/>
    <s v="18-24"/>
    <x v="1409"/>
    <x v="2"/>
    <x v="23"/>
    <x v="0"/>
    <n v="10"/>
    <s v="Green"/>
    <n v="1"/>
    <n v="7099"/>
    <n v="20"/>
    <n v="5680"/>
    <n v="5680"/>
    <s v="UPI"/>
    <x v="1"/>
    <s v="India"/>
    <x v="10"/>
    <s v="Daman"/>
    <s v="Performance Seeker"/>
    <x v="2"/>
    <n v="3.2"/>
    <s v="Delivered"/>
    <s v="Express"/>
    <n v="2"/>
  </r>
  <r>
    <s v="ORD202744"/>
    <s v="CUST100606"/>
    <s v="Women"/>
    <s v="35-44"/>
    <x v="1409"/>
    <x v="0"/>
    <x v="13"/>
    <x v="2"/>
    <n v="9"/>
    <s v="Green"/>
    <n v="1"/>
    <n v="7799"/>
    <n v="5"/>
    <n v="7410"/>
    <n v="7410"/>
    <s v="UPI"/>
    <x v="2"/>
    <s v="India"/>
    <x v="31"/>
    <s v="Coimbatore"/>
    <s v="Premium Shopper"/>
    <x v="2"/>
    <n v="4.2"/>
    <s v="Delivered"/>
    <s v="Standard"/>
    <n v="3"/>
  </r>
  <r>
    <s v="ORD200817"/>
    <s v="CUST100333"/>
    <s v="Unisex"/>
    <s v="55+"/>
    <x v="1410"/>
    <x v="5"/>
    <x v="21"/>
    <x v="2"/>
    <n v="11"/>
    <s v="Blue"/>
    <n v="3"/>
    <n v="5199"/>
    <n v="5"/>
    <n v="4940"/>
    <n v="14820"/>
    <s v="UPI"/>
    <x v="2"/>
    <s v="India"/>
    <x v="31"/>
    <s v="Madurai"/>
    <s v="Value Shopper"/>
    <x v="1"/>
    <n v="2.7"/>
    <s v="Cancelled"/>
    <s v="Standard"/>
    <n v="6"/>
  </r>
  <r>
    <s v="ORD201201"/>
    <s v="CUST100435"/>
    <s v="Men"/>
    <s v="25-34"/>
    <x v="1410"/>
    <x v="1"/>
    <x v="1"/>
    <x v="1"/>
    <n v="11"/>
    <s v="Red"/>
    <n v="1"/>
    <n v="4499"/>
    <n v="20"/>
    <n v="3600"/>
    <n v="3600"/>
    <s v="UPI"/>
    <x v="2"/>
    <s v="India"/>
    <x v="6"/>
    <s v="Kanpur"/>
    <s v="Comfort Shopper"/>
    <x v="2"/>
    <n v="4.3"/>
    <s v="Returned"/>
    <s v="Standard"/>
    <n v="5"/>
  </r>
  <r>
    <s v="ORD202877"/>
    <s v="CUST100415"/>
    <s v="Unisex"/>
    <s v="18-24"/>
    <x v="1410"/>
    <x v="4"/>
    <x v="9"/>
    <x v="1"/>
    <n v="10"/>
    <s v="Black"/>
    <n v="1"/>
    <n v="8699"/>
    <n v="25"/>
    <n v="6520"/>
    <n v="6520"/>
    <s v="UPI"/>
    <x v="1"/>
    <s v="India"/>
    <x v="0"/>
    <s v="Guwahati"/>
    <s v="Value Shopper"/>
    <x v="2"/>
    <n v="3.3"/>
    <s v="Cancelled"/>
    <s v="Express"/>
    <n v="3"/>
  </r>
  <r>
    <s v="ORD200935"/>
    <s v="CUST100438"/>
    <s v="Men"/>
    <s v="35-44"/>
    <x v="1411"/>
    <x v="0"/>
    <x v="8"/>
    <x v="3"/>
    <n v="8"/>
    <s v="Red"/>
    <n v="1"/>
    <n v="4499"/>
    <n v="15"/>
    <n v="3820"/>
    <n v="3820"/>
    <s v="Debit/Credit Card"/>
    <x v="2"/>
    <s v="India"/>
    <x v="18"/>
    <s v="Raipur"/>
    <s v="Premium Shopper"/>
    <x v="1"/>
    <n v="4.0999999999999996"/>
    <s v="Delivered"/>
    <s v="Standard"/>
    <n v="6"/>
  </r>
  <r>
    <s v="ORD201901"/>
    <s v="CUST100474"/>
    <s v="Unisex"/>
    <s v="25-34"/>
    <x v="1412"/>
    <x v="3"/>
    <x v="11"/>
    <x v="4"/>
    <n v="9"/>
    <s v="Red"/>
    <n v="2"/>
    <n v="3499"/>
    <n v="5"/>
    <n v="3320"/>
    <n v="6640"/>
    <s v="UPI"/>
    <x v="0"/>
    <s v="India"/>
    <x v="9"/>
    <s v="Bhagalpur"/>
    <s v="Lifestyle Shopper"/>
    <x v="1"/>
    <n v="4.5999999999999996"/>
    <s v="Cancelled"/>
    <s v="Standard"/>
    <n v="6"/>
  </r>
  <r>
    <s v="ORD201787"/>
    <s v="CUST100017"/>
    <s v="Men"/>
    <s v="35-44"/>
    <x v="1413"/>
    <x v="5"/>
    <x v="27"/>
    <x v="0"/>
    <n v="10"/>
    <s v="Grey"/>
    <n v="2"/>
    <n v="5599"/>
    <n v="20"/>
    <n v="4480"/>
    <n v="8960"/>
    <s v="Debit/Credit Card"/>
    <x v="1"/>
    <s v="India"/>
    <x v="28"/>
    <s v="Nubra"/>
    <s v="Value Shopper"/>
    <x v="1"/>
    <n v="4.5"/>
    <s v="Delivered"/>
    <s v="Standard"/>
    <n v="1"/>
  </r>
  <r>
    <s v="ORD203055"/>
    <s v="CUST100945"/>
    <s v="Women"/>
    <s v="35-44"/>
    <x v="1414"/>
    <x v="3"/>
    <x v="5"/>
    <x v="2"/>
    <n v="7"/>
    <s v="Blue"/>
    <n v="1"/>
    <n v="7699"/>
    <n v="0"/>
    <n v="7700"/>
    <n v="7700"/>
    <s v="UPI"/>
    <x v="2"/>
    <s v="India"/>
    <x v="30"/>
    <s v="Manimajra"/>
    <s v="Comfort Shopper"/>
    <x v="1"/>
    <n v="5"/>
    <s v="Delivered"/>
    <s v="Standard"/>
    <n v="4"/>
  </r>
  <r>
    <s v="ORD201397"/>
    <s v="CUST100668"/>
    <s v="Women"/>
    <s v="35-44"/>
    <x v="1415"/>
    <x v="5"/>
    <x v="15"/>
    <x v="4"/>
    <n v="9"/>
    <s v="White"/>
    <n v="1"/>
    <n v="9199"/>
    <n v="15"/>
    <n v="7820"/>
    <n v="7820"/>
    <s v="UPI"/>
    <x v="2"/>
    <s v="India"/>
    <x v="32"/>
    <s v="Dhanbad"/>
    <s v="Premium Shopper"/>
    <x v="1"/>
    <n v="4.0999999999999996"/>
    <s v="Delivered"/>
    <s v="Same Day"/>
    <n v="1"/>
  </r>
  <r>
    <s v="ORD201169"/>
    <s v="CUST100313"/>
    <s v="Women"/>
    <s v="35-44"/>
    <x v="1416"/>
    <x v="5"/>
    <x v="7"/>
    <x v="1"/>
    <n v="9"/>
    <s v="Blue"/>
    <n v="2"/>
    <n v="7499"/>
    <n v="20"/>
    <n v="6000"/>
    <n v="12000"/>
    <s v="UPI"/>
    <x v="1"/>
    <s v="India"/>
    <x v="10"/>
    <s v="Daman"/>
    <s v="Lifestyle Shopper"/>
    <x v="0"/>
    <n v="3.4"/>
    <s v="Delivered"/>
    <s v="Standard"/>
    <n v="2"/>
  </r>
  <r>
    <s v="ORD201551"/>
    <s v="CUST100018"/>
    <s v="Unisex"/>
    <s v="25-34"/>
    <x v="1416"/>
    <x v="0"/>
    <x v="8"/>
    <x v="3"/>
    <n v="9"/>
    <s v="Red"/>
    <n v="1"/>
    <n v="5499"/>
    <n v="15"/>
    <n v="4670"/>
    <n v="4670"/>
    <s v="UPI"/>
    <x v="2"/>
    <s v="India"/>
    <x v="14"/>
    <s v="Patiala"/>
    <s v="Performance Seeker"/>
    <x v="2"/>
    <n v="3.5"/>
    <s v="Delivered"/>
    <s v="Standard"/>
    <n v="4"/>
  </r>
  <r>
    <s v="ORD202097"/>
    <s v="CUST100312"/>
    <s v="Men"/>
    <s v="25-34"/>
    <x v="1417"/>
    <x v="5"/>
    <x v="14"/>
    <x v="3"/>
    <n v="9"/>
    <s v="Black"/>
    <n v="1"/>
    <n v="6099"/>
    <n v="25"/>
    <n v="4570"/>
    <n v="4570"/>
    <s v="Debit/Credit Card"/>
    <x v="1"/>
    <s v="India"/>
    <x v="18"/>
    <s v="Korba"/>
    <s v="Premium Shopper"/>
    <x v="1"/>
    <n v="4.4000000000000004"/>
    <s v="Returned"/>
    <s v="Standard"/>
    <n v="6"/>
  </r>
  <r>
    <s v="ORD200597"/>
    <s v="CUST100763"/>
    <s v="Unisex"/>
    <s v="25-34"/>
    <x v="1418"/>
    <x v="1"/>
    <x v="20"/>
    <x v="2"/>
    <n v="7"/>
    <s v="Green"/>
    <n v="1"/>
    <n v="6499"/>
    <n v="5"/>
    <n v="6170"/>
    <n v="6170"/>
    <s v="UPI"/>
    <x v="0"/>
    <s v="India"/>
    <x v="10"/>
    <s v="Daman"/>
    <s v="Premium Shopper"/>
    <x v="1"/>
    <n v="3.8"/>
    <s v="Delivered"/>
    <s v="Standard"/>
    <n v="3"/>
  </r>
  <r>
    <s v="ORD201976"/>
    <s v="CUST100214"/>
    <s v="Unisex"/>
    <s v="35-44"/>
    <x v="1418"/>
    <x v="2"/>
    <x v="24"/>
    <x v="4"/>
    <n v="9"/>
    <s v="Green"/>
    <n v="1"/>
    <n v="5199"/>
    <n v="25"/>
    <n v="3900"/>
    <n v="3900"/>
    <s v="UPI"/>
    <x v="1"/>
    <s v="India"/>
    <x v="13"/>
    <s v="Itanagar"/>
    <s v="Performance Seeker"/>
    <x v="2"/>
    <n v="4"/>
    <s v="Delivered"/>
    <s v="Same Day"/>
    <n v="1"/>
  </r>
  <r>
    <s v="ORD202695"/>
    <s v="CUST100665"/>
    <s v="Women"/>
    <s v="35-44"/>
    <x v="1419"/>
    <x v="1"/>
    <x v="18"/>
    <x v="2"/>
    <n v="10"/>
    <s v="Black"/>
    <n v="1"/>
    <n v="6599"/>
    <n v="10"/>
    <n v="5940"/>
    <n v="5940"/>
    <s v="Debit/Credit Card"/>
    <x v="2"/>
    <s v="India"/>
    <x v="16"/>
    <s v="Surat"/>
    <s v="Value Shopper"/>
    <x v="1"/>
    <n v="5"/>
    <s v="Cancelled"/>
    <s v="Standard"/>
    <n v="5"/>
  </r>
  <r>
    <s v="ORD200317"/>
    <s v="CUST100710"/>
    <s v="Women"/>
    <s v="45-54"/>
    <x v="1420"/>
    <x v="0"/>
    <x v="8"/>
    <x v="3"/>
    <n v="12"/>
    <s v="Black"/>
    <n v="1"/>
    <n v="6999"/>
    <n v="20"/>
    <n v="5600"/>
    <n v="5600"/>
    <s v="UPI"/>
    <x v="0"/>
    <s v="India"/>
    <x v="10"/>
    <s v="Diu"/>
    <s v="Comfort Shopper"/>
    <x v="1"/>
    <n v="3.2"/>
    <s v="Delivered"/>
    <s v="Standard"/>
    <n v="4"/>
  </r>
  <r>
    <s v="ORD200472"/>
    <s v="CUST100582"/>
    <s v="Women"/>
    <s v="55+"/>
    <x v="1420"/>
    <x v="0"/>
    <x v="0"/>
    <x v="0"/>
    <n v="9"/>
    <s v="Blue"/>
    <n v="2"/>
    <n v="8899"/>
    <n v="15"/>
    <n v="7560"/>
    <n v="15120"/>
    <s v="Debit/Credit Card"/>
    <x v="0"/>
    <s v="India"/>
    <x v="24"/>
    <s v="Bengaluru"/>
    <s v="Premium Shopper"/>
    <x v="1"/>
    <n v="3.4"/>
    <s v="Cancelled"/>
    <s v="Standard"/>
    <n v="3"/>
  </r>
  <r>
    <s v="ORD202411"/>
    <s v="CUST100438"/>
    <s v="Men"/>
    <s v="25-34"/>
    <x v="1420"/>
    <x v="5"/>
    <x v="7"/>
    <x v="1"/>
    <n v="7"/>
    <s v="White"/>
    <n v="1"/>
    <n v="5399"/>
    <n v="10"/>
    <n v="4860"/>
    <n v="4860"/>
    <s v="Debit/Credit Card"/>
    <x v="0"/>
    <s v="India"/>
    <x v="24"/>
    <s v="Mysuru"/>
    <s v="Value Shopper"/>
    <x v="2"/>
    <n v="3.3"/>
    <s v="Returned"/>
    <s v="Standard"/>
    <n v="2"/>
  </r>
  <r>
    <s v="ORD202718"/>
    <s v="CUST100358"/>
    <s v="Men"/>
    <s v="25-34"/>
    <x v="1420"/>
    <x v="1"/>
    <x v="1"/>
    <x v="1"/>
    <n v="9"/>
    <s v="Blue"/>
    <n v="1"/>
    <n v="4999"/>
    <n v="15"/>
    <n v="4250"/>
    <n v="4250"/>
    <s v="UPI"/>
    <x v="2"/>
    <s v="India"/>
    <x v="14"/>
    <s v="Patiala"/>
    <s v="Lifestyle Shopper"/>
    <x v="1"/>
    <n v="4.9000000000000004"/>
    <s v="Delivered"/>
    <s v="Standard"/>
    <n v="4"/>
  </r>
  <r>
    <s v="ORD202402"/>
    <s v="CUST100116"/>
    <s v="Men"/>
    <s v="18-24"/>
    <x v="1421"/>
    <x v="1"/>
    <x v="33"/>
    <x v="0"/>
    <n v="9"/>
    <s v="White"/>
    <n v="1"/>
    <n v="7899"/>
    <n v="15"/>
    <n v="6710"/>
    <n v="6710"/>
    <s v="UPI"/>
    <x v="2"/>
    <s v="India"/>
    <x v="30"/>
    <s v="Burail"/>
    <s v="Value Shopper"/>
    <x v="0"/>
    <n v="3.8"/>
    <s v="Delivered"/>
    <s v="Standard"/>
    <n v="7"/>
  </r>
  <r>
    <s v="ORD203075"/>
    <s v="CUST100913"/>
    <s v="Men"/>
    <s v="35-44"/>
    <x v="1422"/>
    <x v="4"/>
    <x v="22"/>
    <x v="0"/>
    <n v="10"/>
    <s v="Green"/>
    <n v="3"/>
    <n v="7999"/>
    <n v="15"/>
    <n v="6800"/>
    <n v="20400"/>
    <s v="UPI"/>
    <x v="0"/>
    <s v="India"/>
    <x v="25"/>
    <s v="Anantnag"/>
    <s v="Performance Seeker"/>
    <x v="1"/>
    <n v="4.0999999999999996"/>
    <s v="Delivered"/>
    <s v="Standard"/>
    <n v="7"/>
  </r>
  <r>
    <s v="ORD201059"/>
    <s v="CUST100468"/>
    <s v="Unisex"/>
    <s v="55+"/>
    <x v="1423"/>
    <x v="0"/>
    <x v="2"/>
    <x v="2"/>
    <n v="9"/>
    <s v="Grey"/>
    <n v="1"/>
    <n v="5999"/>
    <n v="30"/>
    <n v="4200"/>
    <n v="4200"/>
    <s v="Net Banking"/>
    <x v="1"/>
    <s v="India"/>
    <x v="30"/>
    <s v="Burail"/>
    <s v="Comfort Shopper"/>
    <x v="2"/>
    <n v="3.3"/>
    <s v="Returned"/>
    <s v="Same Day"/>
    <n v="1"/>
  </r>
  <r>
    <s v="ORD202179"/>
    <s v="CUST100120"/>
    <s v="Men"/>
    <s v="18-24"/>
    <x v="1424"/>
    <x v="4"/>
    <x v="6"/>
    <x v="2"/>
    <n v="7"/>
    <s v="Blue"/>
    <n v="2"/>
    <n v="9699"/>
    <n v="15"/>
    <n v="8240"/>
    <n v="16480"/>
    <s v="Debit/Credit Card"/>
    <x v="2"/>
    <s v="India"/>
    <x v="7"/>
    <s v="Bhopal"/>
    <s v="Lifestyle Shopper"/>
    <x v="2"/>
    <n v="5"/>
    <s v="Delivered"/>
    <s v="Standard"/>
    <n v="3"/>
  </r>
  <r>
    <s v="ORD202741"/>
    <s v="CUST100200"/>
    <s v="Men"/>
    <s v="25-34"/>
    <x v="1424"/>
    <x v="1"/>
    <x v="18"/>
    <x v="2"/>
    <n v="11"/>
    <s v="Black"/>
    <n v="1"/>
    <n v="9299"/>
    <n v="15"/>
    <n v="7900"/>
    <n v="7900"/>
    <s v="UPI"/>
    <x v="1"/>
    <s v="India"/>
    <x v="29"/>
    <s v="Visakhapatnam"/>
    <s v="Value Shopper"/>
    <x v="2"/>
    <n v="4.9000000000000004"/>
    <s v="Returned"/>
    <s v="Express"/>
    <n v="2"/>
  </r>
  <r>
    <s v="ORD200178"/>
    <s v="CUST100578"/>
    <s v="Women"/>
    <s v="35-44"/>
    <x v="1425"/>
    <x v="5"/>
    <x v="14"/>
    <x v="3"/>
    <n v="6"/>
    <s v="White"/>
    <n v="1"/>
    <n v="8299"/>
    <n v="20"/>
    <n v="6640"/>
    <n v="6640"/>
    <s v="Cash on Delivery"/>
    <x v="0"/>
    <s v="India"/>
    <x v="31"/>
    <s v="Madurai"/>
    <s v="Comfort Shopper"/>
    <x v="1"/>
    <n v="3.4"/>
    <s v="Delivered"/>
    <s v="Standard"/>
    <n v="6"/>
  </r>
  <r>
    <s v="ORD200230"/>
    <s v="CUST100220"/>
    <s v="Women"/>
    <s v="18-24"/>
    <x v="1426"/>
    <x v="4"/>
    <x v="17"/>
    <x v="4"/>
    <n v="11"/>
    <s v="White"/>
    <n v="1"/>
    <n v="5699"/>
    <n v="25"/>
    <n v="4270"/>
    <n v="4270"/>
    <s v="Debit/Credit Card"/>
    <x v="0"/>
    <s v="India"/>
    <x v="13"/>
    <s v="Naharlagun"/>
    <s v="Performance Seeker"/>
    <x v="2"/>
    <n v="4.3"/>
    <s v="Delivered"/>
    <s v="Standard"/>
    <n v="2"/>
  </r>
  <r>
    <s v="ORD201476"/>
    <s v="CUST100577"/>
    <s v="Men"/>
    <s v="18-24"/>
    <x v="1426"/>
    <x v="4"/>
    <x v="9"/>
    <x v="1"/>
    <n v="8"/>
    <s v="Blue"/>
    <n v="3"/>
    <n v="7699"/>
    <n v="15"/>
    <n v="6540"/>
    <n v="19620"/>
    <s v="UPI"/>
    <x v="2"/>
    <s v="India"/>
    <x v="24"/>
    <s v="Hubballi"/>
    <s v="Comfort Shopper"/>
    <x v="2"/>
    <n v="4.0999999999999996"/>
    <s v="Delivered"/>
    <s v="Standard"/>
    <n v="1"/>
  </r>
  <r>
    <s v="ORD200659"/>
    <s v="CUST100979"/>
    <s v="Men"/>
    <s v="45-54"/>
    <x v="1427"/>
    <x v="3"/>
    <x v="34"/>
    <x v="3"/>
    <n v="7"/>
    <s v="Black"/>
    <n v="1"/>
    <n v="5999"/>
    <n v="10"/>
    <n v="5400"/>
    <n v="5400"/>
    <s v="UPI"/>
    <x v="0"/>
    <s v="India"/>
    <x v="34"/>
    <s v="Asansol"/>
    <s v="Comfort Shopper"/>
    <x v="0"/>
    <n v="2.6"/>
    <s v="Delivered"/>
    <s v="Express"/>
    <n v="2"/>
  </r>
  <r>
    <s v="ORD200840"/>
    <s v="CUST100400"/>
    <s v="Unisex"/>
    <s v="55+"/>
    <x v="1428"/>
    <x v="0"/>
    <x v="31"/>
    <x v="1"/>
    <n v="7"/>
    <s v="Blue"/>
    <n v="1"/>
    <n v="9199"/>
    <n v="10"/>
    <n v="8280"/>
    <n v="8280"/>
    <s v="Debit/Credit Card"/>
    <x v="0"/>
    <s v="India"/>
    <x v="26"/>
    <s v="Kozhikode"/>
    <s v="Comfort Shopper"/>
    <x v="1"/>
    <n v="3.2"/>
    <s v="Delivered"/>
    <s v="Standard"/>
    <n v="6"/>
  </r>
  <r>
    <s v="ORD201882"/>
    <s v="CUST100301"/>
    <s v="Women"/>
    <s v="18-24"/>
    <x v="1428"/>
    <x v="1"/>
    <x v="33"/>
    <x v="0"/>
    <n v="12"/>
    <s v="White"/>
    <n v="1"/>
    <n v="6799"/>
    <n v="20"/>
    <n v="5440"/>
    <n v="5440"/>
    <s v="UPI"/>
    <x v="1"/>
    <s v="India"/>
    <x v="25"/>
    <s v="Srinagar"/>
    <s v="Performance Seeker"/>
    <x v="1"/>
    <n v="4"/>
    <s v="Delivered"/>
    <s v="Standard"/>
    <n v="4"/>
  </r>
  <r>
    <s v="ORD202285"/>
    <s v="CUST100645"/>
    <s v="Women"/>
    <s v="35-44"/>
    <x v="1428"/>
    <x v="3"/>
    <x v="28"/>
    <x v="1"/>
    <n v="9"/>
    <s v="Black"/>
    <n v="1"/>
    <n v="5099"/>
    <n v="20"/>
    <n v="4080"/>
    <n v="4080"/>
    <s v="UPI"/>
    <x v="0"/>
    <s v="India"/>
    <x v="11"/>
    <s v="Andrott"/>
    <s v="Premium Shopper"/>
    <x v="1"/>
    <n v="4.0999999999999996"/>
    <s v="Cancelled"/>
    <s v="Standard"/>
    <n v="4"/>
  </r>
  <r>
    <s v="ORD200305"/>
    <s v="CUST100065"/>
    <s v="Women"/>
    <s v="25-34"/>
    <x v="1429"/>
    <x v="0"/>
    <x v="0"/>
    <x v="0"/>
    <n v="7"/>
    <s v="Red"/>
    <n v="1"/>
    <n v="4899"/>
    <n v="25"/>
    <n v="3670"/>
    <n v="3670"/>
    <s v="UPI"/>
    <x v="1"/>
    <s v="India"/>
    <x v="2"/>
    <s v="Gurugram"/>
    <s v="Value Shopper"/>
    <x v="2"/>
    <n v="5"/>
    <s v="Delivered"/>
    <s v="Same Day"/>
    <n v="1"/>
  </r>
  <r>
    <s v="ORD201638"/>
    <s v="CUST100080"/>
    <s v="Unisex"/>
    <s v="35-44"/>
    <x v="1430"/>
    <x v="3"/>
    <x v="35"/>
    <x v="2"/>
    <n v="7"/>
    <s v="Black"/>
    <n v="1"/>
    <n v="6399"/>
    <n v="20"/>
    <n v="5120"/>
    <n v="5120"/>
    <s v="UPI"/>
    <x v="1"/>
    <s v="India"/>
    <x v="24"/>
    <s v="Bengaluru"/>
    <s v="Value Shopper"/>
    <x v="1"/>
    <n v="2.8"/>
    <s v="Returned"/>
    <s v="Standard"/>
    <n v="4"/>
  </r>
  <r>
    <s v="ORD202677"/>
    <s v="CUST100557"/>
    <s v="Men"/>
    <s v="25-34"/>
    <x v="1430"/>
    <x v="5"/>
    <x v="21"/>
    <x v="2"/>
    <n v="8"/>
    <s v="Red"/>
    <n v="1"/>
    <n v="8399"/>
    <n v="15"/>
    <n v="7140"/>
    <n v="7140"/>
    <s v="UPI"/>
    <x v="1"/>
    <s v="India"/>
    <x v="4"/>
    <s v="Gyalshing"/>
    <s v="Lifestyle Shopper"/>
    <x v="1"/>
    <n v="4.5"/>
    <s v="Delivered"/>
    <s v="Express"/>
    <n v="3"/>
  </r>
  <r>
    <s v="ORD202733"/>
    <s v="CUST100082"/>
    <s v="Women"/>
    <s v="25-34"/>
    <x v="1431"/>
    <x v="4"/>
    <x v="9"/>
    <x v="1"/>
    <n v="11"/>
    <s v="White"/>
    <n v="1"/>
    <n v="6399"/>
    <n v="0"/>
    <n v="6400"/>
    <n v="6400"/>
    <s v="UPI"/>
    <x v="2"/>
    <s v="India"/>
    <x v="10"/>
    <s v="Silvassa"/>
    <s v="Lifestyle Shopper"/>
    <x v="2"/>
    <n v="5"/>
    <s v="Delivered"/>
    <s v="Standard"/>
    <n v="4"/>
  </r>
  <r>
    <s v="ORD202354"/>
    <s v="CUST100210"/>
    <s v="Women"/>
    <s v="25-34"/>
    <x v="1432"/>
    <x v="1"/>
    <x v="20"/>
    <x v="2"/>
    <n v="7"/>
    <s v="Blue"/>
    <n v="2"/>
    <n v="5099"/>
    <n v="10"/>
    <n v="4590"/>
    <n v="9180"/>
    <s v="UPI"/>
    <x v="2"/>
    <s v="India"/>
    <x v="8"/>
    <s v="Nizamabad"/>
    <s v="Performance Seeker"/>
    <x v="2"/>
    <n v="3.8"/>
    <s v="Delivered"/>
    <s v="Standard"/>
    <n v="2"/>
  </r>
  <r>
    <s v="ORD202845"/>
    <s v="CUST100211"/>
    <s v="Men"/>
    <s v="25-34"/>
    <x v="1432"/>
    <x v="5"/>
    <x v="21"/>
    <x v="2"/>
    <n v="9"/>
    <s v="Grey"/>
    <n v="2"/>
    <n v="9599"/>
    <n v="15"/>
    <n v="8160"/>
    <n v="16320"/>
    <s v="Debit/Credit Card"/>
    <x v="1"/>
    <s v="India"/>
    <x v="7"/>
    <s v="Indore"/>
    <s v="Lifestyle Shopper"/>
    <x v="2"/>
    <n v="5"/>
    <s v="Cancelled"/>
    <s v="Express"/>
    <n v="1"/>
  </r>
  <r>
    <s v="ORD200182"/>
    <s v="CUST100022"/>
    <s v="Men"/>
    <s v="18-24"/>
    <x v="1433"/>
    <x v="5"/>
    <x v="21"/>
    <x v="2"/>
    <n v="9"/>
    <s v="Black"/>
    <n v="1"/>
    <n v="8199"/>
    <n v="10"/>
    <n v="7380"/>
    <n v="7380"/>
    <s v="UPI"/>
    <x v="2"/>
    <s v="India"/>
    <x v="10"/>
    <s v="Daman"/>
    <s v="Value Shopper"/>
    <x v="2"/>
    <n v="4"/>
    <s v="Cancelled"/>
    <s v="Standard"/>
    <n v="5"/>
  </r>
  <r>
    <s v="ORD203038"/>
    <s v="CUST100127"/>
    <s v="Men"/>
    <s v="35-44"/>
    <x v="1434"/>
    <x v="2"/>
    <x v="25"/>
    <x v="3"/>
    <n v="12"/>
    <s v="White"/>
    <n v="2"/>
    <n v="7899"/>
    <n v="25"/>
    <n v="5920"/>
    <n v="11840"/>
    <s v="Net Banking"/>
    <x v="2"/>
    <s v="India"/>
    <x v="6"/>
    <s v="Varanasi"/>
    <s v="Value Shopper"/>
    <x v="1"/>
    <n v="4.0999999999999996"/>
    <s v="Delivered"/>
    <s v="Standard"/>
    <n v="1"/>
  </r>
  <r>
    <s v="ORD200543"/>
    <s v="CUST100977"/>
    <s v="Women"/>
    <s v="35-44"/>
    <x v="1435"/>
    <x v="0"/>
    <x v="19"/>
    <x v="4"/>
    <n v="8"/>
    <s v="White"/>
    <n v="1"/>
    <n v="6199"/>
    <n v="35"/>
    <n v="4030"/>
    <n v="4030"/>
    <s v="UPI"/>
    <x v="2"/>
    <s v="India"/>
    <x v="1"/>
    <s v="Panaji"/>
    <s v="Lifestyle Shopper"/>
    <x v="1"/>
    <n v="2.8"/>
    <s v="Delivered"/>
    <s v="Same Day"/>
    <n v="1"/>
  </r>
  <r>
    <s v="ORD200991"/>
    <s v="CUST100149"/>
    <s v="Unisex"/>
    <s v="25-34"/>
    <x v="1435"/>
    <x v="3"/>
    <x v="35"/>
    <x v="2"/>
    <n v="8"/>
    <s v="White"/>
    <n v="1"/>
    <n v="3799"/>
    <n v="10"/>
    <n v="3420"/>
    <n v="3420"/>
    <s v="UPI"/>
    <x v="0"/>
    <s v="India"/>
    <x v="22"/>
    <s v="Kailasahar"/>
    <s v="Lifestyle Shopper"/>
    <x v="1"/>
    <n v="3.8"/>
    <s v="Delivered"/>
    <s v="Express"/>
    <n v="2"/>
  </r>
  <r>
    <s v="ORD201508"/>
    <s v="CUST100620"/>
    <s v="Men"/>
    <s v="18-24"/>
    <x v="1436"/>
    <x v="0"/>
    <x v="0"/>
    <x v="0"/>
    <n v="7"/>
    <s v="Green"/>
    <n v="2"/>
    <n v="9099"/>
    <n v="20"/>
    <n v="7280"/>
    <n v="14560"/>
    <s v="UPI"/>
    <x v="1"/>
    <s v="India"/>
    <x v="14"/>
    <s v="Jalandhar"/>
    <s v="Lifestyle Shopper"/>
    <x v="1"/>
    <n v="4.3"/>
    <s v="Delivered"/>
    <s v="Standard"/>
    <n v="5"/>
  </r>
  <r>
    <s v="ORD202242"/>
    <s v="CUST100638"/>
    <s v="Men"/>
    <s v="55+"/>
    <x v="1437"/>
    <x v="1"/>
    <x v="10"/>
    <x v="3"/>
    <n v="8"/>
    <s v="Grey"/>
    <n v="1"/>
    <n v="7499"/>
    <n v="5"/>
    <n v="7120"/>
    <n v="7120"/>
    <s v="Debit/Credit Card"/>
    <x v="1"/>
    <s v="India"/>
    <x v="24"/>
    <s v="Mysuru"/>
    <s v="Performance Seeker"/>
    <x v="1"/>
    <n v="4.9000000000000004"/>
    <s v="Delivered"/>
    <s v="Standard"/>
    <n v="1"/>
  </r>
  <r>
    <s v="ORD202449"/>
    <s v="CUST100879"/>
    <s v="Women"/>
    <s v="35-44"/>
    <x v="1437"/>
    <x v="3"/>
    <x v="5"/>
    <x v="2"/>
    <n v="7"/>
    <s v="Black"/>
    <n v="1"/>
    <n v="8999"/>
    <n v="15"/>
    <n v="7650"/>
    <n v="7650"/>
    <s v="UPI"/>
    <x v="1"/>
    <s v="India"/>
    <x v="8"/>
    <s v="Nizamabad"/>
    <s v="Performance Seeker"/>
    <x v="1"/>
    <n v="5"/>
    <s v="Delivered"/>
    <s v="Standard"/>
    <n v="4"/>
  </r>
  <r>
    <s v="ORD202149"/>
    <s v="CUST100698"/>
    <s v="Women"/>
    <s v="35-44"/>
    <x v="1438"/>
    <x v="3"/>
    <x v="34"/>
    <x v="3"/>
    <n v="7"/>
    <s v="White"/>
    <n v="1"/>
    <n v="3799"/>
    <n v="20"/>
    <n v="3040"/>
    <n v="3040"/>
    <s v="Cash on Delivery"/>
    <x v="0"/>
    <s v="India"/>
    <x v="23"/>
    <s v="Haridwar"/>
    <s v="Premium Shopper"/>
    <x v="1"/>
    <n v="3.3"/>
    <s v="Delivered"/>
    <s v="Standard"/>
    <n v="4"/>
  </r>
  <r>
    <s v="ORD200509"/>
    <s v="CUST100459"/>
    <s v="Men"/>
    <s v="55+"/>
    <x v="1439"/>
    <x v="0"/>
    <x v="19"/>
    <x v="4"/>
    <n v="12"/>
    <s v="Green"/>
    <n v="4"/>
    <n v="8799"/>
    <n v="25"/>
    <n v="6600"/>
    <n v="26400"/>
    <s v="Debit/Credit Card"/>
    <x v="0"/>
    <s v="India"/>
    <x v="7"/>
    <s v="Gwalior"/>
    <s v="Performance Seeker"/>
    <x v="1"/>
    <n v="4.2"/>
    <s v="Delivered"/>
    <s v="Standard"/>
    <n v="6"/>
  </r>
  <r>
    <s v="ORD202427"/>
    <s v="CUST100140"/>
    <s v="Women"/>
    <s v="45-54"/>
    <x v="1440"/>
    <x v="2"/>
    <x v="23"/>
    <x v="0"/>
    <n v="8"/>
    <s v="Green"/>
    <n v="3"/>
    <n v="8099"/>
    <n v="15"/>
    <n v="6880"/>
    <n v="20640"/>
    <s v="UPI"/>
    <x v="1"/>
    <s v="India"/>
    <x v="24"/>
    <s v="Mysuru"/>
    <s v="Comfort Shopper"/>
    <x v="1"/>
    <n v="4.4000000000000004"/>
    <s v="Cancelled"/>
    <s v="Standard"/>
    <n v="7"/>
  </r>
  <r>
    <s v="ORD200020"/>
    <s v="CUST100018"/>
    <s v="Men"/>
    <s v="25-34"/>
    <x v="1441"/>
    <x v="2"/>
    <x v="23"/>
    <x v="0"/>
    <n v="6"/>
    <s v="Red"/>
    <n v="1"/>
    <n v="5699"/>
    <n v="10"/>
    <n v="5130"/>
    <n v="5130"/>
    <s v="UPI"/>
    <x v="0"/>
    <s v="India"/>
    <x v="12"/>
    <s v="Port Blair"/>
    <s v="Performance Seeker"/>
    <x v="2"/>
    <n v="4.3"/>
    <s v="Delivered"/>
    <s v="Standard"/>
    <n v="6"/>
  </r>
  <r>
    <s v="ORD200877"/>
    <s v="CUST100112"/>
    <s v="Men"/>
    <s v="25-34"/>
    <x v="1441"/>
    <x v="0"/>
    <x v="8"/>
    <x v="3"/>
    <n v="11"/>
    <s v="Black"/>
    <n v="1"/>
    <n v="4799"/>
    <n v="10"/>
    <n v="4320"/>
    <n v="4320"/>
    <s v="UPI"/>
    <x v="1"/>
    <s v="India"/>
    <x v="6"/>
    <s v="Noida"/>
    <s v="Premium Shopper"/>
    <x v="2"/>
    <n v="4.9000000000000004"/>
    <s v="Delivered"/>
    <s v="Express"/>
    <n v="3"/>
  </r>
  <r>
    <s v="ORD200181"/>
    <s v="CUST100290"/>
    <s v="Men"/>
    <s v="55+"/>
    <x v="1442"/>
    <x v="5"/>
    <x v="14"/>
    <x v="3"/>
    <n v="9"/>
    <s v="Black"/>
    <n v="3"/>
    <n v="5599"/>
    <n v="10"/>
    <n v="5040"/>
    <n v="15120"/>
    <s v="Cash on Delivery"/>
    <x v="1"/>
    <s v="India"/>
    <x v="22"/>
    <s v="Agartala"/>
    <s v="Performance Seeker"/>
    <x v="0"/>
    <n v="3.8"/>
    <s v="Delivered"/>
    <s v="Express"/>
    <n v="3"/>
  </r>
  <r>
    <s v="ORD201363"/>
    <s v="CUST100360"/>
    <s v="Men"/>
    <s v="25-34"/>
    <x v="1442"/>
    <x v="0"/>
    <x v="0"/>
    <x v="0"/>
    <n v="12"/>
    <s v="Green"/>
    <n v="1"/>
    <n v="9299"/>
    <n v="0"/>
    <n v="9300"/>
    <n v="9300"/>
    <s v="Cash on Delivery"/>
    <x v="1"/>
    <s v="India"/>
    <x v="20"/>
    <s v="Solan"/>
    <s v="Performance Seeker"/>
    <x v="1"/>
    <n v="4.4000000000000004"/>
    <s v="Delivered"/>
    <s v="Standard"/>
    <n v="4"/>
  </r>
  <r>
    <s v="ORD201923"/>
    <s v="CUST100309"/>
    <s v="Women"/>
    <s v="35-44"/>
    <x v="1442"/>
    <x v="5"/>
    <x v="15"/>
    <x v="4"/>
    <n v="11"/>
    <s v="White"/>
    <n v="1"/>
    <n v="4599"/>
    <n v="5"/>
    <n v="4370"/>
    <n v="4370"/>
    <s v="Debit/Credit Card"/>
    <x v="0"/>
    <s v="India"/>
    <x v="10"/>
    <s v="Daman"/>
    <s v="Value Shopper"/>
    <x v="2"/>
    <n v="4.5"/>
    <s v="Delivered"/>
    <s v="Express"/>
    <n v="1"/>
  </r>
  <r>
    <s v="ORD202282"/>
    <s v="CUST100055"/>
    <s v="Men"/>
    <s v="45-54"/>
    <x v="1443"/>
    <x v="2"/>
    <x v="4"/>
    <x v="2"/>
    <n v="9"/>
    <s v="White"/>
    <n v="2"/>
    <n v="7699"/>
    <n v="20"/>
    <n v="6160"/>
    <n v="12320"/>
    <s v="Cash on Delivery"/>
    <x v="1"/>
    <s v="India"/>
    <x v="5"/>
    <s v="Kakching"/>
    <s v="Value Shopper"/>
    <x v="2"/>
    <n v="4"/>
    <s v="Delivered"/>
    <s v="Express"/>
    <n v="3"/>
  </r>
  <r>
    <s v="ORD202923"/>
    <s v="CUST100381"/>
    <s v="Women"/>
    <s v="45-54"/>
    <x v="1443"/>
    <x v="0"/>
    <x v="31"/>
    <x v="1"/>
    <n v="10"/>
    <s v="Blue"/>
    <n v="1"/>
    <n v="9099"/>
    <n v="35"/>
    <n v="5910"/>
    <n v="5910"/>
    <s v="UPI"/>
    <x v="2"/>
    <s v="India"/>
    <x v="6"/>
    <s v="Varanasi"/>
    <s v="Comfort Shopper"/>
    <x v="2"/>
    <n v="3.5"/>
    <s v="Delivered"/>
    <s v="Express"/>
    <n v="3"/>
  </r>
  <r>
    <s v="ORD200552"/>
    <s v="CUST100292"/>
    <s v="Men"/>
    <s v="25-34"/>
    <x v="1444"/>
    <x v="5"/>
    <x v="30"/>
    <x v="2"/>
    <n v="8"/>
    <s v="Grey"/>
    <n v="3"/>
    <n v="5999"/>
    <n v="15"/>
    <n v="5100"/>
    <n v="15300"/>
    <s v="UPI"/>
    <x v="1"/>
    <s v="India"/>
    <x v="7"/>
    <s v="Gwalior"/>
    <s v="Value Shopper"/>
    <x v="2"/>
    <n v="3.8"/>
    <s v="Cancelled"/>
    <s v="Standard"/>
    <n v="3"/>
  </r>
  <r>
    <s v="ORD201062"/>
    <s v="CUST100726"/>
    <s v="Unisex"/>
    <s v="25-34"/>
    <x v="1444"/>
    <x v="2"/>
    <x v="24"/>
    <x v="4"/>
    <n v="8"/>
    <s v="Blue"/>
    <n v="1"/>
    <n v="3599"/>
    <n v="15"/>
    <n v="3060"/>
    <n v="3060"/>
    <s v="UPI"/>
    <x v="2"/>
    <s v="India"/>
    <x v="33"/>
    <s v="Nagpur"/>
    <s v="Performance Seeker"/>
    <x v="2"/>
    <n v="4.4000000000000004"/>
    <s v="Delivered"/>
    <s v="Express"/>
    <n v="2"/>
  </r>
  <r>
    <s v="ORD202083"/>
    <s v="CUST100018"/>
    <s v="Men"/>
    <s v="25-34"/>
    <x v="1444"/>
    <x v="0"/>
    <x v="19"/>
    <x v="4"/>
    <n v="9"/>
    <s v="White"/>
    <n v="2"/>
    <n v="4899"/>
    <n v="10"/>
    <n v="4410"/>
    <n v="8820"/>
    <s v="Debit/Credit Card"/>
    <x v="1"/>
    <s v="India"/>
    <x v="19"/>
    <s v="Tura"/>
    <s v="Premium Shopper"/>
    <x v="2"/>
    <n v="2.2999999999999998"/>
    <s v="Delivered"/>
    <s v="Express"/>
    <n v="3"/>
  </r>
  <r>
    <s v="ORD202191"/>
    <s v="CUST100099"/>
    <s v="Men"/>
    <s v="18-24"/>
    <x v="1444"/>
    <x v="1"/>
    <x v="10"/>
    <x v="3"/>
    <n v="10"/>
    <s v="Blue"/>
    <n v="1"/>
    <n v="6499"/>
    <n v="15"/>
    <n v="5520"/>
    <n v="5520"/>
    <s v="Debit/Credit Card"/>
    <x v="1"/>
    <s v="India"/>
    <x v="5"/>
    <s v="Thoubal"/>
    <s v="Lifestyle Shopper"/>
    <x v="2"/>
    <n v="3.2"/>
    <s v="Delivered"/>
    <s v="Express"/>
    <n v="3"/>
  </r>
  <r>
    <s v="ORD202259"/>
    <s v="CUST100845"/>
    <s v="Men"/>
    <s v="35-44"/>
    <x v="1444"/>
    <x v="3"/>
    <x v="35"/>
    <x v="2"/>
    <n v="9"/>
    <s v="Blue"/>
    <n v="2"/>
    <n v="6399"/>
    <n v="10"/>
    <n v="5760"/>
    <n v="11520"/>
    <s v="Net Banking"/>
    <x v="1"/>
    <s v="India"/>
    <x v="3"/>
    <s v="Jaipur"/>
    <s v="Performance Seeker"/>
    <x v="1"/>
    <n v="2.8"/>
    <s v="Delivered"/>
    <s v="Standard"/>
    <n v="3"/>
  </r>
  <r>
    <s v="ORD201925"/>
    <s v="CUST100310"/>
    <s v="Women"/>
    <s v="55+"/>
    <x v="1445"/>
    <x v="2"/>
    <x v="24"/>
    <x v="4"/>
    <n v="8"/>
    <s v="Green"/>
    <n v="1"/>
    <n v="7399"/>
    <n v="15"/>
    <n v="6290"/>
    <n v="6290"/>
    <s v="UPI"/>
    <x v="0"/>
    <s v="India"/>
    <x v="30"/>
    <s v="Burail"/>
    <s v="Premium Shopper"/>
    <x v="1"/>
    <n v="4.8"/>
    <s v="Cancelled"/>
    <s v="Same Day"/>
    <n v="1"/>
  </r>
  <r>
    <s v="ORD200421"/>
    <s v="CUST100002"/>
    <s v="Men"/>
    <s v="25-34"/>
    <x v="1446"/>
    <x v="5"/>
    <x v="30"/>
    <x v="2"/>
    <n v="10"/>
    <s v="Blue"/>
    <n v="2"/>
    <n v="9199"/>
    <n v="10"/>
    <n v="8280"/>
    <n v="16560"/>
    <s v="UPI"/>
    <x v="1"/>
    <s v="India"/>
    <x v="34"/>
    <s v="Siliguri"/>
    <s v="Performance Seeker"/>
    <x v="1"/>
    <n v="3.4"/>
    <s v="Delivered"/>
    <s v="Express"/>
    <n v="2"/>
  </r>
  <r>
    <s v="ORD202408"/>
    <s v="CUST100318"/>
    <s v="Men"/>
    <s v="25-34"/>
    <x v="1447"/>
    <x v="4"/>
    <x v="6"/>
    <x v="2"/>
    <n v="8"/>
    <s v="Red"/>
    <n v="1"/>
    <n v="6399"/>
    <n v="10"/>
    <n v="5760"/>
    <n v="5760"/>
    <s v="Debit/Credit Card"/>
    <x v="1"/>
    <s v="India"/>
    <x v="35"/>
    <s v="Kolasib"/>
    <s v="Performance Seeker"/>
    <x v="0"/>
    <n v="3.2"/>
    <s v="Delivered"/>
    <s v="Express"/>
    <n v="2"/>
  </r>
  <r>
    <s v="ORD202464"/>
    <s v="CUST100023"/>
    <s v="Women"/>
    <s v="18-24"/>
    <x v="1447"/>
    <x v="2"/>
    <x v="32"/>
    <x v="1"/>
    <n v="10"/>
    <s v="Black"/>
    <n v="3"/>
    <n v="5199"/>
    <n v="25"/>
    <n v="3900"/>
    <n v="11700"/>
    <s v="UPI"/>
    <x v="1"/>
    <s v="India"/>
    <x v="8"/>
    <s v="Hyderabad"/>
    <s v="Value Shopper"/>
    <x v="2"/>
    <n v="4.7"/>
    <s v="Delivered"/>
    <s v="Express"/>
    <n v="3"/>
  </r>
  <r>
    <s v="ORD201812"/>
    <s v="CUST100733"/>
    <s v="Men"/>
    <s v="25-34"/>
    <x v="1448"/>
    <x v="3"/>
    <x v="11"/>
    <x v="4"/>
    <n v="9"/>
    <s v="Grey"/>
    <n v="1"/>
    <n v="8399"/>
    <n v="30"/>
    <n v="5880"/>
    <n v="5880"/>
    <s v="Debit/Credit Card"/>
    <x v="1"/>
    <s v="India"/>
    <x v="24"/>
    <s v="Bengaluru"/>
    <s v="Lifestyle Shopper"/>
    <x v="1"/>
    <n v="4.4000000000000004"/>
    <s v="Delivered"/>
    <s v="Express"/>
    <n v="1"/>
  </r>
  <r>
    <s v="ORD200697"/>
    <s v="CUST100327"/>
    <s v="Men"/>
    <s v="25-34"/>
    <x v="1449"/>
    <x v="5"/>
    <x v="27"/>
    <x v="0"/>
    <n v="6"/>
    <s v="Black"/>
    <n v="1"/>
    <n v="5899"/>
    <n v="10"/>
    <n v="5310"/>
    <n v="5310"/>
    <s v="UPI"/>
    <x v="0"/>
    <s v="India"/>
    <x v="21"/>
    <s v="Tuensang"/>
    <s v="Performance Seeker"/>
    <x v="2"/>
    <n v="3.6"/>
    <s v="Returned"/>
    <s v="Express"/>
    <n v="3"/>
  </r>
  <r>
    <s v="ORD200280"/>
    <s v="CUST100078"/>
    <s v="Women"/>
    <s v="35-44"/>
    <x v="1450"/>
    <x v="5"/>
    <x v="21"/>
    <x v="2"/>
    <n v="9"/>
    <s v="Black"/>
    <n v="1"/>
    <n v="7599"/>
    <n v="10"/>
    <n v="6840"/>
    <n v="6840"/>
    <s v="Debit/Credit Card"/>
    <x v="2"/>
    <s v="India"/>
    <x v="27"/>
    <s v="Rourkela"/>
    <s v="Performance Seeker"/>
    <x v="2"/>
    <n v="4.4000000000000004"/>
    <s v="Returned"/>
    <s v="Standard"/>
    <n v="5"/>
  </r>
  <r>
    <s v="ORD202126"/>
    <s v="CUST100129"/>
    <s v="Men"/>
    <s v="18-24"/>
    <x v="1450"/>
    <x v="5"/>
    <x v="7"/>
    <x v="1"/>
    <n v="8"/>
    <s v="Green"/>
    <n v="1"/>
    <n v="8999"/>
    <n v="30"/>
    <n v="6300"/>
    <n v="6300"/>
    <s v="UPI"/>
    <x v="0"/>
    <s v="India"/>
    <x v="28"/>
    <s v="Leh"/>
    <s v="Lifestyle Shopper"/>
    <x v="2"/>
    <n v="4.4000000000000004"/>
    <s v="Delivered"/>
    <s v="Standard"/>
    <n v="4"/>
  </r>
  <r>
    <s v="ORD201154"/>
    <s v="CUST100103"/>
    <s v="Men"/>
    <s v="35-44"/>
    <x v="1451"/>
    <x v="5"/>
    <x v="21"/>
    <x v="2"/>
    <n v="8"/>
    <s v="Black"/>
    <n v="2"/>
    <n v="8299"/>
    <n v="10"/>
    <n v="7470"/>
    <n v="14940"/>
    <s v="UPI"/>
    <x v="0"/>
    <s v="India"/>
    <x v="34"/>
    <s v="Durgapur"/>
    <s v="Premium Shopper"/>
    <x v="1"/>
    <n v="4.5999999999999996"/>
    <s v="Delivered"/>
    <s v="Standard"/>
    <n v="3"/>
  </r>
  <r>
    <s v="ORD201298"/>
    <s v="CUST100497"/>
    <s v="Women"/>
    <s v="25-34"/>
    <x v="1452"/>
    <x v="3"/>
    <x v="34"/>
    <x v="3"/>
    <n v="7"/>
    <s v="Blue"/>
    <n v="2"/>
    <n v="4699"/>
    <n v="20"/>
    <n v="3760"/>
    <n v="7520"/>
    <s v="Debit/Credit Card"/>
    <x v="1"/>
    <s v="India"/>
    <x v="5"/>
    <s v="Imphal"/>
    <s v="Comfort Shopper"/>
    <x v="1"/>
    <n v="3.8"/>
    <s v="Delivered"/>
    <s v="Standard"/>
    <n v="4"/>
  </r>
  <r>
    <s v="ORD201947"/>
    <s v="CUST100365"/>
    <s v="Men"/>
    <s v="25-34"/>
    <x v="1453"/>
    <x v="4"/>
    <x v="6"/>
    <x v="2"/>
    <n v="10"/>
    <s v="White"/>
    <n v="3"/>
    <n v="8299"/>
    <n v="5"/>
    <n v="7880"/>
    <n v="23640"/>
    <s v="UPI"/>
    <x v="2"/>
    <s v="India"/>
    <x v="17"/>
    <s v="Mahe"/>
    <s v="Performance Seeker"/>
    <x v="1"/>
    <n v="3.9"/>
    <s v="Delivered"/>
    <s v="Standard"/>
    <n v="2"/>
  </r>
  <r>
    <s v="ORD201152"/>
    <s v="CUST100144"/>
    <s v="Men"/>
    <s v="35-44"/>
    <x v="1454"/>
    <x v="3"/>
    <x v="35"/>
    <x v="2"/>
    <n v="11"/>
    <s v="Green"/>
    <n v="1"/>
    <n v="7999"/>
    <n v="25"/>
    <n v="6000"/>
    <n v="6000"/>
    <s v="UPI"/>
    <x v="2"/>
    <s v="India"/>
    <x v="15"/>
    <s v="Dwarka"/>
    <s v="Value Shopper"/>
    <x v="2"/>
    <n v="4"/>
    <s v="Delivered"/>
    <s v="Standard"/>
    <n v="2"/>
  </r>
  <r>
    <s v="ORD201239"/>
    <s v="CUST100726"/>
    <s v="Women"/>
    <s v="25-34"/>
    <x v="1454"/>
    <x v="0"/>
    <x v="8"/>
    <x v="3"/>
    <n v="10"/>
    <s v="White"/>
    <n v="1"/>
    <n v="5199"/>
    <n v="0"/>
    <n v="5200"/>
    <n v="5200"/>
    <s v="UPI"/>
    <x v="2"/>
    <s v="India"/>
    <x v="26"/>
    <s v="Kozhikode"/>
    <s v="Performance Seeker"/>
    <x v="2"/>
    <n v="4.3"/>
    <s v="Cancelled"/>
    <s v="Standard"/>
    <n v="7"/>
  </r>
  <r>
    <s v="ORD202776"/>
    <s v="CUST100305"/>
    <s v="Unisex"/>
    <s v="18-24"/>
    <x v="1454"/>
    <x v="3"/>
    <x v="11"/>
    <x v="4"/>
    <n v="7"/>
    <s v="White"/>
    <n v="2"/>
    <n v="3699"/>
    <n v="40"/>
    <n v="2220"/>
    <n v="4440"/>
    <s v="Debit/Credit Card"/>
    <x v="0"/>
    <s v="India"/>
    <x v="9"/>
    <s v="Muzaffarpur"/>
    <s v="Performance Seeker"/>
    <x v="2"/>
    <n v="3.5"/>
    <s v="Delivered"/>
    <s v="Standard"/>
    <n v="3"/>
  </r>
  <r>
    <s v="ORD202912"/>
    <s v="CUST100054"/>
    <s v="Men"/>
    <s v="25-34"/>
    <x v="1455"/>
    <x v="0"/>
    <x v="8"/>
    <x v="3"/>
    <n v="7"/>
    <s v="White"/>
    <n v="1"/>
    <n v="7299"/>
    <n v="15"/>
    <n v="6200"/>
    <n v="6200"/>
    <s v="UPI"/>
    <x v="1"/>
    <s v="India"/>
    <x v="3"/>
    <s v="Udaipur"/>
    <s v="Performance Seeker"/>
    <x v="2"/>
    <n v="3.6"/>
    <s v="Delivered"/>
    <s v="Express"/>
    <n v="2"/>
  </r>
  <r>
    <s v="ORD203066"/>
    <s v="CUST100397"/>
    <s v="Unisex"/>
    <s v="35-44"/>
    <x v="1455"/>
    <x v="3"/>
    <x v="5"/>
    <x v="2"/>
    <n v="7"/>
    <s v="Black"/>
    <n v="1"/>
    <n v="6499"/>
    <n v="20"/>
    <n v="5200"/>
    <n v="5200"/>
    <s v="Debit/Credit Card"/>
    <x v="1"/>
    <s v="India"/>
    <x v="17"/>
    <s v="Karaikal"/>
    <s v="Premium Shopper"/>
    <x v="1"/>
    <n v="3.5"/>
    <s v="Delivered"/>
    <s v="Express"/>
    <n v="3"/>
  </r>
  <r>
    <s v="ORD201816"/>
    <s v="CUST100700"/>
    <s v="Men"/>
    <s v="25-34"/>
    <x v="1456"/>
    <x v="4"/>
    <x v="6"/>
    <x v="2"/>
    <n v="10"/>
    <s v="Black"/>
    <n v="1"/>
    <n v="5599"/>
    <n v="10"/>
    <n v="5040"/>
    <n v="5040"/>
    <s v="UPI"/>
    <x v="0"/>
    <s v="India"/>
    <x v="25"/>
    <s v="Baramulla"/>
    <s v="Premium Shopper"/>
    <x v="2"/>
    <n v="4.7"/>
    <s v="Delivered"/>
    <s v="Standard"/>
    <n v="1"/>
  </r>
  <r>
    <s v="ORD202685"/>
    <s v="CUST100738"/>
    <s v="Men"/>
    <s v="25-34"/>
    <x v="1456"/>
    <x v="2"/>
    <x v="32"/>
    <x v="1"/>
    <n v="10"/>
    <s v="Black"/>
    <n v="3"/>
    <n v="7299"/>
    <n v="10"/>
    <n v="6570"/>
    <n v="19710"/>
    <s v="UPI"/>
    <x v="1"/>
    <s v="India"/>
    <x v="17"/>
    <s v="Puducherry"/>
    <s v="Performance Seeker"/>
    <x v="0"/>
    <n v="4.4000000000000004"/>
    <s v="Cancelled"/>
    <s v="Standard"/>
    <n v="4"/>
  </r>
  <r>
    <s v="ORD200922"/>
    <s v="CUST100095"/>
    <s v="Men"/>
    <s v="25-34"/>
    <x v="1457"/>
    <x v="4"/>
    <x v="26"/>
    <x v="3"/>
    <n v="12"/>
    <s v="Blue"/>
    <n v="1"/>
    <n v="8199"/>
    <n v="0"/>
    <n v="8200"/>
    <n v="8200"/>
    <s v="UPI"/>
    <x v="2"/>
    <s v="India"/>
    <x v="2"/>
    <s v="Hisar"/>
    <s v="Lifestyle Shopper"/>
    <x v="0"/>
    <n v="4.5"/>
    <s v="Returned"/>
    <s v="Standard"/>
    <n v="3"/>
  </r>
  <r>
    <s v="ORD203003"/>
    <s v="CUST100167"/>
    <s v="Women"/>
    <s v="25-34"/>
    <x v="1457"/>
    <x v="1"/>
    <x v="10"/>
    <x v="3"/>
    <n v="10"/>
    <s v="Red"/>
    <n v="2"/>
    <n v="4999"/>
    <n v="25"/>
    <n v="3750"/>
    <n v="7500"/>
    <s v="UPI"/>
    <x v="0"/>
    <s v="India"/>
    <x v="27"/>
    <s v="Bhubaneswar"/>
    <s v="Premium Shopper"/>
    <x v="2"/>
    <n v="4.7"/>
    <s v="Delivered"/>
    <s v="Standard"/>
    <n v="4"/>
  </r>
  <r>
    <s v="ORD202130"/>
    <s v="CUST100199"/>
    <s v="Men"/>
    <s v="35-44"/>
    <x v="1458"/>
    <x v="1"/>
    <x v="18"/>
    <x v="2"/>
    <n v="10"/>
    <s v="Blue"/>
    <n v="3"/>
    <n v="6699"/>
    <n v="5"/>
    <n v="6360"/>
    <n v="19080"/>
    <s v="UPI"/>
    <x v="1"/>
    <s v="India"/>
    <x v="25"/>
    <s v="Anantnag"/>
    <s v="Performance Seeker"/>
    <x v="2"/>
    <n v="4.3"/>
    <s v="Delivered"/>
    <s v="Standard"/>
    <n v="6"/>
  </r>
  <r>
    <s v="ORD202742"/>
    <s v="CUST100517"/>
    <s v="Men"/>
    <s v="18-24"/>
    <x v="1458"/>
    <x v="3"/>
    <x v="35"/>
    <x v="2"/>
    <n v="12"/>
    <s v="Grey"/>
    <n v="1"/>
    <n v="7499"/>
    <n v="10"/>
    <n v="6750"/>
    <n v="6750"/>
    <s v="UPI"/>
    <x v="0"/>
    <s v="India"/>
    <x v="23"/>
    <s v="Dehradun"/>
    <s v="Comfort Shopper"/>
    <x v="1"/>
    <n v="3.6"/>
    <s v="Delivered"/>
    <s v="Express"/>
    <n v="4"/>
  </r>
  <r>
    <s v="ORD201421"/>
    <s v="CUST100287"/>
    <s v="Unisex"/>
    <s v="25-34"/>
    <x v="1459"/>
    <x v="4"/>
    <x v="17"/>
    <x v="4"/>
    <n v="8"/>
    <s v="Grey"/>
    <n v="1"/>
    <n v="6699"/>
    <n v="0"/>
    <n v="6700"/>
    <n v="6700"/>
    <s v="Debit/Credit Card"/>
    <x v="1"/>
    <s v="India"/>
    <x v="16"/>
    <s v="Ahmedabad"/>
    <s v="Performance Seeker"/>
    <x v="2"/>
    <n v="4.7"/>
    <s v="Returned"/>
    <s v="Express"/>
    <n v="3"/>
  </r>
  <r>
    <s v="ORD201549"/>
    <s v="CUST100203"/>
    <s v="Men"/>
    <s v="25-34"/>
    <x v="1460"/>
    <x v="5"/>
    <x v="15"/>
    <x v="4"/>
    <n v="8"/>
    <s v="Green"/>
    <n v="1"/>
    <n v="7399"/>
    <n v="30"/>
    <n v="5180"/>
    <n v="5180"/>
    <s v="Debit/Credit Card"/>
    <x v="2"/>
    <s v="India"/>
    <x v="18"/>
    <s v="Korba"/>
    <s v="Performance Seeker"/>
    <x v="2"/>
    <n v="3.6"/>
    <s v="Delivered"/>
    <s v="Standard"/>
    <n v="3"/>
  </r>
  <r>
    <s v="ORD202598"/>
    <s v="CUST100300"/>
    <s v="Men"/>
    <s v="25-34"/>
    <x v="1460"/>
    <x v="4"/>
    <x v="17"/>
    <x v="4"/>
    <n v="11"/>
    <s v="Green"/>
    <n v="1"/>
    <n v="5499"/>
    <n v="15"/>
    <n v="4670"/>
    <n v="4670"/>
    <s v="Debit/Credit Card"/>
    <x v="1"/>
    <s v="India"/>
    <x v="13"/>
    <s v="Naharlagun"/>
    <s v="Performance Seeker"/>
    <x v="1"/>
    <n v="4.2"/>
    <s v="Delivered"/>
    <s v="Express"/>
    <n v="2"/>
  </r>
  <r>
    <s v="ORD200046"/>
    <s v="CUST101034"/>
    <s v="Women"/>
    <s v="25-34"/>
    <x v="1461"/>
    <x v="2"/>
    <x v="25"/>
    <x v="3"/>
    <n v="7"/>
    <s v="White"/>
    <n v="1"/>
    <n v="4799"/>
    <n v="0"/>
    <n v="4800"/>
    <n v="4800"/>
    <s v="UPI"/>
    <x v="2"/>
    <s v="India"/>
    <x v="28"/>
    <s v="Nubra"/>
    <s v="Comfort Shopper"/>
    <x v="0"/>
    <n v="4.9000000000000004"/>
    <s v="Delivered"/>
    <s v="Standard"/>
    <n v="5"/>
  </r>
  <r>
    <s v="ORD200434"/>
    <s v="CUST100417"/>
    <s v="Men"/>
    <s v="45-54"/>
    <x v="1462"/>
    <x v="5"/>
    <x v="21"/>
    <x v="2"/>
    <n v="7"/>
    <s v="White"/>
    <n v="1"/>
    <n v="9199"/>
    <n v="10"/>
    <n v="8280"/>
    <n v="8280"/>
    <s v="UPI"/>
    <x v="1"/>
    <s v="India"/>
    <x v="31"/>
    <s v="Madurai"/>
    <s v="Performance Seeker"/>
    <x v="1"/>
    <n v="4.3"/>
    <s v="Cancelled"/>
    <s v="Standard"/>
    <n v="5"/>
  </r>
  <r>
    <s v="ORD200781"/>
    <s v="CUST100280"/>
    <s v="Unisex"/>
    <s v="25-34"/>
    <x v="1462"/>
    <x v="4"/>
    <x v="22"/>
    <x v="0"/>
    <n v="8"/>
    <s v="Blue"/>
    <n v="2"/>
    <n v="4399"/>
    <n v="0"/>
    <n v="4400"/>
    <n v="8800"/>
    <s v="UPI"/>
    <x v="1"/>
    <s v="India"/>
    <x v="24"/>
    <s v="Mysuru"/>
    <s v="Performance Seeker"/>
    <x v="1"/>
    <n v="3.7"/>
    <s v="Delivered"/>
    <s v="Standard"/>
    <n v="2"/>
  </r>
  <r>
    <s v="ORD200819"/>
    <s v="CUST100007"/>
    <s v="Women"/>
    <s v="45-54"/>
    <x v="1462"/>
    <x v="3"/>
    <x v="11"/>
    <x v="4"/>
    <n v="11"/>
    <s v="White"/>
    <n v="1"/>
    <n v="3399"/>
    <n v="5"/>
    <n v="3230"/>
    <n v="3230"/>
    <s v="UPI"/>
    <x v="2"/>
    <s v="India"/>
    <x v="33"/>
    <s v="Nashik"/>
    <s v="Premium Shopper"/>
    <x v="2"/>
    <n v="3.9"/>
    <s v="Returned"/>
    <s v="Express"/>
    <n v="1"/>
  </r>
  <r>
    <s v="ORD202079"/>
    <s v="CUST100353"/>
    <s v="Men"/>
    <s v="45-54"/>
    <x v="1462"/>
    <x v="4"/>
    <x v="29"/>
    <x v="2"/>
    <n v="8"/>
    <s v="Blue"/>
    <n v="3"/>
    <n v="7399"/>
    <n v="15"/>
    <n v="6290"/>
    <n v="18870"/>
    <s v="UPI"/>
    <x v="2"/>
    <s v="India"/>
    <x v="30"/>
    <s v="Daria"/>
    <s v="Value Shopper"/>
    <x v="1"/>
    <n v="4.3"/>
    <s v="Delivered"/>
    <s v="Express"/>
    <n v="2"/>
  </r>
  <r>
    <s v="ORD200156"/>
    <s v="CUST100313"/>
    <s v="Women"/>
    <s v="55+"/>
    <x v="1463"/>
    <x v="3"/>
    <x v="16"/>
    <x v="0"/>
    <n v="8"/>
    <s v="White"/>
    <n v="1"/>
    <n v="8299"/>
    <n v="5"/>
    <n v="7880"/>
    <n v="7880"/>
    <s v="UPI"/>
    <x v="2"/>
    <s v="India"/>
    <x v="0"/>
    <s v="Guwahati"/>
    <s v="Comfort Shopper"/>
    <x v="1"/>
    <n v="3.9"/>
    <s v="Cancelled"/>
    <s v="Standard"/>
    <n v="6"/>
  </r>
  <r>
    <s v="ORD201662"/>
    <s v="CUST100032"/>
    <s v="Unisex"/>
    <s v="18-24"/>
    <x v="1464"/>
    <x v="1"/>
    <x v="18"/>
    <x v="2"/>
    <n v="9"/>
    <s v="White"/>
    <n v="1"/>
    <n v="4699"/>
    <n v="5"/>
    <n v="4460"/>
    <n v="4460"/>
    <s v="UPI"/>
    <x v="2"/>
    <s v="India"/>
    <x v="5"/>
    <s v="Thoubal"/>
    <s v="Lifestyle Shopper"/>
    <x v="2"/>
    <n v="4.5"/>
    <s v="Delivered"/>
    <s v="Same Day"/>
    <n v="2"/>
  </r>
  <r>
    <s v="ORD202694"/>
    <s v="CUST100752"/>
    <s v="Men"/>
    <s v="18-24"/>
    <x v="1464"/>
    <x v="5"/>
    <x v="27"/>
    <x v="0"/>
    <n v="6"/>
    <s v="Red"/>
    <n v="1"/>
    <n v="6499"/>
    <n v="35"/>
    <n v="4220"/>
    <n v="4220"/>
    <s v="Net Banking"/>
    <x v="0"/>
    <s v="India"/>
    <x v="8"/>
    <s v="Karimnagar"/>
    <s v="Lifestyle Shopper"/>
    <x v="0"/>
    <n v="3.8"/>
    <s v="Delivered"/>
    <s v="Standard"/>
    <n v="5"/>
  </r>
  <r>
    <s v="ORD202720"/>
    <s v="CUST100355"/>
    <s v="Men"/>
    <s v="25-34"/>
    <x v="1464"/>
    <x v="1"/>
    <x v="12"/>
    <x v="4"/>
    <n v="10"/>
    <s v="Green"/>
    <n v="1"/>
    <n v="3799"/>
    <n v="15"/>
    <n v="3230"/>
    <n v="3230"/>
    <s v="UPI"/>
    <x v="2"/>
    <s v="India"/>
    <x v="31"/>
    <s v="Chennai"/>
    <s v="Lifestyle Shopper"/>
    <x v="2"/>
    <n v="3.7"/>
    <s v="Returned"/>
    <s v="Express"/>
    <n v="3"/>
  </r>
  <r>
    <s v="ORD201623"/>
    <s v="CUST100173"/>
    <s v="Men"/>
    <s v="25-34"/>
    <x v="1465"/>
    <x v="0"/>
    <x v="31"/>
    <x v="1"/>
    <n v="7"/>
    <s v="Black"/>
    <n v="1"/>
    <n v="4899"/>
    <n v="15"/>
    <n v="4160"/>
    <n v="4160"/>
    <s v="UPI"/>
    <x v="1"/>
    <s v="India"/>
    <x v="32"/>
    <s v="Bokaro"/>
    <s v="Performance Seeker"/>
    <x v="1"/>
    <n v="3.2"/>
    <s v="Delivered"/>
    <s v="Express"/>
    <n v="3"/>
  </r>
  <r>
    <s v="ORD201435"/>
    <s v="CUST100350"/>
    <s v="Women"/>
    <s v="18-24"/>
    <x v="1466"/>
    <x v="5"/>
    <x v="27"/>
    <x v="0"/>
    <n v="7"/>
    <s v="White"/>
    <n v="1"/>
    <n v="6799"/>
    <n v="25"/>
    <n v="5100"/>
    <n v="5100"/>
    <s v="UPI"/>
    <x v="1"/>
    <s v="India"/>
    <x v="9"/>
    <s v="Gaya"/>
    <s v="Performance Seeker"/>
    <x v="1"/>
    <n v="4.4000000000000004"/>
    <s v="Delivered"/>
    <s v="Standard"/>
    <n v="4"/>
  </r>
  <r>
    <s v="ORD203009"/>
    <s v="CUST100911"/>
    <s v="Women"/>
    <s v="18-24"/>
    <x v="1467"/>
    <x v="3"/>
    <x v="5"/>
    <x v="2"/>
    <n v="8"/>
    <s v="Green"/>
    <n v="1"/>
    <n v="3599"/>
    <n v="20"/>
    <n v="2880"/>
    <n v="2880"/>
    <s v="UPI"/>
    <x v="0"/>
    <s v="India"/>
    <x v="6"/>
    <s v="Lucknow"/>
    <s v="Value Shopper"/>
    <x v="2"/>
    <n v="4.8"/>
    <s v="Delivered"/>
    <s v="Express"/>
    <n v="2"/>
  </r>
  <r>
    <s v="ORD203037"/>
    <s v="CUST100748"/>
    <s v="Women"/>
    <s v="45-54"/>
    <x v="1468"/>
    <x v="3"/>
    <x v="16"/>
    <x v="0"/>
    <n v="10"/>
    <s v="Red"/>
    <n v="1"/>
    <n v="5699"/>
    <n v="15"/>
    <n v="4840"/>
    <n v="4840"/>
    <s v="UPI"/>
    <x v="0"/>
    <s v="India"/>
    <x v="8"/>
    <s v="Hyderabad"/>
    <s v="Value Shopper"/>
    <x v="2"/>
    <n v="4.7"/>
    <s v="Cancelled"/>
    <s v="Express"/>
    <n v="1"/>
  </r>
  <r>
    <s v="ORD201334"/>
    <s v="CUST100122"/>
    <s v="Women"/>
    <s v="18-24"/>
    <x v="1469"/>
    <x v="3"/>
    <x v="5"/>
    <x v="2"/>
    <n v="8"/>
    <s v="Black"/>
    <n v="1"/>
    <n v="4499"/>
    <n v="10"/>
    <n v="4050"/>
    <n v="4050"/>
    <s v="UPI"/>
    <x v="0"/>
    <s v="India"/>
    <x v="17"/>
    <s v="Puducherry"/>
    <s v="Lifestyle Shopper"/>
    <x v="2"/>
    <n v="3.6"/>
    <s v="Cancelled"/>
    <s v="Standard"/>
    <n v="4"/>
  </r>
  <r>
    <s v="ORD201673"/>
    <s v="CUST100192"/>
    <s v="Men"/>
    <s v="55+"/>
    <x v="1470"/>
    <x v="5"/>
    <x v="15"/>
    <x v="4"/>
    <n v="10"/>
    <s v="Blue"/>
    <n v="4"/>
    <n v="3999"/>
    <n v="15"/>
    <n v="3400"/>
    <n v="13600"/>
    <s v="UPI"/>
    <x v="1"/>
    <s v="India"/>
    <x v="34"/>
    <s v="Asansol"/>
    <s v="Lifestyle Shopper"/>
    <x v="1"/>
    <n v="2.6"/>
    <s v="Delivered"/>
    <s v="Express"/>
    <n v="3"/>
  </r>
  <r>
    <s v="ORD202331"/>
    <s v="CUST100301"/>
    <s v="Men"/>
    <s v="18-24"/>
    <x v="1471"/>
    <x v="1"/>
    <x v="10"/>
    <x v="3"/>
    <n v="8"/>
    <s v="Blue"/>
    <n v="1"/>
    <n v="4999"/>
    <n v="15"/>
    <n v="4250"/>
    <n v="4250"/>
    <s v="UPI"/>
    <x v="1"/>
    <s v="India"/>
    <x v="9"/>
    <s v="Muzaffarpur"/>
    <s v="Performance Seeker"/>
    <x v="2"/>
    <n v="3.5"/>
    <s v="Delivered"/>
    <s v="Express"/>
    <n v="2"/>
  </r>
  <r>
    <s v="ORD201495"/>
    <s v="CUST100197"/>
    <s v="Unisex"/>
    <s v="25-34"/>
    <x v="1472"/>
    <x v="4"/>
    <x v="6"/>
    <x v="2"/>
    <n v="11"/>
    <s v="Black"/>
    <n v="1"/>
    <n v="7199"/>
    <n v="0"/>
    <n v="7200"/>
    <n v="7200"/>
    <s v="UPI"/>
    <x v="0"/>
    <s v="India"/>
    <x v="18"/>
    <s v="Bhilai"/>
    <s v="Lifestyle Shopper"/>
    <x v="1"/>
    <n v="3.1"/>
    <s v="Delivered"/>
    <s v="Standard"/>
    <n v="2"/>
  </r>
  <r>
    <s v="ORD202359"/>
    <s v="CUST100736"/>
    <s v="Men"/>
    <s v="45-54"/>
    <x v="1472"/>
    <x v="0"/>
    <x v="2"/>
    <x v="2"/>
    <n v="11"/>
    <s v="Black"/>
    <n v="1"/>
    <n v="6899"/>
    <n v="0"/>
    <n v="6900"/>
    <n v="6900"/>
    <s v="UPI"/>
    <x v="0"/>
    <s v="India"/>
    <x v="8"/>
    <s v="Nizamabad"/>
    <s v="Value Shopper"/>
    <x v="1"/>
    <n v="4.3"/>
    <s v="Delivered"/>
    <s v="Express"/>
    <n v="3"/>
  </r>
  <r>
    <s v="ORD202735"/>
    <s v="CUST100626"/>
    <s v="Men"/>
    <s v="18-24"/>
    <x v="1472"/>
    <x v="2"/>
    <x v="32"/>
    <x v="1"/>
    <n v="6"/>
    <s v="Black"/>
    <n v="1"/>
    <n v="3299"/>
    <n v="15"/>
    <n v="2800"/>
    <n v="2800"/>
    <s v="Debit/Credit Card"/>
    <x v="2"/>
    <s v="India"/>
    <x v="5"/>
    <s v="Churachandpur"/>
    <s v="Value Shopper"/>
    <x v="2"/>
    <n v="4.5999999999999996"/>
    <s v="Returned"/>
    <s v="Standard"/>
    <n v="5"/>
  </r>
  <r>
    <s v="ORD200533"/>
    <s v="CUST100249"/>
    <s v="Men"/>
    <s v="35-44"/>
    <x v="1473"/>
    <x v="0"/>
    <x v="13"/>
    <x v="2"/>
    <n v="7"/>
    <s v="Blue"/>
    <n v="2"/>
    <n v="4799"/>
    <n v="40"/>
    <n v="2880"/>
    <n v="5760"/>
    <s v="UPI"/>
    <x v="2"/>
    <s v="India"/>
    <x v="19"/>
    <s v="Jowai"/>
    <s v="Comfort Shopper"/>
    <x v="2"/>
    <n v="4.2"/>
    <s v="Delivered"/>
    <s v="Express"/>
    <n v="3"/>
  </r>
  <r>
    <s v="ORD202295"/>
    <s v="CUST100767"/>
    <s v="Men"/>
    <s v="25-34"/>
    <x v="1473"/>
    <x v="5"/>
    <x v="27"/>
    <x v="0"/>
    <n v="9"/>
    <s v="Black"/>
    <n v="4"/>
    <n v="9699"/>
    <n v="35"/>
    <n v="6300"/>
    <n v="25200"/>
    <s v="UPI"/>
    <x v="1"/>
    <s v="India"/>
    <x v="22"/>
    <s v="Udaipur"/>
    <s v="Comfort Shopper"/>
    <x v="1"/>
    <n v="4.3"/>
    <s v="Returned"/>
    <s v="Express"/>
    <n v="2"/>
  </r>
  <r>
    <s v="ORD200607"/>
    <s v="CUST100188"/>
    <s v="Men"/>
    <s v="25-34"/>
    <x v="1474"/>
    <x v="3"/>
    <x v="11"/>
    <x v="4"/>
    <n v="7"/>
    <s v="Blue"/>
    <n v="2"/>
    <n v="6799"/>
    <n v="15"/>
    <n v="5780"/>
    <n v="11560"/>
    <s v="UPI"/>
    <x v="1"/>
    <s v="India"/>
    <x v="31"/>
    <s v="Chennai"/>
    <s v="Lifestyle Shopper"/>
    <x v="2"/>
    <n v="3.5"/>
    <s v="Delivered"/>
    <s v="Express"/>
    <n v="1"/>
  </r>
  <r>
    <s v="ORD201202"/>
    <s v="CUST100784"/>
    <s v="Men"/>
    <s v="25-34"/>
    <x v="1474"/>
    <x v="2"/>
    <x v="25"/>
    <x v="3"/>
    <n v="11"/>
    <s v="Grey"/>
    <n v="1"/>
    <n v="4899"/>
    <n v="25"/>
    <n v="3670"/>
    <n v="3670"/>
    <s v="Debit/Credit Card"/>
    <x v="0"/>
    <s v="India"/>
    <x v="27"/>
    <s v="Berhampur"/>
    <s v="Premium Shopper"/>
    <x v="1"/>
    <n v="3.7"/>
    <s v="Delivered"/>
    <s v="Standard"/>
    <n v="3"/>
  </r>
  <r>
    <s v="ORD200828"/>
    <s v="CUST100162"/>
    <s v="Men"/>
    <s v="35-44"/>
    <x v="1475"/>
    <x v="2"/>
    <x v="3"/>
    <x v="2"/>
    <n v="9"/>
    <s v="Blue"/>
    <n v="1"/>
    <n v="8599"/>
    <n v="15"/>
    <n v="7310"/>
    <n v="7310"/>
    <s v="Debit/Credit Card"/>
    <x v="1"/>
    <s v="India"/>
    <x v="8"/>
    <s v="Warangal"/>
    <s v="Performance Seeker"/>
    <x v="1"/>
    <n v="3.9"/>
    <s v="Delivered"/>
    <s v="Standard"/>
    <n v="3"/>
  </r>
  <r>
    <s v="ORD202628"/>
    <s v="CUST100422"/>
    <s v="Women"/>
    <s v="45-54"/>
    <x v="1475"/>
    <x v="2"/>
    <x v="24"/>
    <x v="4"/>
    <n v="6"/>
    <s v="Blue"/>
    <n v="1"/>
    <n v="6399"/>
    <n v="0"/>
    <n v="6400"/>
    <n v="6400"/>
    <s v="UPI"/>
    <x v="2"/>
    <s v="India"/>
    <x v="25"/>
    <s v="Srinagar"/>
    <s v="Premium Shopper"/>
    <x v="1"/>
    <n v="3.4"/>
    <s v="Delivered"/>
    <s v="Standard"/>
    <n v="7"/>
  </r>
  <r>
    <s v="ORD200167"/>
    <s v="CUST100446"/>
    <s v="Men"/>
    <s v="55+"/>
    <x v="1476"/>
    <x v="4"/>
    <x v="22"/>
    <x v="0"/>
    <n v="8"/>
    <s v="Green"/>
    <n v="1"/>
    <n v="6199"/>
    <n v="15"/>
    <n v="5270"/>
    <n v="5270"/>
    <s v="Debit/Credit Card"/>
    <x v="2"/>
    <s v="India"/>
    <x v="16"/>
    <s v="Ahmedabad"/>
    <s v="Comfort Shopper"/>
    <x v="1"/>
    <n v="4"/>
    <s v="Cancelled"/>
    <s v="Standard"/>
    <n v="4"/>
  </r>
  <r>
    <s v="ORD200900"/>
    <s v="CUST100079"/>
    <s v="Men"/>
    <s v="18-24"/>
    <x v="1476"/>
    <x v="5"/>
    <x v="30"/>
    <x v="2"/>
    <n v="9"/>
    <s v="Green"/>
    <n v="1"/>
    <n v="6799"/>
    <n v="20"/>
    <n v="5440"/>
    <n v="5440"/>
    <s v="UPI"/>
    <x v="1"/>
    <s v="India"/>
    <x v="11"/>
    <s v="Kavaratti"/>
    <s v="Performance Seeker"/>
    <x v="1"/>
    <n v="3"/>
    <s v="Delivered"/>
    <s v="Standard"/>
    <n v="2"/>
  </r>
  <r>
    <s v="ORD203033"/>
    <s v="CUST100474"/>
    <s v="Men"/>
    <s v="45-54"/>
    <x v="1476"/>
    <x v="1"/>
    <x v="33"/>
    <x v="0"/>
    <n v="6"/>
    <s v="White"/>
    <n v="1"/>
    <n v="7299"/>
    <n v="35"/>
    <n v="4740"/>
    <n v="4740"/>
    <s v="UPI"/>
    <x v="0"/>
    <s v="India"/>
    <x v="14"/>
    <s v="Amritsar"/>
    <s v="Premium Shopper"/>
    <x v="2"/>
    <n v="4.9000000000000004"/>
    <s v="Delivered"/>
    <s v="Same Day"/>
    <n v="1"/>
  </r>
  <r>
    <s v="ORD201187"/>
    <s v="CUST100627"/>
    <s v="Women"/>
    <s v="18-24"/>
    <x v="1477"/>
    <x v="4"/>
    <x v="29"/>
    <x v="2"/>
    <n v="9"/>
    <s v="Black"/>
    <n v="1"/>
    <n v="7099"/>
    <n v="5"/>
    <n v="6740"/>
    <n v="6740"/>
    <s v="Debit/Credit Card"/>
    <x v="2"/>
    <s v="India"/>
    <x v="3"/>
    <s v="Jaipur"/>
    <s v="Performance Seeker"/>
    <x v="2"/>
    <n v="3.6"/>
    <s v="Delivered"/>
    <s v="Express"/>
    <n v="2"/>
  </r>
  <r>
    <s v="ORD201897"/>
    <s v="CUST100186"/>
    <s v="Women"/>
    <s v="55+"/>
    <x v="1477"/>
    <x v="0"/>
    <x v="0"/>
    <x v="0"/>
    <n v="10"/>
    <s v="Blue"/>
    <n v="1"/>
    <n v="7199"/>
    <n v="10"/>
    <n v="6480"/>
    <n v="6480"/>
    <s v="Debit/Credit Card"/>
    <x v="0"/>
    <s v="India"/>
    <x v="29"/>
    <s v="Vijayawada"/>
    <s v="Comfort Shopper"/>
    <x v="1"/>
    <n v="4"/>
    <s v="Delivered"/>
    <s v="Standard"/>
    <n v="3"/>
  </r>
  <r>
    <s v="ORD200789"/>
    <s v="CUST100180"/>
    <s v="Women"/>
    <s v="35-44"/>
    <x v="1478"/>
    <x v="5"/>
    <x v="7"/>
    <x v="1"/>
    <n v="6"/>
    <s v="Red"/>
    <n v="1"/>
    <n v="8599"/>
    <n v="10"/>
    <n v="7740"/>
    <n v="7740"/>
    <s v="UPI"/>
    <x v="2"/>
    <s v="India"/>
    <x v="19"/>
    <s v="Tura"/>
    <s v="Comfort Shopper"/>
    <x v="1"/>
    <n v="4"/>
    <s v="Delivered"/>
    <s v="Same Day"/>
    <n v="1"/>
  </r>
  <r>
    <s v="ORD200906"/>
    <s v="CUST100529"/>
    <s v="Men"/>
    <s v="18-24"/>
    <x v="1478"/>
    <x v="4"/>
    <x v="26"/>
    <x v="3"/>
    <n v="11"/>
    <s v="Blue"/>
    <n v="1"/>
    <n v="8199"/>
    <n v="10"/>
    <n v="7380"/>
    <n v="7380"/>
    <s v="Debit/Credit Card"/>
    <x v="1"/>
    <s v="India"/>
    <x v="11"/>
    <s v="Kavaratti"/>
    <s v="Performance Seeker"/>
    <x v="0"/>
    <n v="5"/>
    <s v="Delivered"/>
    <s v="Standard"/>
    <n v="2"/>
  </r>
  <r>
    <s v="ORD201130"/>
    <s v="CUST100421"/>
    <s v="Women"/>
    <s v="25-34"/>
    <x v="1478"/>
    <x v="4"/>
    <x v="17"/>
    <x v="4"/>
    <n v="9"/>
    <s v="Blue"/>
    <n v="1"/>
    <n v="6299"/>
    <n v="5"/>
    <n v="5980"/>
    <n v="5980"/>
    <s v="UPI"/>
    <x v="1"/>
    <s v="India"/>
    <x v="30"/>
    <s v="Burail"/>
    <s v="Lifestyle Shopper"/>
    <x v="1"/>
    <n v="4.4000000000000004"/>
    <s v="Delivered"/>
    <s v="Express"/>
    <n v="3"/>
  </r>
  <r>
    <s v="ORD202423"/>
    <s v="CUST100127"/>
    <s v="Unisex"/>
    <s v="55+"/>
    <x v="1479"/>
    <x v="4"/>
    <x v="26"/>
    <x v="3"/>
    <n v="8"/>
    <s v="Black"/>
    <n v="1"/>
    <n v="8999"/>
    <n v="10"/>
    <n v="8100"/>
    <n v="8100"/>
    <s v="Debit/Credit Card"/>
    <x v="2"/>
    <s v="India"/>
    <x v="29"/>
    <s v="Guntur"/>
    <s v="Performance Seeker"/>
    <x v="2"/>
    <n v="3.8"/>
    <s v="Returned"/>
    <s v="Standard"/>
    <n v="3"/>
  </r>
  <r>
    <s v="ORD200265"/>
    <s v="CUST100071"/>
    <s v="Unisex"/>
    <s v="55+"/>
    <x v="1480"/>
    <x v="0"/>
    <x v="0"/>
    <x v="0"/>
    <n v="8"/>
    <s v="Red"/>
    <n v="4"/>
    <n v="9699"/>
    <n v="5"/>
    <n v="9210"/>
    <n v="36840"/>
    <s v="UPI"/>
    <x v="2"/>
    <s v="India"/>
    <x v="29"/>
    <s v="Vijayawada"/>
    <s v="Performance Seeker"/>
    <x v="0"/>
    <n v="3.4"/>
    <s v="Delivered"/>
    <s v="Express"/>
    <n v="1"/>
  </r>
  <r>
    <s v="ORD202397"/>
    <s v="CUST100168"/>
    <s v="Men"/>
    <s v="25-34"/>
    <x v="1480"/>
    <x v="1"/>
    <x v="1"/>
    <x v="1"/>
    <n v="9"/>
    <s v="Black"/>
    <n v="1"/>
    <n v="5599"/>
    <n v="25"/>
    <n v="4200"/>
    <n v="4200"/>
    <s v="UPI"/>
    <x v="0"/>
    <s v="India"/>
    <x v="35"/>
    <s v="Champhai"/>
    <s v="Value Shopper"/>
    <x v="2"/>
    <n v="4.2"/>
    <s v="Delivered"/>
    <s v="Standard"/>
    <n v="5"/>
  </r>
  <r>
    <s v="ORD201108"/>
    <s v="CUST100440"/>
    <s v="Men"/>
    <s v="25-34"/>
    <x v="1481"/>
    <x v="1"/>
    <x v="20"/>
    <x v="2"/>
    <n v="7"/>
    <s v="Black"/>
    <n v="1"/>
    <n v="7699"/>
    <n v="20"/>
    <n v="6160"/>
    <n v="6160"/>
    <s v="UPI"/>
    <x v="1"/>
    <s v="India"/>
    <x v="15"/>
    <s v="New Delhi"/>
    <s v="Performance Seeker"/>
    <x v="1"/>
    <n v="3.1"/>
    <s v="Returned"/>
    <s v="Standard"/>
    <n v="4"/>
  </r>
  <r>
    <s v="ORD201635"/>
    <s v="CUST100273"/>
    <s v="Women"/>
    <s v="45-54"/>
    <x v="1482"/>
    <x v="0"/>
    <x v="13"/>
    <x v="2"/>
    <n v="10"/>
    <s v="Black"/>
    <n v="2"/>
    <n v="6099"/>
    <n v="15"/>
    <n v="5180"/>
    <n v="10360"/>
    <s v="UPI"/>
    <x v="2"/>
    <s v="India"/>
    <x v="6"/>
    <s v="Varanasi"/>
    <s v="Lifestyle Shopper"/>
    <x v="2"/>
    <n v="5"/>
    <s v="Delivered"/>
    <s v="Express"/>
    <n v="2"/>
  </r>
  <r>
    <s v="ORD202538"/>
    <s v="CUST100704"/>
    <s v="Men"/>
    <s v="55+"/>
    <x v="1482"/>
    <x v="0"/>
    <x v="31"/>
    <x v="1"/>
    <n v="8"/>
    <s v="Blue"/>
    <n v="2"/>
    <n v="6999"/>
    <n v="15"/>
    <n v="5950"/>
    <n v="11900"/>
    <s v="UPI"/>
    <x v="0"/>
    <s v="India"/>
    <x v="31"/>
    <s v="Chennai"/>
    <s v="Lifestyle Shopper"/>
    <x v="1"/>
    <n v="2.4"/>
    <s v="Delivered"/>
    <s v="Standard"/>
    <n v="5"/>
  </r>
  <r>
    <s v="ORD203062"/>
    <s v="CUST100461"/>
    <s v="Women"/>
    <s v="25-34"/>
    <x v="1482"/>
    <x v="2"/>
    <x v="24"/>
    <x v="4"/>
    <n v="11"/>
    <s v="Black"/>
    <n v="1"/>
    <n v="3599"/>
    <n v="10"/>
    <n v="3240"/>
    <n v="3240"/>
    <s v="Debit/Credit Card"/>
    <x v="1"/>
    <s v="India"/>
    <x v="19"/>
    <s v="Shillong"/>
    <s v="Value Shopper"/>
    <x v="1"/>
    <n v="4.2"/>
    <s v="Cancelled"/>
    <s v="Standard"/>
    <n v="3"/>
  </r>
  <r>
    <s v="ORD200794"/>
    <s v="CUST100322"/>
    <s v="Women"/>
    <s v="35-44"/>
    <x v="1483"/>
    <x v="3"/>
    <x v="35"/>
    <x v="2"/>
    <n v="6"/>
    <s v="Black"/>
    <n v="1"/>
    <n v="4899"/>
    <n v="10"/>
    <n v="4410"/>
    <n v="4410"/>
    <s v="Debit/Credit Card"/>
    <x v="0"/>
    <s v="India"/>
    <x v="27"/>
    <s v="Berhampur"/>
    <s v="Value Shopper"/>
    <x v="2"/>
    <n v="3"/>
    <s v="Delivered"/>
    <s v="Standard"/>
    <n v="7"/>
  </r>
  <r>
    <s v="ORD201453"/>
    <s v="CUST100486"/>
    <s v="Women"/>
    <s v="25-34"/>
    <x v="1483"/>
    <x v="1"/>
    <x v="33"/>
    <x v="0"/>
    <n v="9"/>
    <s v="White"/>
    <n v="1"/>
    <n v="4999"/>
    <n v="10"/>
    <n v="4500"/>
    <n v="4500"/>
    <s v="Cash on Delivery"/>
    <x v="2"/>
    <s v="India"/>
    <x v="8"/>
    <s v="Hyderabad"/>
    <s v="Performance Seeker"/>
    <x v="1"/>
    <n v="3.6"/>
    <s v="Delivered"/>
    <s v="Standard"/>
    <n v="2"/>
  </r>
  <r>
    <s v="ORD202438"/>
    <s v="CUST100469"/>
    <s v="Women"/>
    <s v="18-24"/>
    <x v="1483"/>
    <x v="0"/>
    <x v="31"/>
    <x v="1"/>
    <n v="6"/>
    <s v="Red"/>
    <n v="2"/>
    <n v="5999"/>
    <n v="5"/>
    <n v="5700"/>
    <n v="11400"/>
    <s v="UPI"/>
    <x v="2"/>
    <s v="India"/>
    <x v="11"/>
    <s v="Kavaratti"/>
    <s v="Value Shopper"/>
    <x v="0"/>
    <n v="4.0999999999999996"/>
    <s v="Delivered"/>
    <s v="Standard"/>
    <n v="4"/>
  </r>
  <r>
    <s v="ORD202899"/>
    <s v="CUST100291"/>
    <s v="Women"/>
    <s v="25-34"/>
    <x v="1483"/>
    <x v="2"/>
    <x v="25"/>
    <x v="3"/>
    <n v="11"/>
    <s v="Blue"/>
    <n v="1"/>
    <n v="4299"/>
    <n v="25"/>
    <n v="3220"/>
    <n v="3220"/>
    <s v="UPI"/>
    <x v="1"/>
    <s v="India"/>
    <x v="33"/>
    <s v="Nagpur"/>
    <s v="Value Shopper"/>
    <x v="1"/>
    <n v="4.8"/>
    <s v="Delivered"/>
    <s v="Standard"/>
    <n v="6"/>
  </r>
  <r>
    <s v="ORD200348"/>
    <s v="CUST100323"/>
    <s v="Men"/>
    <s v="18-24"/>
    <x v="1484"/>
    <x v="5"/>
    <x v="21"/>
    <x v="2"/>
    <n v="10"/>
    <s v="Blue"/>
    <n v="1"/>
    <n v="5399"/>
    <n v="30"/>
    <n v="3780"/>
    <n v="3780"/>
    <s v="UPI"/>
    <x v="1"/>
    <s v="India"/>
    <x v="23"/>
    <s v="Haldwani"/>
    <s v="Comfort Shopper"/>
    <x v="1"/>
    <n v="3.7"/>
    <s v="Returned"/>
    <s v="Standard"/>
    <n v="2"/>
  </r>
  <r>
    <s v="ORD201693"/>
    <s v="CUST100942"/>
    <s v="Women"/>
    <s v="45-54"/>
    <x v="1484"/>
    <x v="3"/>
    <x v="28"/>
    <x v="1"/>
    <n v="11"/>
    <s v="Grey"/>
    <n v="2"/>
    <n v="5199"/>
    <n v="10"/>
    <n v="4680"/>
    <n v="9360"/>
    <s v="UPI"/>
    <x v="1"/>
    <s v="India"/>
    <x v="18"/>
    <s v="Bhilai"/>
    <s v="Value Shopper"/>
    <x v="1"/>
    <n v="2.8"/>
    <s v="Returned"/>
    <s v="Standard"/>
    <n v="3"/>
  </r>
  <r>
    <s v="ORD200469"/>
    <s v="CUST100218"/>
    <s v="Men"/>
    <s v="45-54"/>
    <x v="1485"/>
    <x v="3"/>
    <x v="5"/>
    <x v="2"/>
    <n v="9"/>
    <s v="White"/>
    <n v="1"/>
    <n v="4799"/>
    <n v="15"/>
    <n v="4080"/>
    <n v="4080"/>
    <s v="Debit/Credit Card"/>
    <x v="2"/>
    <s v="India"/>
    <x v="10"/>
    <s v="Silvassa"/>
    <s v="Lifestyle Shopper"/>
    <x v="1"/>
    <n v="4.5"/>
    <s v="Returned"/>
    <s v="Standard"/>
    <n v="2"/>
  </r>
  <r>
    <s v="ORD202258"/>
    <s v="CUST100442"/>
    <s v="Women"/>
    <s v="25-34"/>
    <x v="1485"/>
    <x v="1"/>
    <x v="33"/>
    <x v="0"/>
    <n v="7"/>
    <s v="Grey"/>
    <n v="1"/>
    <n v="4599"/>
    <n v="15"/>
    <n v="3910"/>
    <n v="3910"/>
    <s v="Debit/Credit Card"/>
    <x v="1"/>
    <s v="India"/>
    <x v="11"/>
    <s v="Agatti"/>
    <s v="Value Shopper"/>
    <x v="2"/>
    <n v="4.9000000000000004"/>
    <s v="Delivered"/>
    <s v="Standard"/>
    <n v="5"/>
  </r>
  <r>
    <s v="ORD201579"/>
    <s v="CUST100842"/>
    <s v="Unisex"/>
    <s v="35-44"/>
    <x v="1486"/>
    <x v="5"/>
    <x v="30"/>
    <x v="2"/>
    <n v="9"/>
    <s v="Grey"/>
    <n v="2"/>
    <n v="9599"/>
    <n v="20"/>
    <n v="7680"/>
    <n v="15360"/>
    <s v="Debit/Credit Card"/>
    <x v="1"/>
    <s v="India"/>
    <x v="25"/>
    <s v="Srinagar"/>
    <s v="Lifestyle Shopper"/>
    <x v="1"/>
    <n v="3.3"/>
    <s v="Delivered"/>
    <s v="Standard"/>
    <n v="3"/>
  </r>
  <r>
    <s v="ORD201922"/>
    <s v="CUST101046"/>
    <s v="Unisex"/>
    <s v="35-44"/>
    <x v="1486"/>
    <x v="0"/>
    <x v="13"/>
    <x v="2"/>
    <n v="7"/>
    <s v="Black"/>
    <n v="1"/>
    <n v="4599"/>
    <n v="15"/>
    <n v="3910"/>
    <n v="3910"/>
    <s v="UPI"/>
    <x v="0"/>
    <s v="India"/>
    <x v="13"/>
    <s v="Pasighat"/>
    <s v="Value Shopper"/>
    <x v="2"/>
    <n v="4.2"/>
    <s v="Delivered"/>
    <s v="Express"/>
    <n v="3"/>
  </r>
  <r>
    <s v="ORD203151"/>
    <s v="CUST100439"/>
    <s v="Unisex"/>
    <s v="25-34"/>
    <x v="1486"/>
    <x v="3"/>
    <x v="28"/>
    <x v="1"/>
    <n v="7"/>
    <s v="Grey"/>
    <n v="1"/>
    <n v="3499"/>
    <n v="25"/>
    <n v="2620"/>
    <n v="2620"/>
    <s v="UPI"/>
    <x v="2"/>
    <s v="India"/>
    <x v="19"/>
    <s v="Shillong"/>
    <s v="Performance Seeker"/>
    <x v="2"/>
    <n v="4.4000000000000004"/>
    <s v="Returned"/>
    <s v="Standard"/>
    <n v="3"/>
  </r>
  <r>
    <s v="ORD201777"/>
    <s v="CUST100047"/>
    <s v="Unisex"/>
    <s v="18-24"/>
    <x v="1487"/>
    <x v="5"/>
    <x v="15"/>
    <x v="4"/>
    <n v="7"/>
    <s v="White"/>
    <n v="2"/>
    <n v="4499"/>
    <n v="20"/>
    <n v="3600"/>
    <n v="7200"/>
    <s v="UPI"/>
    <x v="2"/>
    <s v="India"/>
    <x v="25"/>
    <s v="Jammu"/>
    <s v="Comfort Shopper"/>
    <x v="1"/>
    <n v="4.5"/>
    <s v="Delivered"/>
    <s v="Express"/>
    <n v="2"/>
  </r>
  <r>
    <s v="ORD202123"/>
    <s v="CUST100249"/>
    <s v="Men"/>
    <s v="25-34"/>
    <x v="1487"/>
    <x v="3"/>
    <x v="35"/>
    <x v="2"/>
    <n v="12"/>
    <s v="Blue"/>
    <n v="1"/>
    <n v="4899"/>
    <n v="5"/>
    <n v="4650"/>
    <n v="4650"/>
    <s v="Cash on Delivery"/>
    <x v="2"/>
    <s v="India"/>
    <x v="3"/>
    <s v="Jaipur"/>
    <s v="Value Shopper"/>
    <x v="2"/>
    <n v="4.4000000000000004"/>
    <s v="Returned"/>
    <s v="Express"/>
    <n v="4"/>
  </r>
  <r>
    <s v="ORD201088"/>
    <s v="CUST100753"/>
    <s v="Women"/>
    <s v="25-34"/>
    <x v="1488"/>
    <x v="0"/>
    <x v="19"/>
    <x v="4"/>
    <n v="7"/>
    <s v="Black"/>
    <n v="3"/>
    <n v="5299"/>
    <n v="15"/>
    <n v="4500"/>
    <n v="13500"/>
    <s v="UPI"/>
    <x v="2"/>
    <s v="India"/>
    <x v="24"/>
    <s v="Mangaluru"/>
    <s v="Performance Seeker"/>
    <x v="1"/>
    <n v="4.5"/>
    <s v="Delivered"/>
    <s v="Standard"/>
    <n v="5"/>
  </r>
  <r>
    <s v="ORD201556"/>
    <s v="CUST100240"/>
    <s v="Men"/>
    <s v="18-24"/>
    <x v="1488"/>
    <x v="1"/>
    <x v="18"/>
    <x v="2"/>
    <n v="10"/>
    <s v="Black"/>
    <n v="2"/>
    <n v="4799"/>
    <n v="10"/>
    <n v="4320"/>
    <n v="8640"/>
    <s v="UPI"/>
    <x v="1"/>
    <s v="India"/>
    <x v="14"/>
    <s v="Ludhiana"/>
    <s v="Performance Seeker"/>
    <x v="0"/>
    <n v="3"/>
    <s v="Delivered"/>
    <s v="Standard"/>
    <n v="4"/>
  </r>
  <r>
    <s v="ORD201745"/>
    <s v="CUST100970"/>
    <s v="Men"/>
    <s v="25-34"/>
    <x v="1488"/>
    <x v="2"/>
    <x v="3"/>
    <x v="2"/>
    <n v="11"/>
    <s v="Grey"/>
    <n v="1"/>
    <n v="7399"/>
    <n v="15"/>
    <n v="6290"/>
    <n v="6290"/>
    <s v="UPI"/>
    <x v="2"/>
    <s v="India"/>
    <x v="30"/>
    <s v="Daria"/>
    <s v="Value Shopper"/>
    <x v="0"/>
    <n v="5"/>
    <s v="Delivered"/>
    <s v="Express"/>
    <n v="3"/>
  </r>
  <r>
    <s v="ORD200084"/>
    <s v="CUST100932"/>
    <s v="Women"/>
    <s v="35-44"/>
    <x v="1489"/>
    <x v="5"/>
    <x v="15"/>
    <x v="4"/>
    <n v="10"/>
    <s v="Blue"/>
    <n v="1"/>
    <n v="5699"/>
    <n v="20"/>
    <n v="4560"/>
    <n v="4560"/>
    <s v="UPI"/>
    <x v="1"/>
    <s v="India"/>
    <x v="20"/>
    <s v="Solan"/>
    <s v="Premium Shopper"/>
    <x v="0"/>
    <n v="3.9"/>
    <s v="Delivered"/>
    <s v="Express"/>
    <n v="3"/>
  </r>
  <r>
    <s v="ORD200314"/>
    <s v="CUST100080"/>
    <s v="Men"/>
    <s v="45-54"/>
    <x v="1489"/>
    <x v="3"/>
    <x v="28"/>
    <x v="1"/>
    <n v="9"/>
    <s v="Red"/>
    <n v="3"/>
    <n v="5399"/>
    <n v="35"/>
    <n v="3510"/>
    <n v="10530"/>
    <s v="UPI"/>
    <x v="1"/>
    <s v="India"/>
    <x v="25"/>
    <s v="Anantnag"/>
    <s v="Comfort Shopper"/>
    <x v="2"/>
    <n v="3.5"/>
    <s v="Returned"/>
    <s v="Express"/>
    <n v="4"/>
  </r>
  <r>
    <s v="ORD201482"/>
    <s v="CUST100816"/>
    <s v="Unisex"/>
    <s v="18-24"/>
    <x v="1489"/>
    <x v="3"/>
    <x v="11"/>
    <x v="4"/>
    <n v="8"/>
    <s v="Green"/>
    <n v="1"/>
    <n v="3699"/>
    <n v="20"/>
    <n v="2960"/>
    <n v="2960"/>
    <s v="UPI"/>
    <x v="2"/>
    <s v="India"/>
    <x v="10"/>
    <s v="Diu"/>
    <s v="Value Shopper"/>
    <x v="1"/>
    <n v="5"/>
    <s v="Returned"/>
    <s v="Express"/>
    <n v="3"/>
  </r>
  <r>
    <s v="ORD201263"/>
    <s v="CUST100534"/>
    <s v="Women"/>
    <s v="35-44"/>
    <x v="1490"/>
    <x v="5"/>
    <x v="27"/>
    <x v="0"/>
    <n v="10"/>
    <s v="Green"/>
    <n v="1"/>
    <n v="6399"/>
    <n v="0"/>
    <n v="6400"/>
    <n v="6400"/>
    <s v="UPI"/>
    <x v="1"/>
    <s v="India"/>
    <x v="1"/>
    <s v="Vasco da Gama"/>
    <s v="Lifestyle Shopper"/>
    <x v="1"/>
    <n v="4.3"/>
    <s v="Delivered"/>
    <s v="Express"/>
    <n v="2"/>
  </r>
  <r>
    <s v="ORD203058"/>
    <s v="CUST100711"/>
    <s v="Women"/>
    <s v="18-24"/>
    <x v="1490"/>
    <x v="2"/>
    <x v="4"/>
    <x v="2"/>
    <n v="10"/>
    <s v="Blue"/>
    <n v="1"/>
    <n v="7499"/>
    <n v="10"/>
    <n v="6750"/>
    <n v="6750"/>
    <s v="UPI"/>
    <x v="2"/>
    <s v="India"/>
    <x v="30"/>
    <s v="Chandigarh"/>
    <s v="Value Shopper"/>
    <x v="1"/>
    <n v="3.7"/>
    <s v="Delivered"/>
    <s v="Express"/>
    <n v="3"/>
  </r>
  <r>
    <s v="ORD201217"/>
    <s v="CUST100358"/>
    <s v="Men"/>
    <s v="35-44"/>
    <x v="1491"/>
    <x v="4"/>
    <x v="26"/>
    <x v="3"/>
    <n v="10"/>
    <s v="Grey"/>
    <n v="1"/>
    <n v="5199"/>
    <n v="15"/>
    <n v="4420"/>
    <n v="4420"/>
    <s v="Debit/Credit Card"/>
    <x v="0"/>
    <s v="India"/>
    <x v="18"/>
    <s v="Bilaspur"/>
    <s v="Value Shopper"/>
    <x v="1"/>
    <n v="4.5999999999999996"/>
    <s v="Delivered"/>
    <s v="Standard"/>
    <n v="1"/>
  </r>
  <r>
    <s v="ORD201471"/>
    <s v="CUST100295"/>
    <s v="Men"/>
    <s v="25-34"/>
    <x v="1492"/>
    <x v="0"/>
    <x v="19"/>
    <x v="4"/>
    <n v="10"/>
    <s v="Grey"/>
    <n v="1"/>
    <n v="7099"/>
    <n v="10"/>
    <n v="6390"/>
    <n v="6390"/>
    <s v="UPI"/>
    <x v="0"/>
    <s v="India"/>
    <x v="2"/>
    <s v="Gurugram"/>
    <s v="Comfort Shopper"/>
    <x v="1"/>
    <n v="5"/>
    <s v="Delivered"/>
    <s v="Standard"/>
    <n v="2"/>
  </r>
  <r>
    <s v="ORD201728"/>
    <s v="CUST100152"/>
    <s v="Men"/>
    <s v="45-54"/>
    <x v="1492"/>
    <x v="0"/>
    <x v="13"/>
    <x v="2"/>
    <n v="8"/>
    <s v="Green"/>
    <n v="4"/>
    <n v="4799"/>
    <n v="10"/>
    <n v="4320"/>
    <n v="17280"/>
    <s v="UPI"/>
    <x v="2"/>
    <s v="India"/>
    <x v="12"/>
    <s v="Diglipur"/>
    <s v="Value Shopper"/>
    <x v="2"/>
    <n v="3.5"/>
    <s v="Delivered"/>
    <s v="Standard"/>
    <n v="4"/>
  </r>
  <r>
    <s v="ORD200188"/>
    <s v="CUST100255"/>
    <s v="Women"/>
    <s v="35-44"/>
    <x v="1493"/>
    <x v="5"/>
    <x v="7"/>
    <x v="1"/>
    <n v="12"/>
    <s v="Black"/>
    <n v="1"/>
    <n v="4599"/>
    <n v="10"/>
    <n v="4140"/>
    <n v="4140"/>
    <s v="Debit/Credit Card"/>
    <x v="2"/>
    <s v="India"/>
    <x v="32"/>
    <s v="Bokaro"/>
    <s v="Performance Seeker"/>
    <x v="1"/>
    <n v="4.7"/>
    <s v="Delivered"/>
    <s v="Standard"/>
    <n v="7"/>
  </r>
  <r>
    <s v="ORD200763"/>
    <s v="CUST100006"/>
    <s v="Women"/>
    <s v="35-44"/>
    <x v="1493"/>
    <x v="4"/>
    <x v="22"/>
    <x v="0"/>
    <n v="9"/>
    <s v="Blue"/>
    <n v="1"/>
    <n v="5399"/>
    <n v="15"/>
    <n v="4590"/>
    <n v="4590"/>
    <s v="UPI"/>
    <x v="2"/>
    <s v="India"/>
    <x v="2"/>
    <s v="Hisar"/>
    <s v="Value Shopper"/>
    <x v="2"/>
    <n v="4.5999999999999996"/>
    <s v="Delivered"/>
    <s v="Express"/>
    <n v="3"/>
  </r>
  <r>
    <s v="ORD202115"/>
    <s v="CUST101003"/>
    <s v="Unisex"/>
    <s v="18-24"/>
    <x v="1493"/>
    <x v="3"/>
    <x v="5"/>
    <x v="2"/>
    <n v="10"/>
    <s v="Black"/>
    <n v="1"/>
    <n v="7399"/>
    <n v="30"/>
    <n v="5180"/>
    <n v="5180"/>
    <s v="Debit/Credit Card"/>
    <x v="1"/>
    <s v="India"/>
    <x v="3"/>
    <s v="Jodhpur"/>
    <s v="Lifestyle Shopper"/>
    <x v="1"/>
    <n v="5"/>
    <s v="Delivered"/>
    <s v="Standard"/>
    <n v="4"/>
  </r>
  <r>
    <s v="ORD203014"/>
    <s v="CUST100769"/>
    <s v="Men"/>
    <s v="35-44"/>
    <x v="1494"/>
    <x v="3"/>
    <x v="16"/>
    <x v="0"/>
    <n v="8"/>
    <s v="White"/>
    <n v="3"/>
    <n v="3999"/>
    <n v="0"/>
    <n v="4000"/>
    <n v="12000"/>
    <s v="Debit/Credit Card"/>
    <x v="2"/>
    <s v="India"/>
    <x v="26"/>
    <s v="Thrissur"/>
    <s v="Performance Seeker"/>
    <x v="1"/>
    <n v="4.5"/>
    <s v="Delivered"/>
    <s v="Express"/>
    <n v="3"/>
  </r>
  <r>
    <s v="ORD203083"/>
    <s v="CUST100319"/>
    <s v="Unisex"/>
    <s v="18-24"/>
    <x v="1494"/>
    <x v="4"/>
    <x v="17"/>
    <x v="4"/>
    <n v="9"/>
    <s v="Black"/>
    <n v="2"/>
    <n v="7099"/>
    <n v="20"/>
    <n v="5680"/>
    <n v="11360"/>
    <s v="UPI"/>
    <x v="1"/>
    <s v="India"/>
    <x v="0"/>
    <s v="Jorhat"/>
    <s v="Lifestyle Shopper"/>
    <x v="2"/>
    <n v="4.5999999999999996"/>
    <s v="Delivered"/>
    <s v="Standard"/>
    <n v="3"/>
  </r>
  <r>
    <s v="ORD203148"/>
    <s v="CUST100312"/>
    <s v="Women"/>
    <s v="35-44"/>
    <x v="1494"/>
    <x v="3"/>
    <x v="35"/>
    <x v="2"/>
    <n v="10"/>
    <s v="Red"/>
    <n v="1"/>
    <n v="3699"/>
    <n v="0"/>
    <n v="3700"/>
    <n v="3700"/>
    <s v="Debit/Credit Card"/>
    <x v="2"/>
    <s v="India"/>
    <x v="23"/>
    <s v="Dehradun"/>
    <s v="Value Shopper"/>
    <x v="2"/>
    <n v="3.5"/>
    <s v="Delivered"/>
    <s v="Express"/>
    <n v="2"/>
  </r>
  <r>
    <s v="ORD200969"/>
    <s v="CUST100551"/>
    <s v="Men"/>
    <s v="25-34"/>
    <x v="1495"/>
    <x v="2"/>
    <x v="4"/>
    <x v="2"/>
    <n v="8"/>
    <s v="Grey"/>
    <n v="2"/>
    <n v="8699"/>
    <n v="20"/>
    <n v="6960"/>
    <n v="13920"/>
    <s v="Cash on Delivery"/>
    <x v="2"/>
    <s v="India"/>
    <x v="15"/>
    <s v="Rohini"/>
    <s v="Performance Seeker"/>
    <x v="1"/>
    <n v="4.8"/>
    <s v="Delivered"/>
    <s v="Standard"/>
    <n v="2"/>
  </r>
  <r>
    <s v="ORD201071"/>
    <s v="CUST100905"/>
    <s v="Women"/>
    <s v="25-34"/>
    <x v="1495"/>
    <x v="1"/>
    <x v="33"/>
    <x v="0"/>
    <n v="12"/>
    <s v="White"/>
    <n v="1"/>
    <n v="7899"/>
    <n v="20"/>
    <n v="6320"/>
    <n v="6320"/>
    <s v="Cash on Delivery"/>
    <x v="1"/>
    <s v="India"/>
    <x v="34"/>
    <s v="Durgapur"/>
    <s v="Value Shopper"/>
    <x v="1"/>
    <n v="4.0999999999999996"/>
    <s v="Delivered"/>
    <s v="Express"/>
    <n v="2"/>
  </r>
  <r>
    <s v="ORD202750"/>
    <s v="CUST100115"/>
    <s v="Women"/>
    <s v="45-54"/>
    <x v="1496"/>
    <x v="3"/>
    <x v="28"/>
    <x v="1"/>
    <n v="7"/>
    <s v="Green"/>
    <n v="1"/>
    <n v="6499"/>
    <n v="5"/>
    <n v="6170"/>
    <n v="6170"/>
    <s v="UPI"/>
    <x v="1"/>
    <s v="India"/>
    <x v="9"/>
    <s v="Patna"/>
    <s v="Performance Seeker"/>
    <x v="2"/>
    <n v="4.2"/>
    <s v="Delivered"/>
    <s v="Standard"/>
    <n v="5"/>
  </r>
  <r>
    <s v="ORD201111"/>
    <s v="CUST100252"/>
    <s v="Women"/>
    <s v="18-24"/>
    <x v="1497"/>
    <x v="1"/>
    <x v="1"/>
    <x v="1"/>
    <n v="7"/>
    <s v="Green"/>
    <n v="1"/>
    <n v="4399"/>
    <n v="10"/>
    <n v="3960"/>
    <n v="3960"/>
    <s v="UPI"/>
    <x v="1"/>
    <s v="India"/>
    <x v="25"/>
    <s v="Srinagar"/>
    <s v="Comfort Shopper"/>
    <x v="2"/>
    <n v="4.4000000000000004"/>
    <s v="Delivered"/>
    <s v="Standard"/>
    <n v="4"/>
  </r>
  <r>
    <s v="ORD202562"/>
    <s v="CUST100069"/>
    <s v="Men"/>
    <s v="35-44"/>
    <x v="1497"/>
    <x v="5"/>
    <x v="14"/>
    <x v="3"/>
    <n v="9"/>
    <s v="Black"/>
    <n v="1"/>
    <n v="5399"/>
    <n v="10"/>
    <n v="4860"/>
    <n v="4860"/>
    <s v="UPI"/>
    <x v="1"/>
    <s v="India"/>
    <x v="2"/>
    <s v="Hisar"/>
    <s v="Performance Seeker"/>
    <x v="2"/>
    <n v="3.8"/>
    <s v="Delivered"/>
    <s v="Express"/>
    <n v="2"/>
  </r>
  <r>
    <s v="ORD200463"/>
    <s v="CUST100217"/>
    <s v="Men"/>
    <s v="55+"/>
    <x v="1498"/>
    <x v="3"/>
    <x v="11"/>
    <x v="4"/>
    <n v="11"/>
    <s v="White"/>
    <n v="1"/>
    <n v="4199"/>
    <n v="15"/>
    <n v="3570"/>
    <n v="3570"/>
    <s v="Debit/Credit Card"/>
    <x v="1"/>
    <s v="India"/>
    <x v="6"/>
    <s v="Lucknow"/>
    <s v="Performance Seeker"/>
    <x v="1"/>
    <n v="3.4"/>
    <s v="Delivered"/>
    <s v="Standard"/>
    <n v="6"/>
  </r>
  <r>
    <s v="ORD201134"/>
    <s v="CUST100785"/>
    <s v="Women"/>
    <s v="18-24"/>
    <x v="1498"/>
    <x v="3"/>
    <x v="34"/>
    <x v="3"/>
    <n v="8"/>
    <s v="Green"/>
    <n v="1"/>
    <n v="4299"/>
    <n v="25"/>
    <n v="3220"/>
    <n v="3220"/>
    <s v="UPI"/>
    <x v="2"/>
    <s v="India"/>
    <x v="33"/>
    <s v="Pune"/>
    <s v="Premium Shopper"/>
    <x v="2"/>
    <n v="5"/>
    <s v="Delivered"/>
    <s v="Standard"/>
    <n v="4"/>
  </r>
  <r>
    <s v="ORD202874"/>
    <s v="CUST100389"/>
    <s v="Women"/>
    <s v="18-24"/>
    <x v="1499"/>
    <x v="5"/>
    <x v="30"/>
    <x v="2"/>
    <n v="9"/>
    <s v="Black"/>
    <n v="2"/>
    <n v="6599"/>
    <n v="20"/>
    <n v="5280"/>
    <n v="10560"/>
    <s v="Cash on Delivery"/>
    <x v="0"/>
    <s v="India"/>
    <x v="26"/>
    <s v="Kochi"/>
    <s v="Premium Shopper"/>
    <x v="1"/>
    <n v="4.4000000000000004"/>
    <s v="Returned"/>
    <s v="Same Day"/>
    <n v="1"/>
  </r>
  <r>
    <s v="ORD201622"/>
    <s v="CUST100695"/>
    <s v="Women"/>
    <s v="18-24"/>
    <x v="1500"/>
    <x v="1"/>
    <x v="12"/>
    <x v="4"/>
    <n v="9"/>
    <s v="Blue"/>
    <n v="1"/>
    <n v="8299"/>
    <n v="15"/>
    <n v="7050"/>
    <n v="7050"/>
    <s v="Debit/Credit Card"/>
    <x v="1"/>
    <s v="India"/>
    <x v="16"/>
    <s v="Surat"/>
    <s v="Value Shopper"/>
    <x v="2"/>
    <n v="4.7"/>
    <s v="Returned"/>
    <s v="Express"/>
    <n v="2"/>
  </r>
  <r>
    <s v="ORD202066"/>
    <s v="CUST100534"/>
    <s v="Unisex"/>
    <s v="18-24"/>
    <x v="1500"/>
    <x v="5"/>
    <x v="7"/>
    <x v="1"/>
    <n v="8"/>
    <s v="Blue"/>
    <n v="1"/>
    <n v="4899"/>
    <n v="30"/>
    <n v="3430"/>
    <n v="3430"/>
    <s v="Debit/Credit Card"/>
    <x v="2"/>
    <s v="India"/>
    <x v="26"/>
    <s v="Kozhikode"/>
    <s v="Comfort Shopper"/>
    <x v="2"/>
    <n v="4.4000000000000004"/>
    <s v="Delivered"/>
    <s v="Standard"/>
    <n v="3"/>
  </r>
  <r>
    <s v="ORD200117"/>
    <s v="CUST100628"/>
    <s v="Men"/>
    <s v="18-24"/>
    <x v="1501"/>
    <x v="5"/>
    <x v="15"/>
    <x v="4"/>
    <n v="6"/>
    <s v="Black"/>
    <n v="2"/>
    <n v="4699"/>
    <n v="25"/>
    <n v="3520"/>
    <n v="7040"/>
    <s v="UPI"/>
    <x v="1"/>
    <s v="India"/>
    <x v="1"/>
    <s v="Margao"/>
    <s v="Value Shopper"/>
    <x v="2"/>
    <n v="4.8"/>
    <s v="Delivered"/>
    <s v="Express"/>
    <n v="1"/>
  </r>
  <r>
    <s v="ORD200470"/>
    <s v="CUST100531"/>
    <s v="Unisex"/>
    <s v="45-54"/>
    <x v="1501"/>
    <x v="3"/>
    <x v="35"/>
    <x v="2"/>
    <n v="11"/>
    <s v="Green"/>
    <n v="1"/>
    <n v="8799"/>
    <n v="10"/>
    <n v="7920"/>
    <n v="7920"/>
    <s v="Cash on Delivery"/>
    <x v="0"/>
    <s v="India"/>
    <x v="16"/>
    <s v="Ahmedabad"/>
    <s v="Performance Seeker"/>
    <x v="2"/>
    <n v="3.8"/>
    <s v="Delivered"/>
    <s v="Standard"/>
    <n v="5"/>
  </r>
  <r>
    <s v="ORD200807"/>
    <s v="CUST100402"/>
    <s v="Men"/>
    <s v="35-44"/>
    <x v="1502"/>
    <x v="0"/>
    <x v="13"/>
    <x v="2"/>
    <n v="7"/>
    <s v="Red"/>
    <n v="2"/>
    <n v="7899"/>
    <n v="0"/>
    <n v="7900"/>
    <n v="15800"/>
    <s v="UPI"/>
    <x v="2"/>
    <s v="India"/>
    <x v="8"/>
    <s v="Hyderabad"/>
    <s v="Lifestyle Shopper"/>
    <x v="2"/>
    <n v="3.7"/>
    <s v="Delivered"/>
    <s v="Standard"/>
    <n v="5"/>
  </r>
  <r>
    <s v="ORD202486"/>
    <s v="CUST100796"/>
    <s v="Men"/>
    <s v="35-44"/>
    <x v="1502"/>
    <x v="4"/>
    <x v="6"/>
    <x v="2"/>
    <n v="8"/>
    <s v="Green"/>
    <n v="1"/>
    <n v="7699"/>
    <n v="15"/>
    <n v="6540"/>
    <n v="6540"/>
    <s v="Debit/Credit Card"/>
    <x v="1"/>
    <s v="India"/>
    <x v="24"/>
    <s v="Mysuru"/>
    <s v="Performance Seeker"/>
    <x v="1"/>
    <n v="4.9000000000000004"/>
    <s v="Delivered"/>
    <s v="Express"/>
    <n v="2"/>
  </r>
  <r>
    <s v="ORD200064"/>
    <s v="CUST100398"/>
    <s v="Unisex"/>
    <s v="18-24"/>
    <x v="1503"/>
    <x v="3"/>
    <x v="11"/>
    <x v="4"/>
    <n v="8"/>
    <s v="Blue"/>
    <n v="2"/>
    <n v="6699"/>
    <n v="35"/>
    <n v="4350"/>
    <n v="8700"/>
    <s v="UPI"/>
    <x v="2"/>
    <s v="India"/>
    <x v="31"/>
    <s v="Chennai"/>
    <s v="Lifestyle Shopper"/>
    <x v="2"/>
    <n v="3.9"/>
    <s v="Delivered"/>
    <s v="Express"/>
    <n v="2"/>
  </r>
  <r>
    <s v="ORD200441"/>
    <s v="CUST100211"/>
    <s v="Men"/>
    <s v="25-34"/>
    <x v="1503"/>
    <x v="4"/>
    <x v="26"/>
    <x v="3"/>
    <n v="7"/>
    <s v="Black"/>
    <n v="1"/>
    <n v="5299"/>
    <n v="30"/>
    <n v="3710"/>
    <n v="3710"/>
    <s v="Debit/Credit Card"/>
    <x v="1"/>
    <s v="India"/>
    <x v="19"/>
    <s v="Nongpoh"/>
    <s v="Value Shopper"/>
    <x v="2"/>
    <n v="5"/>
    <s v="Delivered"/>
    <s v="Express"/>
    <n v="1"/>
  </r>
  <r>
    <s v="ORD200643"/>
    <s v="CUST100810"/>
    <s v="Men"/>
    <s v="18-24"/>
    <x v="1503"/>
    <x v="1"/>
    <x v="12"/>
    <x v="4"/>
    <n v="11"/>
    <s v="White"/>
    <n v="1"/>
    <n v="7099"/>
    <n v="15"/>
    <n v="6030"/>
    <n v="6030"/>
    <s v="UPI"/>
    <x v="2"/>
    <s v="India"/>
    <x v="28"/>
    <s v="Nubra"/>
    <s v="Lifestyle Shopper"/>
    <x v="1"/>
    <n v="4.0999999999999996"/>
    <s v="Delivered"/>
    <s v="Standard"/>
    <n v="7"/>
  </r>
  <r>
    <s v="ORD200053"/>
    <s v="CUST100946"/>
    <s v="Women"/>
    <s v="35-44"/>
    <x v="1504"/>
    <x v="0"/>
    <x v="8"/>
    <x v="3"/>
    <n v="9"/>
    <s v="Blue"/>
    <n v="1"/>
    <n v="5199"/>
    <n v="25"/>
    <n v="3900"/>
    <n v="3900"/>
    <s v="Debit/Credit Card"/>
    <x v="1"/>
    <s v="India"/>
    <x v="11"/>
    <s v="Kavaratti"/>
    <s v="Value Shopper"/>
    <x v="0"/>
    <n v="4.2"/>
    <s v="Delivered"/>
    <s v="Express"/>
    <n v="2"/>
  </r>
  <r>
    <s v="ORD201995"/>
    <s v="CUST100838"/>
    <s v="Women"/>
    <s v="45-54"/>
    <x v="1504"/>
    <x v="2"/>
    <x v="24"/>
    <x v="4"/>
    <n v="9"/>
    <s v="White"/>
    <n v="1"/>
    <n v="6999"/>
    <n v="15"/>
    <n v="5950"/>
    <n v="5950"/>
    <s v="Debit/Credit Card"/>
    <x v="1"/>
    <s v="India"/>
    <x v="15"/>
    <s v="Dwarka"/>
    <s v="Value Shopper"/>
    <x v="0"/>
    <n v="3.4"/>
    <s v="Delivered"/>
    <s v="Express"/>
    <n v="3"/>
  </r>
  <r>
    <s v="ORD202266"/>
    <s v="CUST100024"/>
    <s v="Men"/>
    <s v="25-34"/>
    <x v="1505"/>
    <x v="2"/>
    <x v="32"/>
    <x v="1"/>
    <n v="6"/>
    <s v="Red"/>
    <n v="1"/>
    <n v="5199"/>
    <n v="10"/>
    <n v="4680"/>
    <n v="4680"/>
    <s v="Debit/Credit Card"/>
    <x v="1"/>
    <s v="India"/>
    <x v="34"/>
    <s v="Durgapur"/>
    <s v="Performance Seeker"/>
    <x v="1"/>
    <n v="3.4"/>
    <s v="Delivered"/>
    <s v="Standard"/>
    <n v="2"/>
  </r>
  <r>
    <s v="ORD200526"/>
    <s v="CUST100287"/>
    <s v="Women"/>
    <s v="18-24"/>
    <x v="1506"/>
    <x v="3"/>
    <x v="5"/>
    <x v="2"/>
    <n v="9"/>
    <s v="Green"/>
    <n v="1"/>
    <n v="5999"/>
    <n v="10"/>
    <n v="5400"/>
    <n v="5400"/>
    <s v="UPI"/>
    <x v="2"/>
    <s v="India"/>
    <x v="33"/>
    <s v="Mumbai"/>
    <s v="Comfort Shopper"/>
    <x v="2"/>
    <n v="3.9"/>
    <s v="Delivered"/>
    <s v="Standard"/>
    <n v="3"/>
  </r>
  <r>
    <s v="ORD202648"/>
    <s v="CUST100373"/>
    <s v="Unisex"/>
    <s v="35-44"/>
    <x v="1506"/>
    <x v="1"/>
    <x v="12"/>
    <x v="4"/>
    <n v="10"/>
    <s v="Black"/>
    <n v="1"/>
    <n v="6399"/>
    <n v="25"/>
    <n v="4800"/>
    <n v="4800"/>
    <s v="Debit/Credit Card"/>
    <x v="2"/>
    <s v="India"/>
    <x v="19"/>
    <s v="Jowai"/>
    <s v="Value Shopper"/>
    <x v="1"/>
    <n v="3.6"/>
    <s v="Returned"/>
    <s v="Standard"/>
    <n v="4"/>
  </r>
  <r>
    <s v="ORD203067"/>
    <s v="CUST100681"/>
    <s v="Unisex"/>
    <s v="25-34"/>
    <x v="1506"/>
    <x v="3"/>
    <x v="28"/>
    <x v="1"/>
    <n v="8"/>
    <s v="Blue"/>
    <n v="1"/>
    <n v="7299"/>
    <n v="10"/>
    <n v="6570"/>
    <n v="6570"/>
    <s v="UPI"/>
    <x v="1"/>
    <s v="India"/>
    <x v="3"/>
    <s v="Jodhpur"/>
    <s v="Premium Shopper"/>
    <x v="1"/>
    <n v="4.0999999999999996"/>
    <s v="Delivered"/>
    <s v="Express"/>
    <n v="1"/>
  </r>
  <r>
    <s v="ORD201807"/>
    <s v="CUST100369"/>
    <s v="Women"/>
    <s v="45-54"/>
    <x v="1507"/>
    <x v="5"/>
    <x v="7"/>
    <x v="1"/>
    <n v="6"/>
    <s v="Blue"/>
    <n v="3"/>
    <n v="7899"/>
    <n v="30"/>
    <n v="5530"/>
    <n v="16590"/>
    <s v="UPI"/>
    <x v="2"/>
    <s v="India"/>
    <x v="34"/>
    <s v="Siliguri"/>
    <s v="Comfort Shopper"/>
    <x v="1"/>
    <n v="4"/>
    <s v="Delivered"/>
    <s v="Standard"/>
    <n v="2"/>
  </r>
  <r>
    <s v="ORD201348"/>
    <s v="CUST100147"/>
    <s v="Unisex"/>
    <s v="18-24"/>
    <x v="1508"/>
    <x v="3"/>
    <x v="5"/>
    <x v="2"/>
    <n v="12"/>
    <s v="Blue"/>
    <n v="1"/>
    <n v="7699"/>
    <n v="20"/>
    <n v="6160"/>
    <n v="6160"/>
    <s v="UPI"/>
    <x v="2"/>
    <s v="India"/>
    <x v="19"/>
    <s v="Tura"/>
    <s v="Lifestyle Shopper"/>
    <x v="2"/>
    <n v="4.3"/>
    <s v="Delivered"/>
    <s v="Same Day"/>
    <n v="1"/>
  </r>
  <r>
    <s v="ORD201582"/>
    <s v="CUST100562"/>
    <s v="Men"/>
    <s v="35-44"/>
    <x v="1509"/>
    <x v="2"/>
    <x v="4"/>
    <x v="2"/>
    <n v="8"/>
    <s v="Grey"/>
    <n v="1"/>
    <n v="6299"/>
    <n v="5"/>
    <n v="5980"/>
    <n v="5980"/>
    <s v="Cash on Delivery"/>
    <x v="1"/>
    <s v="India"/>
    <x v="34"/>
    <s v="Asansol"/>
    <s v="Comfort Shopper"/>
    <x v="2"/>
    <n v="3.2"/>
    <s v="Delivered"/>
    <s v="Express"/>
    <n v="1"/>
  </r>
  <r>
    <s v="ORD201824"/>
    <s v="CUST100156"/>
    <s v="Men"/>
    <s v="18-24"/>
    <x v="1509"/>
    <x v="4"/>
    <x v="17"/>
    <x v="4"/>
    <n v="11"/>
    <s v="Green"/>
    <n v="1"/>
    <n v="8899"/>
    <n v="20"/>
    <n v="7120"/>
    <n v="7120"/>
    <s v="Cash on Delivery"/>
    <x v="1"/>
    <s v="India"/>
    <x v="17"/>
    <s v="Karaikal"/>
    <s v="Premium Shopper"/>
    <x v="2"/>
    <n v="3.7"/>
    <s v="Delivered"/>
    <s v="Express"/>
    <n v="3"/>
  </r>
  <r>
    <s v="ORD200793"/>
    <s v="CUST100425"/>
    <s v="Men"/>
    <s v="35-44"/>
    <x v="1510"/>
    <x v="0"/>
    <x v="0"/>
    <x v="0"/>
    <n v="9"/>
    <s v="Red"/>
    <n v="1"/>
    <n v="4499"/>
    <n v="15"/>
    <n v="3820"/>
    <n v="3820"/>
    <s v="UPI"/>
    <x v="0"/>
    <s v="India"/>
    <x v="26"/>
    <s v="Thiruvananthapuram"/>
    <s v="Performance Seeker"/>
    <x v="2"/>
    <n v="4.4000000000000004"/>
    <s v="Delivered"/>
    <s v="Standard"/>
    <n v="4"/>
  </r>
  <r>
    <s v="ORD201573"/>
    <s v="CUST100497"/>
    <s v="Women"/>
    <s v="45-54"/>
    <x v="1510"/>
    <x v="3"/>
    <x v="34"/>
    <x v="3"/>
    <n v="8"/>
    <s v="White"/>
    <n v="3"/>
    <n v="3699"/>
    <n v="30"/>
    <n v="2590"/>
    <n v="7770"/>
    <s v="UPI"/>
    <x v="2"/>
    <s v="India"/>
    <x v="24"/>
    <s v="Hubballi"/>
    <s v="Premium Shopper"/>
    <x v="2"/>
    <n v="3.2"/>
    <s v="Delivered"/>
    <s v="Express"/>
    <n v="4"/>
  </r>
  <r>
    <s v="ORD202595"/>
    <s v="CUST100747"/>
    <s v="Men"/>
    <s v="18-24"/>
    <x v="1510"/>
    <x v="4"/>
    <x v="17"/>
    <x v="4"/>
    <n v="10"/>
    <s v="Black"/>
    <n v="1"/>
    <n v="4399"/>
    <n v="15"/>
    <n v="3740"/>
    <n v="3740"/>
    <s v="Debit/Credit Card"/>
    <x v="2"/>
    <s v="India"/>
    <x v="15"/>
    <s v="New Delhi"/>
    <s v="Lifestyle Shopper"/>
    <x v="1"/>
    <n v="3.5"/>
    <s v="Cancelled"/>
    <s v="Express"/>
    <n v="3"/>
  </r>
  <r>
    <s v="ORD200080"/>
    <s v="CUST100649"/>
    <s v="Men"/>
    <s v="25-34"/>
    <x v="1511"/>
    <x v="1"/>
    <x v="18"/>
    <x v="2"/>
    <n v="7"/>
    <s v="Green"/>
    <n v="3"/>
    <n v="8699"/>
    <n v="30"/>
    <n v="6090"/>
    <n v="18270"/>
    <s v="Debit/Credit Card"/>
    <x v="1"/>
    <s v="India"/>
    <x v="32"/>
    <s v="Jamshedpur"/>
    <s v="Lifestyle Shopper"/>
    <x v="1"/>
    <n v="2.9"/>
    <s v="Cancelled"/>
    <s v="Standard"/>
    <n v="5"/>
  </r>
  <r>
    <s v="ORD201603"/>
    <s v="CUST100395"/>
    <s v="Men"/>
    <s v="18-24"/>
    <x v="1512"/>
    <x v="0"/>
    <x v="2"/>
    <x v="2"/>
    <n v="9"/>
    <s v="Grey"/>
    <n v="1"/>
    <n v="8899"/>
    <n v="15"/>
    <n v="7560"/>
    <n v="7560"/>
    <s v="Debit/Credit Card"/>
    <x v="1"/>
    <s v="India"/>
    <x v="33"/>
    <s v="Nashik"/>
    <s v="Comfort Shopper"/>
    <x v="1"/>
    <n v="4.5999999999999996"/>
    <s v="Delivered"/>
    <s v="Express"/>
    <n v="1"/>
  </r>
  <r>
    <s v="ORD202984"/>
    <s v="CUST100065"/>
    <s v="Women"/>
    <s v="45-54"/>
    <x v="1513"/>
    <x v="3"/>
    <x v="34"/>
    <x v="3"/>
    <n v="9"/>
    <s v="Green"/>
    <n v="2"/>
    <n v="7799"/>
    <n v="0"/>
    <n v="7800"/>
    <n v="15600"/>
    <s v="UPI"/>
    <x v="2"/>
    <s v="India"/>
    <x v="15"/>
    <s v="New Delhi"/>
    <s v="Comfort Shopper"/>
    <x v="2"/>
    <n v="3.6"/>
    <s v="Delivered"/>
    <s v="Express"/>
    <n v="4"/>
  </r>
  <r>
    <s v="ORD200118"/>
    <s v="CUST100157"/>
    <s v="Women"/>
    <s v="45-54"/>
    <x v="1514"/>
    <x v="0"/>
    <x v="2"/>
    <x v="2"/>
    <n v="6"/>
    <s v="Green"/>
    <n v="1"/>
    <n v="8399"/>
    <n v="15"/>
    <n v="7140"/>
    <n v="7140"/>
    <s v="Debit/Credit Card"/>
    <x v="1"/>
    <s v="India"/>
    <x v="34"/>
    <s v="Durgapur"/>
    <s v="Lifestyle Shopper"/>
    <x v="1"/>
    <n v="4.7"/>
    <s v="Cancelled"/>
    <s v="Standard"/>
    <n v="6"/>
  </r>
  <r>
    <s v="ORD201232"/>
    <s v="CUST100627"/>
    <s v="Women"/>
    <s v="35-44"/>
    <x v="1514"/>
    <x v="5"/>
    <x v="27"/>
    <x v="0"/>
    <n v="8"/>
    <s v="Blue"/>
    <n v="1"/>
    <n v="8999"/>
    <n v="10"/>
    <n v="8100"/>
    <n v="8100"/>
    <s v="UPI"/>
    <x v="2"/>
    <s v="India"/>
    <x v="23"/>
    <s v="Haridwar"/>
    <s v="Performance Seeker"/>
    <x v="2"/>
    <n v="3.4"/>
    <s v="Delivered"/>
    <s v="Express"/>
    <n v="2"/>
  </r>
  <r>
    <s v="ORD201746"/>
    <s v="CUST100082"/>
    <s v="Men"/>
    <s v="18-24"/>
    <x v="1514"/>
    <x v="2"/>
    <x v="32"/>
    <x v="1"/>
    <n v="9"/>
    <s v="Black"/>
    <n v="1"/>
    <n v="5599"/>
    <n v="0"/>
    <n v="5600"/>
    <n v="5600"/>
    <s v="Debit/Credit Card"/>
    <x v="1"/>
    <s v="India"/>
    <x v="35"/>
    <s v="Aizawl"/>
    <s v="Value Shopper"/>
    <x v="2"/>
    <n v="3.9"/>
    <s v="Delivered"/>
    <s v="Express"/>
    <n v="3"/>
  </r>
  <r>
    <s v="ORD202571"/>
    <s v="CUST100274"/>
    <s v="Men"/>
    <s v="25-34"/>
    <x v="1514"/>
    <x v="4"/>
    <x v="6"/>
    <x v="2"/>
    <n v="8"/>
    <s v="Red"/>
    <n v="1"/>
    <n v="5099"/>
    <n v="15"/>
    <n v="4330"/>
    <n v="4330"/>
    <s v="UPI"/>
    <x v="1"/>
    <s v="India"/>
    <x v="7"/>
    <s v="Gwalior"/>
    <s v="Performance Seeker"/>
    <x v="1"/>
    <n v="4.4000000000000004"/>
    <s v="Delivered"/>
    <s v="Express"/>
    <n v="1"/>
  </r>
  <r>
    <s v="ORD201191"/>
    <s v="CUST100228"/>
    <s v="Unisex"/>
    <s v="25-34"/>
    <x v="1515"/>
    <x v="5"/>
    <x v="14"/>
    <x v="3"/>
    <n v="10"/>
    <s v="Green"/>
    <n v="1"/>
    <n v="6699"/>
    <n v="30"/>
    <n v="4690"/>
    <n v="4690"/>
    <s v="Debit/Credit Card"/>
    <x v="1"/>
    <s v="India"/>
    <x v="23"/>
    <s v="Rishikesh"/>
    <s v="Performance Seeker"/>
    <x v="2"/>
    <n v="3.7"/>
    <s v="Delivered"/>
    <s v="Standard"/>
    <n v="3"/>
  </r>
  <r>
    <s v="ORD202738"/>
    <s v="CUST100242"/>
    <s v="Women"/>
    <s v="25-34"/>
    <x v="1515"/>
    <x v="5"/>
    <x v="15"/>
    <x v="4"/>
    <n v="10"/>
    <s v="White"/>
    <n v="1"/>
    <n v="4899"/>
    <n v="20"/>
    <n v="3920"/>
    <n v="3920"/>
    <s v="UPI"/>
    <x v="1"/>
    <s v="India"/>
    <x v="8"/>
    <s v="Karimnagar"/>
    <s v="Value Shopper"/>
    <x v="2"/>
    <n v="3.7"/>
    <s v="Delivered"/>
    <s v="Same Day"/>
    <n v="1"/>
  </r>
  <r>
    <s v="ORD200251"/>
    <s v="CUST100605"/>
    <s v="Men"/>
    <s v="18-24"/>
    <x v="1516"/>
    <x v="3"/>
    <x v="16"/>
    <x v="0"/>
    <n v="8"/>
    <s v="Green"/>
    <n v="1"/>
    <n v="6899"/>
    <n v="0"/>
    <n v="6900"/>
    <n v="6900"/>
    <s v="UPI"/>
    <x v="1"/>
    <s v="India"/>
    <x v="34"/>
    <s v="Kolkata"/>
    <s v="Performance Seeker"/>
    <x v="1"/>
    <n v="3.3"/>
    <s v="Cancelled"/>
    <s v="Standard"/>
    <n v="6"/>
  </r>
  <r>
    <s v="ORD201390"/>
    <s v="CUST100734"/>
    <s v="Men"/>
    <s v="55+"/>
    <x v="1516"/>
    <x v="2"/>
    <x v="23"/>
    <x v="0"/>
    <n v="9"/>
    <s v="Black"/>
    <n v="1"/>
    <n v="3999"/>
    <n v="20"/>
    <n v="3200"/>
    <n v="3200"/>
    <s v="UPI"/>
    <x v="2"/>
    <s v="India"/>
    <x v="19"/>
    <s v="Nongpoh"/>
    <s v="Lifestyle Shopper"/>
    <x v="1"/>
    <n v="3.9"/>
    <s v="Cancelled"/>
    <s v="Standard"/>
    <n v="5"/>
  </r>
  <r>
    <s v="ORD203044"/>
    <s v="CUST101016"/>
    <s v="Men"/>
    <s v="25-34"/>
    <x v="1517"/>
    <x v="0"/>
    <x v="8"/>
    <x v="3"/>
    <n v="12"/>
    <s v="Red"/>
    <n v="1"/>
    <n v="7699"/>
    <n v="5"/>
    <n v="7310"/>
    <n v="7310"/>
    <s v="UPI"/>
    <x v="0"/>
    <s v="India"/>
    <x v="6"/>
    <s v="Lucknow"/>
    <s v="Comfort Shopper"/>
    <x v="0"/>
    <n v="4"/>
    <s v="Cancelled"/>
    <s v="Express"/>
    <n v="2"/>
  </r>
  <r>
    <s v="ORD202121"/>
    <s v="CUST100612"/>
    <s v="Women"/>
    <s v="18-24"/>
    <x v="1518"/>
    <x v="4"/>
    <x v="9"/>
    <x v="1"/>
    <n v="10"/>
    <s v="Black"/>
    <n v="1"/>
    <n v="8899"/>
    <n v="20"/>
    <n v="7120"/>
    <n v="7120"/>
    <s v="UPI"/>
    <x v="0"/>
    <s v="India"/>
    <x v="15"/>
    <s v="New Delhi"/>
    <s v="Comfort Shopper"/>
    <x v="0"/>
    <n v="4.5"/>
    <s v="Delivered"/>
    <s v="Express"/>
    <n v="3"/>
  </r>
  <r>
    <s v="ORD202159"/>
    <s v="CUST100281"/>
    <s v="Women"/>
    <s v="25-34"/>
    <x v="1518"/>
    <x v="2"/>
    <x v="25"/>
    <x v="3"/>
    <n v="9"/>
    <s v="Black"/>
    <n v="2"/>
    <n v="7399"/>
    <n v="20"/>
    <n v="5920"/>
    <n v="11840"/>
    <s v="Cash on Delivery"/>
    <x v="1"/>
    <s v="India"/>
    <x v="7"/>
    <s v="Jabalpur"/>
    <s v="Premium Shopper"/>
    <x v="0"/>
    <n v="3.5"/>
    <s v="Delivered"/>
    <s v="Standard"/>
    <n v="1"/>
  </r>
  <r>
    <s v="ORD200247"/>
    <s v="CUST100728"/>
    <s v="Women"/>
    <s v="25-34"/>
    <x v="1519"/>
    <x v="3"/>
    <x v="11"/>
    <x v="4"/>
    <n v="9"/>
    <s v="White"/>
    <n v="1"/>
    <n v="6699"/>
    <n v="20"/>
    <n v="5360"/>
    <n v="5360"/>
    <s v="UPI"/>
    <x v="2"/>
    <s v="India"/>
    <x v="5"/>
    <s v="Imphal"/>
    <s v="Comfort Shopper"/>
    <x v="1"/>
    <n v="3.9"/>
    <s v="Returned"/>
    <s v="Express"/>
    <n v="1"/>
  </r>
  <r>
    <s v="ORD201680"/>
    <s v="CUST100325"/>
    <s v="Men"/>
    <s v="18-24"/>
    <x v="1519"/>
    <x v="3"/>
    <x v="16"/>
    <x v="0"/>
    <n v="7"/>
    <s v="White"/>
    <n v="1"/>
    <n v="6599"/>
    <n v="20"/>
    <n v="5280"/>
    <n v="5280"/>
    <s v="Debit/Credit Card"/>
    <x v="1"/>
    <s v="India"/>
    <x v="8"/>
    <s v="Hyderabad"/>
    <s v="Value Shopper"/>
    <x v="2"/>
    <n v="4.5999999999999996"/>
    <s v="Delivered"/>
    <s v="Express"/>
    <n v="3"/>
  </r>
  <r>
    <s v="ORD202192"/>
    <s v="CUST100755"/>
    <s v="Women"/>
    <s v="18-24"/>
    <x v="1519"/>
    <x v="1"/>
    <x v="20"/>
    <x v="2"/>
    <n v="9"/>
    <s v="Black"/>
    <n v="1"/>
    <n v="9099"/>
    <n v="10"/>
    <n v="8190"/>
    <n v="8190"/>
    <s v="Debit/Credit Card"/>
    <x v="1"/>
    <s v="India"/>
    <x v="31"/>
    <s v="Madurai"/>
    <s v="Comfort Shopper"/>
    <x v="2"/>
    <n v="4.0999999999999996"/>
    <s v="Delivered"/>
    <s v="Standard"/>
    <n v="2"/>
  </r>
  <r>
    <s v="ORD202082"/>
    <s v="CUST100327"/>
    <s v="Men"/>
    <s v="25-34"/>
    <x v="1520"/>
    <x v="3"/>
    <x v="5"/>
    <x v="2"/>
    <n v="11"/>
    <s v="Black"/>
    <n v="1"/>
    <n v="4899"/>
    <n v="25"/>
    <n v="3670"/>
    <n v="3670"/>
    <s v="Debit/Credit Card"/>
    <x v="1"/>
    <s v="India"/>
    <x v="7"/>
    <s v="Indore"/>
    <s v="Performance Seeker"/>
    <x v="2"/>
    <n v="4.0999999999999996"/>
    <s v="Cancelled"/>
    <s v="Standard"/>
    <n v="3"/>
  </r>
  <r>
    <s v="ORD200411"/>
    <s v="CUST100318"/>
    <s v="Men"/>
    <s v="25-34"/>
    <x v="1521"/>
    <x v="0"/>
    <x v="13"/>
    <x v="2"/>
    <n v="11"/>
    <s v="Black"/>
    <n v="1"/>
    <n v="6399"/>
    <n v="35"/>
    <n v="4160"/>
    <n v="4160"/>
    <s v="UPI"/>
    <x v="1"/>
    <s v="India"/>
    <x v="6"/>
    <s v="Lucknow"/>
    <s v="Lifestyle Shopper"/>
    <x v="1"/>
    <n v="3.8"/>
    <s v="Delivered"/>
    <s v="Standard"/>
    <n v="5"/>
  </r>
  <r>
    <s v="ORD201207"/>
    <s v="CUST100303"/>
    <s v="Women"/>
    <s v="35-44"/>
    <x v="1521"/>
    <x v="1"/>
    <x v="10"/>
    <x v="3"/>
    <n v="9"/>
    <s v="Blue"/>
    <n v="3"/>
    <n v="4399"/>
    <n v="15"/>
    <n v="3740"/>
    <n v="11220"/>
    <s v="UPI"/>
    <x v="0"/>
    <s v="India"/>
    <x v="22"/>
    <s v="Dharmanagar"/>
    <s v="Value Shopper"/>
    <x v="0"/>
    <n v="3.9"/>
    <s v="Delivered"/>
    <s v="Express"/>
    <n v="3"/>
  </r>
  <r>
    <s v="ORD201441"/>
    <s v="CUST100211"/>
    <s v="Women"/>
    <s v="55+"/>
    <x v="1521"/>
    <x v="2"/>
    <x v="24"/>
    <x v="4"/>
    <n v="7"/>
    <s v="Red"/>
    <n v="1"/>
    <n v="7699"/>
    <n v="15"/>
    <n v="6540"/>
    <n v="6540"/>
    <s v="Debit/Credit Card"/>
    <x v="0"/>
    <s v="India"/>
    <x v="20"/>
    <s v="Dharamshala"/>
    <s v="Value Shopper"/>
    <x v="2"/>
    <n v="4.2"/>
    <s v="Delivered"/>
    <s v="Standard"/>
    <n v="2"/>
  </r>
  <r>
    <s v="ORD202796"/>
    <s v="CUST100655"/>
    <s v="Men"/>
    <s v="35-44"/>
    <x v="1521"/>
    <x v="5"/>
    <x v="15"/>
    <x v="4"/>
    <n v="8"/>
    <s v="Blue"/>
    <n v="2"/>
    <n v="7699"/>
    <n v="15"/>
    <n v="6540"/>
    <n v="13080"/>
    <s v="Debit/Credit Card"/>
    <x v="1"/>
    <s v="India"/>
    <x v="21"/>
    <s v="Mokokchung"/>
    <s v="Premium Shopper"/>
    <x v="0"/>
    <n v="4.5"/>
    <s v="Delivered"/>
    <s v="Express"/>
    <n v="2"/>
  </r>
  <r>
    <s v="ORD202933"/>
    <s v="CUST100274"/>
    <s v="Women"/>
    <s v="25-34"/>
    <x v="1521"/>
    <x v="1"/>
    <x v="1"/>
    <x v="1"/>
    <n v="7"/>
    <s v="Red"/>
    <n v="1"/>
    <n v="4699"/>
    <n v="5"/>
    <n v="4460"/>
    <n v="4460"/>
    <s v="UPI"/>
    <x v="1"/>
    <s v="India"/>
    <x v="23"/>
    <s v="Dehradun"/>
    <s v="Premium Shopper"/>
    <x v="2"/>
    <n v="3.9"/>
    <s v="Returned"/>
    <s v="Standard"/>
    <n v="5"/>
  </r>
  <r>
    <s v="ORD200323"/>
    <s v="CUST100055"/>
    <s v="Men"/>
    <s v="45-54"/>
    <x v="1522"/>
    <x v="5"/>
    <x v="30"/>
    <x v="2"/>
    <n v="10"/>
    <s v="Black"/>
    <n v="1"/>
    <n v="9999"/>
    <n v="15"/>
    <n v="8500"/>
    <n v="8500"/>
    <s v="UPI"/>
    <x v="0"/>
    <s v="India"/>
    <x v="22"/>
    <s v="Agartala"/>
    <s v="Performance Seeker"/>
    <x v="2"/>
    <n v="3.3"/>
    <s v="Cancelled"/>
    <s v="Standard"/>
    <n v="4"/>
  </r>
  <r>
    <s v="ORD200708"/>
    <s v="CUST100390"/>
    <s v="Unisex"/>
    <s v="18-24"/>
    <x v="1522"/>
    <x v="5"/>
    <x v="21"/>
    <x v="2"/>
    <n v="7"/>
    <s v="Green"/>
    <n v="1"/>
    <n v="9699"/>
    <n v="25"/>
    <n v="7270"/>
    <n v="7270"/>
    <s v="UPI"/>
    <x v="1"/>
    <s v="India"/>
    <x v="18"/>
    <s v="Bhilai"/>
    <s v="Comfort Shopper"/>
    <x v="2"/>
    <n v="4.5999999999999996"/>
    <s v="Returned"/>
    <s v="Standard"/>
    <n v="6"/>
  </r>
  <r>
    <s v="ORD202684"/>
    <s v="CUST100107"/>
    <s v="Men"/>
    <s v="25-34"/>
    <x v="1522"/>
    <x v="2"/>
    <x v="25"/>
    <x v="3"/>
    <n v="9"/>
    <s v="Black"/>
    <n v="4"/>
    <n v="6699"/>
    <n v="25"/>
    <n v="5020"/>
    <n v="20080"/>
    <s v="Debit/Credit Card"/>
    <x v="0"/>
    <s v="India"/>
    <x v="16"/>
    <s v="Vadodara"/>
    <s v="Lifestyle Shopper"/>
    <x v="2"/>
    <n v="4.5999999999999996"/>
    <s v="Returned"/>
    <s v="Express"/>
    <n v="2"/>
  </r>
  <r>
    <s v="ORD201631"/>
    <s v="CUST100183"/>
    <s v="Women"/>
    <s v="18-24"/>
    <x v="1523"/>
    <x v="4"/>
    <x v="17"/>
    <x v="4"/>
    <n v="12"/>
    <s v="Green"/>
    <n v="2"/>
    <n v="6399"/>
    <n v="30"/>
    <n v="4480"/>
    <n v="8960"/>
    <s v="UPI"/>
    <x v="0"/>
    <s v="India"/>
    <x v="13"/>
    <s v="Pasighat"/>
    <s v="Value Shopper"/>
    <x v="1"/>
    <n v="4.4000000000000004"/>
    <s v="Delivered"/>
    <s v="Express"/>
    <n v="2"/>
  </r>
  <r>
    <s v="ORD201945"/>
    <s v="CUST100140"/>
    <s v="Men"/>
    <s v="45-54"/>
    <x v="1523"/>
    <x v="2"/>
    <x v="4"/>
    <x v="2"/>
    <n v="11"/>
    <s v="White"/>
    <n v="2"/>
    <n v="3399"/>
    <n v="20"/>
    <n v="2720"/>
    <n v="5440"/>
    <s v="Debit/Credit Card"/>
    <x v="0"/>
    <s v="India"/>
    <x v="22"/>
    <s v="Dharmanagar"/>
    <s v="Lifestyle Shopper"/>
    <x v="2"/>
    <n v="4.3"/>
    <s v="Cancelled"/>
    <s v="Express"/>
    <n v="3"/>
  </r>
  <r>
    <s v="ORD202655"/>
    <s v="CUST100793"/>
    <s v="Unisex"/>
    <s v="35-44"/>
    <x v="1524"/>
    <x v="0"/>
    <x v="13"/>
    <x v="2"/>
    <n v="7"/>
    <s v="White"/>
    <n v="1"/>
    <n v="4399"/>
    <n v="35"/>
    <n v="2860"/>
    <n v="2860"/>
    <s v="Debit/Credit Card"/>
    <x v="1"/>
    <s v="India"/>
    <x v="2"/>
    <s v="Faridabad"/>
    <s v="Performance Seeker"/>
    <x v="2"/>
    <n v="4.5"/>
    <s v="Cancelled"/>
    <s v="Standard"/>
    <n v="1"/>
  </r>
  <r>
    <s v="ORD200865"/>
    <s v="CUST100131"/>
    <s v="Women"/>
    <s v="25-34"/>
    <x v="1525"/>
    <x v="5"/>
    <x v="30"/>
    <x v="2"/>
    <n v="10"/>
    <s v="Black"/>
    <n v="1"/>
    <n v="4499"/>
    <n v="10"/>
    <n v="4050"/>
    <n v="4050"/>
    <s v="Cash on Delivery"/>
    <x v="0"/>
    <s v="India"/>
    <x v="3"/>
    <s v="Jaipur"/>
    <s v="Lifestyle Shopper"/>
    <x v="2"/>
    <n v="5"/>
    <s v="Returned"/>
    <s v="Express"/>
    <n v="3"/>
  </r>
  <r>
    <s v="ORD201865"/>
    <s v="CUST100250"/>
    <s v="Unisex"/>
    <s v="25-34"/>
    <x v="1526"/>
    <x v="1"/>
    <x v="12"/>
    <x v="4"/>
    <n v="9"/>
    <s v="White"/>
    <n v="1"/>
    <n v="5499"/>
    <n v="15"/>
    <n v="4670"/>
    <n v="4670"/>
    <s v="Debit/Credit Card"/>
    <x v="1"/>
    <s v="India"/>
    <x v="6"/>
    <s v="Noida"/>
    <s v="Performance Seeker"/>
    <x v="0"/>
    <n v="3.9"/>
    <s v="Delivered"/>
    <s v="Standard"/>
    <n v="5"/>
  </r>
  <r>
    <s v="ORD202920"/>
    <s v="CUST100284"/>
    <s v="Men"/>
    <s v="18-24"/>
    <x v="1526"/>
    <x v="2"/>
    <x v="25"/>
    <x v="3"/>
    <n v="12"/>
    <s v="Blue"/>
    <n v="1"/>
    <n v="7899"/>
    <n v="25"/>
    <n v="5920"/>
    <n v="5920"/>
    <s v="UPI"/>
    <x v="2"/>
    <s v="India"/>
    <x v="30"/>
    <s v="Manimajra"/>
    <s v="Performance Seeker"/>
    <x v="2"/>
    <n v="2.4"/>
    <s v="Delivered"/>
    <s v="Standard"/>
    <n v="5"/>
  </r>
  <r>
    <s v="ORD201962"/>
    <s v="CUST100172"/>
    <s v="Men"/>
    <s v="18-24"/>
    <x v="1527"/>
    <x v="1"/>
    <x v="12"/>
    <x v="4"/>
    <n v="10"/>
    <s v="Green"/>
    <n v="3"/>
    <n v="5799"/>
    <n v="30"/>
    <n v="4060"/>
    <n v="12180"/>
    <s v="UPI"/>
    <x v="1"/>
    <s v="India"/>
    <x v="5"/>
    <s v="Churachandpur"/>
    <s v="Lifestyle Shopper"/>
    <x v="2"/>
    <n v="4"/>
    <s v="Cancelled"/>
    <s v="Standard"/>
    <n v="5"/>
  </r>
  <r>
    <s v="ORD202563"/>
    <s v="CUST100078"/>
    <s v="Men"/>
    <s v="35-44"/>
    <x v="1527"/>
    <x v="3"/>
    <x v="11"/>
    <x v="4"/>
    <n v="11"/>
    <s v="Green"/>
    <n v="1"/>
    <n v="4299"/>
    <n v="15"/>
    <n v="3650"/>
    <n v="3650"/>
    <s v="Debit/Credit Card"/>
    <x v="1"/>
    <s v="India"/>
    <x v="13"/>
    <s v="Tawang"/>
    <s v="Comfort Shopper"/>
    <x v="2"/>
    <n v="3.5"/>
    <s v="Cancelled"/>
    <s v="Standard"/>
    <n v="7"/>
  </r>
  <r>
    <s v="ORD202626"/>
    <s v="CUST100338"/>
    <s v="Women"/>
    <s v="25-34"/>
    <x v="1527"/>
    <x v="1"/>
    <x v="18"/>
    <x v="2"/>
    <n v="12"/>
    <s v="Black"/>
    <n v="1"/>
    <n v="4899"/>
    <n v="35"/>
    <n v="3180"/>
    <n v="3180"/>
    <s v="UPI"/>
    <x v="0"/>
    <s v="India"/>
    <x v="4"/>
    <s v="Gangtok"/>
    <s v="Lifestyle Shopper"/>
    <x v="1"/>
    <n v="4.8"/>
    <s v="Delivered"/>
    <s v="Express"/>
    <n v="1"/>
  </r>
  <r>
    <s v="ORD202949"/>
    <s v="CUST100814"/>
    <s v="Unisex"/>
    <s v="35-44"/>
    <x v="1527"/>
    <x v="2"/>
    <x v="4"/>
    <x v="2"/>
    <n v="9"/>
    <s v="Blue"/>
    <n v="1"/>
    <n v="5399"/>
    <n v="20"/>
    <n v="4320"/>
    <n v="4320"/>
    <s v="Debit/Credit Card"/>
    <x v="1"/>
    <s v="India"/>
    <x v="31"/>
    <s v="Coimbatore"/>
    <s v="Comfort Shopper"/>
    <x v="1"/>
    <n v="4.9000000000000004"/>
    <s v="Delivered"/>
    <s v="Express"/>
    <n v="3"/>
  </r>
  <r>
    <s v="ORD200668"/>
    <s v="CUST100318"/>
    <s v="Men"/>
    <s v="55+"/>
    <x v="1528"/>
    <x v="5"/>
    <x v="27"/>
    <x v="0"/>
    <n v="9"/>
    <s v="Black"/>
    <n v="1"/>
    <n v="7499"/>
    <n v="15"/>
    <n v="6370"/>
    <n v="6370"/>
    <s v="UPI"/>
    <x v="2"/>
    <s v="India"/>
    <x v="2"/>
    <s v="Gurugram"/>
    <s v="Value Shopper"/>
    <x v="1"/>
    <n v="3.9"/>
    <s v="Delivered"/>
    <s v="Standard"/>
    <n v="3"/>
  </r>
  <r>
    <s v="ORD202107"/>
    <s v="CUST100621"/>
    <s v="Men"/>
    <s v="35-44"/>
    <x v="1528"/>
    <x v="2"/>
    <x v="4"/>
    <x v="2"/>
    <n v="11"/>
    <s v="Blue"/>
    <n v="1"/>
    <n v="5399"/>
    <n v="35"/>
    <n v="3510"/>
    <n v="3510"/>
    <s v="Debit/Credit Card"/>
    <x v="1"/>
    <s v="India"/>
    <x v="14"/>
    <s v="Ludhiana"/>
    <s v="Lifestyle Shopper"/>
    <x v="1"/>
    <n v="3.9"/>
    <s v="Returned"/>
    <s v="Standard"/>
    <n v="3"/>
  </r>
  <r>
    <s v="ORD202383"/>
    <s v="CUST100551"/>
    <s v="Men"/>
    <s v="18-24"/>
    <x v="1528"/>
    <x v="5"/>
    <x v="14"/>
    <x v="3"/>
    <n v="10"/>
    <s v="White"/>
    <n v="2"/>
    <n v="8499"/>
    <n v="20"/>
    <n v="6800"/>
    <n v="13600"/>
    <s v="UPI"/>
    <x v="1"/>
    <s v="India"/>
    <x v="15"/>
    <s v="New Delhi"/>
    <s v="Premium Shopper"/>
    <x v="2"/>
    <n v="4.5999999999999996"/>
    <s v="Delivered"/>
    <s v="Standard"/>
    <n v="4"/>
  </r>
  <r>
    <s v="ORD203100"/>
    <s v="CUST100283"/>
    <s v="Women"/>
    <s v="35-44"/>
    <x v="1528"/>
    <x v="3"/>
    <x v="16"/>
    <x v="0"/>
    <n v="11"/>
    <s v="White"/>
    <n v="1"/>
    <n v="8999"/>
    <n v="20"/>
    <n v="7200"/>
    <n v="7200"/>
    <s v="Cash on Delivery"/>
    <x v="2"/>
    <s v="India"/>
    <x v="31"/>
    <s v="Chennai"/>
    <s v="Lifestyle Shopper"/>
    <x v="2"/>
    <n v="3.7"/>
    <s v="Delivered"/>
    <s v="Standard"/>
    <n v="5"/>
  </r>
  <r>
    <s v="ORD201497"/>
    <s v="CUST100112"/>
    <s v="Unisex"/>
    <s v="18-24"/>
    <x v="1529"/>
    <x v="0"/>
    <x v="13"/>
    <x v="2"/>
    <n v="9"/>
    <s v="Grey"/>
    <n v="3"/>
    <n v="4999"/>
    <n v="0"/>
    <n v="5000"/>
    <n v="15000"/>
    <s v="Debit/Credit Card"/>
    <x v="1"/>
    <s v="India"/>
    <x v="16"/>
    <s v="Ahmedabad"/>
    <s v="Value Shopper"/>
    <x v="2"/>
    <n v="3.4"/>
    <s v="Delivered"/>
    <s v="Express"/>
    <n v="2"/>
  </r>
  <r>
    <s v="ORD201157"/>
    <s v="CUST100076"/>
    <s v="Women"/>
    <s v="25-34"/>
    <x v="1530"/>
    <x v="2"/>
    <x v="3"/>
    <x v="2"/>
    <n v="8"/>
    <s v="Black"/>
    <n v="1"/>
    <n v="5799"/>
    <n v="25"/>
    <n v="4350"/>
    <n v="4350"/>
    <s v="UPI"/>
    <x v="1"/>
    <s v="India"/>
    <x v="7"/>
    <s v="Jabalpur"/>
    <s v="Comfort Shopper"/>
    <x v="2"/>
    <n v="4"/>
    <s v="Delivered"/>
    <s v="Same Day"/>
    <n v="1"/>
  </r>
  <r>
    <s v="ORD201833"/>
    <s v="CUST100157"/>
    <s v="Women"/>
    <s v="45-54"/>
    <x v="1530"/>
    <x v="2"/>
    <x v="25"/>
    <x v="3"/>
    <n v="12"/>
    <s v="Green"/>
    <n v="1"/>
    <n v="8099"/>
    <n v="15"/>
    <n v="6880"/>
    <n v="6880"/>
    <s v="UPI"/>
    <x v="1"/>
    <s v="India"/>
    <x v="5"/>
    <s v="Imphal"/>
    <s v="Value Shopper"/>
    <x v="1"/>
    <n v="3.4"/>
    <s v="Returned"/>
    <s v="Standard"/>
    <n v="5"/>
  </r>
  <r>
    <s v="ORD200283"/>
    <s v="CUST100936"/>
    <s v="Unisex"/>
    <s v="45-54"/>
    <x v="1531"/>
    <x v="2"/>
    <x v="3"/>
    <x v="2"/>
    <n v="9"/>
    <s v="Grey"/>
    <n v="1"/>
    <n v="7499"/>
    <n v="25"/>
    <n v="5620"/>
    <n v="5620"/>
    <s v="UPI"/>
    <x v="1"/>
    <s v="India"/>
    <x v="24"/>
    <s v="Hubballi"/>
    <s v="Lifestyle Shopper"/>
    <x v="1"/>
    <n v="4.2"/>
    <s v="Delivered"/>
    <s v="Express"/>
    <n v="1"/>
  </r>
  <r>
    <s v="ORD200649"/>
    <s v="CUST100565"/>
    <s v="Unisex"/>
    <s v="45-54"/>
    <x v="1531"/>
    <x v="0"/>
    <x v="0"/>
    <x v="0"/>
    <n v="9"/>
    <s v="Green"/>
    <n v="1"/>
    <n v="7299"/>
    <n v="15"/>
    <n v="6200"/>
    <n v="6200"/>
    <s v="UPI"/>
    <x v="1"/>
    <s v="India"/>
    <x v="12"/>
    <s v="Diglipur"/>
    <s v="Value Shopper"/>
    <x v="1"/>
    <n v="3.7"/>
    <s v="Delivered"/>
    <s v="Standard"/>
    <n v="5"/>
  </r>
  <r>
    <s v="ORD200913"/>
    <s v="CUST100377"/>
    <s v="Men"/>
    <s v="45-54"/>
    <x v="1531"/>
    <x v="0"/>
    <x v="13"/>
    <x v="2"/>
    <n v="7"/>
    <s v="Grey"/>
    <n v="1"/>
    <n v="7399"/>
    <n v="25"/>
    <n v="5550"/>
    <n v="5550"/>
    <s v="UPI"/>
    <x v="1"/>
    <s v="India"/>
    <x v="14"/>
    <s v="Jalandhar"/>
    <s v="Comfort Shopper"/>
    <x v="1"/>
    <n v="4.0999999999999996"/>
    <s v="Delivered"/>
    <s v="Standard"/>
    <n v="2"/>
  </r>
  <r>
    <s v="ORD200926"/>
    <s v="CUST100746"/>
    <s v="Women"/>
    <s v="25-34"/>
    <x v="1531"/>
    <x v="3"/>
    <x v="16"/>
    <x v="0"/>
    <n v="6"/>
    <s v="Grey"/>
    <n v="2"/>
    <n v="4199"/>
    <n v="5"/>
    <n v="3990"/>
    <n v="7980"/>
    <s v="Debit/Credit Card"/>
    <x v="2"/>
    <s v="India"/>
    <x v="4"/>
    <s v="Mangan"/>
    <s v="Value Shopper"/>
    <x v="0"/>
    <n v="4.0999999999999996"/>
    <s v="Delivered"/>
    <s v="Express"/>
    <n v="3"/>
  </r>
  <r>
    <s v="ORD201498"/>
    <s v="CUST100827"/>
    <s v="Men"/>
    <s v="35-44"/>
    <x v="1531"/>
    <x v="0"/>
    <x v="8"/>
    <x v="3"/>
    <n v="10"/>
    <s v="Red"/>
    <n v="1"/>
    <n v="3799"/>
    <n v="10"/>
    <n v="3420"/>
    <n v="3420"/>
    <s v="Debit/Credit Card"/>
    <x v="1"/>
    <s v="India"/>
    <x v="0"/>
    <s v="Dibrugarh"/>
    <s v="Value Shopper"/>
    <x v="0"/>
    <n v="4.0999999999999996"/>
    <s v="Delivered"/>
    <s v="Express"/>
    <n v="2"/>
  </r>
  <r>
    <s v="ORD202812"/>
    <s v="CUST100419"/>
    <s v="Women"/>
    <s v="35-44"/>
    <x v="1531"/>
    <x v="5"/>
    <x v="30"/>
    <x v="2"/>
    <n v="7"/>
    <s v="Green"/>
    <n v="3"/>
    <n v="6799"/>
    <n v="15"/>
    <n v="5780"/>
    <n v="17340"/>
    <s v="Debit/Credit Card"/>
    <x v="1"/>
    <s v="India"/>
    <x v="24"/>
    <s v="Mangaluru"/>
    <s v="Performance Seeker"/>
    <x v="2"/>
    <n v="5"/>
    <s v="Delivered"/>
    <s v="Standard"/>
    <n v="5"/>
  </r>
  <r>
    <s v="ORD202958"/>
    <s v="CUST100793"/>
    <s v="Men"/>
    <s v="25-34"/>
    <x v="1531"/>
    <x v="2"/>
    <x v="3"/>
    <x v="2"/>
    <n v="6"/>
    <s v="Red"/>
    <n v="2"/>
    <n v="8399"/>
    <n v="20"/>
    <n v="6720"/>
    <n v="13440"/>
    <s v="Cash on Delivery"/>
    <x v="1"/>
    <s v="India"/>
    <x v="27"/>
    <s v="Bhubaneswar"/>
    <s v="Performance Seeker"/>
    <x v="2"/>
    <n v="4"/>
    <s v="Returned"/>
    <s v="Express"/>
    <n v="2"/>
  </r>
  <r>
    <s v="ORD202982"/>
    <s v="CUST100098"/>
    <s v="Women"/>
    <s v="35-44"/>
    <x v="1531"/>
    <x v="0"/>
    <x v="2"/>
    <x v="2"/>
    <n v="8"/>
    <s v="Green"/>
    <n v="1"/>
    <n v="4999"/>
    <n v="15"/>
    <n v="4250"/>
    <n v="4250"/>
    <s v="UPI"/>
    <x v="2"/>
    <s v="India"/>
    <x v="7"/>
    <s v="Indore"/>
    <s v="Value Shopper"/>
    <x v="0"/>
    <n v="3.6"/>
    <s v="Returned"/>
    <s v="Standard"/>
    <n v="3"/>
  </r>
  <r>
    <s v="ORD201118"/>
    <s v="CUST100760"/>
    <s v="Unisex"/>
    <s v="25-34"/>
    <x v="1532"/>
    <x v="1"/>
    <x v="10"/>
    <x v="3"/>
    <n v="6"/>
    <s v="Black"/>
    <n v="1"/>
    <n v="5099"/>
    <n v="0"/>
    <n v="5100"/>
    <n v="5100"/>
    <s v="UPI"/>
    <x v="1"/>
    <s v="India"/>
    <x v="6"/>
    <s v="Kanpur"/>
    <s v="Performance Seeker"/>
    <x v="1"/>
    <n v="3.8"/>
    <s v="Delivered"/>
    <s v="Standard"/>
    <n v="5"/>
  </r>
  <r>
    <s v="ORD201543"/>
    <s v="CUST100726"/>
    <s v="Men"/>
    <s v="25-34"/>
    <x v="1532"/>
    <x v="2"/>
    <x v="4"/>
    <x v="2"/>
    <n v="8"/>
    <s v="Green"/>
    <n v="1"/>
    <n v="7599"/>
    <n v="35"/>
    <n v="4940"/>
    <n v="4940"/>
    <s v="Cash on Delivery"/>
    <x v="2"/>
    <s v="India"/>
    <x v="34"/>
    <s v="Durgapur"/>
    <s v="Lifestyle Shopper"/>
    <x v="2"/>
    <n v="4.2"/>
    <s v="Delivered"/>
    <s v="Standard"/>
    <n v="3"/>
  </r>
  <r>
    <s v="ORD202455"/>
    <s v="CUST100297"/>
    <s v="Women"/>
    <s v="35-44"/>
    <x v="1532"/>
    <x v="4"/>
    <x v="22"/>
    <x v="0"/>
    <n v="8"/>
    <s v="Black"/>
    <n v="2"/>
    <n v="8899"/>
    <n v="15"/>
    <n v="7560"/>
    <n v="15120"/>
    <s v="Debit/Credit Card"/>
    <x v="1"/>
    <s v="India"/>
    <x v="32"/>
    <s v="Jamshedpur"/>
    <s v="Value Shopper"/>
    <x v="2"/>
    <n v="3.5"/>
    <s v="Delivered"/>
    <s v="Standard"/>
    <n v="3"/>
  </r>
  <r>
    <s v="ORD202289"/>
    <s v="CUST100946"/>
    <s v="Men"/>
    <s v="45-54"/>
    <x v="1533"/>
    <x v="3"/>
    <x v="11"/>
    <x v="4"/>
    <n v="11"/>
    <s v="Green"/>
    <n v="1"/>
    <n v="6899"/>
    <n v="10"/>
    <n v="6210"/>
    <n v="6210"/>
    <s v="UPI"/>
    <x v="1"/>
    <s v="India"/>
    <x v="4"/>
    <s v="Gyalshing"/>
    <s v="Performance Seeker"/>
    <x v="1"/>
    <n v="3.5"/>
    <s v="Delivered"/>
    <s v="Express"/>
    <n v="2"/>
  </r>
  <r>
    <s v="ORD202587"/>
    <s v="CUST100646"/>
    <s v="Men"/>
    <s v="18-24"/>
    <x v="1534"/>
    <x v="0"/>
    <x v="19"/>
    <x v="4"/>
    <n v="7"/>
    <s v="Blue"/>
    <n v="1"/>
    <n v="4899"/>
    <n v="10"/>
    <n v="4410"/>
    <n v="4410"/>
    <s v="UPI"/>
    <x v="2"/>
    <s v="India"/>
    <x v="35"/>
    <s v="Aizawl"/>
    <s v="Value Shopper"/>
    <x v="2"/>
    <n v="4"/>
    <s v="Delivered"/>
    <s v="Standard"/>
    <n v="2"/>
  </r>
  <r>
    <s v="ORD203018"/>
    <s v="CUST100721"/>
    <s v="Men"/>
    <s v="25-34"/>
    <x v="1534"/>
    <x v="4"/>
    <x v="22"/>
    <x v="0"/>
    <n v="10"/>
    <s v="Blue"/>
    <n v="1"/>
    <n v="5399"/>
    <n v="5"/>
    <n v="5130"/>
    <n v="5130"/>
    <s v="Debit/Credit Card"/>
    <x v="0"/>
    <s v="India"/>
    <x v="21"/>
    <s v="Tuensang"/>
    <s v="Comfort Shopper"/>
    <x v="2"/>
    <n v="2.2000000000000002"/>
    <s v="Delivered"/>
    <s v="Express"/>
    <n v="2"/>
  </r>
  <r>
    <s v="ORD203095"/>
    <s v="CUST101017"/>
    <s v="Women"/>
    <s v="55+"/>
    <x v="1534"/>
    <x v="2"/>
    <x v="25"/>
    <x v="3"/>
    <n v="9"/>
    <s v="White"/>
    <n v="1"/>
    <n v="5399"/>
    <n v="10"/>
    <n v="4860"/>
    <n v="4860"/>
    <s v="UPI"/>
    <x v="1"/>
    <s v="India"/>
    <x v="32"/>
    <s v="Ranchi"/>
    <s v="Lifestyle Shopper"/>
    <x v="1"/>
    <n v="4.3"/>
    <s v="Delivered"/>
    <s v="Express"/>
    <n v="1"/>
  </r>
  <r>
    <s v="ORD200784"/>
    <s v="CUST100178"/>
    <s v="Unisex"/>
    <s v="35-44"/>
    <x v="1535"/>
    <x v="2"/>
    <x v="24"/>
    <x v="4"/>
    <n v="8"/>
    <s v="Blue"/>
    <n v="2"/>
    <n v="5399"/>
    <n v="30"/>
    <n v="3780"/>
    <n v="7560"/>
    <s v="Cash on Delivery"/>
    <x v="1"/>
    <s v="India"/>
    <x v="20"/>
    <s v="Dharamshala"/>
    <s v="Premium Shopper"/>
    <x v="2"/>
    <n v="3.3"/>
    <s v="Delivered"/>
    <s v="Same Day"/>
    <n v="1"/>
  </r>
  <r>
    <s v="ORD202036"/>
    <s v="CUST100343"/>
    <s v="Unisex"/>
    <s v="18-24"/>
    <x v="1536"/>
    <x v="3"/>
    <x v="11"/>
    <x v="4"/>
    <n v="12"/>
    <s v="Black"/>
    <n v="2"/>
    <n v="4199"/>
    <n v="5"/>
    <n v="3990"/>
    <n v="7980"/>
    <s v="Debit/Credit Card"/>
    <x v="0"/>
    <s v="India"/>
    <x v="3"/>
    <s v="Kota"/>
    <s v="Value Shopper"/>
    <x v="0"/>
    <n v="3.4"/>
    <s v="Delivered"/>
    <s v="Standard"/>
    <n v="3"/>
  </r>
  <r>
    <s v="ORD202324"/>
    <s v="CUST100860"/>
    <s v="Unisex"/>
    <s v="18-24"/>
    <x v="1536"/>
    <x v="5"/>
    <x v="15"/>
    <x v="4"/>
    <n v="10"/>
    <s v="Blue"/>
    <n v="2"/>
    <n v="4699"/>
    <n v="10"/>
    <n v="4230"/>
    <n v="8460"/>
    <s v="Cash on Delivery"/>
    <x v="0"/>
    <s v="India"/>
    <x v="31"/>
    <s v="Chennai"/>
    <s v="Lifestyle Shopper"/>
    <x v="2"/>
    <n v="3.8"/>
    <s v="Delivered"/>
    <s v="Express"/>
    <n v="1"/>
  </r>
  <r>
    <s v="ORD201127"/>
    <s v="CUST100959"/>
    <s v="Women"/>
    <s v="18-24"/>
    <x v="1537"/>
    <x v="4"/>
    <x v="26"/>
    <x v="3"/>
    <n v="7"/>
    <s v="Blue"/>
    <n v="1"/>
    <n v="5799"/>
    <n v="5"/>
    <n v="5510"/>
    <n v="5510"/>
    <s v="UPI"/>
    <x v="2"/>
    <s v="India"/>
    <x v="15"/>
    <s v="Delhi"/>
    <s v="Lifestyle Shopper"/>
    <x v="2"/>
    <n v="5"/>
    <s v="Delivered"/>
    <s v="Express"/>
    <n v="2"/>
  </r>
  <r>
    <s v="ORD202362"/>
    <s v="CUST100447"/>
    <s v="Women"/>
    <s v="25-34"/>
    <x v="1538"/>
    <x v="1"/>
    <x v="20"/>
    <x v="2"/>
    <n v="8"/>
    <s v="Blue"/>
    <n v="1"/>
    <n v="4099"/>
    <n v="10"/>
    <n v="3690"/>
    <n v="3690"/>
    <s v="Debit/Credit Card"/>
    <x v="2"/>
    <s v="India"/>
    <x v="8"/>
    <s v="Nizamabad"/>
    <s v="Comfort Shopper"/>
    <x v="2"/>
    <n v="5"/>
    <s v="Delivered"/>
    <s v="Standard"/>
    <n v="5"/>
  </r>
  <r>
    <s v="ORD200674"/>
    <s v="CUST100268"/>
    <s v="Men"/>
    <s v="25-34"/>
    <x v="1539"/>
    <x v="4"/>
    <x v="9"/>
    <x v="1"/>
    <n v="7"/>
    <s v="Green"/>
    <n v="2"/>
    <n v="5899"/>
    <n v="10"/>
    <n v="5310"/>
    <n v="10620"/>
    <s v="UPI"/>
    <x v="1"/>
    <s v="India"/>
    <x v="35"/>
    <s v="Kolasib"/>
    <s v="Performance Seeker"/>
    <x v="2"/>
    <n v="3.7"/>
    <s v="Delivered"/>
    <s v="Express"/>
    <n v="4"/>
  </r>
  <r>
    <s v="ORD202861"/>
    <s v="CUST100618"/>
    <s v="Men"/>
    <s v="25-34"/>
    <x v="1539"/>
    <x v="2"/>
    <x v="3"/>
    <x v="2"/>
    <n v="10"/>
    <s v="Black"/>
    <n v="1"/>
    <n v="6399"/>
    <n v="10"/>
    <n v="5760"/>
    <n v="5760"/>
    <s v="UPI"/>
    <x v="1"/>
    <s v="India"/>
    <x v="32"/>
    <s v="Ranchi"/>
    <s v="Comfort Shopper"/>
    <x v="0"/>
    <n v="4.7"/>
    <s v="Delivered"/>
    <s v="Standard"/>
    <n v="1"/>
  </r>
  <r>
    <s v="ORD200083"/>
    <s v="CUST100477"/>
    <s v="Women"/>
    <s v="35-44"/>
    <x v="1540"/>
    <x v="3"/>
    <x v="5"/>
    <x v="2"/>
    <n v="7"/>
    <s v="Blue"/>
    <n v="2"/>
    <n v="7699"/>
    <n v="15"/>
    <n v="6540"/>
    <n v="13080"/>
    <s v="UPI"/>
    <x v="2"/>
    <s v="India"/>
    <x v="14"/>
    <s v="Jalandhar"/>
    <s v="Premium Shopper"/>
    <x v="1"/>
    <n v="4.5"/>
    <s v="Delivered"/>
    <s v="Express"/>
    <n v="4"/>
  </r>
  <r>
    <s v="ORD202536"/>
    <s v="CUST100991"/>
    <s v="Women"/>
    <s v="45-54"/>
    <x v="1540"/>
    <x v="0"/>
    <x v="19"/>
    <x v="4"/>
    <n v="10"/>
    <s v="Black"/>
    <n v="1"/>
    <n v="8799"/>
    <n v="25"/>
    <n v="6600"/>
    <n v="6600"/>
    <s v="UPI"/>
    <x v="0"/>
    <s v="India"/>
    <x v="8"/>
    <s v="Hyderabad"/>
    <s v="Comfort Shopper"/>
    <x v="1"/>
    <n v="4.3"/>
    <s v="Delivered"/>
    <s v="Express"/>
    <n v="2"/>
  </r>
  <r>
    <s v="ORD201137"/>
    <s v="CUST100387"/>
    <s v="Women"/>
    <s v="25-34"/>
    <x v="1541"/>
    <x v="3"/>
    <x v="35"/>
    <x v="2"/>
    <n v="8"/>
    <s v="Red"/>
    <n v="1"/>
    <n v="8799"/>
    <n v="15"/>
    <n v="7480"/>
    <n v="7480"/>
    <s v="Debit/Credit Card"/>
    <x v="1"/>
    <s v="India"/>
    <x v="18"/>
    <s v="Bilaspur"/>
    <s v="Lifestyle Shopper"/>
    <x v="2"/>
    <n v="4.5999999999999996"/>
    <s v="Cancelled"/>
    <s v="Express"/>
    <n v="2"/>
  </r>
  <r>
    <s v="ORD202190"/>
    <s v="CUST101003"/>
    <s v="Men"/>
    <s v="25-34"/>
    <x v="1541"/>
    <x v="0"/>
    <x v="31"/>
    <x v="1"/>
    <n v="10"/>
    <s v="White"/>
    <n v="1"/>
    <n v="7399"/>
    <n v="35"/>
    <n v="4810"/>
    <n v="4810"/>
    <s v="UPI"/>
    <x v="1"/>
    <s v="India"/>
    <x v="1"/>
    <s v="Vasco da Gama"/>
    <s v="Performance Seeker"/>
    <x v="1"/>
    <n v="4.5"/>
    <s v="Delivered"/>
    <s v="Standard"/>
    <n v="1"/>
  </r>
  <r>
    <s v="ORD202731"/>
    <s v="CUST100015"/>
    <s v="Men"/>
    <s v="25-34"/>
    <x v="1541"/>
    <x v="3"/>
    <x v="28"/>
    <x v="1"/>
    <n v="10"/>
    <s v="Grey"/>
    <n v="1"/>
    <n v="7799"/>
    <n v="0"/>
    <n v="7800"/>
    <n v="7800"/>
    <s v="UPI"/>
    <x v="1"/>
    <s v="India"/>
    <x v="4"/>
    <s v="Namchi"/>
    <s v="Comfort Shopper"/>
    <x v="2"/>
    <n v="5"/>
    <s v="Delivered"/>
    <s v="Standard"/>
    <n v="1"/>
  </r>
  <r>
    <s v="ORD201253"/>
    <s v="CUST100111"/>
    <s v="Women"/>
    <s v="35-44"/>
    <x v="1542"/>
    <x v="5"/>
    <x v="27"/>
    <x v="0"/>
    <n v="6"/>
    <s v="Red"/>
    <n v="1"/>
    <n v="9399"/>
    <n v="25"/>
    <n v="7050"/>
    <n v="7050"/>
    <s v="Cash on Delivery"/>
    <x v="1"/>
    <s v="India"/>
    <x v="15"/>
    <s v="Delhi"/>
    <s v="Lifestyle Shopper"/>
    <x v="2"/>
    <n v="3.8"/>
    <s v="Delivered"/>
    <s v="Express"/>
    <n v="3"/>
  </r>
  <r>
    <s v="ORD200368"/>
    <s v="CUST101006"/>
    <s v="Men"/>
    <s v="18-24"/>
    <x v="1543"/>
    <x v="4"/>
    <x v="26"/>
    <x v="3"/>
    <n v="11"/>
    <s v="Grey"/>
    <n v="1"/>
    <n v="6399"/>
    <n v="15"/>
    <n v="5440"/>
    <n v="5440"/>
    <s v="UPI"/>
    <x v="1"/>
    <s v="India"/>
    <x v="32"/>
    <s v="Bokaro"/>
    <s v="Performance Seeker"/>
    <x v="0"/>
    <n v="3.9"/>
    <s v="Returned"/>
    <s v="Standard"/>
    <n v="4"/>
  </r>
  <r>
    <s v="ORD200719"/>
    <s v="CUST100409"/>
    <s v="Men"/>
    <s v="25-34"/>
    <x v="1543"/>
    <x v="0"/>
    <x v="8"/>
    <x v="3"/>
    <n v="9"/>
    <s v="Green"/>
    <n v="4"/>
    <n v="6499"/>
    <n v="0"/>
    <n v="6500"/>
    <n v="26000"/>
    <s v="UPI"/>
    <x v="0"/>
    <s v="India"/>
    <x v="7"/>
    <s v="Indore"/>
    <s v="Lifestyle Shopper"/>
    <x v="1"/>
    <n v="3.6"/>
    <s v="Cancelled"/>
    <s v="Express"/>
    <n v="2"/>
  </r>
  <r>
    <s v="ORD202106"/>
    <s v="CUST100647"/>
    <s v="Women"/>
    <s v="18-24"/>
    <x v="1543"/>
    <x v="3"/>
    <x v="34"/>
    <x v="3"/>
    <n v="9"/>
    <s v="Red"/>
    <n v="2"/>
    <n v="3799"/>
    <n v="30"/>
    <n v="2660"/>
    <n v="5320"/>
    <s v="Debit/Credit Card"/>
    <x v="2"/>
    <s v="India"/>
    <x v="11"/>
    <s v="Andrott"/>
    <s v="Value Shopper"/>
    <x v="2"/>
    <n v="3.9"/>
    <s v="Delivered"/>
    <s v="Standard"/>
    <n v="1"/>
  </r>
  <r>
    <s v="ORD200775"/>
    <s v="CUST100421"/>
    <s v="Women"/>
    <s v="55+"/>
    <x v="1544"/>
    <x v="1"/>
    <x v="18"/>
    <x v="2"/>
    <n v="9"/>
    <s v="Green"/>
    <n v="3"/>
    <n v="7899"/>
    <n v="10"/>
    <n v="7110"/>
    <n v="21330"/>
    <s v="UPI"/>
    <x v="2"/>
    <s v="India"/>
    <x v="0"/>
    <s v="Dibrugarh"/>
    <s v="Comfort Shopper"/>
    <x v="1"/>
    <n v="2.7"/>
    <s v="Returned"/>
    <s v="Express"/>
    <n v="2"/>
  </r>
  <r>
    <s v="ORD201167"/>
    <s v="CUST100327"/>
    <s v="Men"/>
    <s v="45-54"/>
    <x v="1544"/>
    <x v="1"/>
    <x v="12"/>
    <x v="4"/>
    <n v="8"/>
    <s v="Black"/>
    <n v="3"/>
    <n v="3499"/>
    <n v="15"/>
    <n v="2970"/>
    <n v="8910"/>
    <s v="Debit/Credit Card"/>
    <x v="1"/>
    <s v="India"/>
    <x v="12"/>
    <s v="Diglipur"/>
    <s v="Performance Seeker"/>
    <x v="2"/>
    <n v="2"/>
    <s v="Delivered"/>
    <s v="Standard"/>
    <n v="5"/>
  </r>
  <r>
    <s v="ORD201423"/>
    <s v="CUST100200"/>
    <s v="Women"/>
    <s v="35-44"/>
    <x v="1544"/>
    <x v="0"/>
    <x v="19"/>
    <x v="4"/>
    <n v="8"/>
    <s v="Black"/>
    <n v="1"/>
    <n v="8299"/>
    <n v="15"/>
    <n v="7050"/>
    <n v="7050"/>
    <s v="UPI"/>
    <x v="0"/>
    <s v="India"/>
    <x v="31"/>
    <s v="Chennai"/>
    <s v="Value Shopper"/>
    <x v="2"/>
    <n v="4.2"/>
    <s v="Cancelled"/>
    <s v="Express"/>
    <n v="2"/>
  </r>
  <r>
    <s v="ORD202305"/>
    <s v="CUST100929"/>
    <s v="Men"/>
    <s v="55+"/>
    <x v="1544"/>
    <x v="2"/>
    <x v="32"/>
    <x v="1"/>
    <n v="8"/>
    <s v="Black"/>
    <n v="1"/>
    <n v="6999"/>
    <n v="5"/>
    <n v="6650"/>
    <n v="6650"/>
    <s v="Debit/Credit Card"/>
    <x v="2"/>
    <s v="India"/>
    <x v="6"/>
    <s v="Varanasi"/>
    <s v="Lifestyle Shopper"/>
    <x v="0"/>
    <n v="4.8"/>
    <s v="Delivered"/>
    <s v="Standard"/>
    <n v="4"/>
  </r>
  <r>
    <s v="ORD202545"/>
    <s v="CUST100068"/>
    <s v="Women"/>
    <s v="25-34"/>
    <x v="1544"/>
    <x v="2"/>
    <x v="24"/>
    <x v="4"/>
    <n v="9"/>
    <s v="Grey"/>
    <n v="2"/>
    <n v="4499"/>
    <n v="15"/>
    <n v="3820"/>
    <n v="7640"/>
    <s v="UPI"/>
    <x v="0"/>
    <s v="India"/>
    <x v="12"/>
    <s v="Port Blair"/>
    <s v="Performance Seeker"/>
    <x v="0"/>
    <n v="4.4000000000000004"/>
    <s v="Returned"/>
    <s v="Same Day"/>
    <n v="1"/>
  </r>
  <r>
    <s v="ORD200864"/>
    <s v="CUST100782"/>
    <s v="Women"/>
    <s v="18-24"/>
    <x v="1545"/>
    <x v="3"/>
    <x v="34"/>
    <x v="3"/>
    <n v="6"/>
    <s v="Blue"/>
    <n v="1"/>
    <n v="5899"/>
    <n v="10"/>
    <n v="5310"/>
    <n v="5310"/>
    <s v="Cash on Delivery"/>
    <x v="0"/>
    <s v="India"/>
    <x v="14"/>
    <s v="Patiala"/>
    <s v="Performance Seeker"/>
    <x v="1"/>
    <n v="4.5"/>
    <s v="Delivered"/>
    <s v="Standard"/>
    <n v="3"/>
  </r>
  <r>
    <s v="ORD202096"/>
    <s v="CUST100217"/>
    <s v="Men"/>
    <s v="35-44"/>
    <x v="1545"/>
    <x v="5"/>
    <x v="30"/>
    <x v="2"/>
    <n v="7"/>
    <s v="Blue"/>
    <n v="1"/>
    <n v="7199"/>
    <n v="35"/>
    <n v="4680"/>
    <n v="4680"/>
    <s v="UPI"/>
    <x v="2"/>
    <s v="India"/>
    <x v="16"/>
    <s v="Surat"/>
    <s v="Value Shopper"/>
    <x v="1"/>
    <n v="3.4"/>
    <s v="Delivered"/>
    <s v="Express"/>
    <n v="2"/>
  </r>
  <r>
    <s v="ORD202527"/>
    <s v="CUST100655"/>
    <s v="Women"/>
    <s v="25-34"/>
    <x v="1545"/>
    <x v="2"/>
    <x v="24"/>
    <x v="4"/>
    <n v="10"/>
    <s v="Black"/>
    <n v="1"/>
    <n v="6099"/>
    <n v="20"/>
    <n v="4880"/>
    <n v="4880"/>
    <s v="UPI"/>
    <x v="0"/>
    <s v="India"/>
    <x v="11"/>
    <s v="Agatti"/>
    <s v="Lifestyle Shopper"/>
    <x v="1"/>
    <n v="4.5"/>
    <s v="Delivered"/>
    <s v="Standard"/>
    <n v="3"/>
  </r>
  <r>
    <s v="ORD200973"/>
    <s v="CUST100068"/>
    <s v="Women"/>
    <s v="25-34"/>
    <x v="1546"/>
    <x v="4"/>
    <x v="26"/>
    <x v="3"/>
    <n v="11"/>
    <s v="Black"/>
    <n v="3"/>
    <n v="7399"/>
    <n v="20"/>
    <n v="5920"/>
    <n v="17760"/>
    <s v="UPI"/>
    <x v="0"/>
    <s v="India"/>
    <x v="16"/>
    <s v="Ahmedabad"/>
    <s v="Lifestyle Shopper"/>
    <x v="1"/>
    <n v="3.4"/>
    <s v="Delivered"/>
    <s v="Express"/>
    <n v="2"/>
  </r>
  <r>
    <s v="ORD202604"/>
    <s v="CUST100883"/>
    <s v="Women"/>
    <s v="25-34"/>
    <x v="1546"/>
    <x v="5"/>
    <x v="27"/>
    <x v="0"/>
    <n v="8"/>
    <s v="Black"/>
    <n v="1"/>
    <n v="4599"/>
    <n v="5"/>
    <n v="4370"/>
    <n v="4370"/>
    <s v="Debit/Credit Card"/>
    <x v="1"/>
    <s v="India"/>
    <x v="9"/>
    <s v="Bhagalpur"/>
    <s v="Value Shopper"/>
    <x v="2"/>
    <n v="4"/>
    <s v="Delivered"/>
    <s v="Standard"/>
    <n v="3"/>
  </r>
  <r>
    <s v="ORD201090"/>
    <s v="CUST100956"/>
    <s v="Men"/>
    <s v="25-34"/>
    <x v="1547"/>
    <x v="2"/>
    <x v="24"/>
    <x v="4"/>
    <n v="11"/>
    <s v="White"/>
    <n v="1"/>
    <n v="8199"/>
    <n v="20"/>
    <n v="6560"/>
    <n v="6560"/>
    <s v="UPI"/>
    <x v="0"/>
    <s v="India"/>
    <x v="17"/>
    <s v="Puducherry"/>
    <s v="Comfort Shopper"/>
    <x v="0"/>
    <n v="3.5"/>
    <s v="Returned"/>
    <s v="Standard"/>
    <n v="5"/>
  </r>
  <r>
    <s v="ORD201075"/>
    <s v="CUST100574"/>
    <s v="Men"/>
    <s v="18-24"/>
    <x v="1548"/>
    <x v="1"/>
    <x v="18"/>
    <x v="2"/>
    <n v="10"/>
    <s v="Green"/>
    <n v="1"/>
    <n v="6499"/>
    <n v="10"/>
    <n v="5850"/>
    <n v="5850"/>
    <s v="UPI"/>
    <x v="1"/>
    <s v="India"/>
    <x v="1"/>
    <s v="Mapusa"/>
    <s v="Performance Seeker"/>
    <x v="1"/>
    <n v="4.7"/>
    <s v="Returned"/>
    <s v="Standard"/>
    <n v="7"/>
  </r>
  <r>
    <s v="ORD202137"/>
    <s v="CUST100667"/>
    <s v="Women"/>
    <s v="25-34"/>
    <x v="1548"/>
    <x v="3"/>
    <x v="11"/>
    <x v="4"/>
    <n v="8"/>
    <s v="Grey"/>
    <n v="2"/>
    <n v="7899"/>
    <n v="15"/>
    <n v="6710"/>
    <n v="13420"/>
    <s v="UPI"/>
    <x v="1"/>
    <s v="India"/>
    <x v="14"/>
    <s v="Ludhiana"/>
    <s v="Performance Seeker"/>
    <x v="1"/>
    <n v="3.8"/>
    <s v="Delivered"/>
    <s v="Express"/>
    <n v="3"/>
  </r>
  <r>
    <s v="ORD202543"/>
    <s v="CUST100293"/>
    <s v="Unisex"/>
    <s v="25-34"/>
    <x v="1548"/>
    <x v="2"/>
    <x v="4"/>
    <x v="2"/>
    <n v="10"/>
    <s v="White"/>
    <n v="2"/>
    <n v="6199"/>
    <n v="25"/>
    <n v="4650"/>
    <n v="9300"/>
    <s v="Debit/Credit Card"/>
    <x v="1"/>
    <s v="India"/>
    <x v="33"/>
    <s v="Mumbai"/>
    <s v="Value Shopper"/>
    <x v="2"/>
    <n v="3.7"/>
    <s v="Returned"/>
    <s v="Express"/>
    <n v="2"/>
  </r>
  <r>
    <s v="ORD200542"/>
    <s v="CUST100709"/>
    <s v="Women"/>
    <s v="35-44"/>
    <x v="1549"/>
    <x v="5"/>
    <x v="27"/>
    <x v="0"/>
    <n v="12"/>
    <s v="Grey"/>
    <n v="1"/>
    <n v="8499"/>
    <n v="20"/>
    <n v="6800"/>
    <n v="6800"/>
    <s v="UPI"/>
    <x v="1"/>
    <s v="India"/>
    <x v="2"/>
    <s v="Hisar"/>
    <s v="Lifestyle Shopper"/>
    <x v="1"/>
    <n v="4.9000000000000004"/>
    <s v="Delivered"/>
    <s v="Express"/>
    <n v="3"/>
  </r>
  <r>
    <s v="ORD201501"/>
    <s v="CUST100519"/>
    <s v="Unisex"/>
    <s v="45-54"/>
    <x v="1549"/>
    <x v="4"/>
    <x v="9"/>
    <x v="1"/>
    <n v="8"/>
    <s v="Black"/>
    <n v="2"/>
    <n v="9199"/>
    <n v="25"/>
    <n v="6900"/>
    <n v="13800"/>
    <s v="Cash on Delivery"/>
    <x v="2"/>
    <s v="India"/>
    <x v="10"/>
    <s v="Daman"/>
    <s v="Value Shopper"/>
    <x v="1"/>
    <n v="4.7"/>
    <s v="Delivered"/>
    <s v="Express"/>
    <n v="2"/>
  </r>
  <r>
    <s v="ORD202235"/>
    <s v="CUST100643"/>
    <s v="Women"/>
    <s v="25-34"/>
    <x v="1549"/>
    <x v="2"/>
    <x v="24"/>
    <x v="4"/>
    <n v="9"/>
    <s v="Blue"/>
    <n v="1"/>
    <n v="6699"/>
    <n v="15"/>
    <n v="5690"/>
    <n v="5690"/>
    <s v="Debit/Credit Card"/>
    <x v="2"/>
    <s v="India"/>
    <x v="14"/>
    <s v="Ludhiana"/>
    <s v="Performance Seeker"/>
    <x v="1"/>
    <n v="4.9000000000000004"/>
    <s v="Delivered"/>
    <s v="Express"/>
    <n v="3"/>
  </r>
  <r>
    <s v="ORD202541"/>
    <s v="CUST100519"/>
    <s v="Men"/>
    <s v="25-34"/>
    <x v="1549"/>
    <x v="1"/>
    <x v="18"/>
    <x v="2"/>
    <n v="7"/>
    <s v="Green"/>
    <n v="2"/>
    <n v="7899"/>
    <n v="10"/>
    <n v="7110"/>
    <n v="14220"/>
    <s v="Debit/Credit Card"/>
    <x v="1"/>
    <s v="India"/>
    <x v="3"/>
    <s v="Udaipur"/>
    <s v="Performance Seeker"/>
    <x v="2"/>
    <n v="4.5999999999999996"/>
    <s v="Delivered"/>
    <s v="Express"/>
    <n v="2"/>
  </r>
  <r>
    <s v="ORD202995"/>
    <s v="CUST100066"/>
    <s v="Women"/>
    <s v="45-54"/>
    <x v="1549"/>
    <x v="0"/>
    <x v="31"/>
    <x v="1"/>
    <n v="9"/>
    <s v="Black"/>
    <n v="1"/>
    <n v="4599"/>
    <n v="25"/>
    <n v="3450"/>
    <n v="3450"/>
    <s v="UPI"/>
    <x v="0"/>
    <s v="India"/>
    <x v="26"/>
    <s v="Kozhikode"/>
    <s v="Comfort Shopper"/>
    <x v="2"/>
    <n v="3.7"/>
    <s v="Delivered"/>
    <s v="Standard"/>
    <n v="1"/>
  </r>
  <r>
    <s v="ORD200723"/>
    <s v="CUST100113"/>
    <s v="Women"/>
    <s v="25-34"/>
    <x v="1550"/>
    <x v="4"/>
    <x v="17"/>
    <x v="4"/>
    <n v="7"/>
    <s v="Green"/>
    <n v="2"/>
    <n v="6599"/>
    <n v="20"/>
    <n v="5280"/>
    <n v="10560"/>
    <s v="Debit/Credit Card"/>
    <x v="0"/>
    <s v="India"/>
    <x v="15"/>
    <s v="Delhi"/>
    <s v="Performance Seeker"/>
    <x v="1"/>
    <n v="4.7"/>
    <s v="Delivered"/>
    <s v="Standard"/>
    <n v="1"/>
  </r>
  <r>
    <s v="ORD202428"/>
    <s v="CUST100505"/>
    <s v="Women"/>
    <s v="25-34"/>
    <x v="1550"/>
    <x v="5"/>
    <x v="15"/>
    <x v="4"/>
    <n v="10"/>
    <s v="Green"/>
    <n v="2"/>
    <n v="4099"/>
    <n v="15"/>
    <n v="3480"/>
    <n v="6960"/>
    <s v="Debit/Credit Card"/>
    <x v="0"/>
    <s v="India"/>
    <x v="29"/>
    <s v="Guntur"/>
    <s v="Lifestyle Shopper"/>
    <x v="2"/>
    <n v="2.9"/>
    <s v="Delivered"/>
    <s v="Standard"/>
    <n v="2"/>
  </r>
  <r>
    <s v="ORD200008"/>
    <s v="CUST100654"/>
    <s v="Men"/>
    <s v="18-24"/>
    <x v="1551"/>
    <x v="3"/>
    <x v="5"/>
    <x v="2"/>
    <n v="7"/>
    <s v="Blue"/>
    <n v="1"/>
    <n v="5299"/>
    <n v="0"/>
    <n v="5300"/>
    <n v="5300"/>
    <s v="Debit/Credit Card"/>
    <x v="0"/>
    <s v="India"/>
    <x v="3"/>
    <s v="Kota"/>
    <s v="Comfort Shopper"/>
    <x v="2"/>
    <n v="3.2"/>
    <s v="Cancelled"/>
    <s v="Standard"/>
    <n v="5"/>
  </r>
  <r>
    <s v="ORD200722"/>
    <s v="CUST100920"/>
    <s v="Women"/>
    <s v="35-44"/>
    <x v="1552"/>
    <x v="5"/>
    <x v="14"/>
    <x v="3"/>
    <n v="9"/>
    <s v="Green"/>
    <n v="1"/>
    <n v="7399"/>
    <n v="15"/>
    <n v="6290"/>
    <n v="6290"/>
    <s v="UPI"/>
    <x v="1"/>
    <s v="India"/>
    <x v="5"/>
    <s v="Kakching"/>
    <s v="Premium Shopper"/>
    <x v="2"/>
    <n v="5"/>
    <s v="Delivered"/>
    <s v="Standard"/>
    <n v="1"/>
  </r>
  <r>
    <s v="ORD202131"/>
    <s v="CUST100993"/>
    <s v="Men"/>
    <s v="55+"/>
    <x v="1552"/>
    <x v="1"/>
    <x v="20"/>
    <x v="2"/>
    <n v="6"/>
    <s v="Grey"/>
    <n v="1"/>
    <n v="4999"/>
    <n v="35"/>
    <n v="3250"/>
    <n v="3250"/>
    <s v="UPI"/>
    <x v="2"/>
    <s v="India"/>
    <x v="25"/>
    <s v="Anantnag"/>
    <s v="Performance Seeker"/>
    <x v="1"/>
    <n v="4.8"/>
    <s v="Returned"/>
    <s v="Standard"/>
    <n v="3"/>
  </r>
  <r>
    <s v="ORD202730"/>
    <s v="CUST100061"/>
    <s v="Women"/>
    <s v="18-24"/>
    <x v="1552"/>
    <x v="1"/>
    <x v="1"/>
    <x v="1"/>
    <n v="8"/>
    <s v="Blue"/>
    <n v="2"/>
    <n v="3699"/>
    <n v="30"/>
    <n v="2590"/>
    <n v="5180"/>
    <s v="Debit/Credit Card"/>
    <x v="1"/>
    <s v="India"/>
    <x v="13"/>
    <s v="Itanagar"/>
    <s v="Value Shopper"/>
    <x v="2"/>
    <n v="5"/>
    <s v="Returned"/>
    <s v="Standard"/>
    <n v="5"/>
  </r>
  <r>
    <s v="ORD200500"/>
    <s v="CUST100657"/>
    <s v="Women"/>
    <s v="18-24"/>
    <x v="1553"/>
    <x v="0"/>
    <x v="31"/>
    <x v="1"/>
    <n v="6"/>
    <s v="Grey"/>
    <n v="1"/>
    <n v="6099"/>
    <n v="10"/>
    <n v="5490"/>
    <n v="5490"/>
    <s v="UPI"/>
    <x v="2"/>
    <s v="India"/>
    <x v="17"/>
    <s v="Yanam"/>
    <s v="Value Shopper"/>
    <x v="1"/>
    <n v="5"/>
    <s v="Delivered"/>
    <s v="Standard"/>
    <n v="1"/>
  </r>
  <r>
    <s v="ORD201213"/>
    <s v="CUST101037"/>
    <s v="Women"/>
    <s v="18-24"/>
    <x v="1553"/>
    <x v="2"/>
    <x v="32"/>
    <x v="1"/>
    <n v="7"/>
    <s v="White"/>
    <n v="1"/>
    <n v="5899"/>
    <n v="25"/>
    <n v="4420"/>
    <n v="4420"/>
    <s v="UPI"/>
    <x v="1"/>
    <s v="India"/>
    <x v="6"/>
    <s v="Varanasi"/>
    <s v="Value Shopper"/>
    <x v="2"/>
    <n v="3.8"/>
    <s v="Delivered"/>
    <s v="Standard"/>
    <n v="2"/>
  </r>
  <r>
    <s v="ORD202168"/>
    <s v="CUST100405"/>
    <s v="Men"/>
    <s v="45-54"/>
    <x v="1554"/>
    <x v="3"/>
    <x v="5"/>
    <x v="2"/>
    <n v="12"/>
    <s v="Red"/>
    <n v="1"/>
    <n v="8199"/>
    <n v="15"/>
    <n v="6970"/>
    <n v="6970"/>
    <s v="Debit/Credit Card"/>
    <x v="2"/>
    <s v="India"/>
    <x v="27"/>
    <s v="Bhubaneswar"/>
    <s v="Lifestyle Shopper"/>
    <x v="2"/>
    <n v="4.8"/>
    <s v="Delivered"/>
    <s v="Standard"/>
    <n v="4"/>
  </r>
  <r>
    <s v="ORD200042"/>
    <s v="CUST100684"/>
    <s v="Women"/>
    <s v="25-34"/>
    <x v="1555"/>
    <x v="2"/>
    <x v="23"/>
    <x v="0"/>
    <n v="7"/>
    <s v="Blue"/>
    <n v="1"/>
    <n v="7499"/>
    <n v="10"/>
    <n v="6750"/>
    <n v="6750"/>
    <s v="UPI"/>
    <x v="1"/>
    <s v="India"/>
    <x v="19"/>
    <s v="Nongpoh"/>
    <s v="Performance Seeker"/>
    <x v="1"/>
    <n v="4.5999999999999996"/>
    <s v="Delivered"/>
    <s v="Standard"/>
    <n v="4"/>
  </r>
  <r>
    <s v="ORD200726"/>
    <s v="CUST100318"/>
    <s v="Men"/>
    <s v="45-54"/>
    <x v="1555"/>
    <x v="2"/>
    <x v="23"/>
    <x v="0"/>
    <n v="8"/>
    <s v="White"/>
    <n v="3"/>
    <n v="5399"/>
    <n v="0"/>
    <n v="5400"/>
    <n v="16200"/>
    <s v="Debit/Credit Card"/>
    <x v="1"/>
    <s v="India"/>
    <x v="3"/>
    <s v="Jodhpur"/>
    <s v="Performance Seeker"/>
    <x v="2"/>
    <n v="5"/>
    <s v="Delivered"/>
    <s v="Standard"/>
    <n v="6"/>
  </r>
  <r>
    <s v="ORD201023"/>
    <s v="CUST100589"/>
    <s v="Men"/>
    <s v="25-34"/>
    <x v="1555"/>
    <x v="1"/>
    <x v="33"/>
    <x v="0"/>
    <n v="7"/>
    <s v="Blue"/>
    <n v="1"/>
    <n v="4899"/>
    <n v="15"/>
    <n v="4160"/>
    <n v="4160"/>
    <s v="UPI"/>
    <x v="1"/>
    <s v="India"/>
    <x v="35"/>
    <s v="Lunglei"/>
    <s v="Lifestyle Shopper"/>
    <x v="2"/>
    <n v="4.2"/>
    <s v="Returned"/>
    <s v="Standard"/>
    <n v="2"/>
  </r>
  <r>
    <s v="ORD200036"/>
    <s v="CUST100404"/>
    <s v="Men"/>
    <s v="18-24"/>
    <x v="1556"/>
    <x v="0"/>
    <x v="0"/>
    <x v="0"/>
    <n v="8"/>
    <s v="Grey"/>
    <n v="1"/>
    <n v="6299"/>
    <n v="15"/>
    <n v="5350"/>
    <n v="5350"/>
    <s v="UPI"/>
    <x v="0"/>
    <s v="India"/>
    <x v="21"/>
    <s v="Mokokchung"/>
    <s v="Value Shopper"/>
    <x v="1"/>
    <n v="3.5"/>
    <s v="Delivered"/>
    <s v="Standard"/>
    <n v="3"/>
  </r>
  <r>
    <s v="ORD201636"/>
    <s v="CUST100736"/>
    <s v="Unisex"/>
    <s v="45-54"/>
    <x v="1556"/>
    <x v="2"/>
    <x v="32"/>
    <x v="1"/>
    <n v="7"/>
    <s v="Green"/>
    <n v="1"/>
    <n v="6199"/>
    <n v="15"/>
    <n v="5270"/>
    <n v="5270"/>
    <s v="UPI"/>
    <x v="1"/>
    <s v="India"/>
    <x v="6"/>
    <s v="Varanasi"/>
    <s v="Value Shopper"/>
    <x v="1"/>
    <n v="4.0999999999999996"/>
    <s v="Delivered"/>
    <s v="Standard"/>
    <n v="2"/>
  </r>
  <r>
    <s v="ORD201879"/>
    <s v="CUST100532"/>
    <s v="Unisex"/>
    <s v="25-34"/>
    <x v="1557"/>
    <x v="2"/>
    <x v="25"/>
    <x v="3"/>
    <n v="8"/>
    <s v="White"/>
    <n v="2"/>
    <n v="7999"/>
    <n v="20"/>
    <n v="6400"/>
    <n v="12800"/>
    <s v="UPI"/>
    <x v="0"/>
    <s v="India"/>
    <x v="14"/>
    <s v="Patiala"/>
    <s v="Comfort Shopper"/>
    <x v="0"/>
    <n v="3.5"/>
    <s v="Cancelled"/>
    <s v="Express"/>
    <n v="1"/>
  </r>
  <r>
    <s v="ORD200604"/>
    <s v="CUST100344"/>
    <s v="Women"/>
    <s v="35-44"/>
    <x v="1558"/>
    <x v="1"/>
    <x v="20"/>
    <x v="2"/>
    <n v="7"/>
    <s v="Black"/>
    <n v="1"/>
    <n v="8499"/>
    <n v="15"/>
    <n v="7220"/>
    <n v="7220"/>
    <s v="Net Banking"/>
    <x v="2"/>
    <s v="India"/>
    <x v="12"/>
    <s v="Mayabunder"/>
    <s v="Comfort Shopper"/>
    <x v="2"/>
    <n v="4.3"/>
    <s v="Delivered"/>
    <s v="Express"/>
    <n v="3"/>
  </r>
  <r>
    <s v="ORD201038"/>
    <s v="CUST100293"/>
    <s v="Women"/>
    <s v="18-24"/>
    <x v="1558"/>
    <x v="4"/>
    <x v="26"/>
    <x v="3"/>
    <n v="9"/>
    <s v="Blue"/>
    <n v="2"/>
    <n v="8499"/>
    <n v="25"/>
    <n v="6370"/>
    <n v="12740"/>
    <s v="UPI"/>
    <x v="1"/>
    <s v="India"/>
    <x v="16"/>
    <s v="Vadodara"/>
    <s v="Lifestyle Shopper"/>
    <x v="2"/>
    <n v="3.9"/>
    <s v="Delivered"/>
    <s v="Standard"/>
    <n v="4"/>
  </r>
  <r>
    <s v="ORD203109"/>
    <s v="CUST100035"/>
    <s v="Men"/>
    <s v="18-24"/>
    <x v="1558"/>
    <x v="2"/>
    <x v="4"/>
    <x v="2"/>
    <n v="6"/>
    <s v="Green"/>
    <n v="1"/>
    <n v="6999"/>
    <n v="15"/>
    <n v="5950"/>
    <n v="5950"/>
    <s v="Debit/Credit Card"/>
    <x v="0"/>
    <s v="India"/>
    <x v="17"/>
    <s v="Karaikal"/>
    <s v="Premium Shopper"/>
    <x v="1"/>
    <n v="3.5"/>
    <s v="Delivered"/>
    <s v="Standard"/>
    <n v="2"/>
  </r>
  <r>
    <s v="ORD201275"/>
    <s v="CUST100734"/>
    <s v="Unisex"/>
    <s v="55+"/>
    <x v="1559"/>
    <x v="4"/>
    <x v="17"/>
    <x v="4"/>
    <n v="11"/>
    <s v="Grey"/>
    <n v="2"/>
    <n v="8899"/>
    <n v="15"/>
    <n v="7560"/>
    <n v="15120"/>
    <s v="Debit/Credit Card"/>
    <x v="0"/>
    <s v="India"/>
    <x v="24"/>
    <s v="Bengaluru"/>
    <s v="Comfort Shopper"/>
    <x v="2"/>
    <n v="2.7"/>
    <s v="Delivered"/>
    <s v="Standard"/>
    <n v="4"/>
  </r>
  <r>
    <s v="ORD203004"/>
    <s v="CUST100385"/>
    <s v="Men"/>
    <s v="45-54"/>
    <x v="1560"/>
    <x v="3"/>
    <x v="11"/>
    <x v="4"/>
    <n v="9"/>
    <s v="Red"/>
    <n v="2"/>
    <n v="4499"/>
    <n v="10"/>
    <n v="4050"/>
    <n v="8100"/>
    <s v="Debit/Credit Card"/>
    <x v="1"/>
    <s v="India"/>
    <x v="26"/>
    <s v="Thrissur"/>
    <s v="Lifestyle Shopper"/>
    <x v="1"/>
    <n v="4.5999999999999996"/>
    <s v="Returned"/>
    <s v="Standard"/>
    <n v="6"/>
  </r>
  <r>
    <s v="ORD200716"/>
    <s v="CUST100011"/>
    <s v="Men"/>
    <s v="45-54"/>
    <x v="1561"/>
    <x v="2"/>
    <x v="32"/>
    <x v="1"/>
    <n v="7"/>
    <s v="Grey"/>
    <n v="1"/>
    <n v="5999"/>
    <n v="25"/>
    <n v="4500"/>
    <n v="4500"/>
    <s v="UPI"/>
    <x v="2"/>
    <s v="India"/>
    <x v="23"/>
    <s v="Haldwani"/>
    <s v="Premium Shopper"/>
    <x v="2"/>
    <n v="4.9000000000000004"/>
    <s v="Delivered"/>
    <s v="Same Day"/>
    <n v="2"/>
  </r>
  <r>
    <s v="ORD201909"/>
    <s v="CUST100118"/>
    <s v="Men"/>
    <s v="25-34"/>
    <x v="1561"/>
    <x v="3"/>
    <x v="28"/>
    <x v="1"/>
    <n v="8"/>
    <s v="Red"/>
    <n v="1"/>
    <n v="8599"/>
    <n v="15"/>
    <n v="7310"/>
    <n v="7310"/>
    <s v="UPI"/>
    <x v="2"/>
    <s v="India"/>
    <x v="21"/>
    <s v="Tuensang"/>
    <s v="Comfort Shopper"/>
    <x v="2"/>
    <n v="2.9"/>
    <s v="Returned"/>
    <s v="Standard"/>
    <n v="3"/>
  </r>
  <r>
    <s v="ORD202291"/>
    <s v="CUST100575"/>
    <s v="Women"/>
    <s v="25-34"/>
    <x v="1562"/>
    <x v="2"/>
    <x v="32"/>
    <x v="1"/>
    <n v="6"/>
    <s v="Red"/>
    <n v="1"/>
    <n v="7399"/>
    <n v="40"/>
    <n v="4440"/>
    <n v="4440"/>
    <s v="Debit/Credit Card"/>
    <x v="0"/>
    <s v="India"/>
    <x v="31"/>
    <s v="Chennai"/>
    <s v="Performance Seeker"/>
    <x v="1"/>
    <n v="3.4"/>
    <s v="Delivered"/>
    <s v="Standard"/>
    <n v="4"/>
  </r>
  <r>
    <s v="ORD201798"/>
    <s v="CUST100554"/>
    <s v="Unisex"/>
    <s v="35-44"/>
    <x v="1563"/>
    <x v="0"/>
    <x v="8"/>
    <x v="3"/>
    <n v="11"/>
    <s v="Black"/>
    <n v="1"/>
    <n v="7499"/>
    <n v="0"/>
    <n v="7500"/>
    <n v="7500"/>
    <s v="UPI"/>
    <x v="1"/>
    <s v="India"/>
    <x v="3"/>
    <s v="Jodhpur"/>
    <s v="Comfort Shopper"/>
    <x v="0"/>
    <n v="3.3"/>
    <s v="Delivered"/>
    <s v="Express"/>
    <n v="3"/>
  </r>
  <r>
    <s v="ORD202879"/>
    <s v="CUST100238"/>
    <s v="Men"/>
    <s v="18-24"/>
    <x v="1563"/>
    <x v="1"/>
    <x v="18"/>
    <x v="2"/>
    <n v="11"/>
    <s v="Grey"/>
    <n v="1"/>
    <n v="6399"/>
    <n v="15"/>
    <n v="5440"/>
    <n v="5440"/>
    <s v="UPI"/>
    <x v="1"/>
    <s v="India"/>
    <x v="30"/>
    <s v="Daria"/>
    <s v="Performance Seeker"/>
    <x v="2"/>
    <n v="3"/>
    <s v="Delivered"/>
    <s v="Standard"/>
    <n v="3"/>
  </r>
  <r>
    <s v="ORD200426"/>
    <s v="CUST100056"/>
    <s v="Men"/>
    <s v="35-44"/>
    <x v="1564"/>
    <x v="2"/>
    <x v="25"/>
    <x v="3"/>
    <n v="7"/>
    <s v="Blue"/>
    <n v="2"/>
    <n v="5599"/>
    <n v="30"/>
    <n v="3920"/>
    <n v="7840"/>
    <s v="UPI"/>
    <x v="2"/>
    <s v="India"/>
    <x v="19"/>
    <s v="Jowai"/>
    <s v="Value Shopper"/>
    <x v="1"/>
    <n v="3.3"/>
    <s v="Delivered"/>
    <s v="Standard"/>
    <n v="4"/>
  </r>
  <r>
    <s v="ORD200861"/>
    <s v="CUST100091"/>
    <s v="Women"/>
    <s v="45-54"/>
    <x v="1564"/>
    <x v="1"/>
    <x v="18"/>
    <x v="2"/>
    <n v="8"/>
    <s v="Red"/>
    <n v="1"/>
    <n v="6899"/>
    <n v="20"/>
    <n v="5520"/>
    <n v="5520"/>
    <s v="UPI"/>
    <x v="0"/>
    <s v="India"/>
    <x v="23"/>
    <s v="Haridwar"/>
    <s v="Comfort Shopper"/>
    <x v="2"/>
    <n v="4.5999999999999996"/>
    <s v="Returned"/>
    <s v="Standard"/>
    <n v="2"/>
  </r>
  <r>
    <s v="ORD202804"/>
    <s v="CUST100032"/>
    <s v="Men"/>
    <s v="55+"/>
    <x v="1564"/>
    <x v="2"/>
    <x v="4"/>
    <x v="2"/>
    <n v="11"/>
    <s v="Blue"/>
    <n v="3"/>
    <n v="3399"/>
    <n v="25"/>
    <n v="2550"/>
    <n v="7650"/>
    <s v="UPI"/>
    <x v="1"/>
    <s v="India"/>
    <x v="16"/>
    <s v="Surat"/>
    <s v="Value Shopper"/>
    <x v="2"/>
    <n v="4.0999999999999996"/>
    <s v="Delivered"/>
    <s v="Standard"/>
    <n v="5"/>
  </r>
  <r>
    <s v="ORD201209"/>
    <s v="CUST100742"/>
    <s v="Men"/>
    <s v="35-44"/>
    <x v="1565"/>
    <x v="4"/>
    <x v="29"/>
    <x v="2"/>
    <n v="12"/>
    <s v="Black"/>
    <n v="1"/>
    <n v="6999"/>
    <n v="15"/>
    <n v="5950"/>
    <n v="5950"/>
    <s v="Debit/Credit Card"/>
    <x v="1"/>
    <s v="India"/>
    <x v="32"/>
    <s v="Ranchi"/>
    <s v="Premium Shopper"/>
    <x v="1"/>
    <n v="4.2"/>
    <s v="Delivered"/>
    <s v="Standard"/>
    <n v="1"/>
  </r>
  <r>
    <s v="ORD202279"/>
    <s v="CUST100405"/>
    <s v="Men"/>
    <s v="25-34"/>
    <x v="1565"/>
    <x v="2"/>
    <x v="4"/>
    <x v="2"/>
    <n v="7"/>
    <s v="Grey"/>
    <n v="1"/>
    <n v="4699"/>
    <n v="20"/>
    <n v="3760"/>
    <n v="3760"/>
    <s v="Debit/Credit Card"/>
    <x v="1"/>
    <s v="India"/>
    <x v="14"/>
    <s v="Amritsar"/>
    <s v="Value Shopper"/>
    <x v="2"/>
    <n v="4.5999999999999996"/>
    <s v="Delivered"/>
    <s v="Standard"/>
    <n v="3"/>
  </r>
  <r>
    <s v="ORD200146"/>
    <s v="CUST100714"/>
    <s v="Women"/>
    <s v="55+"/>
    <x v="1566"/>
    <x v="5"/>
    <x v="27"/>
    <x v="0"/>
    <n v="8"/>
    <s v="Blue"/>
    <n v="1"/>
    <n v="8599"/>
    <n v="15"/>
    <n v="7310"/>
    <n v="7310"/>
    <s v="Cash on Delivery"/>
    <x v="2"/>
    <s v="India"/>
    <x v="29"/>
    <s v="Visakhapatnam"/>
    <s v="Premium Shopper"/>
    <x v="1"/>
    <n v="3.7"/>
    <s v="Returned"/>
    <s v="Standard"/>
    <n v="3"/>
  </r>
  <r>
    <s v="ORD202887"/>
    <s v="CUST100331"/>
    <s v="Men"/>
    <s v="35-44"/>
    <x v="1567"/>
    <x v="4"/>
    <x v="9"/>
    <x v="1"/>
    <n v="9"/>
    <s v="Grey"/>
    <n v="2"/>
    <n v="8799"/>
    <n v="20"/>
    <n v="7040"/>
    <n v="14080"/>
    <s v="Debit/Credit Card"/>
    <x v="1"/>
    <s v="India"/>
    <x v="26"/>
    <s v="Thrissur"/>
    <s v="Premium Shopper"/>
    <x v="2"/>
    <n v="5"/>
    <s v="Delivered"/>
    <s v="Express"/>
    <n v="3"/>
  </r>
  <r>
    <s v="ORD200546"/>
    <s v="CUST100230"/>
    <s v="Unisex"/>
    <s v="18-24"/>
    <x v="1568"/>
    <x v="1"/>
    <x v="33"/>
    <x v="0"/>
    <n v="11"/>
    <s v="Grey"/>
    <n v="1"/>
    <n v="7199"/>
    <n v="0"/>
    <n v="7200"/>
    <n v="7200"/>
    <s v="UPI"/>
    <x v="1"/>
    <s v="India"/>
    <x v="2"/>
    <s v="Faridabad"/>
    <s v="Performance Seeker"/>
    <x v="2"/>
    <n v="4.7"/>
    <s v="Returned"/>
    <s v="Standard"/>
    <n v="4"/>
  </r>
  <r>
    <s v="ORD200284"/>
    <s v="CUST100285"/>
    <s v="Men"/>
    <s v="25-34"/>
    <x v="1569"/>
    <x v="1"/>
    <x v="1"/>
    <x v="1"/>
    <n v="9"/>
    <s v="Green"/>
    <n v="1"/>
    <n v="8399"/>
    <n v="15"/>
    <n v="7140"/>
    <n v="7140"/>
    <s v="UPI"/>
    <x v="2"/>
    <s v="India"/>
    <x v="13"/>
    <s v="Tawang"/>
    <s v="Performance Seeker"/>
    <x v="1"/>
    <n v="5"/>
    <s v="Delivered"/>
    <s v="Standard"/>
    <n v="6"/>
  </r>
  <r>
    <s v="ORD200171"/>
    <s v="CUST100379"/>
    <s v="Men"/>
    <s v="35-44"/>
    <x v="1570"/>
    <x v="1"/>
    <x v="18"/>
    <x v="2"/>
    <n v="8"/>
    <s v="Blue"/>
    <n v="1"/>
    <n v="7699"/>
    <n v="25"/>
    <n v="5770"/>
    <n v="5770"/>
    <s v="Debit/Credit Card"/>
    <x v="2"/>
    <s v="India"/>
    <x v="0"/>
    <s v="Guwahati"/>
    <s v="Premium Shopper"/>
    <x v="2"/>
    <n v="4.0999999999999996"/>
    <s v="Delivered"/>
    <s v="Express"/>
    <n v="3"/>
  </r>
  <r>
    <s v="ORD200636"/>
    <s v="CUST100125"/>
    <s v="Men"/>
    <s v="25-34"/>
    <x v="1570"/>
    <x v="1"/>
    <x v="12"/>
    <x v="4"/>
    <n v="8"/>
    <s v="White"/>
    <n v="1"/>
    <n v="4899"/>
    <n v="40"/>
    <n v="2940"/>
    <n v="2940"/>
    <s v="UPI"/>
    <x v="2"/>
    <s v="India"/>
    <x v="2"/>
    <s v="Hisar"/>
    <s v="Performance Seeker"/>
    <x v="2"/>
    <n v="4.3"/>
    <s v="Delivered"/>
    <s v="Express"/>
    <n v="2"/>
  </r>
  <r>
    <s v="ORD200673"/>
    <s v="CUST100015"/>
    <s v="Women"/>
    <s v="25-34"/>
    <x v="1570"/>
    <x v="1"/>
    <x v="10"/>
    <x v="3"/>
    <n v="12"/>
    <s v="Grey"/>
    <n v="1"/>
    <n v="8899"/>
    <n v="40"/>
    <n v="5340"/>
    <n v="5340"/>
    <s v="Debit/Credit Card"/>
    <x v="2"/>
    <s v="India"/>
    <x v="12"/>
    <s v="Rangat"/>
    <s v="Lifestyle Shopper"/>
    <x v="2"/>
    <n v="2.9"/>
    <s v="Returned"/>
    <s v="Standard"/>
    <n v="2"/>
  </r>
  <r>
    <s v="ORD200701"/>
    <s v="CUST100825"/>
    <s v="Men"/>
    <s v="45-54"/>
    <x v="1570"/>
    <x v="1"/>
    <x v="12"/>
    <x v="4"/>
    <n v="6"/>
    <s v="Black"/>
    <n v="1"/>
    <n v="8699"/>
    <n v="15"/>
    <n v="7390"/>
    <n v="7390"/>
    <s v="Debit/Credit Card"/>
    <x v="1"/>
    <s v="India"/>
    <x v="24"/>
    <s v="Mysuru"/>
    <s v="Performance Seeker"/>
    <x v="1"/>
    <n v="3.9"/>
    <s v="Returned"/>
    <s v="Standard"/>
    <n v="4"/>
  </r>
  <r>
    <s v="ORD202815"/>
    <s v="CUST100229"/>
    <s v="Unisex"/>
    <s v="45-54"/>
    <x v="1570"/>
    <x v="0"/>
    <x v="13"/>
    <x v="2"/>
    <n v="8"/>
    <s v="Green"/>
    <n v="2"/>
    <n v="5599"/>
    <n v="15"/>
    <n v="4760"/>
    <n v="9520"/>
    <s v="Debit/Credit Card"/>
    <x v="0"/>
    <s v="India"/>
    <x v="34"/>
    <s v="Kolkata"/>
    <s v="Comfort Shopper"/>
    <x v="2"/>
    <n v="4.0999999999999996"/>
    <s v="Delivered"/>
    <s v="Standard"/>
    <n v="3"/>
  </r>
  <r>
    <s v="ORD201032"/>
    <s v="CUST100229"/>
    <s v="Women"/>
    <s v="45-54"/>
    <x v="1571"/>
    <x v="2"/>
    <x v="4"/>
    <x v="2"/>
    <n v="8"/>
    <s v="Red"/>
    <n v="1"/>
    <n v="5299"/>
    <n v="25"/>
    <n v="3970"/>
    <n v="3970"/>
    <s v="UPI"/>
    <x v="2"/>
    <s v="India"/>
    <x v="35"/>
    <s v="Kolasib"/>
    <s v="Performance Seeker"/>
    <x v="2"/>
    <n v="3.3"/>
    <s v="Cancelled"/>
    <s v="Standard"/>
    <n v="6"/>
  </r>
  <r>
    <s v="ORD201674"/>
    <s v="CUST100389"/>
    <s v="Women"/>
    <s v="55+"/>
    <x v="1572"/>
    <x v="0"/>
    <x v="2"/>
    <x v="2"/>
    <n v="8"/>
    <s v="Grey"/>
    <n v="1"/>
    <n v="8899"/>
    <n v="10"/>
    <n v="8010"/>
    <n v="8010"/>
    <s v="UPI"/>
    <x v="2"/>
    <s v="India"/>
    <x v="28"/>
    <s v="Kargil"/>
    <s v="Performance Seeker"/>
    <x v="2"/>
    <n v="4.0999999999999996"/>
    <s v="Delivered"/>
    <s v="Standard"/>
    <n v="5"/>
  </r>
  <r>
    <s v="ORD200667"/>
    <s v="CUST100260"/>
    <s v="Men"/>
    <s v="45-54"/>
    <x v="1573"/>
    <x v="2"/>
    <x v="24"/>
    <x v="4"/>
    <n v="6"/>
    <s v="Blue"/>
    <n v="1"/>
    <n v="5699"/>
    <n v="10"/>
    <n v="5130"/>
    <n v="5130"/>
    <s v="UPI"/>
    <x v="1"/>
    <s v="India"/>
    <x v="31"/>
    <s v="Tiruchirappalli"/>
    <s v="Comfort Shopper"/>
    <x v="2"/>
    <n v="3.7"/>
    <s v="Returned"/>
    <s v="Standard"/>
    <n v="6"/>
  </r>
  <r>
    <s v="ORD201871"/>
    <s v="CUST100274"/>
    <s v="Men"/>
    <s v="35-44"/>
    <x v="1573"/>
    <x v="0"/>
    <x v="19"/>
    <x v="4"/>
    <n v="12"/>
    <s v="Red"/>
    <n v="1"/>
    <n v="5399"/>
    <n v="20"/>
    <n v="4320"/>
    <n v="4320"/>
    <s v="UPI"/>
    <x v="0"/>
    <s v="India"/>
    <x v="26"/>
    <s v="Thiruvananthapuram"/>
    <s v="Performance Seeker"/>
    <x v="2"/>
    <n v="4.2"/>
    <s v="Returned"/>
    <s v="Standard"/>
    <n v="5"/>
  </r>
  <r>
    <s v="ORD201477"/>
    <s v="CUST100095"/>
    <s v="Women"/>
    <s v="18-24"/>
    <x v="1574"/>
    <x v="4"/>
    <x v="17"/>
    <x v="4"/>
    <n v="10"/>
    <s v="Blue"/>
    <n v="1"/>
    <n v="5499"/>
    <n v="15"/>
    <n v="4670"/>
    <n v="4670"/>
    <s v="UPI"/>
    <x v="2"/>
    <s v="India"/>
    <x v="18"/>
    <s v="Bilaspur"/>
    <s v="Performance Seeker"/>
    <x v="1"/>
    <n v="4.0999999999999996"/>
    <s v="Delivered"/>
    <s v="Standard"/>
    <n v="4"/>
  </r>
  <r>
    <s v="ORD202027"/>
    <s v="CUST100342"/>
    <s v="Unisex"/>
    <s v="25-34"/>
    <x v="1574"/>
    <x v="4"/>
    <x v="29"/>
    <x v="2"/>
    <n v="8"/>
    <s v="Blue"/>
    <n v="1"/>
    <n v="4499"/>
    <n v="25"/>
    <n v="3370"/>
    <n v="3370"/>
    <s v="UPI"/>
    <x v="2"/>
    <s v="India"/>
    <x v="7"/>
    <s v="Indore"/>
    <s v="Performance Seeker"/>
    <x v="2"/>
    <n v="3.9"/>
    <s v="Cancelled"/>
    <s v="Same Day"/>
    <n v="1"/>
  </r>
  <r>
    <s v="ORD200478"/>
    <s v="CUST100079"/>
    <s v="Women"/>
    <s v="35-44"/>
    <x v="1575"/>
    <x v="3"/>
    <x v="34"/>
    <x v="3"/>
    <n v="12"/>
    <s v="Black"/>
    <n v="1"/>
    <n v="4499"/>
    <n v="35"/>
    <n v="2920"/>
    <n v="2920"/>
    <s v="UPI"/>
    <x v="2"/>
    <s v="India"/>
    <x v="12"/>
    <s v="Port Blair"/>
    <s v="Lifestyle Shopper"/>
    <x v="2"/>
    <n v="3.8"/>
    <s v="Delivered"/>
    <s v="Standard"/>
    <n v="4"/>
  </r>
  <r>
    <s v="ORD200342"/>
    <s v="CUST100280"/>
    <s v="Men"/>
    <s v="35-44"/>
    <x v="1576"/>
    <x v="5"/>
    <x v="21"/>
    <x v="2"/>
    <n v="9"/>
    <s v="Red"/>
    <n v="1"/>
    <n v="7299"/>
    <n v="35"/>
    <n v="4740"/>
    <n v="4740"/>
    <s v="UPI"/>
    <x v="1"/>
    <s v="India"/>
    <x v="31"/>
    <s v="Madurai"/>
    <s v="Premium Shopper"/>
    <x v="2"/>
    <n v="4.8"/>
    <s v="Cancelled"/>
    <s v="Express"/>
    <n v="2"/>
  </r>
  <r>
    <s v="ORD202508"/>
    <s v="CUST100719"/>
    <s v="Unisex"/>
    <s v="18-24"/>
    <x v="1576"/>
    <x v="5"/>
    <x v="14"/>
    <x v="3"/>
    <n v="9"/>
    <s v="Black"/>
    <n v="1"/>
    <n v="8399"/>
    <n v="15"/>
    <n v="7140"/>
    <n v="7140"/>
    <s v="UPI"/>
    <x v="1"/>
    <s v="India"/>
    <x v="10"/>
    <s v="Diu"/>
    <s v="Performance Seeker"/>
    <x v="1"/>
    <n v="4.5"/>
    <s v="Cancelled"/>
    <s v="Standard"/>
    <n v="4"/>
  </r>
  <r>
    <s v="ORD200919"/>
    <s v="CUST100709"/>
    <s v="Women"/>
    <s v="18-24"/>
    <x v="1577"/>
    <x v="2"/>
    <x v="32"/>
    <x v="1"/>
    <n v="10"/>
    <s v="Green"/>
    <n v="1"/>
    <n v="5499"/>
    <n v="5"/>
    <n v="5220"/>
    <n v="5220"/>
    <s v="Debit/Credit Card"/>
    <x v="0"/>
    <s v="India"/>
    <x v="31"/>
    <s v="Tiruchirappalli"/>
    <s v="Lifestyle Shopper"/>
    <x v="2"/>
    <n v="4.0999999999999996"/>
    <s v="Delivered"/>
    <s v="Express"/>
    <n v="2"/>
  </r>
  <r>
    <s v="ORD201247"/>
    <s v="CUST100117"/>
    <s v="Women"/>
    <s v="18-24"/>
    <x v="1577"/>
    <x v="0"/>
    <x v="19"/>
    <x v="4"/>
    <n v="10"/>
    <s v="Red"/>
    <n v="2"/>
    <n v="6699"/>
    <n v="20"/>
    <n v="5360"/>
    <n v="10720"/>
    <s v="Debit/Credit Card"/>
    <x v="0"/>
    <s v="India"/>
    <x v="27"/>
    <s v="Rourkela"/>
    <s v="Performance Seeker"/>
    <x v="1"/>
    <n v="4.7"/>
    <s v="Delivered"/>
    <s v="Express"/>
    <n v="2"/>
  </r>
  <r>
    <s v="ORD202416"/>
    <s v="CUST100592"/>
    <s v="Men"/>
    <s v="35-44"/>
    <x v="1578"/>
    <x v="4"/>
    <x v="17"/>
    <x v="4"/>
    <n v="11"/>
    <s v="Green"/>
    <n v="1"/>
    <n v="8799"/>
    <n v="10"/>
    <n v="7920"/>
    <n v="7920"/>
    <s v="UPI"/>
    <x v="2"/>
    <s v="India"/>
    <x v="12"/>
    <s v="Port Blair"/>
    <s v="Premium Shopper"/>
    <x v="1"/>
    <n v="3.5"/>
    <s v="Delivered"/>
    <s v="Standard"/>
    <n v="6"/>
  </r>
  <r>
    <s v="ORD202128"/>
    <s v="CUST100654"/>
    <s v="Men"/>
    <s v="35-44"/>
    <x v="1579"/>
    <x v="0"/>
    <x v="31"/>
    <x v="1"/>
    <n v="6"/>
    <s v="Blue"/>
    <n v="2"/>
    <n v="3599"/>
    <n v="0"/>
    <n v="3600"/>
    <n v="7200"/>
    <s v="UPI"/>
    <x v="0"/>
    <s v="India"/>
    <x v="6"/>
    <s v="Noida"/>
    <s v="Premium Shopper"/>
    <x v="2"/>
    <n v="5"/>
    <s v="Delivered"/>
    <s v="Standard"/>
    <n v="3"/>
  </r>
  <r>
    <s v="ORD201364"/>
    <s v="CUST100016"/>
    <s v="Women"/>
    <s v="25-34"/>
    <x v="1580"/>
    <x v="2"/>
    <x v="3"/>
    <x v="2"/>
    <n v="9"/>
    <s v="Grey"/>
    <n v="1"/>
    <n v="6499"/>
    <n v="25"/>
    <n v="4870"/>
    <n v="4870"/>
    <s v="Debit/Credit Card"/>
    <x v="2"/>
    <s v="India"/>
    <x v="1"/>
    <s v="Panaji"/>
    <s v="Value Shopper"/>
    <x v="2"/>
    <n v="4.5999999999999996"/>
    <s v="Delivered"/>
    <s v="Standard"/>
    <n v="4"/>
  </r>
  <r>
    <s v="ORD200494"/>
    <s v="CUST100796"/>
    <s v="Women"/>
    <s v="25-34"/>
    <x v="1581"/>
    <x v="0"/>
    <x v="2"/>
    <x v="2"/>
    <n v="11"/>
    <s v="White"/>
    <n v="1"/>
    <n v="4299"/>
    <n v="20"/>
    <n v="3440"/>
    <n v="3440"/>
    <s v="Debit/Credit Card"/>
    <x v="1"/>
    <s v="India"/>
    <x v="3"/>
    <s v="Kota"/>
    <s v="Performance Seeker"/>
    <x v="2"/>
    <n v="3.6"/>
    <s v="Delivered"/>
    <s v="Express"/>
    <n v="3"/>
  </r>
  <r>
    <s v="ORD200116"/>
    <s v="CUST100340"/>
    <s v="Men"/>
    <s v="25-34"/>
    <x v="1582"/>
    <x v="1"/>
    <x v="10"/>
    <x v="3"/>
    <n v="6"/>
    <s v="Blue"/>
    <n v="1"/>
    <n v="4899"/>
    <n v="0"/>
    <n v="4900"/>
    <n v="4900"/>
    <s v="UPI"/>
    <x v="1"/>
    <s v="India"/>
    <x v="8"/>
    <s v="Nizamabad"/>
    <s v="Comfort Shopper"/>
    <x v="2"/>
    <n v="4.0999999999999996"/>
    <s v="Cancelled"/>
    <s v="Standard"/>
    <n v="5"/>
  </r>
  <r>
    <s v="ORD200454"/>
    <s v="CUST100927"/>
    <s v="Women"/>
    <s v="35-44"/>
    <x v="1583"/>
    <x v="5"/>
    <x v="14"/>
    <x v="3"/>
    <n v="7"/>
    <s v="Black"/>
    <n v="1"/>
    <n v="4299"/>
    <n v="35"/>
    <n v="2790"/>
    <n v="2790"/>
    <s v="UPI"/>
    <x v="1"/>
    <s v="India"/>
    <x v="30"/>
    <s v="Chandigarh"/>
    <s v="Comfort Shopper"/>
    <x v="2"/>
    <n v="4.5"/>
    <s v="Delivered"/>
    <s v="Standard"/>
    <n v="3"/>
  </r>
  <r>
    <s v="ORD200967"/>
    <s v="CUST100014"/>
    <s v="Women"/>
    <s v="45-54"/>
    <x v="1584"/>
    <x v="2"/>
    <x v="23"/>
    <x v="0"/>
    <n v="11"/>
    <s v="Green"/>
    <n v="1"/>
    <n v="8299"/>
    <n v="25"/>
    <n v="6220"/>
    <n v="6220"/>
    <s v="UPI"/>
    <x v="1"/>
    <s v="India"/>
    <x v="23"/>
    <s v="Haridwar"/>
    <s v="Performance Seeker"/>
    <x v="2"/>
    <n v="4.5"/>
    <s v="Cancelled"/>
    <s v="Standard"/>
    <n v="5"/>
  </r>
  <r>
    <s v="ORD202916"/>
    <s v="CUST100791"/>
    <s v="Men"/>
    <s v="25-34"/>
    <x v="1584"/>
    <x v="5"/>
    <x v="7"/>
    <x v="1"/>
    <n v="9"/>
    <s v="White"/>
    <n v="2"/>
    <n v="5199"/>
    <n v="10"/>
    <n v="4680"/>
    <n v="9360"/>
    <s v="Debit/Credit Card"/>
    <x v="1"/>
    <s v="India"/>
    <x v="11"/>
    <s v="Kavaratti"/>
    <s v="Value Shopper"/>
    <x v="1"/>
    <n v="3.5"/>
    <s v="Returned"/>
    <s v="Standard"/>
    <n v="3"/>
  </r>
  <r>
    <s v="ORD200352"/>
    <s v="CUST100040"/>
    <s v="Women"/>
    <s v="35-44"/>
    <x v="1585"/>
    <x v="4"/>
    <x v="6"/>
    <x v="2"/>
    <n v="9"/>
    <s v="Green"/>
    <n v="1"/>
    <n v="4899"/>
    <n v="10"/>
    <n v="4410"/>
    <n v="4410"/>
    <s v="UPI"/>
    <x v="0"/>
    <s v="India"/>
    <x v="25"/>
    <s v="Jammu"/>
    <s v="Comfort Shopper"/>
    <x v="1"/>
    <n v="4.7"/>
    <s v="Delivered"/>
    <s v="Standard"/>
    <n v="2"/>
  </r>
  <r>
    <s v="ORD202756"/>
    <s v="CUST100585"/>
    <s v="Men"/>
    <s v="35-44"/>
    <x v="1586"/>
    <x v="2"/>
    <x v="23"/>
    <x v="0"/>
    <n v="6"/>
    <s v="Grey"/>
    <n v="1"/>
    <n v="7699"/>
    <n v="15"/>
    <n v="6540"/>
    <n v="6540"/>
    <s v="Cash on Delivery"/>
    <x v="2"/>
    <s v="India"/>
    <x v="34"/>
    <s v="Kolkata"/>
    <s v="Premium Shopper"/>
    <x v="1"/>
    <n v="4.9000000000000004"/>
    <s v="Delivered"/>
    <s v="Standard"/>
    <n v="4"/>
  </r>
  <r>
    <s v="ORD201432"/>
    <s v="CUST100488"/>
    <s v="Men"/>
    <s v="45-54"/>
    <x v="1587"/>
    <x v="3"/>
    <x v="16"/>
    <x v="0"/>
    <n v="10"/>
    <s v="Black"/>
    <n v="1"/>
    <n v="4899"/>
    <n v="10"/>
    <n v="4410"/>
    <n v="4410"/>
    <s v="Net Banking"/>
    <x v="1"/>
    <s v="India"/>
    <x v="14"/>
    <s v="Ludhiana"/>
    <s v="Comfort Shopper"/>
    <x v="1"/>
    <n v="4.2"/>
    <s v="Returned"/>
    <s v="Standard"/>
    <n v="2"/>
  </r>
  <r>
    <s v="ORD202369"/>
    <s v="CUST100623"/>
    <s v="Men"/>
    <s v="35-44"/>
    <x v="1588"/>
    <x v="0"/>
    <x v="19"/>
    <x v="4"/>
    <n v="9"/>
    <s v="Green"/>
    <n v="1"/>
    <n v="7899"/>
    <n v="25"/>
    <n v="5920"/>
    <n v="5920"/>
    <s v="UPI"/>
    <x v="1"/>
    <s v="India"/>
    <x v="23"/>
    <s v="Haridwar"/>
    <s v="Comfort Shopper"/>
    <x v="1"/>
    <n v="4.9000000000000004"/>
    <s v="Delivered"/>
    <s v="Standard"/>
    <n v="4"/>
  </r>
  <r>
    <s v="ORD200239"/>
    <s v="CUST100495"/>
    <s v="Women"/>
    <s v="25-34"/>
    <x v="1589"/>
    <x v="2"/>
    <x v="32"/>
    <x v="1"/>
    <n v="10"/>
    <s v="Grey"/>
    <n v="1"/>
    <n v="8099"/>
    <n v="35"/>
    <n v="5260"/>
    <n v="5260"/>
    <s v="UPI"/>
    <x v="2"/>
    <s v="India"/>
    <x v="30"/>
    <s v="Burail"/>
    <s v="Comfort Shopper"/>
    <x v="2"/>
    <n v="4.2"/>
    <s v="Delivered"/>
    <s v="Express"/>
    <n v="3"/>
  </r>
  <r>
    <s v="ORD200859"/>
    <s v="CUST100040"/>
    <s v="Men"/>
    <s v="45-54"/>
    <x v="1590"/>
    <x v="3"/>
    <x v="16"/>
    <x v="0"/>
    <n v="11"/>
    <s v="Black"/>
    <n v="1"/>
    <n v="5199"/>
    <n v="10"/>
    <n v="4680"/>
    <n v="4680"/>
    <s v="UPI"/>
    <x v="1"/>
    <s v="India"/>
    <x v="16"/>
    <s v="Rajkot"/>
    <s v="Value Shopper"/>
    <x v="1"/>
    <n v="4.2"/>
    <s v="Delivered"/>
    <s v="Same Day"/>
    <n v="1"/>
  </r>
  <r>
    <s v="ORD202831"/>
    <s v="CUST100514"/>
    <s v="Women"/>
    <s v="25-34"/>
    <x v="1591"/>
    <x v="2"/>
    <x v="24"/>
    <x v="4"/>
    <n v="10"/>
    <s v="White"/>
    <n v="1"/>
    <n v="5999"/>
    <n v="20"/>
    <n v="4800"/>
    <n v="4800"/>
    <s v="UPI"/>
    <x v="1"/>
    <s v="India"/>
    <x v="15"/>
    <s v="Delhi"/>
    <s v="Lifestyle Shopper"/>
    <x v="1"/>
    <n v="4.2"/>
    <s v="Delivered"/>
    <s v="Standard"/>
    <n v="2"/>
  </r>
  <r>
    <s v="ORD202439"/>
    <s v="CUST100235"/>
    <s v="Unisex"/>
    <s v="45-54"/>
    <x v="1592"/>
    <x v="5"/>
    <x v="7"/>
    <x v="1"/>
    <n v="7"/>
    <s v="Blue"/>
    <n v="1"/>
    <n v="6299"/>
    <n v="5"/>
    <n v="5980"/>
    <n v="5980"/>
    <s v="Debit/Credit Card"/>
    <x v="2"/>
    <s v="India"/>
    <x v="20"/>
    <s v="Shimla"/>
    <s v="Performance Seeker"/>
    <x v="1"/>
    <n v="3.4"/>
    <s v="Delivered"/>
    <s v="Express"/>
    <n v="3"/>
  </r>
  <r>
    <s v="ORD202499"/>
    <s v="CUST100267"/>
    <s v="Women"/>
    <s v="25-34"/>
    <x v="1593"/>
    <x v="4"/>
    <x v="6"/>
    <x v="2"/>
    <n v="10"/>
    <s v="Grey"/>
    <n v="1"/>
    <n v="5899"/>
    <n v="15"/>
    <n v="5010"/>
    <n v="5010"/>
    <s v="UPI"/>
    <x v="1"/>
    <s v="India"/>
    <x v="35"/>
    <s v="Lunglei"/>
    <s v="Lifestyle Shopper"/>
    <x v="2"/>
    <n v="3.7"/>
    <s v="Delivered"/>
    <s v="Express"/>
    <n v="4"/>
  </r>
  <r>
    <s v="ORD200339"/>
    <s v="CUST100320"/>
    <s v="Unisex"/>
    <s v="45-54"/>
    <x v="1594"/>
    <x v="5"/>
    <x v="15"/>
    <x v="4"/>
    <n v="10"/>
    <s v="Green"/>
    <n v="2"/>
    <n v="6499"/>
    <n v="25"/>
    <n v="4870"/>
    <n v="9740"/>
    <s v="UPI"/>
    <x v="2"/>
    <s v="India"/>
    <x v="5"/>
    <s v="Thoubal"/>
    <s v="Premium Shopper"/>
    <x v="2"/>
    <n v="2.7"/>
    <s v="Delivered"/>
    <s v="Standard"/>
    <n v="7"/>
  </r>
  <r>
    <s v="ORD200436"/>
    <s v="CUST100509"/>
    <s v="Men"/>
    <s v="25-34"/>
    <x v="1594"/>
    <x v="1"/>
    <x v="20"/>
    <x v="2"/>
    <n v="10"/>
    <s v="White"/>
    <n v="1"/>
    <n v="9499"/>
    <n v="10"/>
    <n v="8550"/>
    <n v="8550"/>
    <s v="UPI"/>
    <x v="2"/>
    <s v="India"/>
    <x v="7"/>
    <s v="Bhopal"/>
    <s v="Performance Seeker"/>
    <x v="1"/>
    <n v="5"/>
    <s v="Cancelled"/>
    <s v="Express"/>
    <n v="2"/>
  </r>
  <r>
    <s v="ORD203034"/>
    <s v="CUST100281"/>
    <s v="Women"/>
    <s v="18-24"/>
    <x v="1595"/>
    <x v="4"/>
    <x v="26"/>
    <x v="3"/>
    <n v="10"/>
    <s v="Green"/>
    <n v="1"/>
    <n v="4099"/>
    <n v="25"/>
    <n v="3070"/>
    <n v="3070"/>
    <s v="UPI"/>
    <x v="0"/>
    <s v="India"/>
    <x v="34"/>
    <s v="Asansol"/>
    <s v="Value Shopper"/>
    <x v="1"/>
    <n v="3.6"/>
    <s v="Cancelled"/>
    <s v="Same Day"/>
    <n v="1"/>
  </r>
  <r>
    <s v="ORD200108"/>
    <s v="CUST100122"/>
    <s v="Men"/>
    <s v="45-54"/>
    <x v="1596"/>
    <x v="0"/>
    <x v="13"/>
    <x v="2"/>
    <n v="11"/>
    <s v="Green"/>
    <n v="1"/>
    <n v="6799"/>
    <n v="20"/>
    <n v="5440"/>
    <n v="5440"/>
    <s v="UPI"/>
    <x v="1"/>
    <s v="India"/>
    <x v="30"/>
    <s v="Daria"/>
    <s v="Lifestyle Shopper"/>
    <x v="2"/>
    <n v="3.9"/>
    <s v="Delivered"/>
    <s v="Standard"/>
    <n v="1"/>
  </r>
  <r>
    <s v="ORD200656"/>
    <s v="CUST100333"/>
    <s v="Women"/>
    <s v="55+"/>
    <x v="1596"/>
    <x v="3"/>
    <x v="28"/>
    <x v="1"/>
    <n v="8"/>
    <s v="Green"/>
    <n v="1"/>
    <n v="4999"/>
    <n v="10"/>
    <n v="4500"/>
    <n v="4500"/>
    <s v="Debit/Credit Card"/>
    <x v="1"/>
    <s v="India"/>
    <x v="31"/>
    <s v="Chennai"/>
    <s v="Performance Seeker"/>
    <x v="1"/>
    <n v="4.3"/>
    <s v="Delivered"/>
    <s v="Standard"/>
    <n v="2"/>
  </r>
  <r>
    <s v="ORD200141"/>
    <s v="CUST100030"/>
    <s v="Women"/>
    <s v="25-34"/>
    <x v="1597"/>
    <x v="5"/>
    <x v="27"/>
    <x v="0"/>
    <n v="8"/>
    <s v="Black"/>
    <n v="1"/>
    <n v="6899"/>
    <n v="35"/>
    <n v="4480"/>
    <n v="4480"/>
    <s v="Debit/Credit Card"/>
    <x v="1"/>
    <s v="India"/>
    <x v="12"/>
    <s v="Mayabunder"/>
    <s v="Premium Shopper"/>
    <x v="1"/>
    <n v="3.8"/>
    <s v="Cancelled"/>
    <s v="Express"/>
    <n v="2"/>
  </r>
  <r>
    <s v="ORD200848"/>
    <s v="CUST100106"/>
    <s v="Men"/>
    <s v="18-24"/>
    <x v="1597"/>
    <x v="1"/>
    <x v="10"/>
    <x v="3"/>
    <n v="9"/>
    <s v="Blue"/>
    <n v="1"/>
    <n v="5299"/>
    <n v="20"/>
    <n v="4240"/>
    <n v="4240"/>
    <s v="UPI"/>
    <x v="1"/>
    <s v="India"/>
    <x v="16"/>
    <s v="Rajkot"/>
    <s v="Lifestyle Shopper"/>
    <x v="2"/>
    <n v="4.4000000000000004"/>
    <s v="Delivered"/>
    <s v="Standard"/>
    <n v="6"/>
  </r>
  <r>
    <s v="ORD201759"/>
    <s v="CUST100539"/>
    <s v="Men"/>
    <s v="25-34"/>
    <x v="1597"/>
    <x v="2"/>
    <x v="32"/>
    <x v="1"/>
    <n v="6"/>
    <s v="Blue"/>
    <n v="1"/>
    <n v="3099"/>
    <n v="20"/>
    <n v="2480"/>
    <n v="2480"/>
    <s v="Net Banking"/>
    <x v="1"/>
    <s v="India"/>
    <x v="8"/>
    <s v="Karimnagar"/>
    <s v="Performance Seeker"/>
    <x v="1"/>
    <n v="3.9"/>
    <s v="Delivered"/>
    <s v="Express"/>
    <n v="2"/>
  </r>
  <r>
    <s v="ORD201470"/>
    <s v="CUST100977"/>
    <s v="Unisex"/>
    <s v="35-44"/>
    <x v="1598"/>
    <x v="1"/>
    <x v="12"/>
    <x v="4"/>
    <n v="8"/>
    <s v="Green"/>
    <n v="2"/>
    <n v="8299"/>
    <n v="25"/>
    <n v="6220"/>
    <n v="12440"/>
    <s v="UPI"/>
    <x v="1"/>
    <s v="India"/>
    <x v="6"/>
    <s v="Noida"/>
    <s v="Value Shopper"/>
    <x v="1"/>
    <n v="3.2"/>
    <s v="Delivered"/>
    <s v="Standard"/>
    <n v="3"/>
  </r>
  <r>
    <s v="ORD201578"/>
    <s v="CUST100424"/>
    <s v="Women"/>
    <s v="35-44"/>
    <x v="1598"/>
    <x v="3"/>
    <x v="28"/>
    <x v="1"/>
    <n v="8"/>
    <s v="Black"/>
    <n v="1"/>
    <n v="6499"/>
    <n v="15"/>
    <n v="5520"/>
    <n v="5520"/>
    <s v="UPI"/>
    <x v="0"/>
    <s v="India"/>
    <x v="25"/>
    <s v="Anantnag"/>
    <s v="Comfort Shopper"/>
    <x v="2"/>
    <n v="4.2"/>
    <s v="Returned"/>
    <s v="Standard"/>
    <n v="4"/>
  </r>
  <r>
    <s v="ORD200076"/>
    <s v="CUST100608"/>
    <s v="Women"/>
    <s v="35-44"/>
    <x v="1599"/>
    <x v="0"/>
    <x v="2"/>
    <x v="2"/>
    <n v="11"/>
    <s v="Grey"/>
    <n v="1"/>
    <n v="6499"/>
    <n v="5"/>
    <n v="6170"/>
    <n v="6170"/>
    <s v="Debit/Credit Card"/>
    <x v="0"/>
    <s v="India"/>
    <x v="16"/>
    <s v="Vadodara"/>
    <s v="Performance Seeker"/>
    <x v="1"/>
    <n v="3.7"/>
    <s v="Cancelled"/>
    <s v="Standard"/>
    <n v="4"/>
  </r>
  <r>
    <s v="ORD200595"/>
    <s v="CUST100326"/>
    <s v="Women"/>
    <s v="35-44"/>
    <x v="1600"/>
    <x v="1"/>
    <x v="12"/>
    <x v="4"/>
    <n v="11"/>
    <s v="Black"/>
    <n v="1"/>
    <n v="9199"/>
    <n v="25"/>
    <n v="6900"/>
    <n v="6900"/>
    <s v="UPI"/>
    <x v="1"/>
    <s v="India"/>
    <x v="16"/>
    <s v="Surat"/>
    <s v="Premium Shopper"/>
    <x v="2"/>
    <n v="3.9"/>
    <s v="Returned"/>
    <s v="Express"/>
    <n v="2"/>
  </r>
  <r>
    <s v="ORD200686"/>
    <s v="CUST100102"/>
    <s v="Men"/>
    <s v="18-24"/>
    <x v="1600"/>
    <x v="2"/>
    <x v="25"/>
    <x v="3"/>
    <n v="10"/>
    <s v="Black"/>
    <n v="1"/>
    <n v="4199"/>
    <n v="5"/>
    <n v="3990"/>
    <n v="3990"/>
    <s v="Debit/Credit Card"/>
    <x v="1"/>
    <s v="India"/>
    <x v="13"/>
    <s v="Tawang"/>
    <s v="Premium Shopper"/>
    <x v="2"/>
    <n v="3.7"/>
    <s v="Delivered"/>
    <s v="Standard"/>
    <n v="2"/>
  </r>
  <r>
    <s v="ORD201229"/>
    <s v="CUST100068"/>
    <s v="Women"/>
    <s v="45-54"/>
    <x v="1600"/>
    <x v="0"/>
    <x v="2"/>
    <x v="2"/>
    <n v="10"/>
    <s v="Blue"/>
    <n v="3"/>
    <n v="6299"/>
    <n v="30"/>
    <n v="4410"/>
    <n v="13230"/>
    <s v="Debit/Credit Card"/>
    <x v="2"/>
    <s v="India"/>
    <x v="35"/>
    <s v="Kolasib"/>
    <s v="Premium Shopper"/>
    <x v="1"/>
    <n v="4.0999999999999996"/>
    <s v="Delivered"/>
    <s v="Express"/>
    <n v="2"/>
  </r>
  <r>
    <s v="ORD202974"/>
    <s v="CUST100399"/>
    <s v="Women"/>
    <s v="25-34"/>
    <x v="1600"/>
    <x v="3"/>
    <x v="11"/>
    <x v="4"/>
    <n v="9"/>
    <s v="Black"/>
    <n v="2"/>
    <n v="6499"/>
    <n v="0"/>
    <n v="6500"/>
    <n v="13000"/>
    <s v="Debit/Credit Card"/>
    <x v="1"/>
    <s v="India"/>
    <x v="23"/>
    <s v="Rishikesh"/>
    <s v="Performance Seeker"/>
    <x v="2"/>
    <n v="3.3"/>
    <s v="Delivered"/>
    <s v="Express"/>
    <n v="1"/>
  </r>
  <r>
    <s v="ORD200999"/>
    <s v="CUST100181"/>
    <s v="Unisex"/>
    <s v="45-54"/>
    <x v="1601"/>
    <x v="5"/>
    <x v="15"/>
    <x v="4"/>
    <n v="6"/>
    <s v="Black"/>
    <n v="2"/>
    <n v="8699"/>
    <n v="15"/>
    <n v="7390"/>
    <n v="14780"/>
    <s v="UPI"/>
    <x v="1"/>
    <s v="India"/>
    <x v="34"/>
    <s v="Asansol"/>
    <s v="Lifestyle Shopper"/>
    <x v="1"/>
    <n v="4.2"/>
    <s v="Delivered"/>
    <s v="Standard"/>
    <n v="7"/>
  </r>
  <r>
    <s v="ORD201855"/>
    <s v="CUST101022"/>
    <s v="Women"/>
    <s v="35-44"/>
    <x v="1602"/>
    <x v="0"/>
    <x v="8"/>
    <x v="3"/>
    <n v="10"/>
    <s v="Blue"/>
    <n v="1"/>
    <n v="5299"/>
    <n v="10"/>
    <n v="4770"/>
    <n v="4770"/>
    <s v="Debit/Credit Card"/>
    <x v="1"/>
    <s v="India"/>
    <x v="33"/>
    <s v="Pune"/>
    <s v="Performance Seeker"/>
    <x v="0"/>
    <n v="4.0999999999999996"/>
    <s v="Delivered"/>
    <s v="Standard"/>
    <n v="4"/>
  </r>
  <r>
    <s v="ORD202418"/>
    <s v="CUST100339"/>
    <s v="Women"/>
    <s v="45-54"/>
    <x v="1603"/>
    <x v="5"/>
    <x v="21"/>
    <x v="2"/>
    <n v="10"/>
    <s v="Grey"/>
    <n v="2"/>
    <n v="8899"/>
    <n v="0"/>
    <n v="8900"/>
    <n v="17800"/>
    <s v="UPI"/>
    <x v="0"/>
    <s v="India"/>
    <x v="20"/>
    <s v="Mandi"/>
    <s v="Lifestyle Shopper"/>
    <x v="2"/>
    <n v="3.8"/>
    <s v="Delivered"/>
    <s v="Standard"/>
    <n v="3"/>
  </r>
  <r>
    <s v="ORD203002"/>
    <s v="CUST100792"/>
    <s v="Unisex"/>
    <s v="25-34"/>
    <x v="1603"/>
    <x v="1"/>
    <x v="1"/>
    <x v="1"/>
    <n v="10"/>
    <s v="Green"/>
    <n v="1"/>
    <n v="7999"/>
    <n v="10"/>
    <n v="7200"/>
    <n v="7200"/>
    <s v="UPI"/>
    <x v="1"/>
    <s v="India"/>
    <x v="32"/>
    <s v="Jamshedpur"/>
    <s v="Performance Seeker"/>
    <x v="2"/>
    <n v="5"/>
    <s v="Delivered"/>
    <s v="Standard"/>
    <n v="3"/>
  </r>
  <r>
    <s v="ORD200758"/>
    <s v="CUST100473"/>
    <s v="Women"/>
    <s v="35-44"/>
    <x v="1604"/>
    <x v="4"/>
    <x v="6"/>
    <x v="2"/>
    <n v="9"/>
    <s v="Black"/>
    <n v="2"/>
    <n v="4899"/>
    <n v="10"/>
    <n v="4410"/>
    <n v="8820"/>
    <s v="UPI"/>
    <x v="0"/>
    <s v="India"/>
    <x v="33"/>
    <s v="Nagpur"/>
    <s v="Lifestyle Shopper"/>
    <x v="1"/>
    <n v="4.4000000000000004"/>
    <s v="Delivered"/>
    <s v="Standard"/>
    <n v="4"/>
  </r>
  <r>
    <s v="ORD201625"/>
    <s v="CUST100239"/>
    <s v="Women"/>
    <s v="18-24"/>
    <x v="1604"/>
    <x v="4"/>
    <x v="26"/>
    <x v="3"/>
    <n v="9"/>
    <s v="Red"/>
    <n v="2"/>
    <n v="8099"/>
    <n v="5"/>
    <n v="7690"/>
    <n v="15380"/>
    <s v="UPI"/>
    <x v="2"/>
    <s v="India"/>
    <x v="0"/>
    <s v="Silchar"/>
    <s v="Premium Shopper"/>
    <x v="2"/>
    <n v="4.8"/>
    <s v="Delivered"/>
    <s v="Standard"/>
    <n v="5"/>
  </r>
  <r>
    <s v="ORD201809"/>
    <s v="CUST100659"/>
    <s v="Men"/>
    <s v="45-54"/>
    <x v="1604"/>
    <x v="0"/>
    <x v="31"/>
    <x v="1"/>
    <n v="8"/>
    <s v="Black"/>
    <n v="2"/>
    <n v="3799"/>
    <n v="30"/>
    <n v="2660"/>
    <n v="5320"/>
    <s v="UPI"/>
    <x v="1"/>
    <s v="India"/>
    <x v="23"/>
    <s v="Haridwar"/>
    <s v="Value Shopper"/>
    <x v="1"/>
    <n v="4.2"/>
    <s v="Delivered"/>
    <s v="Standard"/>
    <n v="6"/>
  </r>
  <r>
    <s v="ORD202534"/>
    <s v="CUST100353"/>
    <s v="Men"/>
    <s v="18-24"/>
    <x v="1605"/>
    <x v="4"/>
    <x v="22"/>
    <x v="0"/>
    <n v="11"/>
    <s v="Blue"/>
    <n v="2"/>
    <n v="6199"/>
    <n v="15"/>
    <n v="5270"/>
    <n v="10540"/>
    <s v="Net Banking"/>
    <x v="0"/>
    <s v="India"/>
    <x v="28"/>
    <s v="Diskit"/>
    <s v="Value Shopper"/>
    <x v="2"/>
    <n v="4.5999999999999996"/>
    <s v="Delivered"/>
    <s v="Standard"/>
    <n v="4"/>
  </r>
  <r>
    <s v="ORD201984"/>
    <s v="CUST100546"/>
    <s v="Men"/>
    <s v="45-54"/>
    <x v="1606"/>
    <x v="0"/>
    <x v="31"/>
    <x v="1"/>
    <n v="9"/>
    <s v="White"/>
    <n v="1"/>
    <n v="7099"/>
    <n v="30"/>
    <n v="4970"/>
    <n v="4970"/>
    <s v="UPI"/>
    <x v="1"/>
    <s v="India"/>
    <x v="1"/>
    <s v="Mapusa"/>
    <s v="Performance Seeker"/>
    <x v="2"/>
    <n v="4.5999999999999996"/>
    <s v="Cancelled"/>
    <s v="Same Day"/>
    <n v="1"/>
  </r>
  <r>
    <s v="ORD201688"/>
    <s v="CUST100271"/>
    <s v="Women"/>
    <s v="45-54"/>
    <x v="1607"/>
    <x v="4"/>
    <x v="6"/>
    <x v="2"/>
    <n v="10"/>
    <s v="Grey"/>
    <n v="1"/>
    <n v="8499"/>
    <n v="20"/>
    <n v="6800"/>
    <n v="6800"/>
    <s v="UPI"/>
    <x v="0"/>
    <s v="India"/>
    <x v="31"/>
    <s v="Coimbatore"/>
    <s v="Comfort Shopper"/>
    <x v="1"/>
    <n v="4.5"/>
    <s v="Cancelled"/>
    <s v="Standard"/>
    <n v="2"/>
  </r>
  <r>
    <s v="ORD201259"/>
    <s v="CUST100953"/>
    <s v="Men"/>
    <s v="45-54"/>
    <x v="1608"/>
    <x v="1"/>
    <x v="20"/>
    <x v="2"/>
    <n v="8"/>
    <s v="Green"/>
    <n v="1"/>
    <n v="7299"/>
    <n v="20"/>
    <n v="5840"/>
    <n v="5840"/>
    <s v="UPI"/>
    <x v="1"/>
    <s v="India"/>
    <x v="33"/>
    <s v="Nagpur"/>
    <s v="Premium Shopper"/>
    <x v="1"/>
    <n v="3.9"/>
    <s v="Delivered"/>
    <s v="Standard"/>
    <n v="2"/>
  </r>
  <r>
    <s v="ORD201960"/>
    <s v="CUST100140"/>
    <s v="Unisex"/>
    <s v="25-34"/>
    <x v="1608"/>
    <x v="2"/>
    <x v="3"/>
    <x v="2"/>
    <n v="11"/>
    <s v="Red"/>
    <n v="1"/>
    <n v="3499"/>
    <n v="25"/>
    <n v="2620"/>
    <n v="2620"/>
    <s v="UPI"/>
    <x v="1"/>
    <s v="India"/>
    <x v="26"/>
    <s v="Thiruvananthapuram"/>
    <s v="Premium Shopper"/>
    <x v="2"/>
    <n v="3.6"/>
    <s v="Delivered"/>
    <s v="Express"/>
    <n v="1"/>
  </r>
  <r>
    <s v="ORD201994"/>
    <s v="CUST100238"/>
    <s v="Unisex"/>
    <s v="25-34"/>
    <x v="1608"/>
    <x v="1"/>
    <x v="33"/>
    <x v="0"/>
    <n v="12"/>
    <s v="Grey"/>
    <n v="1"/>
    <n v="5699"/>
    <n v="30"/>
    <n v="3990"/>
    <n v="3990"/>
    <s v="UPI"/>
    <x v="1"/>
    <s v="India"/>
    <x v="34"/>
    <s v="Durgapur"/>
    <s v="Performance Seeker"/>
    <x v="2"/>
    <n v="4.0999999999999996"/>
    <s v="Delivered"/>
    <s v="Standard"/>
    <n v="6"/>
  </r>
  <r>
    <s v="ORD201966"/>
    <s v="CUST100500"/>
    <s v="Men"/>
    <s v="25-34"/>
    <x v="1609"/>
    <x v="2"/>
    <x v="25"/>
    <x v="3"/>
    <n v="7"/>
    <s v="Black"/>
    <n v="2"/>
    <n v="7299"/>
    <n v="25"/>
    <n v="5470"/>
    <n v="10940"/>
    <s v="UPI"/>
    <x v="0"/>
    <s v="India"/>
    <x v="26"/>
    <s v="Kozhikode"/>
    <s v="Premium Shopper"/>
    <x v="2"/>
    <n v="3.6"/>
    <s v="Cancelled"/>
    <s v="Standard"/>
    <n v="2"/>
  </r>
  <r>
    <s v="ORD200290"/>
    <s v="CUST100012"/>
    <s v="Unisex"/>
    <s v="35-44"/>
    <x v="1610"/>
    <x v="2"/>
    <x v="23"/>
    <x v="0"/>
    <n v="8"/>
    <s v="Black"/>
    <n v="1"/>
    <n v="6399"/>
    <n v="30"/>
    <n v="4480"/>
    <n v="4480"/>
    <s v="UPI"/>
    <x v="2"/>
    <s v="India"/>
    <x v="1"/>
    <s v="Vasco da Gama"/>
    <s v="Lifestyle Shopper"/>
    <x v="2"/>
    <n v="4.7"/>
    <s v="Delivered"/>
    <s v="Standard"/>
    <n v="5"/>
  </r>
  <r>
    <s v="ORD200714"/>
    <s v="CUST100874"/>
    <s v="Men"/>
    <s v="55+"/>
    <x v="1610"/>
    <x v="5"/>
    <x v="14"/>
    <x v="3"/>
    <n v="10"/>
    <s v="White"/>
    <n v="1"/>
    <n v="4799"/>
    <n v="30"/>
    <n v="3360"/>
    <n v="3360"/>
    <s v="UPI"/>
    <x v="0"/>
    <s v="India"/>
    <x v="18"/>
    <s v="Korba"/>
    <s v="Performance Seeker"/>
    <x v="1"/>
    <n v="4"/>
    <s v="Cancelled"/>
    <s v="Standard"/>
    <n v="3"/>
  </r>
  <r>
    <s v="ORD201885"/>
    <s v="CUST100532"/>
    <s v="Men"/>
    <s v="25-34"/>
    <x v="1610"/>
    <x v="3"/>
    <x v="5"/>
    <x v="2"/>
    <n v="6"/>
    <s v="Blue"/>
    <n v="1"/>
    <n v="6999"/>
    <n v="35"/>
    <n v="4550"/>
    <n v="4550"/>
    <s v="UPI"/>
    <x v="1"/>
    <s v="India"/>
    <x v="16"/>
    <s v="Vadodara"/>
    <s v="Comfort Shopper"/>
    <x v="1"/>
    <n v="4.3"/>
    <s v="Delivered"/>
    <s v="Standard"/>
    <n v="4"/>
  </r>
  <r>
    <s v="ORD202717"/>
    <s v="CUST100331"/>
    <s v="Men"/>
    <s v="35-44"/>
    <x v="1610"/>
    <x v="2"/>
    <x v="23"/>
    <x v="0"/>
    <n v="8"/>
    <s v="White"/>
    <n v="1"/>
    <n v="5499"/>
    <n v="25"/>
    <n v="4120"/>
    <n v="4120"/>
    <s v="UPI"/>
    <x v="1"/>
    <s v="India"/>
    <x v="33"/>
    <s v="Mumbai"/>
    <s v="Value Shopper"/>
    <x v="2"/>
    <n v="4.5999999999999996"/>
    <s v="Cancelled"/>
    <s v="Standard"/>
    <n v="3"/>
  </r>
  <r>
    <s v="ORD203093"/>
    <s v="CUST100844"/>
    <s v="Men"/>
    <s v="55+"/>
    <x v="1611"/>
    <x v="0"/>
    <x v="2"/>
    <x v="2"/>
    <n v="8"/>
    <s v="Black"/>
    <n v="2"/>
    <n v="5099"/>
    <n v="5"/>
    <n v="4840"/>
    <n v="9680"/>
    <s v="UPI"/>
    <x v="1"/>
    <s v="India"/>
    <x v="8"/>
    <s v="Karimnagar"/>
    <s v="Comfort Shopper"/>
    <x v="2"/>
    <n v="5"/>
    <s v="Delivered"/>
    <s v="Express"/>
    <n v="3"/>
  </r>
  <r>
    <s v="ORD202203"/>
    <s v="CUST100556"/>
    <s v="Women"/>
    <s v="45-54"/>
    <x v="1612"/>
    <x v="5"/>
    <x v="30"/>
    <x v="2"/>
    <n v="11"/>
    <s v="Green"/>
    <n v="1"/>
    <n v="6599"/>
    <n v="10"/>
    <n v="5940"/>
    <n v="5940"/>
    <s v="Debit/Credit Card"/>
    <x v="1"/>
    <s v="India"/>
    <x v="17"/>
    <s v="Puducherry"/>
    <s v="Comfort Shopper"/>
    <x v="2"/>
    <n v="3.9"/>
    <s v="Returned"/>
    <s v="Standard"/>
    <n v="5"/>
  </r>
  <r>
    <s v="ORD202218"/>
    <s v="CUST100691"/>
    <s v="Women"/>
    <s v="25-34"/>
    <x v="1612"/>
    <x v="4"/>
    <x v="29"/>
    <x v="2"/>
    <n v="6"/>
    <s v="Blue"/>
    <n v="2"/>
    <n v="9099"/>
    <n v="10"/>
    <n v="8190"/>
    <n v="16380"/>
    <s v="UPI"/>
    <x v="2"/>
    <s v="India"/>
    <x v="32"/>
    <s v="Jamshedpur"/>
    <s v="Comfort Shopper"/>
    <x v="1"/>
    <n v="3.6"/>
    <s v="Delivered"/>
    <s v="Standard"/>
    <n v="4"/>
  </r>
  <r>
    <s v="ORD203145"/>
    <s v="CUST100466"/>
    <s v="Men"/>
    <s v="55+"/>
    <x v="1612"/>
    <x v="3"/>
    <x v="35"/>
    <x v="2"/>
    <n v="6"/>
    <s v="Grey"/>
    <n v="1"/>
    <n v="8999"/>
    <n v="0"/>
    <n v="9000"/>
    <n v="9000"/>
    <s v="UPI"/>
    <x v="0"/>
    <s v="India"/>
    <x v="34"/>
    <s v="Asansol"/>
    <s v="Performance Seeker"/>
    <x v="1"/>
    <n v="4.3"/>
    <s v="Delivered"/>
    <s v="Standard"/>
    <n v="7"/>
  </r>
  <r>
    <s v="ORD200268"/>
    <s v="CUST100617"/>
    <s v="Women"/>
    <s v="25-34"/>
    <x v="1613"/>
    <x v="2"/>
    <x v="25"/>
    <x v="3"/>
    <n v="8"/>
    <s v="Black"/>
    <n v="1"/>
    <n v="8299"/>
    <n v="10"/>
    <n v="7470"/>
    <n v="7470"/>
    <s v="UPI"/>
    <x v="2"/>
    <s v="India"/>
    <x v="7"/>
    <s v="Bhopal"/>
    <s v="Comfort Shopper"/>
    <x v="1"/>
    <n v="3.8"/>
    <s v="Delivered"/>
    <s v="Standard"/>
    <n v="7"/>
  </r>
  <r>
    <s v="ORD200424"/>
    <s v="CUST100729"/>
    <s v="Men"/>
    <s v="18-24"/>
    <x v="1613"/>
    <x v="5"/>
    <x v="30"/>
    <x v="2"/>
    <n v="9"/>
    <s v="Blue"/>
    <n v="1"/>
    <n v="6199"/>
    <n v="25"/>
    <n v="4650"/>
    <n v="4650"/>
    <s v="UPI"/>
    <x v="0"/>
    <s v="India"/>
    <x v="27"/>
    <s v="Berhampur"/>
    <s v="Lifestyle Shopper"/>
    <x v="0"/>
    <n v="4.3"/>
    <s v="Returned"/>
    <s v="Express"/>
    <n v="2"/>
  </r>
  <r>
    <s v="ORD203030"/>
    <s v="CUST100558"/>
    <s v="Men"/>
    <s v="35-44"/>
    <x v="1613"/>
    <x v="2"/>
    <x v="3"/>
    <x v="2"/>
    <n v="6"/>
    <s v="Green"/>
    <n v="1"/>
    <n v="7199"/>
    <n v="30"/>
    <n v="5040"/>
    <n v="5040"/>
    <s v="UPI"/>
    <x v="1"/>
    <s v="India"/>
    <x v="14"/>
    <s v="Jalandhar"/>
    <s v="Performance Seeker"/>
    <x v="1"/>
    <n v="4.2"/>
    <s v="Returned"/>
    <s v="Standard"/>
    <n v="2"/>
  </r>
  <r>
    <s v="ORD201964"/>
    <s v="CUST100374"/>
    <s v="Women"/>
    <s v="25-34"/>
    <x v="1614"/>
    <x v="4"/>
    <x v="9"/>
    <x v="1"/>
    <n v="11"/>
    <s v="Red"/>
    <n v="1"/>
    <n v="7699"/>
    <n v="10"/>
    <n v="6930"/>
    <n v="6930"/>
    <s v="UPI"/>
    <x v="1"/>
    <s v="India"/>
    <x v="19"/>
    <s v="Nongpoh"/>
    <s v="Performance Seeker"/>
    <x v="1"/>
    <n v="5"/>
    <s v="Cancelled"/>
    <s v="Standard"/>
    <n v="4"/>
  </r>
  <r>
    <s v="ORD203104"/>
    <s v="CUST100964"/>
    <s v="Women"/>
    <s v="45-54"/>
    <x v="1614"/>
    <x v="4"/>
    <x v="29"/>
    <x v="2"/>
    <n v="9"/>
    <s v="Black"/>
    <n v="2"/>
    <n v="5799"/>
    <n v="25"/>
    <n v="4350"/>
    <n v="8700"/>
    <s v="Debit/Credit Card"/>
    <x v="2"/>
    <s v="India"/>
    <x v="34"/>
    <s v="Asansol"/>
    <s v="Premium Shopper"/>
    <x v="2"/>
    <n v="3.6"/>
    <s v="Delivered"/>
    <s v="Standard"/>
    <n v="4"/>
  </r>
  <r>
    <s v="ORD200270"/>
    <s v="CUST100613"/>
    <s v="Unisex"/>
    <s v="35-44"/>
    <x v="1615"/>
    <x v="3"/>
    <x v="16"/>
    <x v="0"/>
    <n v="10"/>
    <s v="White"/>
    <n v="1"/>
    <n v="4599"/>
    <n v="20"/>
    <n v="3680"/>
    <n v="3680"/>
    <s v="UPI"/>
    <x v="1"/>
    <s v="India"/>
    <x v="18"/>
    <s v="Bhilai"/>
    <s v="Performance Seeker"/>
    <x v="1"/>
    <n v="4.8"/>
    <s v="Returned"/>
    <s v="Standard"/>
    <n v="5"/>
  </r>
  <r>
    <s v="ORD202214"/>
    <s v="CUST100446"/>
    <s v="Men"/>
    <s v="25-34"/>
    <x v="1616"/>
    <x v="4"/>
    <x v="29"/>
    <x v="2"/>
    <n v="8"/>
    <s v="White"/>
    <n v="1"/>
    <n v="7699"/>
    <n v="25"/>
    <n v="5770"/>
    <n v="5770"/>
    <s v="UPI"/>
    <x v="2"/>
    <s v="India"/>
    <x v="30"/>
    <s v="Daria"/>
    <s v="Value Shopper"/>
    <x v="1"/>
    <n v="4.4000000000000004"/>
    <s v="Delivered"/>
    <s v="Standard"/>
    <n v="3"/>
  </r>
  <r>
    <s v="ORD200321"/>
    <s v="CUST100149"/>
    <s v="Women"/>
    <s v="45-54"/>
    <x v="1617"/>
    <x v="0"/>
    <x v="13"/>
    <x v="2"/>
    <n v="11"/>
    <s v="Blue"/>
    <n v="1"/>
    <n v="9199"/>
    <n v="15"/>
    <n v="7820"/>
    <n v="7820"/>
    <s v="UPI"/>
    <x v="1"/>
    <s v="India"/>
    <x v="3"/>
    <s v="Jaipur"/>
    <s v="Performance Seeker"/>
    <x v="2"/>
    <n v="4.2"/>
    <s v="Delivered"/>
    <s v="Same Day"/>
    <n v="1"/>
  </r>
  <r>
    <s v="ORD200090"/>
    <s v="CUST100751"/>
    <s v="Men"/>
    <s v="18-24"/>
    <x v="1618"/>
    <x v="5"/>
    <x v="27"/>
    <x v="0"/>
    <n v="8"/>
    <s v="Blue"/>
    <n v="3"/>
    <n v="4699"/>
    <n v="0"/>
    <n v="4700"/>
    <n v="14100"/>
    <s v="Net Banking"/>
    <x v="0"/>
    <s v="India"/>
    <x v="19"/>
    <s v="Jowai"/>
    <s v="Premium Shopper"/>
    <x v="2"/>
    <n v="5"/>
    <s v="Delivered"/>
    <s v="Standard"/>
    <n v="1"/>
  </r>
  <r>
    <s v="ORD203032"/>
    <s v="CUST100811"/>
    <s v="Women"/>
    <s v="25-34"/>
    <x v="1618"/>
    <x v="1"/>
    <x v="18"/>
    <x v="2"/>
    <n v="9"/>
    <s v="Grey"/>
    <n v="2"/>
    <n v="9499"/>
    <n v="25"/>
    <n v="7120"/>
    <n v="14240"/>
    <s v="UPI"/>
    <x v="1"/>
    <s v="India"/>
    <x v="27"/>
    <s v="Bhubaneswar"/>
    <s v="Performance Seeker"/>
    <x v="1"/>
    <n v="3"/>
    <s v="Delivered"/>
    <s v="Standard"/>
    <n v="3"/>
  </r>
  <r>
    <s v="ORD200202"/>
    <s v="CUST100006"/>
    <s v="Men"/>
    <s v="18-24"/>
    <x v="1619"/>
    <x v="0"/>
    <x v="31"/>
    <x v="1"/>
    <n v="9"/>
    <s v="Red"/>
    <n v="2"/>
    <n v="7699"/>
    <n v="10"/>
    <n v="6930"/>
    <n v="13860"/>
    <s v="UPI"/>
    <x v="1"/>
    <s v="India"/>
    <x v="9"/>
    <s v="Patna"/>
    <s v="Performance Seeker"/>
    <x v="2"/>
    <n v="4.8"/>
    <s v="Delivered"/>
    <s v="Standard"/>
    <n v="2"/>
  </r>
  <r>
    <s v="ORD202342"/>
    <s v="CUST100206"/>
    <s v="Women"/>
    <s v="25-34"/>
    <x v="1620"/>
    <x v="3"/>
    <x v="35"/>
    <x v="2"/>
    <n v="8"/>
    <s v="Red"/>
    <n v="1"/>
    <n v="5499"/>
    <n v="25"/>
    <n v="4120"/>
    <n v="4120"/>
    <s v="UPI"/>
    <x v="2"/>
    <s v="India"/>
    <x v="18"/>
    <s v="Raipur"/>
    <s v="Performance Seeker"/>
    <x v="1"/>
    <n v="4.4000000000000004"/>
    <s v="Cancelled"/>
    <s v="Standard"/>
    <n v="4"/>
  </r>
  <r>
    <s v="ORD202239"/>
    <s v="CUST100151"/>
    <s v="Women"/>
    <s v="35-44"/>
    <x v="1621"/>
    <x v="4"/>
    <x v="9"/>
    <x v="1"/>
    <n v="6"/>
    <s v="Black"/>
    <n v="1"/>
    <n v="7199"/>
    <n v="35"/>
    <n v="4680"/>
    <n v="4680"/>
    <s v="UPI"/>
    <x v="1"/>
    <s v="India"/>
    <x v="21"/>
    <s v="Mokokchung"/>
    <s v="Comfort Shopper"/>
    <x v="1"/>
    <n v="4.4000000000000004"/>
    <s v="Cancelled"/>
    <s v="Standard"/>
    <n v="3"/>
  </r>
  <r>
    <s v="ORD202444"/>
    <s v="CUST100214"/>
    <s v="Women"/>
    <s v="35-44"/>
    <x v="1621"/>
    <x v="1"/>
    <x v="12"/>
    <x v="4"/>
    <n v="9"/>
    <s v="Blue"/>
    <n v="3"/>
    <n v="8799"/>
    <n v="25"/>
    <n v="6600"/>
    <n v="19800"/>
    <s v="Debit/Credit Card"/>
    <x v="1"/>
    <s v="India"/>
    <x v="24"/>
    <s v="Hubballi"/>
    <s v="Lifestyle Shopper"/>
    <x v="2"/>
    <n v="3.4"/>
    <s v="Returned"/>
    <s v="Express"/>
    <n v="1"/>
  </r>
  <r>
    <s v="ORD202389"/>
    <s v="CUST100423"/>
    <s v="Men"/>
    <s v="45-54"/>
    <x v="1622"/>
    <x v="2"/>
    <x v="4"/>
    <x v="2"/>
    <n v="10"/>
    <s v="Grey"/>
    <n v="4"/>
    <n v="3499"/>
    <n v="15"/>
    <n v="2970"/>
    <n v="11880"/>
    <s v="UPI"/>
    <x v="0"/>
    <s v="India"/>
    <x v="7"/>
    <s v="Gwalior"/>
    <s v="Performance Seeker"/>
    <x v="2"/>
    <n v="4.2"/>
    <s v="Delivered"/>
    <s v="Standard"/>
    <n v="5"/>
  </r>
  <r>
    <s v="ORD203078"/>
    <s v="CUST100113"/>
    <s v="Unisex"/>
    <s v="45-54"/>
    <x v="1622"/>
    <x v="0"/>
    <x v="19"/>
    <x v="4"/>
    <n v="11"/>
    <s v="Green"/>
    <n v="1"/>
    <n v="7399"/>
    <n v="15"/>
    <n v="6290"/>
    <n v="6290"/>
    <s v="Debit/Credit Card"/>
    <x v="2"/>
    <s v="India"/>
    <x v="26"/>
    <s v="Kozhikode"/>
    <s v="Premium Shopper"/>
    <x v="1"/>
    <n v="4.3"/>
    <s v="Delivered"/>
    <s v="Standard"/>
    <n v="3"/>
  </r>
  <r>
    <s v="ORD201320"/>
    <s v="CUST100369"/>
    <s v="Women"/>
    <s v="18-24"/>
    <x v="1623"/>
    <x v="2"/>
    <x v="24"/>
    <x v="4"/>
    <n v="8"/>
    <s v="Green"/>
    <n v="2"/>
    <n v="3299"/>
    <n v="10"/>
    <n v="2970"/>
    <n v="5940"/>
    <s v="UPI"/>
    <x v="0"/>
    <s v="India"/>
    <x v="9"/>
    <s v="Patna"/>
    <s v="Lifestyle Shopper"/>
    <x v="2"/>
    <n v="4.8"/>
    <s v="Delivered"/>
    <s v="Standard"/>
    <n v="5"/>
  </r>
  <r>
    <s v="ORD202062"/>
    <s v="CUST100631"/>
    <s v="Men"/>
    <s v="55+"/>
    <x v="1623"/>
    <x v="2"/>
    <x v="3"/>
    <x v="2"/>
    <n v="9"/>
    <s v="Blue"/>
    <n v="1"/>
    <n v="4899"/>
    <n v="10"/>
    <n v="4410"/>
    <n v="4410"/>
    <s v="UPI"/>
    <x v="1"/>
    <s v="India"/>
    <x v="20"/>
    <s v="Mandi"/>
    <s v="Lifestyle Shopper"/>
    <x v="2"/>
    <n v="4.3"/>
    <s v="Delivered"/>
    <s v="Standard"/>
    <n v="4"/>
  </r>
  <r>
    <s v="ORD200512"/>
    <s v="CUST100173"/>
    <s v="Men"/>
    <s v="55+"/>
    <x v="1624"/>
    <x v="0"/>
    <x v="31"/>
    <x v="1"/>
    <n v="11"/>
    <s v="White"/>
    <n v="2"/>
    <n v="4399"/>
    <n v="35"/>
    <n v="2860"/>
    <n v="5720"/>
    <s v="UPI"/>
    <x v="0"/>
    <s v="India"/>
    <x v="30"/>
    <s v="Daria"/>
    <s v="Comfort Shopper"/>
    <x v="2"/>
    <n v="4.3"/>
    <s v="Delivered"/>
    <s v="Express"/>
    <n v="2"/>
  </r>
  <r>
    <s v="ORD201107"/>
    <s v="CUST100383"/>
    <s v="Men"/>
    <s v="25-34"/>
    <x v="1625"/>
    <x v="0"/>
    <x v="2"/>
    <x v="2"/>
    <n v="9"/>
    <s v="Grey"/>
    <n v="1"/>
    <n v="9599"/>
    <n v="0"/>
    <n v="9600"/>
    <n v="9600"/>
    <s v="UPI"/>
    <x v="0"/>
    <s v="India"/>
    <x v="19"/>
    <s v="Tura"/>
    <s v="Value Shopper"/>
    <x v="1"/>
    <n v="3.6"/>
    <s v="Delivered"/>
    <s v="Express"/>
    <n v="4"/>
  </r>
  <r>
    <s v="ORD201021"/>
    <s v="CUST100208"/>
    <s v="Unisex"/>
    <s v="35-44"/>
    <x v="1626"/>
    <x v="5"/>
    <x v="14"/>
    <x v="3"/>
    <n v="10"/>
    <s v="Red"/>
    <n v="1"/>
    <n v="9699"/>
    <n v="20"/>
    <n v="7760"/>
    <n v="7760"/>
    <s v="UPI"/>
    <x v="1"/>
    <s v="India"/>
    <x v="19"/>
    <s v="Nongpoh"/>
    <s v="Performance Seeker"/>
    <x v="2"/>
    <n v="4.3"/>
    <s v="Delivered"/>
    <s v="Same Day"/>
    <n v="1"/>
  </r>
  <r>
    <s v="ORD202110"/>
    <s v="CUST100948"/>
    <s v="Women"/>
    <s v="18-24"/>
    <x v="1626"/>
    <x v="0"/>
    <x v="0"/>
    <x v="0"/>
    <n v="10"/>
    <s v="Black"/>
    <n v="1"/>
    <n v="9499"/>
    <n v="15"/>
    <n v="8070"/>
    <n v="8070"/>
    <s v="Debit/Credit Card"/>
    <x v="2"/>
    <s v="India"/>
    <x v="0"/>
    <s v="Guwahati"/>
    <s v="Value Shopper"/>
    <x v="1"/>
    <n v="4.5999999999999996"/>
    <s v="Delivered"/>
    <s v="Express"/>
    <n v="3"/>
  </r>
  <r>
    <s v="ORD202904"/>
    <s v="CUST100011"/>
    <s v="Women"/>
    <s v="18-24"/>
    <x v="1627"/>
    <x v="0"/>
    <x v="19"/>
    <x v="4"/>
    <n v="9"/>
    <s v="Blue"/>
    <n v="1"/>
    <n v="7399"/>
    <n v="20"/>
    <n v="5920"/>
    <n v="5920"/>
    <s v="UPI"/>
    <x v="2"/>
    <s v="India"/>
    <x v="15"/>
    <s v="Dwarka"/>
    <s v="Performance Seeker"/>
    <x v="2"/>
    <n v="3.7"/>
    <s v="Delivered"/>
    <s v="Standard"/>
    <n v="4"/>
  </r>
  <r>
    <s v="ORD202994"/>
    <s v="CUST100136"/>
    <s v="Men"/>
    <s v="25-34"/>
    <x v="1627"/>
    <x v="4"/>
    <x v="6"/>
    <x v="2"/>
    <n v="7"/>
    <s v="Red"/>
    <n v="2"/>
    <n v="9899"/>
    <n v="30"/>
    <n v="6930"/>
    <n v="13860"/>
    <s v="UPI"/>
    <x v="1"/>
    <s v="India"/>
    <x v="0"/>
    <s v="Silchar"/>
    <s v="Performance Seeker"/>
    <x v="2"/>
    <n v="4.8"/>
    <s v="Delivered"/>
    <s v="Express"/>
    <n v="1"/>
  </r>
  <r>
    <s v="ORD200754"/>
    <s v="CUST100302"/>
    <s v="Men"/>
    <s v="55+"/>
    <x v="1628"/>
    <x v="0"/>
    <x v="13"/>
    <x v="2"/>
    <n v="8"/>
    <s v="Green"/>
    <n v="2"/>
    <n v="6199"/>
    <n v="25"/>
    <n v="4650"/>
    <n v="9300"/>
    <s v="UPI"/>
    <x v="1"/>
    <s v="India"/>
    <x v="7"/>
    <s v="Jabalpur"/>
    <s v="Value Shopper"/>
    <x v="1"/>
    <n v="3.9"/>
    <s v="Cancelled"/>
    <s v="Express"/>
    <n v="3"/>
  </r>
  <r>
    <s v="ORD200849"/>
    <s v="CUST100917"/>
    <s v="Men"/>
    <s v="25-34"/>
    <x v="1628"/>
    <x v="3"/>
    <x v="16"/>
    <x v="0"/>
    <n v="7"/>
    <s v="Red"/>
    <n v="1"/>
    <n v="4999"/>
    <n v="20"/>
    <n v="4000"/>
    <n v="4000"/>
    <s v="UPI"/>
    <x v="1"/>
    <s v="India"/>
    <x v="25"/>
    <s v="Jammu"/>
    <s v="Value Shopper"/>
    <x v="2"/>
    <n v="4.7"/>
    <s v="Delivered"/>
    <s v="Same Day"/>
    <n v="2"/>
  </r>
  <r>
    <s v="ORD201254"/>
    <s v="CUST100068"/>
    <s v="Unisex"/>
    <s v="25-34"/>
    <x v="1628"/>
    <x v="4"/>
    <x v="22"/>
    <x v="0"/>
    <n v="10"/>
    <s v="White"/>
    <n v="1"/>
    <n v="7099"/>
    <n v="10"/>
    <n v="6390"/>
    <n v="6390"/>
    <s v="UPI"/>
    <x v="1"/>
    <s v="India"/>
    <x v="24"/>
    <s v="Hubballi"/>
    <s v="Comfort Shopper"/>
    <x v="2"/>
    <n v="4.8"/>
    <s v="Delivered"/>
    <s v="Same Day"/>
    <n v="1"/>
  </r>
  <r>
    <s v="ORD201850"/>
    <s v="CUST100253"/>
    <s v="Men"/>
    <s v="18-24"/>
    <x v="1628"/>
    <x v="3"/>
    <x v="35"/>
    <x v="2"/>
    <n v="6"/>
    <s v="Red"/>
    <n v="1"/>
    <n v="6999"/>
    <n v="15"/>
    <n v="5950"/>
    <n v="5950"/>
    <s v="UPI"/>
    <x v="1"/>
    <s v="India"/>
    <x v="8"/>
    <s v="Warangal"/>
    <s v="Value Shopper"/>
    <x v="2"/>
    <n v="4.4000000000000004"/>
    <s v="Delivered"/>
    <s v="Express"/>
    <n v="3"/>
  </r>
  <r>
    <s v="ORD201455"/>
    <s v="CUST100564"/>
    <s v="Men"/>
    <s v="35-44"/>
    <x v="1629"/>
    <x v="4"/>
    <x v="9"/>
    <x v="1"/>
    <n v="9"/>
    <s v="Blue"/>
    <n v="1"/>
    <n v="4299"/>
    <n v="0"/>
    <n v="4300"/>
    <n v="4300"/>
    <s v="UPI"/>
    <x v="1"/>
    <s v="India"/>
    <x v="11"/>
    <s v="Agatti"/>
    <s v="Value Shopper"/>
    <x v="1"/>
    <n v="3.8"/>
    <s v="Delivered"/>
    <s v="Standard"/>
    <n v="5"/>
  </r>
  <r>
    <s v="ORD201691"/>
    <s v="CUST100847"/>
    <s v="Men"/>
    <s v="18-24"/>
    <x v="1630"/>
    <x v="3"/>
    <x v="11"/>
    <x v="4"/>
    <n v="8"/>
    <s v="Green"/>
    <n v="1"/>
    <n v="4299"/>
    <n v="15"/>
    <n v="3650"/>
    <n v="3650"/>
    <s v="Debit/Credit Card"/>
    <x v="1"/>
    <s v="India"/>
    <x v="17"/>
    <s v="Karaikal"/>
    <s v="Performance Seeker"/>
    <x v="0"/>
    <n v="3.4"/>
    <s v="Cancelled"/>
    <s v="Standard"/>
    <n v="4"/>
  </r>
  <r>
    <s v="ORD200771"/>
    <s v="CUST100172"/>
    <s v="Men"/>
    <s v="55+"/>
    <x v="1631"/>
    <x v="5"/>
    <x v="21"/>
    <x v="2"/>
    <n v="10"/>
    <s v="Black"/>
    <n v="1"/>
    <n v="5399"/>
    <n v="15"/>
    <n v="4590"/>
    <n v="4590"/>
    <s v="Debit/Credit Card"/>
    <x v="2"/>
    <s v="India"/>
    <x v="19"/>
    <s v="Jowai"/>
    <s v="Comfort Shopper"/>
    <x v="2"/>
    <n v="4.2"/>
    <s v="Cancelled"/>
    <s v="Standard"/>
    <n v="3"/>
  </r>
  <r>
    <s v="ORD201197"/>
    <s v="CUST100310"/>
    <s v="Men"/>
    <s v="18-24"/>
    <x v="1632"/>
    <x v="3"/>
    <x v="34"/>
    <x v="3"/>
    <n v="11"/>
    <s v="Black"/>
    <n v="1"/>
    <n v="6199"/>
    <n v="20"/>
    <n v="4960"/>
    <n v="4960"/>
    <s v="UPI"/>
    <x v="0"/>
    <s v="India"/>
    <x v="10"/>
    <s v="Silvassa"/>
    <s v="Value Shopper"/>
    <x v="1"/>
    <n v="4.5"/>
    <s v="Returned"/>
    <s v="Same Day"/>
    <n v="1"/>
  </r>
  <r>
    <s v="ORD201919"/>
    <s v="CUST100192"/>
    <s v="Men"/>
    <s v="45-54"/>
    <x v="1633"/>
    <x v="0"/>
    <x v="13"/>
    <x v="2"/>
    <n v="10"/>
    <s v="Blue"/>
    <n v="1"/>
    <n v="9099"/>
    <n v="20"/>
    <n v="7280"/>
    <n v="7280"/>
    <s v="UPI"/>
    <x v="1"/>
    <s v="India"/>
    <x v="26"/>
    <s v="Kochi"/>
    <s v="Comfort Shopper"/>
    <x v="1"/>
    <n v="4.5"/>
    <s v="Delivered"/>
    <s v="Standard"/>
    <n v="7"/>
  </r>
  <r>
    <s v="ORD202265"/>
    <s v="CUST100525"/>
    <s v="Unisex"/>
    <s v="55+"/>
    <x v="1633"/>
    <x v="1"/>
    <x v="12"/>
    <x v="4"/>
    <n v="9"/>
    <s v="White"/>
    <n v="1"/>
    <n v="7799"/>
    <n v="0"/>
    <n v="7800"/>
    <n v="7800"/>
    <s v="UPI"/>
    <x v="1"/>
    <s v="India"/>
    <x v="2"/>
    <s v="Panipat"/>
    <s v="Value Shopper"/>
    <x v="1"/>
    <n v="3.9"/>
    <s v="Delivered"/>
    <s v="Standard"/>
    <n v="4"/>
  </r>
  <r>
    <s v="ORD202770"/>
    <s v="CUST100928"/>
    <s v="Women"/>
    <s v="35-44"/>
    <x v="1634"/>
    <x v="1"/>
    <x v="18"/>
    <x v="2"/>
    <n v="9"/>
    <s v="White"/>
    <n v="1"/>
    <n v="7899"/>
    <n v="10"/>
    <n v="7110"/>
    <n v="7110"/>
    <s v="Debit/Credit Card"/>
    <x v="1"/>
    <s v="India"/>
    <x v="16"/>
    <s v="Surat"/>
    <s v="Value Shopper"/>
    <x v="2"/>
    <n v="2.6"/>
    <s v="Returned"/>
    <s v="Express"/>
    <n v="1"/>
  </r>
  <r>
    <s v="ORD200243"/>
    <s v="CUST100263"/>
    <s v="Men"/>
    <s v="55+"/>
    <x v="1635"/>
    <x v="1"/>
    <x v="20"/>
    <x v="2"/>
    <n v="7"/>
    <s v="Blue"/>
    <n v="1"/>
    <n v="9299"/>
    <n v="10"/>
    <n v="8370"/>
    <n v="8370"/>
    <s v="UPI"/>
    <x v="0"/>
    <s v="India"/>
    <x v="1"/>
    <s v="Mapusa"/>
    <s v="Lifestyle Shopper"/>
    <x v="0"/>
    <n v="4.5999999999999996"/>
    <s v="Delivered"/>
    <s v="Standard"/>
    <n v="3"/>
  </r>
  <r>
    <s v="ORD201767"/>
    <s v="CUST100802"/>
    <s v="Men"/>
    <s v="25-34"/>
    <x v="1636"/>
    <x v="5"/>
    <x v="7"/>
    <x v="1"/>
    <n v="6"/>
    <s v="White"/>
    <n v="1"/>
    <n v="7399"/>
    <n v="15"/>
    <n v="6290"/>
    <n v="6290"/>
    <s v="Debit/Credit Card"/>
    <x v="0"/>
    <s v="India"/>
    <x v="24"/>
    <s v="Hubballi"/>
    <s v="Value Shopper"/>
    <x v="1"/>
    <n v="3.7"/>
    <s v="Returned"/>
    <s v="Express"/>
    <n v="3"/>
  </r>
  <r>
    <s v="ORD201083"/>
    <s v="CUST100821"/>
    <s v="Men"/>
    <s v="55+"/>
    <x v="1637"/>
    <x v="4"/>
    <x v="6"/>
    <x v="2"/>
    <n v="10"/>
    <s v="Grey"/>
    <n v="1"/>
    <n v="4399"/>
    <n v="15"/>
    <n v="3740"/>
    <n v="3740"/>
    <s v="UPI"/>
    <x v="1"/>
    <s v="India"/>
    <x v="30"/>
    <s v="Manimajra"/>
    <s v="Comfort Shopper"/>
    <x v="1"/>
    <n v="5"/>
    <s v="Delivered"/>
    <s v="Same Day"/>
    <n v="1"/>
  </r>
  <r>
    <s v="ORD201516"/>
    <s v="CUST100381"/>
    <s v="Unisex"/>
    <s v="25-34"/>
    <x v="1637"/>
    <x v="4"/>
    <x v="22"/>
    <x v="0"/>
    <n v="6"/>
    <s v="Black"/>
    <n v="1"/>
    <n v="4799"/>
    <n v="20"/>
    <n v="3840"/>
    <n v="3840"/>
    <s v="UPI"/>
    <x v="1"/>
    <s v="India"/>
    <x v="21"/>
    <s v="Dimapur"/>
    <s v="Performance Seeker"/>
    <x v="2"/>
    <n v="4.3"/>
    <s v="Delivered"/>
    <s v="Standard"/>
    <n v="4"/>
  </r>
  <r>
    <s v="ORD201793"/>
    <s v="CUST100342"/>
    <s v="Women"/>
    <s v="25-34"/>
    <x v="1637"/>
    <x v="5"/>
    <x v="14"/>
    <x v="3"/>
    <n v="6"/>
    <s v="Black"/>
    <n v="2"/>
    <n v="4999"/>
    <n v="5"/>
    <n v="4750"/>
    <n v="9500"/>
    <s v="UPI"/>
    <x v="0"/>
    <s v="India"/>
    <x v="21"/>
    <s v="Dimapur"/>
    <s v="Performance Seeker"/>
    <x v="2"/>
    <n v="4.5"/>
    <s v="Delivered"/>
    <s v="Express"/>
    <n v="4"/>
  </r>
  <r>
    <s v="ORD202188"/>
    <s v="CUST100154"/>
    <s v="Women"/>
    <s v="18-24"/>
    <x v="1637"/>
    <x v="3"/>
    <x v="11"/>
    <x v="4"/>
    <n v="8"/>
    <s v="White"/>
    <n v="1"/>
    <n v="6199"/>
    <n v="20"/>
    <n v="4960"/>
    <n v="4960"/>
    <s v="UPI"/>
    <x v="2"/>
    <s v="India"/>
    <x v="9"/>
    <s v="Muzaffarpur"/>
    <s v="Performance Seeker"/>
    <x v="2"/>
    <n v="3.7"/>
    <s v="Returned"/>
    <s v="Standard"/>
    <n v="4"/>
  </r>
  <r>
    <s v="ORD201114"/>
    <s v="CUST100288"/>
    <s v="Women"/>
    <s v="25-34"/>
    <x v="1638"/>
    <x v="2"/>
    <x v="32"/>
    <x v="1"/>
    <n v="7"/>
    <s v="Black"/>
    <n v="2"/>
    <n v="3299"/>
    <n v="5"/>
    <n v="3130"/>
    <n v="6260"/>
    <s v="UPI"/>
    <x v="2"/>
    <s v="India"/>
    <x v="23"/>
    <s v="Haldwani"/>
    <s v="Performance Seeker"/>
    <x v="2"/>
    <n v="5"/>
    <s v="Cancelled"/>
    <s v="Standard"/>
    <n v="6"/>
  </r>
  <r>
    <s v="ORD200223"/>
    <s v="CUST100965"/>
    <s v="Unisex"/>
    <s v="25-34"/>
    <x v="1639"/>
    <x v="4"/>
    <x v="6"/>
    <x v="2"/>
    <n v="6"/>
    <s v="Blue"/>
    <n v="1"/>
    <n v="5899"/>
    <n v="10"/>
    <n v="5310"/>
    <n v="5310"/>
    <s v="UPI"/>
    <x v="0"/>
    <s v="India"/>
    <x v="17"/>
    <s v="Yanam"/>
    <s v="Performance Seeker"/>
    <x v="1"/>
    <n v="3.3"/>
    <s v="Delivered"/>
    <s v="Standard"/>
    <n v="3"/>
  </r>
  <r>
    <s v="ORD201018"/>
    <s v="CUST100978"/>
    <s v="Men"/>
    <s v="25-34"/>
    <x v="1640"/>
    <x v="3"/>
    <x v="5"/>
    <x v="2"/>
    <n v="8"/>
    <s v="White"/>
    <n v="1"/>
    <n v="7499"/>
    <n v="20"/>
    <n v="6000"/>
    <n v="6000"/>
    <s v="UPI"/>
    <x v="1"/>
    <s v="India"/>
    <x v="15"/>
    <s v="Rohini"/>
    <s v="Lifestyle Shopper"/>
    <x v="1"/>
    <n v="4.2"/>
    <s v="Delivered"/>
    <s v="Standard"/>
    <n v="3"/>
  </r>
  <r>
    <s v="ORD202671"/>
    <s v="CUST100068"/>
    <s v="Women"/>
    <s v="35-44"/>
    <x v="1640"/>
    <x v="1"/>
    <x v="33"/>
    <x v="0"/>
    <n v="8"/>
    <s v="Grey"/>
    <n v="2"/>
    <n v="5199"/>
    <n v="5"/>
    <n v="4940"/>
    <n v="9880"/>
    <s v="Debit/Credit Card"/>
    <x v="1"/>
    <s v="India"/>
    <x v="5"/>
    <s v="Imphal"/>
    <s v="Value Shopper"/>
    <x v="2"/>
    <n v="4.0999999999999996"/>
    <s v="Delivered"/>
    <s v="Express"/>
    <n v="2"/>
  </r>
  <r>
    <s v="ORD200185"/>
    <s v="CUST100631"/>
    <s v="Women"/>
    <s v="35-44"/>
    <x v="1641"/>
    <x v="4"/>
    <x v="17"/>
    <x v="4"/>
    <n v="10"/>
    <s v="Blue"/>
    <n v="1"/>
    <n v="8899"/>
    <n v="35"/>
    <n v="5780"/>
    <n v="5780"/>
    <s v="Debit/Credit Card"/>
    <x v="1"/>
    <s v="India"/>
    <x v="23"/>
    <s v="Dehradun"/>
    <s v="Premium Shopper"/>
    <x v="2"/>
    <n v="3.4"/>
    <s v="Delivered"/>
    <s v="Standard"/>
    <n v="4"/>
  </r>
  <r>
    <s v="ORD203107"/>
    <s v="CUST100296"/>
    <s v="Unisex"/>
    <s v="55+"/>
    <x v="1641"/>
    <x v="4"/>
    <x v="9"/>
    <x v="1"/>
    <n v="10"/>
    <s v="Grey"/>
    <n v="1"/>
    <n v="3799"/>
    <n v="20"/>
    <n v="3040"/>
    <n v="3040"/>
    <s v="UPI"/>
    <x v="2"/>
    <s v="India"/>
    <x v="14"/>
    <s v="Amritsar"/>
    <s v="Comfort Shopper"/>
    <x v="0"/>
    <n v="3.4"/>
    <s v="Returned"/>
    <s v="Express"/>
    <n v="4"/>
  </r>
  <r>
    <s v="ORD202336"/>
    <s v="CUST100517"/>
    <s v="Unisex"/>
    <s v="45-54"/>
    <x v="1642"/>
    <x v="4"/>
    <x v="22"/>
    <x v="0"/>
    <n v="9"/>
    <s v="Black"/>
    <n v="1"/>
    <n v="5899"/>
    <n v="15"/>
    <n v="5010"/>
    <n v="5010"/>
    <s v="Debit/Credit Card"/>
    <x v="2"/>
    <s v="India"/>
    <x v="32"/>
    <s v="Jamshedpur"/>
    <s v="Value Shopper"/>
    <x v="2"/>
    <n v="4.3"/>
    <s v="Delivered"/>
    <s v="Express"/>
    <n v="2"/>
  </r>
  <r>
    <s v="ORD202500"/>
    <s v="CUST100095"/>
    <s v="Unisex"/>
    <s v="18-24"/>
    <x v="1642"/>
    <x v="2"/>
    <x v="4"/>
    <x v="2"/>
    <n v="7"/>
    <s v="Blue"/>
    <n v="1"/>
    <n v="8199"/>
    <n v="20"/>
    <n v="6560"/>
    <n v="6560"/>
    <s v="UPI"/>
    <x v="1"/>
    <s v="India"/>
    <x v="26"/>
    <s v="Thiruvananthapuram"/>
    <s v="Comfort Shopper"/>
    <x v="1"/>
    <n v="3.8"/>
    <s v="Returned"/>
    <s v="Standard"/>
    <n v="4"/>
  </r>
  <r>
    <s v="ORD201354"/>
    <s v="CUST100297"/>
    <s v="Women"/>
    <s v="25-34"/>
    <x v="1643"/>
    <x v="5"/>
    <x v="15"/>
    <x v="4"/>
    <n v="8"/>
    <s v="Green"/>
    <n v="1"/>
    <n v="6499"/>
    <n v="10"/>
    <n v="5850"/>
    <n v="5850"/>
    <s v="Debit/Credit Card"/>
    <x v="2"/>
    <s v="India"/>
    <x v="21"/>
    <s v="Mokokchung"/>
    <s v="Value Shopper"/>
    <x v="2"/>
    <n v="3.6"/>
    <s v="Delivered"/>
    <s v="Standard"/>
    <n v="3"/>
  </r>
  <r>
    <s v="ORD200232"/>
    <s v="CUST100304"/>
    <s v="Men"/>
    <s v="18-24"/>
    <x v="1644"/>
    <x v="5"/>
    <x v="7"/>
    <x v="1"/>
    <n v="8"/>
    <s v="Red"/>
    <n v="1"/>
    <n v="9099"/>
    <n v="15"/>
    <n v="7730"/>
    <n v="7730"/>
    <s v="Net Banking"/>
    <x v="2"/>
    <s v="India"/>
    <x v="10"/>
    <s v="Daman"/>
    <s v="Lifestyle Shopper"/>
    <x v="1"/>
    <n v="4.2"/>
    <s v="Cancelled"/>
    <s v="Standard"/>
    <n v="5"/>
  </r>
  <r>
    <s v="ORD200707"/>
    <s v="CUST100001"/>
    <s v="Unisex"/>
    <s v="18-24"/>
    <x v="1644"/>
    <x v="2"/>
    <x v="3"/>
    <x v="2"/>
    <n v="6"/>
    <s v="Blue"/>
    <n v="1"/>
    <n v="4299"/>
    <n v="20"/>
    <n v="3440"/>
    <n v="3440"/>
    <s v="Debit/Credit Card"/>
    <x v="2"/>
    <s v="India"/>
    <x v="1"/>
    <s v="Mapusa"/>
    <s v="Value Shopper"/>
    <x v="2"/>
    <n v="5"/>
    <s v="Delivered"/>
    <s v="Standard"/>
    <n v="3"/>
  </r>
  <r>
    <s v="ORD201310"/>
    <s v="CUST100627"/>
    <s v="Men"/>
    <s v="18-24"/>
    <x v="1645"/>
    <x v="1"/>
    <x v="1"/>
    <x v="1"/>
    <n v="12"/>
    <s v="Grey"/>
    <n v="1"/>
    <n v="4499"/>
    <n v="35"/>
    <n v="2920"/>
    <n v="2920"/>
    <s v="Debit/Credit Card"/>
    <x v="1"/>
    <s v="India"/>
    <x v="1"/>
    <s v="Mapusa"/>
    <s v="Value Shopper"/>
    <x v="2"/>
    <n v="4.8"/>
    <s v="Delivered"/>
    <s v="Standard"/>
    <n v="3"/>
  </r>
  <r>
    <s v="ORD201486"/>
    <s v="CUST100683"/>
    <s v="Men"/>
    <s v="25-34"/>
    <x v="1645"/>
    <x v="1"/>
    <x v="18"/>
    <x v="2"/>
    <n v="6"/>
    <s v="Black"/>
    <n v="1"/>
    <n v="6999"/>
    <n v="15"/>
    <n v="5950"/>
    <n v="5950"/>
    <s v="UPI"/>
    <x v="0"/>
    <s v="India"/>
    <x v="14"/>
    <s v="Ludhiana"/>
    <s v="Premium Shopper"/>
    <x v="1"/>
    <n v="3.1"/>
    <s v="Delivered"/>
    <s v="Standard"/>
    <n v="1"/>
  </r>
  <r>
    <s v="ORD200399"/>
    <s v="CUST100378"/>
    <s v="Women"/>
    <s v="18-24"/>
    <x v="1646"/>
    <x v="4"/>
    <x v="29"/>
    <x v="2"/>
    <n v="11"/>
    <s v="Grey"/>
    <n v="3"/>
    <n v="7699"/>
    <n v="25"/>
    <n v="5770"/>
    <n v="17310"/>
    <s v="Debit/Credit Card"/>
    <x v="1"/>
    <s v="India"/>
    <x v="21"/>
    <s v="Kohima"/>
    <s v="Lifestyle Shopper"/>
    <x v="2"/>
    <n v="4"/>
    <s v="Cancelled"/>
    <s v="Standard"/>
    <n v="5"/>
  </r>
  <r>
    <s v="ORD202533"/>
    <s v="CUST100195"/>
    <s v="Women"/>
    <s v="25-34"/>
    <x v="1646"/>
    <x v="2"/>
    <x v="4"/>
    <x v="2"/>
    <n v="10"/>
    <s v="Black"/>
    <n v="1"/>
    <n v="5299"/>
    <n v="20"/>
    <n v="4240"/>
    <n v="4240"/>
    <s v="UPI"/>
    <x v="0"/>
    <s v="India"/>
    <x v="30"/>
    <s v="Manimajra"/>
    <s v="Lifestyle Shopper"/>
    <x v="1"/>
    <n v="2.9"/>
    <s v="Delivered"/>
    <s v="Standard"/>
    <n v="6"/>
  </r>
  <r>
    <s v="ORD202843"/>
    <s v="CUST100262"/>
    <s v="Men"/>
    <s v="25-34"/>
    <x v="1646"/>
    <x v="5"/>
    <x v="27"/>
    <x v="0"/>
    <n v="8"/>
    <s v="Blue"/>
    <n v="1"/>
    <n v="5999"/>
    <n v="5"/>
    <n v="5700"/>
    <n v="5700"/>
    <s v="Debit/Credit Card"/>
    <x v="1"/>
    <s v="India"/>
    <x v="7"/>
    <s v="Jabalpur"/>
    <s v="Premium Shopper"/>
    <x v="1"/>
    <n v="4.3"/>
    <s v="Delivered"/>
    <s v="Express"/>
    <n v="2"/>
  </r>
  <r>
    <s v="ORD201300"/>
    <s v="CUST100550"/>
    <s v="Unisex"/>
    <s v="25-34"/>
    <x v="1647"/>
    <x v="4"/>
    <x v="6"/>
    <x v="2"/>
    <n v="7"/>
    <s v="White"/>
    <n v="1"/>
    <n v="7299"/>
    <n v="5"/>
    <n v="6930"/>
    <n v="6930"/>
    <s v="Debit/Credit Card"/>
    <x v="2"/>
    <s v="India"/>
    <x v="16"/>
    <s v="Surat"/>
    <s v="Performance Seeker"/>
    <x v="2"/>
    <n v="3.1"/>
    <s v="Delivered"/>
    <s v="Express"/>
    <n v="4"/>
  </r>
  <r>
    <s v="ORD202581"/>
    <s v="CUST100702"/>
    <s v="Men"/>
    <s v="25-34"/>
    <x v="1648"/>
    <x v="4"/>
    <x v="9"/>
    <x v="1"/>
    <n v="9"/>
    <s v="Green"/>
    <n v="1"/>
    <n v="6399"/>
    <n v="20"/>
    <n v="5120"/>
    <n v="5120"/>
    <s v="UPI"/>
    <x v="0"/>
    <s v="India"/>
    <x v="3"/>
    <s v="Jaipur"/>
    <s v="Lifestyle Shopper"/>
    <x v="2"/>
    <n v="3.9"/>
    <s v="Delivered"/>
    <s v="Same Day"/>
    <n v="1"/>
  </r>
  <r>
    <s v="ORD201080"/>
    <s v="CUST100261"/>
    <s v="Men"/>
    <s v="25-34"/>
    <x v="1649"/>
    <x v="0"/>
    <x v="31"/>
    <x v="1"/>
    <n v="9"/>
    <s v="Red"/>
    <n v="1"/>
    <n v="9099"/>
    <n v="20"/>
    <n v="7280"/>
    <n v="7280"/>
    <s v="Debit/Credit Card"/>
    <x v="1"/>
    <s v="India"/>
    <x v="8"/>
    <s v="Nizamabad"/>
    <s v="Lifestyle Shopper"/>
    <x v="2"/>
    <n v="4.5999999999999996"/>
    <s v="Delivered"/>
    <s v="Standard"/>
    <n v="4"/>
  </r>
  <r>
    <s v="ORD201493"/>
    <s v="CUST100448"/>
    <s v="Women"/>
    <s v="18-24"/>
    <x v="1649"/>
    <x v="2"/>
    <x v="32"/>
    <x v="1"/>
    <n v="10"/>
    <s v="Red"/>
    <n v="1"/>
    <n v="7199"/>
    <n v="10"/>
    <n v="6480"/>
    <n v="6480"/>
    <s v="UPI"/>
    <x v="1"/>
    <s v="India"/>
    <x v="33"/>
    <s v="Nashik"/>
    <s v="Value Shopper"/>
    <x v="1"/>
    <n v="5"/>
    <s v="Delivered"/>
    <s v="Standard"/>
    <n v="4"/>
  </r>
  <r>
    <s v="ORD200985"/>
    <s v="CUST100648"/>
    <s v="Men"/>
    <s v="45-54"/>
    <x v="1650"/>
    <x v="0"/>
    <x v="19"/>
    <x v="4"/>
    <n v="6"/>
    <s v="White"/>
    <n v="4"/>
    <n v="3799"/>
    <n v="10"/>
    <n v="3420"/>
    <n v="13680"/>
    <s v="Debit/Credit Card"/>
    <x v="0"/>
    <s v="India"/>
    <x v="31"/>
    <s v="Madurai"/>
    <s v="Value Shopper"/>
    <x v="0"/>
    <n v="4.5"/>
    <s v="Delivered"/>
    <s v="Standard"/>
    <n v="3"/>
  </r>
  <r>
    <s v="ORD201010"/>
    <s v="CUST100074"/>
    <s v="Women"/>
    <s v="25-34"/>
    <x v="1650"/>
    <x v="0"/>
    <x v="2"/>
    <x v="2"/>
    <n v="11"/>
    <s v="Grey"/>
    <n v="1"/>
    <n v="8699"/>
    <n v="20"/>
    <n v="6960"/>
    <n v="6960"/>
    <s v="Debit/Credit Card"/>
    <x v="0"/>
    <s v="India"/>
    <x v="29"/>
    <s v="Visakhapatnam"/>
    <s v="Lifestyle Shopper"/>
    <x v="2"/>
    <n v="4.3"/>
    <s v="Returned"/>
    <s v="Standard"/>
    <n v="1"/>
  </r>
  <r>
    <s v="ORD202606"/>
    <s v="CUST100915"/>
    <s v="Unisex"/>
    <s v="35-44"/>
    <x v="1650"/>
    <x v="2"/>
    <x v="3"/>
    <x v="2"/>
    <n v="9"/>
    <s v="White"/>
    <n v="2"/>
    <n v="5099"/>
    <n v="25"/>
    <n v="3820"/>
    <n v="7640"/>
    <s v="UPI"/>
    <x v="0"/>
    <s v="India"/>
    <x v="28"/>
    <s v="Diskit"/>
    <s v="Premium Shopper"/>
    <x v="2"/>
    <n v="5"/>
    <s v="Returned"/>
    <s v="Standard"/>
    <n v="1"/>
  </r>
  <r>
    <s v="ORD201096"/>
    <s v="CUST100444"/>
    <s v="Women"/>
    <s v="18-24"/>
    <x v="1651"/>
    <x v="5"/>
    <x v="15"/>
    <x v="4"/>
    <n v="9"/>
    <s v="White"/>
    <n v="1"/>
    <n v="8699"/>
    <n v="20"/>
    <n v="6960"/>
    <n v="6960"/>
    <s v="UPI"/>
    <x v="2"/>
    <s v="India"/>
    <x v="16"/>
    <s v="Rajkot"/>
    <s v="Lifestyle Shopper"/>
    <x v="2"/>
    <n v="3.9"/>
    <s v="Returned"/>
    <s v="Standard"/>
    <n v="4"/>
  </r>
  <r>
    <s v="ORD202104"/>
    <s v="CUST100078"/>
    <s v="Women"/>
    <s v="18-24"/>
    <x v="1651"/>
    <x v="4"/>
    <x v="6"/>
    <x v="2"/>
    <n v="9"/>
    <s v="Green"/>
    <n v="1"/>
    <n v="7699"/>
    <n v="20"/>
    <n v="6160"/>
    <n v="6160"/>
    <s v="UPI"/>
    <x v="2"/>
    <s v="India"/>
    <x v="22"/>
    <s v="Kailasahar"/>
    <s v="Comfort Shopper"/>
    <x v="2"/>
    <n v="3.6"/>
    <s v="Delivered"/>
    <s v="Standard"/>
    <n v="4"/>
  </r>
  <r>
    <s v="ORD200370"/>
    <s v="CUST100131"/>
    <s v="Unisex"/>
    <s v="18-24"/>
    <x v="1652"/>
    <x v="0"/>
    <x v="8"/>
    <x v="3"/>
    <n v="9"/>
    <s v="Grey"/>
    <n v="1"/>
    <n v="8599"/>
    <n v="15"/>
    <n v="7310"/>
    <n v="7310"/>
    <s v="UPI"/>
    <x v="2"/>
    <s v="India"/>
    <x v="22"/>
    <s v="Agartala"/>
    <s v="Performance Seeker"/>
    <x v="2"/>
    <n v="5"/>
    <s v="Delivered"/>
    <s v="Standard"/>
    <n v="6"/>
  </r>
  <r>
    <s v="ORD202848"/>
    <s v="CUST100019"/>
    <s v="Men"/>
    <s v="55+"/>
    <x v="1653"/>
    <x v="2"/>
    <x v="3"/>
    <x v="2"/>
    <n v="9"/>
    <s v="White"/>
    <n v="1"/>
    <n v="5299"/>
    <n v="10"/>
    <n v="4770"/>
    <n v="4770"/>
    <s v="UPI"/>
    <x v="0"/>
    <s v="India"/>
    <x v="8"/>
    <s v="Warangal"/>
    <s v="Lifestyle Shopper"/>
    <x v="2"/>
    <n v="3.6"/>
    <s v="Cancelled"/>
    <s v="Standard"/>
    <n v="4"/>
  </r>
  <r>
    <s v="ORD202091"/>
    <s v="CUST100308"/>
    <s v="Unisex"/>
    <s v="35-44"/>
    <x v="1654"/>
    <x v="0"/>
    <x v="31"/>
    <x v="1"/>
    <n v="8"/>
    <s v="Black"/>
    <n v="3"/>
    <n v="6499"/>
    <n v="5"/>
    <n v="6170"/>
    <n v="18510"/>
    <s v="Debit/Credit Card"/>
    <x v="1"/>
    <s v="India"/>
    <x v="3"/>
    <s v="Kota"/>
    <s v="Performance Seeker"/>
    <x v="1"/>
    <n v="3.3"/>
    <s v="Delivered"/>
    <s v="Standard"/>
    <n v="4"/>
  </r>
  <r>
    <s v="ORD201804"/>
    <s v="CUST100988"/>
    <s v="Women"/>
    <s v="35-44"/>
    <x v="1655"/>
    <x v="0"/>
    <x v="31"/>
    <x v="1"/>
    <n v="8"/>
    <s v="Grey"/>
    <n v="3"/>
    <n v="7699"/>
    <n v="5"/>
    <n v="7310"/>
    <n v="21930"/>
    <s v="Debit/Credit Card"/>
    <x v="1"/>
    <s v="India"/>
    <x v="14"/>
    <s v="Jalandhar"/>
    <s v="Lifestyle Shopper"/>
    <x v="2"/>
    <n v="4.3"/>
    <s v="Delivered"/>
    <s v="Standard"/>
    <n v="4"/>
  </r>
  <r>
    <s v="ORD202777"/>
    <s v="CUST100077"/>
    <s v="Women"/>
    <s v="18-24"/>
    <x v="1655"/>
    <x v="1"/>
    <x v="20"/>
    <x v="2"/>
    <n v="8"/>
    <s v="Green"/>
    <n v="1"/>
    <n v="7399"/>
    <n v="20"/>
    <n v="5920"/>
    <n v="5920"/>
    <s v="UPI"/>
    <x v="1"/>
    <s v="India"/>
    <x v="28"/>
    <s v="Nubra"/>
    <s v="Comfort Shopper"/>
    <x v="2"/>
    <n v="4"/>
    <s v="Delivered"/>
    <s v="Standard"/>
    <n v="4"/>
  </r>
  <r>
    <s v="ORD200249"/>
    <s v="CUST100703"/>
    <s v="Men"/>
    <s v="25-34"/>
    <x v="1656"/>
    <x v="0"/>
    <x v="13"/>
    <x v="2"/>
    <n v="7"/>
    <s v="Black"/>
    <n v="1"/>
    <n v="4199"/>
    <n v="15"/>
    <n v="3570"/>
    <n v="3570"/>
    <s v="UPI"/>
    <x v="0"/>
    <s v="India"/>
    <x v="4"/>
    <s v="Gangtok"/>
    <s v="Comfort Shopper"/>
    <x v="1"/>
    <n v="3.5"/>
    <s v="Delivered"/>
    <s v="Express"/>
    <n v="3"/>
  </r>
  <r>
    <s v="ORD200738"/>
    <s v="CUST100015"/>
    <s v="Women"/>
    <s v="18-24"/>
    <x v="1656"/>
    <x v="1"/>
    <x v="12"/>
    <x v="4"/>
    <n v="9"/>
    <s v="Blue"/>
    <n v="1"/>
    <n v="6199"/>
    <n v="10"/>
    <n v="5580"/>
    <n v="5580"/>
    <s v="UPI"/>
    <x v="1"/>
    <s v="India"/>
    <x v="22"/>
    <s v="Kailasahar"/>
    <s v="Performance Seeker"/>
    <x v="2"/>
    <n v="4.5"/>
    <s v="Delivered"/>
    <s v="Standard"/>
    <n v="3"/>
  </r>
  <r>
    <s v="ORD201979"/>
    <s v="CUST100057"/>
    <s v="Men"/>
    <s v="35-44"/>
    <x v="1657"/>
    <x v="4"/>
    <x v="17"/>
    <x v="4"/>
    <n v="9"/>
    <s v="Grey"/>
    <n v="1"/>
    <n v="6099"/>
    <n v="15"/>
    <n v="5180"/>
    <n v="5180"/>
    <s v="Debit/Credit Card"/>
    <x v="1"/>
    <s v="India"/>
    <x v="13"/>
    <s v="Itanagar"/>
    <s v="Performance Seeker"/>
    <x v="2"/>
    <n v="4.2"/>
    <s v="Delivered"/>
    <s v="Express"/>
    <n v="3"/>
  </r>
  <r>
    <s v="ORD202041"/>
    <s v="CUST100364"/>
    <s v="Men"/>
    <s v="18-24"/>
    <x v="1658"/>
    <x v="2"/>
    <x v="4"/>
    <x v="2"/>
    <n v="9"/>
    <s v="Blue"/>
    <n v="1"/>
    <n v="7399"/>
    <n v="20"/>
    <n v="5920"/>
    <n v="5920"/>
    <s v="Cash on Delivery"/>
    <x v="0"/>
    <s v="India"/>
    <x v="29"/>
    <s v="Visakhapatnam"/>
    <s v="Value Shopper"/>
    <x v="1"/>
    <n v="3.3"/>
    <s v="Delivered"/>
    <s v="Express"/>
    <n v="2"/>
  </r>
  <r>
    <s v="ORD201026"/>
    <s v="CUST100677"/>
    <s v="Men"/>
    <s v="18-24"/>
    <x v="1659"/>
    <x v="1"/>
    <x v="33"/>
    <x v="0"/>
    <n v="10"/>
    <s v="Black"/>
    <n v="2"/>
    <n v="5699"/>
    <n v="15"/>
    <n v="4840"/>
    <n v="9680"/>
    <s v="UPI"/>
    <x v="1"/>
    <s v="India"/>
    <x v="29"/>
    <s v="Visakhapatnam"/>
    <s v="Value Shopper"/>
    <x v="1"/>
    <n v="5"/>
    <s v="Delivered"/>
    <s v="Standard"/>
    <n v="2"/>
  </r>
  <r>
    <s v="ORD201277"/>
    <s v="CUST100095"/>
    <s v="Women"/>
    <s v="25-34"/>
    <x v="1660"/>
    <x v="0"/>
    <x v="8"/>
    <x v="3"/>
    <n v="8"/>
    <s v="Blue"/>
    <n v="2"/>
    <n v="4599"/>
    <n v="15"/>
    <n v="3910"/>
    <n v="7820"/>
    <s v="Cash on Delivery"/>
    <x v="1"/>
    <s v="India"/>
    <x v="16"/>
    <s v="Vadodara"/>
    <s v="Performance Seeker"/>
    <x v="2"/>
    <n v="4.4000000000000004"/>
    <s v="Delivered"/>
    <s v="Standard"/>
    <n v="1"/>
  </r>
  <r>
    <s v="ORD201768"/>
    <s v="CUST100313"/>
    <s v="Men"/>
    <s v="45-54"/>
    <x v="1660"/>
    <x v="0"/>
    <x v="19"/>
    <x v="4"/>
    <n v="10"/>
    <s v="Blue"/>
    <n v="1"/>
    <n v="7999"/>
    <n v="0"/>
    <n v="8000"/>
    <n v="8000"/>
    <s v="Debit/Credit Card"/>
    <x v="1"/>
    <s v="India"/>
    <x v="14"/>
    <s v="Jalandhar"/>
    <s v="Premium Shopper"/>
    <x v="1"/>
    <n v="4.0999999999999996"/>
    <s v="Delivered"/>
    <s v="Express"/>
    <n v="2"/>
  </r>
  <r>
    <s v="ORD201274"/>
    <s v="CUST100337"/>
    <s v="Men"/>
    <s v="35-44"/>
    <x v="1661"/>
    <x v="5"/>
    <x v="27"/>
    <x v="0"/>
    <n v="8"/>
    <s v="Red"/>
    <n v="2"/>
    <n v="8699"/>
    <n v="15"/>
    <n v="7390"/>
    <n v="14780"/>
    <s v="UPI"/>
    <x v="2"/>
    <s v="India"/>
    <x v="29"/>
    <s v="Visakhapatnam"/>
    <s v="Performance Seeker"/>
    <x v="1"/>
    <n v="4.5"/>
    <s v="Returned"/>
    <s v="Express"/>
    <n v="3"/>
  </r>
  <r>
    <s v="ORD201624"/>
    <s v="CUST100906"/>
    <s v="Women"/>
    <s v="45-54"/>
    <x v="1661"/>
    <x v="0"/>
    <x v="8"/>
    <x v="3"/>
    <n v="9"/>
    <s v="Black"/>
    <n v="2"/>
    <n v="6499"/>
    <n v="35"/>
    <n v="4220"/>
    <n v="8440"/>
    <s v="UPI"/>
    <x v="2"/>
    <s v="India"/>
    <x v="11"/>
    <s v="Agatti"/>
    <s v="Premium Shopper"/>
    <x v="0"/>
    <n v="4"/>
    <s v="Returned"/>
    <s v="Standard"/>
    <n v="6"/>
  </r>
  <r>
    <s v="ORD201426"/>
    <s v="CUST100691"/>
    <s v="Men"/>
    <s v="35-44"/>
    <x v="1662"/>
    <x v="2"/>
    <x v="24"/>
    <x v="4"/>
    <n v="11"/>
    <s v="White"/>
    <n v="2"/>
    <n v="5999"/>
    <n v="20"/>
    <n v="4800"/>
    <n v="9600"/>
    <s v="UPI"/>
    <x v="1"/>
    <s v="India"/>
    <x v="24"/>
    <s v="Hubballi"/>
    <s v="Performance Seeker"/>
    <x v="1"/>
    <n v="3.6"/>
    <s v="Delivered"/>
    <s v="Standard"/>
    <n v="1"/>
  </r>
  <r>
    <s v="ORD202251"/>
    <s v="CUST100666"/>
    <s v="Men"/>
    <s v="45-54"/>
    <x v="1662"/>
    <x v="3"/>
    <x v="11"/>
    <x v="4"/>
    <n v="11"/>
    <s v="White"/>
    <n v="1"/>
    <n v="4299"/>
    <n v="5"/>
    <n v="4080"/>
    <n v="4080"/>
    <s v="UPI"/>
    <x v="0"/>
    <s v="India"/>
    <x v="20"/>
    <s v="Mandi"/>
    <s v="Premium Shopper"/>
    <x v="2"/>
    <n v="4.5"/>
    <s v="Cancelled"/>
    <s v="Standard"/>
    <n v="4"/>
  </r>
  <r>
    <s v="ORD200963"/>
    <s v="CUST100121"/>
    <s v="Men"/>
    <s v="25-34"/>
    <x v="1663"/>
    <x v="5"/>
    <x v="15"/>
    <x v="4"/>
    <n v="11"/>
    <s v="White"/>
    <n v="1"/>
    <n v="6299"/>
    <n v="0"/>
    <n v="6300"/>
    <n v="6300"/>
    <s v="Net Banking"/>
    <x v="1"/>
    <s v="India"/>
    <x v="8"/>
    <s v="Hyderabad"/>
    <s v="Lifestyle Shopper"/>
    <x v="1"/>
    <n v="4"/>
    <s v="Delivered"/>
    <s v="Standard"/>
    <n v="1"/>
  </r>
  <r>
    <s v="ORD202426"/>
    <s v="CUST100167"/>
    <s v="Men"/>
    <s v="35-44"/>
    <x v="1663"/>
    <x v="2"/>
    <x v="24"/>
    <x v="4"/>
    <n v="7"/>
    <s v="Black"/>
    <n v="1"/>
    <n v="5499"/>
    <n v="15"/>
    <n v="4670"/>
    <n v="4670"/>
    <s v="UPI"/>
    <x v="2"/>
    <s v="India"/>
    <x v="7"/>
    <s v="Bhopal"/>
    <s v="Lifestyle Shopper"/>
    <x v="2"/>
    <n v="4.0999999999999996"/>
    <s v="Delivered"/>
    <s v="Standard"/>
    <n v="3"/>
  </r>
  <r>
    <s v="ORD201290"/>
    <s v="CUST100106"/>
    <s v="Men"/>
    <s v="45-54"/>
    <x v="1664"/>
    <x v="3"/>
    <x v="35"/>
    <x v="2"/>
    <n v="8"/>
    <s v="Blue"/>
    <n v="2"/>
    <n v="6099"/>
    <n v="5"/>
    <n v="5790"/>
    <n v="11580"/>
    <s v="UPI"/>
    <x v="0"/>
    <s v="India"/>
    <x v="30"/>
    <s v="Daria"/>
    <s v="Performance Seeker"/>
    <x v="2"/>
    <n v="4.3"/>
    <s v="Cancelled"/>
    <s v="Standard"/>
    <n v="4"/>
  </r>
  <r>
    <s v="ORD202275"/>
    <s v="CUST100420"/>
    <s v="Women"/>
    <s v="25-34"/>
    <x v="1664"/>
    <x v="1"/>
    <x v="20"/>
    <x v="2"/>
    <n v="7"/>
    <s v="Black"/>
    <n v="1"/>
    <n v="4499"/>
    <n v="30"/>
    <n v="3150"/>
    <n v="3150"/>
    <s v="UPI"/>
    <x v="2"/>
    <s v="India"/>
    <x v="9"/>
    <s v="Patna"/>
    <s v="Performance Seeker"/>
    <x v="2"/>
    <n v="3.7"/>
    <s v="Delivered"/>
    <s v="Express"/>
    <n v="3"/>
  </r>
  <r>
    <s v="ORD200691"/>
    <s v="CUST100458"/>
    <s v="Women"/>
    <s v="55+"/>
    <x v="1665"/>
    <x v="2"/>
    <x v="24"/>
    <x v="4"/>
    <n v="11"/>
    <s v="Black"/>
    <n v="1"/>
    <n v="3599"/>
    <n v="15"/>
    <n v="3060"/>
    <n v="3060"/>
    <s v="UPI"/>
    <x v="1"/>
    <s v="India"/>
    <x v="1"/>
    <s v="Vasco da Gama"/>
    <s v="Comfort Shopper"/>
    <x v="2"/>
    <n v="4.8"/>
    <s v="Delivered"/>
    <s v="Express"/>
    <n v="2"/>
  </r>
  <r>
    <s v="ORD200699"/>
    <s v="CUST100512"/>
    <s v="Women"/>
    <s v="25-34"/>
    <x v="1665"/>
    <x v="3"/>
    <x v="28"/>
    <x v="1"/>
    <n v="7"/>
    <s v="Blue"/>
    <n v="1"/>
    <n v="4999"/>
    <n v="15"/>
    <n v="4250"/>
    <n v="4250"/>
    <s v="UPI"/>
    <x v="1"/>
    <s v="India"/>
    <x v="32"/>
    <s v="Ranchi"/>
    <s v="Value Shopper"/>
    <x v="1"/>
    <n v="3.8"/>
    <s v="Delivered"/>
    <s v="Standard"/>
    <n v="1"/>
  </r>
  <r>
    <s v="ORD201651"/>
    <s v="CUST100548"/>
    <s v="Men"/>
    <s v="18-24"/>
    <x v="1665"/>
    <x v="5"/>
    <x v="30"/>
    <x v="2"/>
    <n v="7"/>
    <s v="Black"/>
    <n v="1"/>
    <n v="8599"/>
    <n v="15"/>
    <n v="7310"/>
    <n v="7310"/>
    <s v="UPI"/>
    <x v="1"/>
    <s v="India"/>
    <x v="26"/>
    <s v="Thiruvananthapuram"/>
    <s v="Premium Shopper"/>
    <x v="1"/>
    <n v="3.9"/>
    <s v="Delivered"/>
    <s v="Standard"/>
    <n v="1"/>
  </r>
  <r>
    <s v="ORD201659"/>
    <s v="CUST100212"/>
    <s v="Men"/>
    <s v="55+"/>
    <x v="1666"/>
    <x v="0"/>
    <x v="2"/>
    <x v="2"/>
    <n v="8"/>
    <s v="White"/>
    <n v="1"/>
    <n v="8399"/>
    <n v="20"/>
    <n v="6720"/>
    <n v="6720"/>
    <s v="Debit/Credit Card"/>
    <x v="0"/>
    <s v="India"/>
    <x v="10"/>
    <s v="Amli"/>
    <s v="Comfort Shopper"/>
    <x v="1"/>
    <n v="4"/>
    <s v="Delivered"/>
    <s v="Same Day"/>
    <n v="1"/>
  </r>
  <r>
    <s v="ORD201868"/>
    <s v="CUST100213"/>
    <s v="Men"/>
    <s v="25-34"/>
    <x v="1667"/>
    <x v="2"/>
    <x v="4"/>
    <x v="2"/>
    <n v="7"/>
    <s v="Green"/>
    <n v="1"/>
    <n v="3499"/>
    <n v="10"/>
    <n v="3150"/>
    <n v="3150"/>
    <s v="UPI"/>
    <x v="2"/>
    <s v="India"/>
    <x v="25"/>
    <s v="Anantnag"/>
    <s v="Lifestyle Shopper"/>
    <x v="2"/>
    <n v="3.1"/>
    <s v="Delivered"/>
    <s v="Standard"/>
    <n v="6"/>
  </r>
  <r>
    <s v="ORD200041"/>
    <s v="CUST100455"/>
    <s v="Men"/>
    <s v="55+"/>
    <x v="1668"/>
    <x v="0"/>
    <x v="2"/>
    <x v="2"/>
    <n v="6"/>
    <s v="White"/>
    <n v="2"/>
    <n v="4699"/>
    <n v="20"/>
    <n v="3760"/>
    <n v="7520"/>
    <s v="Debit/Credit Card"/>
    <x v="1"/>
    <s v="India"/>
    <x v="16"/>
    <s v="Ahmedabad"/>
    <s v="Value Shopper"/>
    <x v="1"/>
    <n v="4.0999999999999996"/>
    <s v="Cancelled"/>
    <s v="Standard"/>
    <n v="3"/>
  </r>
  <r>
    <s v="ORD201591"/>
    <s v="CUST100233"/>
    <s v="Men"/>
    <s v="25-34"/>
    <x v="1668"/>
    <x v="1"/>
    <x v="12"/>
    <x v="4"/>
    <n v="11"/>
    <s v="Grey"/>
    <n v="1"/>
    <n v="6599"/>
    <n v="20"/>
    <n v="5280"/>
    <n v="5280"/>
    <s v="Debit/Credit Card"/>
    <x v="1"/>
    <s v="India"/>
    <x v="34"/>
    <s v="Asansol"/>
    <s v="Value Shopper"/>
    <x v="2"/>
    <n v="4.3"/>
    <s v="Delivered"/>
    <s v="Express"/>
    <n v="2"/>
  </r>
  <r>
    <s v="ORD203028"/>
    <s v="CUST100696"/>
    <s v="Women"/>
    <s v="35-44"/>
    <x v="1668"/>
    <x v="3"/>
    <x v="28"/>
    <x v="1"/>
    <n v="9"/>
    <s v="Black"/>
    <n v="1"/>
    <n v="6999"/>
    <n v="10"/>
    <n v="6300"/>
    <n v="6300"/>
    <s v="UPI"/>
    <x v="1"/>
    <s v="India"/>
    <x v="15"/>
    <s v="New Delhi"/>
    <s v="Comfort Shopper"/>
    <x v="1"/>
    <n v="5"/>
    <s v="Delivered"/>
    <s v="Standard"/>
    <n v="6"/>
  </r>
  <r>
    <s v="ORD201369"/>
    <s v="CUST100958"/>
    <s v="Unisex"/>
    <s v="35-44"/>
    <x v="1669"/>
    <x v="5"/>
    <x v="27"/>
    <x v="0"/>
    <n v="7"/>
    <s v="Blue"/>
    <n v="2"/>
    <n v="9999"/>
    <n v="20"/>
    <n v="8000"/>
    <n v="16000"/>
    <s v="Debit/Credit Card"/>
    <x v="1"/>
    <s v="India"/>
    <x v="12"/>
    <s v="Diglipur"/>
    <s v="Comfort Shopper"/>
    <x v="0"/>
    <n v="2.4"/>
    <s v="Delivered"/>
    <s v="Express"/>
    <n v="1"/>
  </r>
  <r>
    <s v="ORD200035"/>
    <s v="CUST100494"/>
    <s v="Men"/>
    <s v="25-34"/>
    <x v="1670"/>
    <x v="0"/>
    <x v="19"/>
    <x v="4"/>
    <n v="12"/>
    <s v="Green"/>
    <n v="4"/>
    <n v="4999"/>
    <n v="35"/>
    <n v="3250"/>
    <n v="13000"/>
    <s v="UPI"/>
    <x v="1"/>
    <s v="India"/>
    <x v="7"/>
    <s v="Indore"/>
    <s v="Performance Seeker"/>
    <x v="1"/>
    <n v="4.4000000000000004"/>
    <s v="Delivered"/>
    <s v="Standard"/>
    <n v="3"/>
  </r>
  <r>
    <s v="ORD202890"/>
    <s v="CUST100198"/>
    <s v="Men"/>
    <s v="18-24"/>
    <x v="1671"/>
    <x v="4"/>
    <x v="26"/>
    <x v="3"/>
    <n v="6"/>
    <s v="Blue"/>
    <n v="1"/>
    <n v="7199"/>
    <n v="20"/>
    <n v="5760"/>
    <n v="5760"/>
    <s v="Net Banking"/>
    <x v="1"/>
    <s v="India"/>
    <x v="17"/>
    <s v="Mahe"/>
    <s v="Comfort Shopper"/>
    <x v="1"/>
    <n v="4.8"/>
    <s v="Delivered"/>
    <s v="Standard"/>
    <n v="3"/>
  </r>
  <r>
    <s v="ORD200114"/>
    <s v="CUST100551"/>
    <s v="Women"/>
    <s v="35-44"/>
    <x v="1672"/>
    <x v="5"/>
    <x v="27"/>
    <x v="0"/>
    <n v="8"/>
    <s v="Green"/>
    <n v="1"/>
    <n v="5599"/>
    <n v="15"/>
    <n v="4760"/>
    <n v="4760"/>
    <s v="UPI"/>
    <x v="1"/>
    <s v="India"/>
    <x v="25"/>
    <s v="Baramulla"/>
    <s v="Performance Seeker"/>
    <x v="2"/>
    <n v="4.7"/>
    <s v="Delivered"/>
    <s v="Express"/>
    <n v="2"/>
  </r>
  <r>
    <s v="ORD201268"/>
    <s v="CUST100023"/>
    <s v="Men"/>
    <s v="18-24"/>
    <x v="1672"/>
    <x v="5"/>
    <x v="7"/>
    <x v="1"/>
    <n v="7"/>
    <s v="Grey"/>
    <n v="1"/>
    <n v="5799"/>
    <n v="10"/>
    <n v="5220"/>
    <n v="5220"/>
    <s v="UPI"/>
    <x v="1"/>
    <s v="India"/>
    <x v="0"/>
    <s v="Silchar"/>
    <s v="Value Shopper"/>
    <x v="2"/>
    <n v="2.9"/>
    <s v="Cancelled"/>
    <s v="Standard"/>
    <n v="5"/>
  </r>
  <r>
    <s v="ORD202350"/>
    <s v="CUST100267"/>
    <s v="Men"/>
    <s v="55+"/>
    <x v="1673"/>
    <x v="3"/>
    <x v="35"/>
    <x v="2"/>
    <n v="10"/>
    <s v="Green"/>
    <n v="2"/>
    <n v="7599"/>
    <n v="15"/>
    <n v="6460"/>
    <n v="12920"/>
    <s v="UPI"/>
    <x v="2"/>
    <s v="India"/>
    <x v="10"/>
    <s v="Daman"/>
    <s v="Comfort Shopper"/>
    <x v="2"/>
    <n v="3.7"/>
    <s v="Returned"/>
    <s v="Express"/>
    <n v="2"/>
  </r>
  <r>
    <s v="ORD202749"/>
    <s v="CUST100304"/>
    <s v="Men"/>
    <s v="45-54"/>
    <x v="1673"/>
    <x v="0"/>
    <x v="13"/>
    <x v="2"/>
    <n v="6"/>
    <s v="Black"/>
    <n v="1"/>
    <n v="9499"/>
    <n v="20"/>
    <n v="7600"/>
    <n v="7600"/>
    <s v="Debit/Credit Card"/>
    <x v="1"/>
    <s v="India"/>
    <x v="12"/>
    <s v="Rangat"/>
    <s v="Lifestyle Shopper"/>
    <x v="1"/>
    <n v="3.5"/>
    <s v="Delivered"/>
    <s v="Standard"/>
    <n v="3"/>
  </r>
  <r>
    <s v="ORD200075"/>
    <s v="CUST100295"/>
    <s v="Women"/>
    <s v="25-34"/>
    <x v="1674"/>
    <x v="0"/>
    <x v="13"/>
    <x v="2"/>
    <n v="9"/>
    <s v="Green"/>
    <n v="1"/>
    <n v="7299"/>
    <n v="10"/>
    <n v="6570"/>
    <n v="6570"/>
    <s v="Debit/Credit Card"/>
    <x v="0"/>
    <s v="India"/>
    <x v="24"/>
    <s v="Hubballi"/>
    <s v="Value Shopper"/>
    <x v="2"/>
    <n v="3.2"/>
    <s v="Delivered"/>
    <s v="Standard"/>
    <n v="6"/>
  </r>
  <r>
    <s v="ORD201121"/>
    <s v="CUST100107"/>
    <s v="Unisex"/>
    <s v="35-44"/>
    <x v="1674"/>
    <x v="5"/>
    <x v="15"/>
    <x v="4"/>
    <n v="12"/>
    <s v="Grey"/>
    <n v="1"/>
    <n v="6599"/>
    <n v="5"/>
    <n v="6270"/>
    <n v="6270"/>
    <s v="Net Banking"/>
    <x v="1"/>
    <s v="India"/>
    <x v="28"/>
    <s v="Kargil"/>
    <s v="Performance Seeker"/>
    <x v="2"/>
    <n v="4.3"/>
    <s v="Delivered"/>
    <s v="Standard"/>
    <n v="3"/>
  </r>
  <r>
    <s v="ORD202390"/>
    <s v="CUST100149"/>
    <s v="Men"/>
    <s v="18-24"/>
    <x v="1674"/>
    <x v="2"/>
    <x v="3"/>
    <x v="2"/>
    <n v="8"/>
    <s v="Black"/>
    <n v="1"/>
    <n v="3899"/>
    <n v="10"/>
    <n v="3510"/>
    <n v="3510"/>
    <s v="Debit/Credit Card"/>
    <x v="1"/>
    <s v="India"/>
    <x v="11"/>
    <s v="Andrott"/>
    <s v="Comfort Shopper"/>
    <x v="2"/>
    <n v="3.2"/>
    <s v="Cancelled"/>
    <s v="Standard"/>
    <n v="4"/>
  </r>
  <r>
    <s v="ORD200589"/>
    <s v="CUST100162"/>
    <s v="Men"/>
    <s v="35-44"/>
    <x v="1675"/>
    <x v="4"/>
    <x v="22"/>
    <x v="0"/>
    <n v="6"/>
    <s v="White"/>
    <n v="1"/>
    <n v="7899"/>
    <n v="10"/>
    <n v="7110"/>
    <n v="7110"/>
    <s v="UPI"/>
    <x v="1"/>
    <s v="India"/>
    <x v="24"/>
    <s v="Hubballi"/>
    <s v="Performance Seeker"/>
    <x v="2"/>
    <n v="3.2"/>
    <s v="Delivered"/>
    <s v="Standard"/>
    <n v="5"/>
  </r>
  <r>
    <s v="ORD200871"/>
    <s v="CUST100355"/>
    <s v="Men"/>
    <s v="35-44"/>
    <x v="1676"/>
    <x v="2"/>
    <x v="4"/>
    <x v="2"/>
    <n v="7"/>
    <s v="Grey"/>
    <n v="1"/>
    <n v="5399"/>
    <n v="35"/>
    <n v="3510"/>
    <n v="3510"/>
    <s v="UPI"/>
    <x v="1"/>
    <s v="India"/>
    <x v="20"/>
    <s v="Solan"/>
    <s v="Value Shopper"/>
    <x v="2"/>
    <n v="3.7"/>
    <s v="Delivered"/>
    <s v="Standard"/>
    <n v="3"/>
  </r>
  <r>
    <s v="ORD200638"/>
    <s v="CUST100758"/>
    <s v="Men"/>
    <s v="18-24"/>
    <x v="1677"/>
    <x v="5"/>
    <x v="27"/>
    <x v="0"/>
    <n v="9"/>
    <s v="Grey"/>
    <n v="3"/>
    <n v="7699"/>
    <n v="5"/>
    <n v="7310"/>
    <n v="21930"/>
    <s v="UPI"/>
    <x v="1"/>
    <s v="India"/>
    <x v="15"/>
    <s v="Delhi"/>
    <s v="Performance Seeker"/>
    <x v="2"/>
    <n v="4.9000000000000004"/>
    <s v="Delivered"/>
    <s v="Same Day"/>
    <n v="2"/>
  </r>
  <r>
    <s v="ORD202511"/>
    <s v="CUST100349"/>
    <s v="Women"/>
    <s v="25-34"/>
    <x v="1677"/>
    <x v="0"/>
    <x v="13"/>
    <x v="2"/>
    <n v="10"/>
    <s v="Black"/>
    <n v="3"/>
    <n v="4899"/>
    <n v="20"/>
    <n v="3920"/>
    <n v="11760"/>
    <s v="UPI"/>
    <x v="1"/>
    <s v="India"/>
    <x v="21"/>
    <s v="Kohima"/>
    <s v="Premium Shopper"/>
    <x v="1"/>
    <n v="4.3"/>
    <s v="Cancelled"/>
    <s v="Standard"/>
    <n v="3"/>
  </r>
  <r>
    <s v="ORD202934"/>
    <s v="CUST100151"/>
    <s v="Unisex"/>
    <s v="18-24"/>
    <x v="1677"/>
    <x v="2"/>
    <x v="23"/>
    <x v="0"/>
    <n v="9"/>
    <s v="White"/>
    <n v="1"/>
    <n v="5999"/>
    <n v="10"/>
    <n v="5400"/>
    <n v="5400"/>
    <s v="Net Banking"/>
    <x v="0"/>
    <s v="India"/>
    <x v="0"/>
    <s v="Silchar"/>
    <s v="Comfort Shopper"/>
    <x v="1"/>
    <n v="5"/>
    <s v="Delivered"/>
    <s v="Standard"/>
    <n v="2"/>
  </r>
  <r>
    <s v="ORD200039"/>
    <s v="CUST100256"/>
    <s v="Women"/>
    <s v="45-54"/>
    <x v="1678"/>
    <x v="4"/>
    <x v="29"/>
    <x v="2"/>
    <n v="6"/>
    <s v="White"/>
    <n v="1"/>
    <n v="4799"/>
    <n v="15"/>
    <n v="4080"/>
    <n v="4080"/>
    <s v="Debit/Credit Card"/>
    <x v="2"/>
    <s v="India"/>
    <x v="34"/>
    <s v="Siliguri"/>
    <s v="Premium Shopper"/>
    <x v="2"/>
    <n v="4.9000000000000004"/>
    <s v="Delivered"/>
    <s v="Standard"/>
    <n v="3"/>
  </r>
  <r>
    <s v="ORD200332"/>
    <s v="CUST100979"/>
    <s v="Men"/>
    <s v="55+"/>
    <x v="1679"/>
    <x v="1"/>
    <x v="33"/>
    <x v="0"/>
    <n v="10"/>
    <s v="Black"/>
    <n v="1"/>
    <n v="5799"/>
    <n v="10"/>
    <n v="5220"/>
    <n v="5220"/>
    <s v="Debit/Credit Card"/>
    <x v="1"/>
    <s v="India"/>
    <x v="27"/>
    <s v="Rourkela"/>
    <s v="Comfort Shopper"/>
    <x v="1"/>
    <n v="4.0999999999999996"/>
    <s v="Returned"/>
    <s v="Standard"/>
    <n v="5"/>
  </r>
  <r>
    <s v="ORD201249"/>
    <s v="CUST100099"/>
    <s v="Women"/>
    <s v="18-24"/>
    <x v="1679"/>
    <x v="2"/>
    <x v="4"/>
    <x v="2"/>
    <n v="10"/>
    <s v="Black"/>
    <n v="1"/>
    <n v="7899"/>
    <n v="0"/>
    <n v="7900"/>
    <n v="7900"/>
    <s v="Net Banking"/>
    <x v="1"/>
    <s v="India"/>
    <x v="16"/>
    <s v="Surat"/>
    <s v="Value Shopper"/>
    <x v="2"/>
    <n v="4.3"/>
    <s v="Delivered"/>
    <s v="Express"/>
    <n v="3"/>
  </r>
  <r>
    <s v="ORD201005"/>
    <s v="CUST100774"/>
    <s v="Men"/>
    <s v="45-54"/>
    <x v="1680"/>
    <x v="1"/>
    <x v="18"/>
    <x v="2"/>
    <n v="9"/>
    <s v="Black"/>
    <n v="1"/>
    <n v="9599"/>
    <n v="15"/>
    <n v="8160"/>
    <n v="8160"/>
    <s v="UPI"/>
    <x v="0"/>
    <s v="India"/>
    <x v="29"/>
    <s v="Guntur"/>
    <s v="Value Shopper"/>
    <x v="0"/>
    <n v="5"/>
    <s v="Delivered"/>
    <s v="Standard"/>
    <n v="4"/>
  </r>
  <r>
    <s v="ORD201554"/>
    <s v="CUST100351"/>
    <s v="Men"/>
    <s v="35-44"/>
    <x v="1681"/>
    <x v="2"/>
    <x v="4"/>
    <x v="2"/>
    <n v="9"/>
    <s v="Green"/>
    <n v="1"/>
    <n v="3199"/>
    <n v="10"/>
    <n v="2880"/>
    <n v="2880"/>
    <s v="UPI"/>
    <x v="1"/>
    <s v="India"/>
    <x v="20"/>
    <s v="Shimla"/>
    <s v="Performance Seeker"/>
    <x v="1"/>
    <n v="5"/>
    <s v="Cancelled"/>
    <s v="Express"/>
    <n v="1"/>
  </r>
  <r>
    <s v="ORD201708"/>
    <s v="CUST100926"/>
    <s v="Men"/>
    <s v="55+"/>
    <x v="1681"/>
    <x v="3"/>
    <x v="11"/>
    <x v="4"/>
    <n v="7"/>
    <s v="Blue"/>
    <n v="1"/>
    <n v="5899"/>
    <n v="10"/>
    <n v="5310"/>
    <n v="5310"/>
    <s v="Debit/Credit Card"/>
    <x v="1"/>
    <s v="India"/>
    <x v="15"/>
    <s v="Rohini"/>
    <s v="Premium Shopper"/>
    <x v="1"/>
    <n v="3.9"/>
    <s v="Delivered"/>
    <s v="Standard"/>
    <n v="2"/>
  </r>
  <r>
    <s v="ORD202856"/>
    <s v="CUST100626"/>
    <s v="Men"/>
    <s v="35-44"/>
    <x v="1681"/>
    <x v="4"/>
    <x v="6"/>
    <x v="2"/>
    <n v="7"/>
    <s v="Black"/>
    <n v="1"/>
    <n v="5499"/>
    <n v="15"/>
    <n v="4670"/>
    <n v="4670"/>
    <s v="Debit/Credit Card"/>
    <x v="1"/>
    <s v="India"/>
    <x v="2"/>
    <s v="Faridabad"/>
    <s v="Performance Seeker"/>
    <x v="2"/>
    <n v="3"/>
    <s v="Delivered"/>
    <s v="Express"/>
    <n v="2"/>
  </r>
  <r>
    <s v="ORD201198"/>
    <s v="CUST100365"/>
    <s v="Women"/>
    <s v="55+"/>
    <x v="1682"/>
    <x v="4"/>
    <x v="22"/>
    <x v="0"/>
    <n v="10"/>
    <s v="Red"/>
    <n v="2"/>
    <n v="7599"/>
    <n v="15"/>
    <n v="6460"/>
    <n v="12920"/>
    <s v="UPI"/>
    <x v="0"/>
    <s v="India"/>
    <x v="9"/>
    <s v="Patna"/>
    <s v="Lifestyle Shopper"/>
    <x v="1"/>
    <n v="4.4000000000000004"/>
    <s v="Delivered"/>
    <s v="Standard"/>
    <n v="4"/>
  </r>
  <r>
    <s v="ORD202147"/>
    <s v="CUST100812"/>
    <s v="Men"/>
    <s v="25-34"/>
    <x v="1682"/>
    <x v="0"/>
    <x v="13"/>
    <x v="2"/>
    <n v="12"/>
    <s v="Red"/>
    <n v="2"/>
    <n v="8499"/>
    <n v="25"/>
    <n v="6370"/>
    <n v="12740"/>
    <s v="Debit/Credit Card"/>
    <x v="2"/>
    <s v="India"/>
    <x v="7"/>
    <s v="Indore"/>
    <s v="Lifestyle Shopper"/>
    <x v="1"/>
    <n v="3.6"/>
    <s v="Delivered"/>
    <s v="Standard"/>
    <n v="6"/>
  </r>
  <r>
    <s v="ORD201665"/>
    <s v="CUST100094"/>
    <s v="Unisex"/>
    <s v="25-34"/>
    <x v="1683"/>
    <x v="2"/>
    <x v="32"/>
    <x v="1"/>
    <n v="9"/>
    <s v="White"/>
    <n v="1"/>
    <n v="7399"/>
    <n v="5"/>
    <n v="7030"/>
    <n v="7030"/>
    <s v="UPI"/>
    <x v="1"/>
    <s v="India"/>
    <x v="31"/>
    <s v="Coimbatore"/>
    <s v="Premium Shopper"/>
    <x v="2"/>
    <n v="3.8"/>
    <s v="Delivered"/>
    <s v="Standard"/>
    <n v="3"/>
  </r>
  <r>
    <s v="ORD202646"/>
    <s v="CUST101012"/>
    <s v="Men"/>
    <s v="18-24"/>
    <x v="1684"/>
    <x v="4"/>
    <x v="22"/>
    <x v="0"/>
    <n v="10"/>
    <s v="Grey"/>
    <n v="1"/>
    <n v="8499"/>
    <n v="35"/>
    <n v="5520"/>
    <n v="5520"/>
    <s v="Debit/Credit Card"/>
    <x v="2"/>
    <s v="India"/>
    <x v="16"/>
    <s v="Vadodara"/>
    <s v="Lifestyle Shopper"/>
    <x v="0"/>
    <n v="4.3"/>
    <s v="Cancelled"/>
    <s v="Standard"/>
    <n v="7"/>
  </r>
  <r>
    <s v="ORD201072"/>
    <s v="CUST100270"/>
    <s v="Men"/>
    <s v="45-54"/>
    <x v="1685"/>
    <x v="0"/>
    <x v="19"/>
    <x v="4"/>
    <n v="10"/>
    <s v="Red"/>
    <n v="1"/>
    <n v="4299"/>
    <n v="25"/>
    <n v="3220"/>
    <n v="3220"/>
    <s v="UPI"/>
    <x v="0"/>
    <s v="India"/>
    <x v="15"/>
    <s v="Rohini"/>
    <s v="Lifestyle Shopper"/>
    <x v="2"/>
    <n v="4.0999999999999996"/>
    <s v="Delivered"/>
    <s v="Same Day"/>
    <n v="1"/>
  </r>
  <r>
    <s v="ORD201796"/>
    <s v="CUST100454"/>
    <s v="Men"/>
    <s v="25-34"/>
    <x v="1685"/>
    <x v="2"/>
    <x v="3"/>
    <x v="2"/>
    <n v="9"/>
    <s v="Black"/>
    <n v="4"/>
    <n v="4799"/>
    <n v="25"/>
    <n v="3600"/>
    <n v="14400"/>
    <s v="Debit/Credit Card"/>
    <x v="1"/>
    <s v="India"/>
    <x v="1"/>
    <s v="Panaji"/>
    <s v="Value Shopper"/>
    <x v="1"/>
    <n v="3.9"/>
    <s v="Delivered"/>
    <s v="Standard"/>
    <n v="3"/>
  </r>
  <r>
    <s v="ORD200184"/>
    <s v="CUST100350"/>
    <s v="Women"/>
    <s v="25-34"/>
    <x v="1686"/>
    <x v="5"/>
    <x v="27"/>
    <x v="0"/>
    <n v="7"/>
    <s v="Green"/>
    <n v="1"/>
    <n v="6499"/>
    <n v="10"/>
    <n v="5850"/>
    <n v="5850"/>
    <s v="Debit/Credit Card"/>
    <x v="1"/>
    <s v="India"/>
    <x v="22"/>
    <s v="Dharmanagar"/>
    <s v="Performance Seeker"/>
    <x v="1"/>
    <n v="3.6"/>
    <s v="Returned"/>
    <s v="Standard"/>
    <n v="3"/>
  </r>
  <r>
    <s v="ORD200244"/>
    <s v="CUST100056"/>
    <s v="Men"/>
    <s v="45-54"/>
    <x v="1687"/>
    <x v="1"/>
    <x v="1"/>
    <x v="1"/>
    <n v="11"/>
    <s v="Black"/>
    <n v="1"/>
    <n v="4299"/>
    <n v="25"/>
    <n v="3220"/>
    <n v="3220"/>
    <s v="UPI"/>
    <x v="1"/>
    <s v="India"/>
    <x v="3"/>
    <s v="Kota"/>
    <s v="Comfort Shopper"/>
    <x v="2"/>
    <n v="4.4000000000000004"/>
    <s v="Returned"/>
    <s v="Standard"/>
    <n v="3"/>
  </r>
  <r>
    <s v="ORD201961"/>
    <s v="CUST100258"/>
    <s v="Women"/>
    <s v="35-44"/>
    <x v="1688"/>
    <x v="4"/>
    <x v="9"/>
    <x v="1"/>
    <n v="7"/>
    <s v="Black"/>
    <n v="3"/>
    <n v="7599"/>
    <n v="15"/>
    <n v="6460"/>
    <n v="19380"/>
    <s v="UPI"/>
    <x v="2"/>
    <s v="India"/>
    <x v="27"/>
    <s v="Rourkela"/>
    <s v="Lifestyle Shopper"/>
    <x v="0"/>
    <n v="3.7"/>
    <s v="Returned"/>
    <s v="Standard"/>
    <n v="3"/>
  </r>
  <r>
    <s v="ORD202459"/>
    <s v="CUST100206"/>
    <s v="Men"/>
    <s v="25-34"/>
    <x v="1689"/>
    <x v="0"/>
    <x v="8"/>
    <x v="3"/>
    <n v="9"/>
    <s v="Grey"/>
    <n v="2"/>
    <n v="9299"/>
    <n v="20"/>
    <n v="7440"/>
    <n v="14880"/>
    <s v="UPI"/>
    <x v="0"/>
    <s v="India"/>
    <x v="15"/>
    <s v="Rohini"/>
    <s v="Performance Seeker"/>
    <x v="1"/>
    <n v="4.5"/>
    <s v="Delivered"/>
    <s v="Standard"/>
    <n v="4"/>
  </r>
  <r>
    <s v="ORD200523"/>
    <s v="CUST100015"/>
    <s v="Women"/>
    <s v="18-24"/>
    <x v="1690"/>
    <x v="1"/>
    <x v="33"/>
    <x v="0"/>
    <n v="10"/>
    <s v="Green"/>
    <n v="3"/>
    <n v="9499"/>
    <n v="15"/>
    <n v="8070"/>
    <n v="24210"/>
    <s v="UPI"/>
    <x v="0"/>
    <s v="India"/>
    <x v="25"/>
    <s v="Anantnag"/>
    <s v="Lifestyle Shopper"/>
    <x v="2"/>
    <n v="3.5"/>
    <s v="Returned"/>
    <s v="Standard"/>
    <n v="2"/>
  </r>
  <r>
    <s v="ORD202453"/>
    <s v="CUST100027"/>
    <s v="Men"/>
    <s v="35-44"/>
    <x v="1691"/>
    <x v="5"/>
    <x v="14"/>
    <x v="3"/>
    <n v="10"/>
    <s v="Black"/>
    <n v="1"/>
    <n v="8299"/>
    <n v="30"/>
    <n v="5810"/>
    <n v="5810"/>
    <s v="UPI"/>
    <x v="1"/>
    <s v="India"/>
    <x v="31"/>
    <s v="Madurai"/>
    <s v="Value Shopper"/>
    <x v="2"/>
    <n v="4.2"/>
    <s v="Delivered"/>
    <s v="Standard"/>
    <n v="4"/>
  </r>
  <r>
    <s v="ORD201387"/>
    <s v="CUST100612"/>
    <s v="Men"/>
    <s v="35-44"/>
    <x v="1692"/>
    <x v="1"/>
    <x v="10"/>
    <x v="3"/>
    <n v="8"/>
    <s v="Green"/>
    <n v="3"/>
    <n v="4699"/>
    <n v="25"/>
    <n v="3520"/>
    <n v="10560"/>
    <s v="UPI"/>
    <x v="2"/>
    <s v="India"/>
    <x v="31"/>
    <s v="Chennai"/>
    <s v="Premium Shopper"/>
    <x v="1"/>
    <n v="4"/>
    <s v="Cancelled"/>
    <s v="Standard"/>
    <n v="4"/>
  </r>
  <r>
    <s v="ORD201106"/>
    <s v="CUST100558"/>
    <s v="Unisex"/>
    <s v="25-34"/>
    <x v="1693"/>
    <x v="3"/>
    <x v="5"/>
    <x v="2"/>
    <n v="10"/>
    <s v="White"/>
    <n v="1"/>
    <n v="7599"/>
    <n v="25"/>
    <n v="5700"/>
    <n v="5700"/>
    <s v="UPI"/>
    <x v="1"/>
    <s v="India"/>
    <x v="23"/>
    <s v="Haridwar"/>
    <s v="Comfort Shopper"/>
    <x v="2"/>
    <n v="3.8"/>
    <s v="Delivered"/>
    <s v="Standard"/>
    <n v="2"/>
  </r>
  <r>
    <s v="ORD202046"/>
    <s v="CUST100538"/>
    <s v="Unisex"/>
    <s v="45-54"/>
    <x v="1693"/>
    <x v="0"/>
    <x v="2"/>
    <x v="2"/>
    <n v="9"/>
    <s v="Blue"/>
    <n v="3"/>
    <n v="5299"/>
    <n v="10"/>
    <n v="4770"/>
    <n v="14310"/>
    <s v="UPI"/>
    <x v="1"/>
    <s v="India"/>
    <x v="15"/>
    <s v="Dwarka"/>
    <s v="Value Shopper"/>
    <x v="1"/>
    <n v="5"/>
    <s v="Delivered"/>
    <s v="Standard"/>
    <n v="4"/>
  </r>
  <r>
    <s v="ORD202049"/>
    <s v="CUST100101"/>
    <s v="Men"/>
    <s v="25-34"/>
    <x v="1693"/>
    <x v="4"/>
    <x v="29"/>
    <x v="2"/>
    <n v="8"/>
    <s v="Blue"/>
    <n v="2"/>
    <n v="8899"/>
    <n v="15"/>
    <n v="7560"/>
    <n v="15120"/>
    <s v="UPI"/>
    <x v="1"/>
    <s v="India"/>
    <x v="2"/>
    <s v="Faridabad"/>
    <s v="Lifestyle Shopper"/>
    <x v="2"/>
    <n v="4.2"/>
    <s v="Delivered"/>
    <s v="Express"/>
    <n v="2"/>
  </r>
  <r>
    <s v="ORD202140"/>
    <s v="CUST100129"/>
    <s v="Men"/>
    <s v="18-24"/>
    <x v="1693"/>
    <x v="4"/>
    <x v="22"/>
    <x v="0"/>
    <n v="8"/>
    <s v="Blue"/>
    <n v="2"/>
    <n v="8199"/>
    <n v="0"/>
    <n v="8200"/>
    <n v="16400"/>
    <s v="UPI"/>
    <x v="1"/>
    <s v="India"/>
    <x v="6"/>
    <s v="Lucknow"/>
    <s v="Lifestyle Shopper"/>
    <x v="2"/>
    <n v="2.9"/>
    <s v="Delivered"/>
    <s v="Express"/>
    <n v="1"/>
  </r>
  <r>
    <s v="ORD202524"/>
    <s v="CUST100275"/>
    <s v="Women"/>
    <s v="45-54"/>
    <x v="1693"/>
    <x v="3"/>
    <x v="5"/>
    <x v="2"/>
    <n v="9"/>
    <s v="Blue"/>
    <n v="1"/>
    <n v="4299"/>
    <n v="20"/>
    <n v="3440"/>
    <n v="3440"/>
    <s v="UPI"/>
    <x v="2"/>
    <s v="India"/>
    <x v="4"/>
    <s v="Namchi"/>
    <s v="Lifestyle Shopper"/>
    <x v="2"/>
    <n v="3.6"/>
    <s v="Delivered"/>
    <s v="Standard"/>
    <n v="6"/>
  </r>
  <r>
    <s v="ORD202819"/>
    <s v="CUST100730"/>
    <s v="Men"/>
    <s v="45-54"/>
    <x v="1693"/>
    <x v="5"/>
    <x v="21"/>
    <x v="2"/>
    <n v="12"/>
    <s v="Green"/>
    <n v="3"/>
    <n v="7799"/>
    <n v="15"/>
    <n v="6630"/>
    <n v="19890"/>
    <s v="UPI"/>
    <x v="0"/>
    <s v="India"/>
    <x v="9"/>
    <s v="Muzaffarpur"/>
    <s v="Value Shopper"/>
    <x v="0"/>
    <n v="4.3"/>
    <s v="Delivered"/>
    <s v="Standard"/>
    <n v="3"/>
  </r>
  <r>
    <s v="ORD202854"/>
    <s v="CUST100873"/>
    <s v="Men"/>
    <s v="35-44"/>
    <x v="1694"/>
    <x v="1"/>
    <x v="10"/>
    <x v="3"/>
    <n v="10"/>
    <s v="Black"/>
    <n v="2"/>
    <n v="8499"/>
    <n v="20"/>
    <n v="6800"/>
    <n v="13600"/>
    <s v="UPI"/>
    <x v="1"/>
    <s v="India"/>
    <x v="22"/>
    <s v="Kailasahar"/>
    <s v="Performance Seeker"/>
    <x v="1"/>
    <n v="4.2"/>
    <s v="Delivered"/>
    <s v="Express"/>
    <n v="3"/>
  </r>
  <r>
    <s v="ORD200760"/>
    <s v="CUST100718"/>
    <s v="Unisex"/>
    <s v="35-44"/>
    <x v="1695"/>
    <x v="2"/>
    <x v="24"/>
    <x v="4"/>
    <n v="10"/>
    <s v="Blue"/>
    <n v="1"/>
    <n v="6699"/>
    <n v="25"/>
    <n v="5020"/>
    <n v="5020"/>
    <s v="UPI"/>
    <x v="0"/>
    <s v="India"/>
    <x v="3"/>
    <s v="Kota"/>
    <s v="Comfort Shopper"/>
    <x v="0"/>
    <n v="2.8"/>
    <s v="Delivered"/>
    <s v="Standard"/>
    <n v="5"/>
  </r>
  <r>
    <s v="ORD201813"/>
    <s v="CUST101039"/>
    <s v="Men"/>
    <s v="55+"/>
    <x v="1695"/>
    <x v="4"/>
    <x v="9"/>
    <x v="1"/>
    <n v="6"/>
    <s v="Red"/>
    <n v="1"/>
    <n v="4999"/>
    <n v="20"/>
    <n v="4000"/>
    <n v="4000"/>
    <s v="Debit/Credit Card"/>
    <x v="1"/>
    <s v="India"/>
    <x v="30"/>
    <s v="Chandigarh"/>
    <s v="Comfort Shopper"/>
    <x v="0"/>
    <n v="4.5999999999999996"/>
    <s v="Delivered"/>
    <s v="Standard"/>
    <n v="2"/>
  </r>
  <r>
    <s v="ORD202090"/>
    <s v="CUST100471"/>
    <s v="Men"/>
    <s v="18-24"/>
    <x v="1695"/>
    <x v="2"/>
    <x v="32"/>
    <x v="1"/>
    <n v="8"/>
    <s v="Red"/>
    <n v="1"/>
    <n v="8299"/>
    <n v="15"/>
    <n v="7050"/>
    <n v="7050"/>
    <s v="UPI"/>
    <x v="1"/>
    <s v="India"/>
    <x v="35"/>
    <s v="Kolasib"/>
    <s v="Value Shopper"/>
    <x v="2"/>
    <n v="4.3"/>
    <s v="Cancelled"/>
    <s v="Express"/>
    <n v="3"/>
  </r>
  <r>
    <s v="ORD200741"/>
    <s v="CUST100122"/>
    <s v="Men"/>
    <s v="45-54"/>
    <x v="1696"/>
    <x v="0"/>
    <x v="13"/>
    <x v="2"/>
    <n v="9"/>
    <s v="Black"/>
    <n v="1"/>
    <n v="9499"/>
    <n v="20"/>
    <n v="7600"/>
    <n v="7600"/>
    <s v="Cash on Delivery"/>
    <x v="2"/>
    <s v="India"/>
    <x v="28"/>
    <s v="Diskit"/>
    <s v="Premium Shopper"/>
    <x v="2"/>
    <n v="4"/>
    <s v="Delivered"/>
    <s v="Express"/>
    <n v="3"/>
  </r>
  <r>
    <s v="ORD202937"/>
    <s v="CUST100117"/>
    <s v="Men"/>
    <s v="18-24"/>
    <x v="1696"/>
    <x v="3"/>
    <x v="5"/>
    <x v="2"/>
    <n v="7"/>
    <s v="Grey"/>
    <n v="2"/>
    <n v="3999"/>
    <n v="20"/>
    <n v="3200"/>
    <n v="6400"/>
    <s v="UPI"/>
    <x v="2"/>
    <s v="India"/>
    <x v="22"/>
    <s v="Dharmanagar"/>
    <s v="Premium Shopper"/>
    <x v="2"/>
    <n v="4.7"/>
    <s v="Delivered"/>
    <s v="Standard"/>
    <n v="4"/>
  </r>
  <r>
    <s v="ORD202601"/>
    <s v="CUST100107"/>
    <s v="Men"/>
    <s v="18-24"/>
    <x v="1697"/>
    <x v="1"/>
    <x v="33"/>
    <x v="0"/>
    <n v="7"/>
    <s v="Red"/>
    <n v="2"/>
    <n v="5999"/>
    <n v="20"/>
    <n v="4800"/>
    <n v="9600"/>
    <s v="Cash on Delivery"/>
    <x v="2"/>
    <s v="India"/>
    <x v="0"/>
    <s v="Guwahati"/>
    <s v="Comfort Shopper"/>
    <x v="2"/>
    <n v="4.0999999999999996"/>
    <s v="Delivered"/>
    <s v="Standard"/>
    <n v="6"/>
  </r>
  <r>
    <s v="ORD202465"/>
    <s v="CUST100305"/>
    <s v="Unisex"/>
    <s v="35-44"/>
    <x v="1698"/>
    <x v="1"/>
    <x v="1"/>
    <x v="1"/>
    <n v="10"/>
    <s v="Blue"/>
    <n v="1"/>
    <n v="3999"/>
    <n v="20"/>
    <n v="3200"/>
    <n v="3200"/>
    <s v="UPI"/>
    <x v="2"/>
    <s v="India"/>
    <x v="4"/>
    <s v="Gangtok"/>
    <s v="Comfort Shopper"/>
    <x v="2"/>
    <n v="3.6"/>
    <s v="Delivered"/>
    <s v="Standard"/>
    <n v="6"/>
  </r>
  <r>
    <s v="ORD202154"/>
    <s v="CUST100038"/>
    <s v="Women"/>
    <s v="25-34"/>
    <x v="1699"/>
    <x v="2"/>
    <x v="24"/>
    <x v="4"/>
    <n v="7"/>
    <s v="Black"/>
    <n v="1"/>
    <n v="6299"/>
    <n v="20"/>
    <n v="5040"/>
    <n v="5040"/>
    <s v="UPI"/>
    <x v="1"/>
    <s v="India"/>
    <x v="33"/>
    <s v="Nagpur"/>
    <s v="Comfort Shopper"/>
    <x v="2"/>
    <n v="4"/>
    <s v="Delivered"/>
    <s v="Standard"/>
    <n v="3"/>
  </r>
  <r>
    <s v="ORD202781"/>
    <s v="CUST100181"/>
    <s v="Men"/>
    <s v="25-34"/>
    <x v="1699"/>
    <x v="5"/>
    <x v="14"/>
    <x v="3"/>
    <n v="7"/>
    <s v="Green"/>
    <n v="1"/>
    <n v="8699"/>
    <n v="0"/>
    <n v="8700"/>
    <n v="8700"/>
    <s v="Debit/Credit Card"/>
    <x v="0"/>
    <s v="India"/>
    <x v="30"/>
    <s v="Chandigarh"/>
    <s v="Performance Seeker"/>
    <x v="1"/>
    <n v="3.7"/>
    <s v="Returned"/>
    <s v="Standard"/>
    <n v="3"/>
  </r>
  <r>
    <s v="ORD202836"/>
    <s v="CUST100096"/>
    <s v="Men"/>
    <s v="45-54"/>
    <x v="1700"/>
    <x v="3"/>
    <x v="35"/>
    <x v="2"/>
    <n v="8"/>
    <s v="Black"/>
    <n v="1"/>
    <n v="6399"/>
    <n v="15"/>
    <n v="5440"/>
    <n v="5440"/>
    <s v="UPI"/>
    <x v="0"/>
    <s v="India"/>
    <x v="4"/>
    <s v="Gangtok"/>
    <s v="Performance Seeker"/>
    <x v="1"/>
    <n v="4"/>
    <s v="Returned"/>
    <s v="Standard"/>
    <n v="1"/>
  </r>
  <r>
    <s v="ORD200158"/>
    <s v="CUST100447"/>
    <s v="Men"/>
    <s v="25-34"/>
    <x v="1701"/>
    <x v="1"/>
    <x v="18"/>
    <x v="2"/>
    <n v="11"/>
    <s v="Black"/>
    <n v="1"/>
    <n v="9599"/>
    <n v="15"/>
    <n v="8160"/>
    <n v="8160"/>
    <s v="UPI"/>
    <x v="2"/>
    <s v="India"/>
    <x v="26"/>
    <s v="Thrissur"/>
    <s v="Performance Seeker"/>
    <x v="2"/>
    <n v="3.1"/>
    <s v="Delivered"/>
    <s v="Standard"/>
    <n v="4"/>
  </r>
  <r>
    <s v="ORD201749"/>
    <s v="CUST100449"/>
    <s v="Men"/>
    <s v="18-24"/>
    <x v="1702"/>
    <x v="3"/>
    <x v="35"/>
    <x v="2"/>
    <n v="8"/>
    <s v="Black"/>
    <n v="2"/>
    <n v="7199"/>
    <n v="10"/>
    <n v="6480"/>
    <n v="12960"/>
    <s v="Cash on Delivery"/>
    <x v="2"/>
    <s v="India"/>
    <x v="31"/>
    <s v="Tiruchirappalli"/>
    <s v="Comfort Shopper"/>
    <x v="2"/>
    <n v="5"/>
    <s v="Delivered"/>
    <s v="Standard"/>
    <n v="1"/>
  </r>
  <r>
    <s v="ORD202976"/>
    <s v="CUST100733"/>
    <s v="Men"/>
    <s v="25-34"/>
    <x v="1702"/>
    <x v="3"/>
    <x v="34"/>
    <x v="3"/>
    <n v="9"/>
    <s v="Black"/>
    <n v="1"/>
    <n v="4599"/>
    <n v="20"/>
    <n v="3680"/>
    <n v="3680"/>
    <s v="UPI"/>
    <x v="1"/>
    <s v="India"/>
    <x v="18"/>
    <s v="Korba"/>
    <s v="Lifestyle Shopper"/>
    <x v="1"/>
    <n v="5"/>
    <s v="Delivered"/>
    <s v="Standard"/>
    <n v="5"/>
  </r>
  <r>
    <s v="ORD202704"/>
    <s v="CUST100672"/>
    <s v="Unisex"/>
    <s v="25-34"/>
    <x v="1703"/>
    <x v="5"/>
    <x v="27"/>
    <x v="0"/>
    <n v="8"/>
    <s v="Blue"/>
    <n v="2"/>
    <n v="7699"/>
    <n v="30"/>
    <n v="5390"/>
    <n v="10780"/>
    <s v="UPI"/>
    <x v="1"/>
    <s v="India"/>
    <x v="23"/>
    <s v="Haridwar"/>
    <s v="Performance Seeker"/>
    <x v="2"/>
    <n v="4.4000000000000004"/>
    <s v="Delivered"/>
    <s v="Express"/>
    <n v="2"/>
  </r>
  <r>
    <s v="ORD201362"/>
    <s v="CUST100279"/>
    <s v="Men"/>
    <s v="18-24"/>
    <x v="1704"/>
    <x v="1"/>
    <x v="10"/>
    <x v="3"/>
    <n v="6"/>
    <s v="Blue"/>
    <n v="1"/>
    <n v="4399"/>
    <n v="10"/>
    <n v="3960"/>
    <n v="3960"/>
    <s v="Debit/Credit Card"/>
    <x v="1"/>
    <s v="India"/>
    <x v="5"/>
    <s v="Kakching"/>
    <s v="Lifestyle Shopper"/>
    <x v="1"/>
    <n v="4"/>
    <s v="Delivered"/>
    <s v="Standard"/>
    <n v="5"/>
  </r>
  <r>
    <s v="ORD200236"/>
    <s v="CUST100541"/>
    <s v="Men"/>
    <s v="25-34"/>
    <x v="1705"/>
    <x v="0"/>
    <x v="2"/>
    <x v="2"/>
    <n v="10"/>
    <s v="Green"/>
    <n v="1"/>
    <n v="8599"/>
    <n v="10"/>
    <n v="7740"/>
    <n v="7740"/>
    <s v="Debit/Credit Card"/>
    <x v="2"/>
    <s v="India"/>
    <x v="14"/>
    <s v="Ludhiana"/>
    <s v="Value Shopper"/>
    <x v="1"/>
    <n v="3.6"/>
    <s v="Cancelled"/>
    <s v="Same Day"/>
    <n v="1"/>
  </r>
  <r>
    <s v="ORD202709"/>
    <s v="CUST100570"/>
    <s v="Men"/>
    <s v="25-34"/>
    <x v="1705"/>
    <x v="2"/>
    <x v="23"/>
    <x v="0"/>
    <n v="10"/>
    <s v="Red"/>
    <n v="1"/>
    <n v="8799"/>
    <n v="15"/>
    <n v="7480"/>
    <n v="7480"/>
    <s v="UPI"/>
    <x v="1"/>
    <s v="India"/>
    <x v="21"/>
    <s v="Mokokchung"/>
    <s v="Performance Seeker"/>
    <x v="0"/>
    <n v="3"/>
    <s v="Delivered"/>
    <s v="Standard"/>
    <n v="5"/>
  </r>
  <r>
    <s v="ORD200192"/>
    <s v="CUST100700"/>
    <s v="Women"/>
    <s v="35-44"/>
    <x v="1706"/>
    <x v="5"/>
    <x v="27"/>
    <x v="0"/>
    <n v="9"/>
    <s v="Red"/>
    <n v="1"/>
    <n v="5899"/>
    <n v="20"/>
    <n v="4720"/>
    <n v="4720"/>
    <s v="Net Banking"/>
    <x v="1"/>
    <s v="India"/>
    <x v="30"/>
    <s v="Chandigarh"/>
    <s v="Value Shopper"/>
    <x v="2"/>
    <n v="3"/>
    <s v="Delivered"/>
    <s v="Standard"/>
    <n v="3"/>
  </r>
  <r>
    <s v="ORD202696"/>
    <s v="CUST100021"/>
    <s v="Men"/>
    <s v="25-34"/>
    <x v="1706"/>
    <x v="3"/>
    <x v="35"/>
    <x v="2"/>
    <n v="9"/>
    <s v="Blue"/>
    <n v="2"/>
    <n v="7099"/>
    <n v="5"/>
    <n v="6740"/>
    <n v="13480"/>
    <s v="UPI"/>
    <x v="1"/>
    <s v="India"/>
    <x v="19"/>
    <s v="Nongpoh"/>
    <s v="Premium Shopper"/>
    <x v="2"/>
    <n v="3.6"/>
    <s v="Delivered"/>
    <s v="Standard"/>
    <n v="3"/>
  </r>
  <r>
    <s v="ORD200111"/>
    <s v="CUST100018"/>
    <s v="Women"/>
    <s v="25-34"/>
    <x v="1707"/>
    <x v="0"/>
    <x v="8"/>
    <x v="3"/>
    <n v="10"/>
    <s v="Green"/>
    <n v="1"/>
    <n v="4099"/>
    <n v="25"/>
    <n v="3070"/>
    <n v="3070"/>
    <s v="UPI"/>
    <x v="1"/>
    <s v="India"/>
    <x v="19"/>
    <s v="Jowai"/>
    <s v="Performance Seeker"/>
    <x v="2"/>
    <n v="4.2"/>
    <s v="Delivered"/>
    <s v="Express"/>
    <n v="2"/>
  </r>
  <r>
    <s v="ORD201185"/>
    <s v="CUST100300"/>
    <s v="Men"/>
    <s v="35-44"/>
    <x v="1707"/>
    <x v="2"/>
    <x v="32"/>
    <x v="1"/>
    <n v="8"/>
    <s v="Blue"/>
    <n v="1"/>
    <n v="6999"/>
    <n v="10"/>
    <n v="6300"/>
    <n v="6300"/>
    <s v="UPI"/>
    <x v="2"/>
    <s v="India"/>
    <x v="14"/>
    <s v="Patiala"/>
    <s v="Value Shopper"/>
    <x v="2"/>
    <n v="3.1"/>
    <s v="Delivered"/>
    <s v="Express"/>
    <n v="1"/>
  </r>
  <r>
    <s v="ORD201276"/>
    <s v="CUST100431"/>
    <s v="Women"/>
    <s v="45-54"/>
    <x v="1708"/>
    <x v="0"/>
    <x v="0"/>
    <x v="0"/>
    <n v="12"/>
    <s v="Blue"/>
    <n v="1"/>
    <n v="5399"/>
    <n v="10"/>
    <n v="4860"/>
    <n v="4860"/>
    <s v="UPI"/>
    <x v="2"/>
    <s v="India"/>
    <x v="24"/>
    <s v="Mysuru"/>
    <s v="Performance Seeker"/>
    <x v="1"/>
    <n v="4.3"/>
    <s v="Cancelled"/>
    <s v="Standard"/>
    <n v="3"/>
  </r>
  <r>
    <s v="ORD202231"/>
    <s v="CUST100182"/>
    <s v="Unisex"/>
    <s v="25-34"/>
    <x v="1708"/>
    <x v="0"/>
    <x v="13"/>
    <x v="2"/>
    <n v="12"/>
    <s v="Black"/>
    <n v="1"/>
    <n v="6499"/>
    <n v="25"/>
    <n v="4870"/>
    <n v="4870"/>
    <s v="Debit/Credit Card"/>
    <x v="0"/>
    <s v="India"/>
    <x v="19"/>
    <s v="Nongpoh"/>
    <s v="Performance Seeker"/>
    <x v="2"/>
    <n v="4"/>
    <s v="Returned"/>
    <s v="Express"/>
    <n v="4"/>
  </r>
  <r>
    <s v="ORD201228"/>
    <s v="CUST100811"/>
    <s v="Unisex"/>
    <s v="35-44"/>
    <x v="1709"/>
    <x v="0"/>
    <x v="31"/>
    <x v="1"/>
    <n v="9"/>
    <s v="Black"/>
    <n v="1"/>
    <n v="7299"/>
    <n v="10"/>
    <n v="6570"/>
    <n v="6570"/>
    <s v="UPI"/>
    <x v="1"/>
    <s v="India"/>
    <x v="6"/>
    <s v="Varanasi"/>
    <s v="Premium Shopper"/>
    <x v="1"/>
    <n v="4.0999999999999996"/>
    <s v="Cancelled"/>
    <s v="Standard"/>
    <n v="3"/>
  </r>
  <r>
    <s v="ORD200224"/>
    <s v="CUST100014"/>
    <s v="Women"/>
    <s v="18-24"/>
    <x v="1710"/>
    <x v="0"/>
    <x v="19"/>
    <x v="4"/>
    <n v="8"/>
    <s v="White"/>
    <n v="1"/>
    <n v="8199"/>
    <n v="20"/>
    <n v="6560"/>
    <n v="6560"/>
    <s v="UPI"/>
    <x v="2"/>
    <s v="India"/>
    <x v="13"/>
    <s v="Naharlagun"/>
    <s v="Performance Seeker"/>
    <x v="2"/>
    <n v="3.4"/>
    <s v="Delivered"/>
    <s v="Standard"/>
    <n v="2"/>
  </r>
  <r>
    <s v="ORD200637"/>
    <s v="CUST100490"/>
    <s v="Men"/>
    <s v="35-44"/>
    <x v="1711"/>
    <x v="3"/>
    <x v="11"/>
    <x v="4"/>
    <n v="8"/>
    <s v="Red"/>
    <n v="3"/>
    <n v="7899"/>
    <n v="10"/>
    <n v="7110"/>
    <n v="21330"/>
    <s v="UPI"/>
    <x v="2"/>
    <s v="India"/>
    <x v="1"/>
    <s v="Vasco da Gama"/>
    <s v="Premium Shopper"/>
    <x v="1"/>
    <n v="3.5"/>
    <s v="Cancelled"/>
    <s v="Standard"/>
    <n v="2"/>
  </r>
  <r>
    <s v="ORD201523"/>
    <s v="CUST100077"/>
    <s v="Women"/>
    <s v="55+"/>
    <x v="1711"/>
    <x v="2"/>
    <x v="24"/>
    <x v="4"/>
    <n v="8"/>
    <s v="Green"/>
    <n v="2"/>
    <n v="4399"/>
    <n v="15"/>
    <n v="3740"/>
    <n v="7480"/>
    <s v="UPI"/>
    <x v="2"/>
    <s v="India"/>
    <x v="1"/>
    <s v="Mapusa"/>
    <s v="Lifestyle Shopper"/>
    <x v="2"/>
    <n v="4"/>
    <s v="Returned"/>
    <s v="Standard"/>
    <n v="4"/>
  </r>
  <r>
    <s v="ORD201694"/>
    <s v="CUST100678"/>
    <s v="Men"/>
    <s v="25-34"/>
    <x v="1712"/>
    <x v="3"/>
    <x v="11"/>
    <x v="4"/>
    <n v="8"/>
    <s v="Blue"/>
    <n v="1"/>
    <n v="5399"/>
    <n v="15"/>
    <n v="4590"/>
    <n v="4590"/>
    <s v="UPI"/>
    <x v="0"/>
    <s v="India"/>
    <x v="33"/>
    <s v="Nagpur"/>
    <s v="Lifestyle Shopper"/>
    <x v="1"/>
    <n v="3.9"/>
    <s v="Delivered"/>
    <s v="Express"/>
    <n v="2"/>
  </r>
  <r>
    <s v="ORD200712"/>
    <s v="CUST100743"/>
    <s v="Men"/>
    <s v="25-34"/>
    <x v="1713"/>
    <x v="4"/>
    <x v="6"/>
    <x v="2"/>
    <n v="7"/>
    <s v="Grey"/>
    <n v="3"/>
    <n v="9599"/>
    <n v="20"/>
    <n v="7680"/>
    <n v="23040"/>
    <s v="Debit/Credit Card"/>
    <x v="2"/>
    <s v="India"/>
    <x v="11"/>
    <s v="Kavaratti"/>
    <s v="Comfort Shopper"/>
    <x v="1"/>
    <n v="3.2"/>
    <s v="Cancelled"/>
    <s v="Express"/>
    <n v="3"/>
  </r>
  <r>
    <s v="ORD201155"/>
    <s v="CUST100598"/>
    <s v="Unisex"/>
    <s v="35-44"/>
    <x v="1713"/>
    <x v="4"/>
    <x v="17"/>
    <x v="4"/>
    <n v="7"/>
    <s v="Green"/>
    <n v="1"/>
    <n v="5799"/>
    <n v="20"/>
    <n v="4640"/>
    <n v="4640"/>
    <s v="UPI"/>
    <x v="2"/>
    <s v="India"/>
    <x v="20"/>
    <s v="Shimla"/>
    <s v="Lifestyle Shopper"/>
    <x v="2"/>
    <n v="4.4000000000000004"/>
    <s v="Delivered"/>
    <s v="Same Day"/>
    <n v="2"/>
  </r>
  <r>
    <s v="ORD202033"/>
    <s v="CUST100267"/>
    <s v="Women"/>
    <s v="18-24"/>
    <x v="1714"/>
    <x v="0"/>
    <x v="8"/>
    <x v="3"/>
    <n v="9"/>
    <s v="White"/>
    <n v="1"/>
    <n v="6699"/>
    <n v="15"/>
    <n v="5690"/>
    <n v="5690"/>
    <s v="Debit/Credit Card"/>
    <x v="1"/>
    <s v="India"/>
    <x v="35"/>
    <s v="Aizawl"/>
    <s v="Comfort Shopper"/>
    <x v="2"/>
    <n v="3.8"/>
    <s v="Delivered"/>
    <s v="Express"/>
    <n v="2"/>
  </r>
  <r>
    <s v="ORD200078"/>
    <s v="CUST100089"/>
    <s v="Men"/>
    <s v="35-44"/>
    <x v="1715"/>
    <x v="2"/>
    <x v="25"/>
    <x v="3"/>
    <n v="12"/>
    <s v="Green"/>
    <n v="2"/>
    <n v="6799"/>
    <n v="25"/>
    <n v="5100"/>
    <n v="10200"/>
    <s v="UPI"/>
    <x v="2"/>
    <s v="India"/>
    <x v="33"/>
    <s v="Mumbai"/>
    <s v="Comfort Shopper"/>
    <x v="1"/>
    <n v="3.2"/>
    <s v="Delivered"/>
    <s v="Standard"/>
    <n v="4"/>
  </r>
  <r>
    <s v="ORD200736"/>
    <s v="CUST100366"/>
    <s v="Men"/>
    <s v="18-24"/>
    <x v="1715"/>
    <x v="5"/>
    <x v="27"/>
    <x v="0"/>
    <n v="10"/>
    <s v="Green"/>
    <n v="1"/>
    <n v="7999"/>
    <n v="20"/>
    <n v="6400"/>
    <n v="6400"/>
    <s v="Debit/Credit Card"/>
    <x v="1"/>
    <s v="India"/>
    <x v="29"/>
    <s v="Guntur"/>
    <s v="Lifestyle Shopper"/>
    <x v="2"/>
    <n v="3.9"/>
    <s v="Delivered"/>
    <s v="Express"/>
    <n v="1"/>
  </r>
  <r>
    <s v="ORD200291"/>
    <s v="CUST100479"/>
    <s v="Women"/>
    <s v="35-44"/>
    <x v="1716"/>
    <x v="3"/>
    <x v="34"/>
    <x v="3"/>
    <n v="8"/>
    <s v="Green"/>
    <n v="2"/>
    <n v="3599"/>
    <n v="25"/>
    <n v="2700"/>
    <n v="5400"/>
    <s v="UPI"/>
    <x v="0"/>
    <s v="India"/>
    <x v="24"/>
    <s v="Mysuru"/>
    <s v="Performance Seeker"/>
    <x v="1"/>
    <n v="3.6"/>
    <s v="Delivered"/>
    <s v="Express"/>
    <n v="1"/>
  </r>
  <r>
    <s v="ORD201233"/>
    <s v="CUST100144"/>
    <s v="Men"/>
    <s v="18-24"/>
    <x v="1717"/>
    <x v="5"/>
    <x v="30"/>
    <x v="2"/>
    <n v="10"/>
    <s v="Green"/>
    <n v="4"/>
    <n v="6599"/>
    <n v="25"/>
    <n v="4950"/>
    <n v="19800"/>
    <s v="Cash on Delivery"/>
    <x v="1"/>
    <s v="India"/>
    <x v="33"/>
    <s v="Nashik"/>
    <s v="Lifestyle Shopper"/>
    <x v="2"/>
    <n v="4.7"/>
    <s v="Returned"/>
    <s v="Standard"/>
    <n v="2"/>
  </r>
  <r>
    <s v="ORD201286"/>
    <s v="CUST100226"/>
    <s v="Men"/>
    <s v="35-44"/>
    <x v="1717"/>
    <x v="1"/>
    <x v="20"/>
    <x v="2"/>
    <n v="9"/>
    <s v="Grey"/>
    <n v="1"/>
    <n v="6199"/>
    <n v="0"/>
    <n v="6200"/>
    <n v="6200"/>
    <s v="UPI"/>
    <x v="2"/>
    <s v="India"/>
    <x v="13"/>
    <s v="Itanagar"/>
    <s v="Value Shopper"/>
    <x v="1"/>
    <n v="4.5999999999999996"/>
    <s v="Cancelled"/>
    <s v="Standard"/>
    <n v="4"/>
  </r>
  <r>
    <s v="ORD201340"/>
    <s v="CUST100755"/>
    <s v="Men"/>
    <s v="35-44"/>
    <x v="1717"/>
    <x v="0"/>
    <x v="0"/>
    <x v="0"/>
    <n v="8"/>
    <s v="Blue"/>
    <n v="1"/>
    <n v="6899"/>
    <n v="10"/>
    <n v="6210"/>
    <n v="6210"/>
    <s v="UPI"/>
    <x v="0"/>
    <s v="India"/>
    <x v="13"/>
    <s v="Itanagar"/>
    <s v="Value Shopper"/>
    <x v="2"/>
    <n v="3.9"/>
    <s v="Delivered"/>
    <s v="Express"/>
    <n v="2"/>
  </r>
  <r>
    <s v="ORD202450"/>
    <s v="CUST100186"/>
    <s v="Men"/>
    <s v="18-24"/>
    <x v="1717"/>
    <x v="4"/>
    <x v="6"/>
    <x v="2"/>
    <n v="8"/>
    <s v="Black"/>
    <n v="1"/>
    <n v="4299"/>
    <n v="20"/>
    <n v="3440"/>
    <n v="3440"/>
    <s v="UPI"/>
    <x v="0"/>
    <s v="India"/>
    <x v="5"/>
    <s v="Churachandpur"/>
    <s v="Lifestyle Shopper"/>
    <x v="1"/>
    <n v="3.8"/>
    <s v="Delivered"/>
    <s v="Standard"/>
    <n v="4"/>
  </r>
  <r>
    <s v="ORD200852"/>
    <s v="CUST100632"/>
    <s v="Men"/>
    <s v="25-34"/>
    <x v="1718"/>
    <x v="2"/>
    <x v="23"/>
    <x v="0"/>
    <n v="6"/>
    <s v="Grey"/>
    <n v="1"/>
    <n v="6199"/>
    <n v="10"/>
    <n v="5580"/>
    <n v="5580"/>
    <s v="Net Banking"/>
    <x v="1"/>
    <s v="India"/>
    <x v="24"/>
    <s v="Hubballi"/>
    <s v="Premium Shopper"/>
    <x v="0"/>
    <n v="4.8"/>
    <s v="Delivered"/>
    <s v="Standard"/>
    <n v="3"/>
  </r>
  <r>
    <s v="ORD201079"/>
    <s v="CUST100463"/>
    <s v="Women"/>
    <s v="45-54"/>
    <x v="1718"/>
    <x v="0"/>
    <x v="2"/>
    <x v="2"/>
    <n v="11"/>
    <s v="Blue"/>
    <n v="1"/>
    <n v="5799"/>
    <n v="20"/>
    <n v="4640"/>
    <n v="4640"/>
    <s v="Debit/Credit Card"/>
    <x v="1"/>
    <s v="India"/>
    <x v="8"/>
    <s v="Karimnagar"/>
    <s v="Performance Seeker"/>
    <x v="1"/>
    <n v="3"/>
    <s v="Delivered"/>
    <s v="Express"/>
    <n v="1"/>
  </r>
  <r>
    <s v="ORD200326"/>
    <s v="CUST100017"/>
    <s v="Men"/>
    <s v="25-34"/>
    <x v="1719"/>
    <x v="0"/>
    <x v="31"/>
    <x v="1"/>
    <n v="7"/>
    <s v="Green"/>
    <n v="1"/>
    <n v="8499"/>
    <n v="25"/>
    <n v="6370"/>
    <n v="6370"/>
    <s v="UPI"/>
    <x v="2"/>
    <s v="India"/>
    <x v="33"/>
    <s v="Pune"/>
    <s v="Performance Seeker"/>
    <x v="2"/>
    <n v="4.2"/>
    <s v="Delivered"/>
    <s v="Express"/>
    <n v="3"/>
  </r>
  <r>
    <s v="ORD201012"/>
    <s v="CUST100698"/>
    <s v="Men"/>
    <s v="45-54"/>
    <x v="1720"/>
    <x v="0"/>
    <x v="8"/>
    <x v="3"/>
    <n v="8"/>
    <s v="White"/>
    <n v="1"/>
    <n v="5699"/>
    <n v="0"/>
    <n v="5700"/>
    <n v="5700"/>
    <s v="UPI"/>
    <x v="1"/>
    <s v="India"/>
    <x v="30"/>
    <s v="Chandigarh"/>
    <s v="Value Shopper"/>
    <x v="1"/>
    <n v="4.9000000000000004"/>
    <s v="Delivered"/>
    <s v="Standard"/>
    <n v="4"/>
  </r>
  <r>
    <s v="ORD201208"/>
    <s v="CUST100785"/>
    <s v="Men"/>
    <s v="35-44"/>
    <x v="1720"/>
    <x v="1"/>
    <x v="12"/>
    <x v="4"/>
    <n v="9"/>
    <s v="Blue"/>
    <n v="1"/>
    <n v="7699"/>
    <n v="5"/>
    <n v="7310"/>
    <n v="7310"/>
    <s v="Debit/Credit Card"/>
    <x v="1"/>
    <s v="India"/>
    <x v="17"/>
    <s v="Puducherry"/>
    <s v="Lifestyle Shopper"/>
    <x v="2"/>
    <n v="3.3"/>
    <s v="Delivered"/>
    <s v="Express"/>
    <n v="2"/>
  </r>
  <r>
    <s v="ORD201328"/>
    <s v="CUST100013"/>
    <s v="Men"/>
    <s v="35-44"/>
    <x v="1721"/>
    <x v="5"/>
    <x v="27"/>
    <x v="0"/>
    <n v="9"/>
    <s v="Black"/>
    <n v="1"/>
    <n v="7599"/>
    <n v="15"/>
    <n v="6460"/>
    <n v="6460"/>
    <s v="UPI"/>
    <x v="2"/>
    <s v="India"/>
    <x v="14"/>
    <s v="Ludhiana"/>
    <s v="Lifestyle Shopper"/>
    <x v="2"/>
    <n v="4.0999999999999996"/>
    <s v="Delivered"/>
    <s v="Express"/>
    <n v="3"/>
  </r>
  <r>
    <s v="ORD202101"/>
    <s v="CUST100943"/>
    <s v="Unisex"/>
    <s v="35-44"/>
    <x v="1722"/>
    <x v="5"/>
    <x v="14"/>
    <x v="3"/>
    <n v="7"/>
    <s v="Blue"/>
    <n v="1"/>
    <n v="5299"/>
    <n v="15"/>
    <n v="4500"/>
    <n v="4500"/>
    <s v="Debit/Credit Card"/>
    <x v="1"/>
    <s v="India"/>
    <x v="0"/>
    <s v="Jorhat"/>
    <s v="Lifestyle Shopper"/>
    <x v="0"/>
    <n v="4.2"/>
    <s v="Delivered"/>
    <s v="Standard"/>
    <n v="4"/>
  </r>
  <r>
    <s v="ORD201854"/>
    <s v="CUST100276"/>
    <s v="Men"/>
    <s v="18-24"/>
    <x v="1723"/>
    <x v="4"/>
    <x v="22"/>
    <x v="0"/>
    <n v="9"/>
    <s v="Green"/>
    <n v="4"/>
    <n v="6199"/>
    <n v="10"/>
    <n v="5580"/>
    <n v="22320"/>
    <s v="UPI"/>
    <x v="2"/>
    <s v="India"/>
    <x v="30"/>
    <s v="Burail"/>
    <s v="Value Shopper"/>
    <x v="2"/>
    <n v="4"/>
    <s v="Delivered"/>
    <s v="Express"/>
    <n v="2"/>
  </r>
  <r>
    <s v="ORD200518"/>
    <s v="CUST100743"/>
    <s v="Men"/>
    <s v="18-24"/>
    <x v="1724"/>
    <x v="0"/>
    <x v="8"/>
    <x v="3"/>
    <n v="8"/>
    <s v="Black"/>
    <n v="1"/>
    <n v="6299"/>
    <n v="0"/>
    <n v="6300"/>
    <n v="6300"/>
    <s v="Cash on Delivery"/>
    <x v="0"/>
    <s v="India"/>
    <x v="20"/>
    <s v="Mandi"/>
    <s v="Comfort Shopper"/>
    <x v="2"/>
    <n v="3.6"/>
    <s v="Delivered"/>
    <s v="Standard"/>
    <n v="2"/>
  </r>
  <r>
    <s v="ORD201679"/>
    <s v="CUST100288"/>
    <s v="Unisex"/>
    <s v="35-44"/>
    <x v="1725"/>
    <x v="2"/>
    <x v="4"/>
    <x v="2"/>
    <n v="10"/>
    <s v="Black"/>
    <n v="2"/>
    <n v="4099"/>
    <n v="20"/>
    <n v="3280"/>
    <n v="6560"/>
    <s v="UPI"/>
    <x v="2"/>
    <s v="India"/>
    <x v="7"/>
    <s v="Bhopal"/>
    <s v="Lifestyle Shopper"/>
    <x v="2"/>
    <n v="4.4000000000000004"/>
    <s v="Delivered"/>
    <s v="Express"/>
    <n v="3"/>
  </r>
  <r>
    <s v="ORD200137"/>
    <s v="CUST100439"/>
    <s v="Women"/>
    <s v="35-44"/>
    <x v="1726"/>
    <x v="2"/>
    <x v="24"/>
    <x v="4"/>
    <n v="9"/>
    <s v="Black"/>
    <n v="1"/>
    <n v="6599"/>
    <n v="20"/>
    <n v="5280"/>
    <n v="5280"/>
    <s v="Debit/Credit Card"/>
    <x v="2"/>
    <s v="India"/>
    <x v="23"/>
    <s v="Haldwani"/>
    <s v="Performance Seeker"/>
    <x v="2"/>
    <n v="4.4000000000000004"/>
    <s v="Delivered"/>
    <s v="Express"/>
    <n v="2"/>
  </r>
  <r>
    <s v="ORD200548"/>
    <s v="CUST100205"/>
    <s v="Unisex"/>
    <s v="55+"/>
    <x v="1726"/>
    <x v="3"/>
    <x v="11"/>
    <x v="4"/>
    <n v="8"/>
    <s v="Black"/>
    <n v="1"/>
    <n v="7899"/>
    <n v="25"/>
    <n v="5920"/>
    <n v="5920"/>
    <s v="UPI"/>
    <x v="1"/>
    <s v="India"/>
    <x v="23"/>
    <s v="Dehradun"/>
    <s v="Value Shopper"/>
    <x v="1"/>
    <n v="5"/>
    <s v="Cancelled"/>
    <s v="Express"/>
    <n v="3"/>
  </r>
  <r>
    <s v="ORD201537"/>
    <s v="CUST101041"/>
    <s v="Women"/>
    <s v="45-54"/>
    <x v="1726"/>
    <x v="3"/>
    <x v="28"/>
    <x v="1"/>
    <n v="6"/>
    <s v="Grey"/>
    <n v="1"/>
    <n v="4199"/>
    <n v="30"/>
    <n v="2940"/>
    <n v="2940"/>
    <s v="UPI"/>
    <x v="1"/>
    <s v="India"/>
    <x v="9"/>
    <s v="Bhagalpur"/>
    <s v="Comfort Shopper"/>
    <x v="0"/>
    <n v="2.7"/>
    <s v="Returned"/>
    <s v="Standard"/>
    <n v="3"/>
  </r>
  <r>
    <s v="ORD202015"/>
    <s v="CUST100920"/>
    <s v="Women"/>
    <s v="35-44"/>
    <x v="1726"/>
    <x v="3"/>
    <x v="16"/>
    <x v="0"/>
    <n v="7"/>
    <s v="Green"/>
    <n v="1"/>
    <n v="8199"/>
    <n v="25"/>
    <n v="6150"/>
    <n v="6150"/>
    <s v="UPI"/>
    <x v="2"/>
    <s v="India"/>
    <x v="25"/>
    <s v="Srinagar"/>
    <s v="Comfort Shopper"/>
    <x v="2"/>
    <n v="5"/>
    <s v="Returned"/>
    <s v="Express"/>
    <n v="2"/>
  </r>
  <r>
    <s v="ORD202167"/>
    <s v="CUST100648"/>
    <s v="Women"/>
    <s v="55+"/>
    <x v="1727"/>
    <x v="5"/>
    <x v="30"/>
    <x v="2"/>
    <n v="10"/>
    <s v="Blue"/>
    <n v="4"/>
    <n v="4499"/>
    <n v="25"/>
    <n v="3370"/>
    <n v="13480"/>
    <s v="UPI"/>
    <x v="0"/>
    <s v="India"/>
    <x v="7"/>
    <s v="Bhopal"/>
    <s v="Premium Shopper"/>
    <x v="1"/>
    <n v="4.2"/>
    <s v="Returned"/>
    <s v="Same Day"/>
    <n v="1"/>
  </r>
  <r>
    <s v="ORD201178"/>
    <s v="CUST100053"/>
    <s v="Men"/>
    <s v="35-44"/>
    <x v="1728"/>
    <x v="5"/>
    <x v="27"/>
    <x v="0"/>
    <n v="8"/>
    <s v="Black"/>
    <n v="1"/>
    <n v="4699"/>
    <n v="15"/>
    <n v="3990"/>
    <n v="3990"/>
    <s v="UPI"/>
    <x v="2"/>
    <s v="India"/>
    <x v="13"/>
    <s v="Itanagar"/>
    <s v="Value Shopper"/>
    <x v="1"/>
    <n v="3.3"/>
    <s v="Delivered"/>
    <s v="Standard"/>
    <n v="3"/>
  </r>
  <r>
    <s v="ORD202024"/>
    <s v="CUST100653"/>
    <s v="Men"/>
    <s v="35-44"/>
    <x v="1728"/>
    <x v="2"/>
    <x v="25"/>
    <x v="3"/>
    <n v="8"/>
    <s v="Red"/>
    <n v="1"/>
    <n v="6299"/>
    <n v="5"/>
    <n v="5980"/>
    <n v="5980"/>
    <s v="UPI"/>
    <x v="1"/>
    <s v="India"/>
    <x v="17"/>
    <s v="Yanam"/>
    <s v="Performance Seeker"/>
    <x v="1"/>
    <n v="2.2999999999999998"/>
    <s v="Delivered"/>
    <s v="Standard"/>
    <n v="4"/>
  </r>
  <r>
    <s v="ORD201780"/>
    <s v="CUST100051"/>
    <s v="Men"/>
    <s v="25-34"/>
    <x v="1729"/>
    <x v="1"/>
    <x v="33"/>
    <x v="0"/>
    <n v="9"/>
    <s v="Black"/>
    <n v="1"/>
    <n v="4799"/>
    <n v="15"/>
    <n v="4080"/>
    <n v="4080"/>
    <s v="Debit/Credit Card"/>
    <x v="1"/>
    <s v="India"/>
    <x v="34"/>
    <s v="Kolkata"/>
    <s v="Lifestyle Shopper"/>
    <x v="2"/>
    <n v="4"/>
    <s v="Cancelled"/>
    <s v="Standard"/>
    <n v="3"/>
  </r>
  <r>
    <s v="ORD202834"/>
    <s v="CUST100786"/>
    <s v="Men"/>
    <s v="25-34"/>
    <x v="1730"/>
    <x v="2"/>
    <x v="3"/>
    <x v="2"/>
    <n v="9"/>
    <s v="Black"/>
    <n v="1"/>
    <n v="8099"/>
    <n v="15"/>
    <n v="6880"/>
    <n v="6880"/>
    <s v="UPI"/>
    <x v="2"/>
    <s v="India"/>
    <x v="33"/>
    <s v="Mumbai"/>
    <s v="Premium Shopper"/>
    <x v="2"/>
    <n v="4.8"/>
    <s v="Delivered"/>
    <s v="Express"/>
    <n v="2"/>
  </r>
  <r>
    <s v="ORD201123"/>
    <s v="CUST100612"/>
    <s v="Women"/>
    <s v="35-44"/>
    <x v="1731"/>
    <x v="1"/>
    <x v="12"/>
    <x v="4"/>
    <n v="9"/>
    <s v="White"/>
    <n v="2"/>
    <n v="3999"/>
    <n v="20"/>
    <n v="3200"/>
    <n v="6400"/>
    <s v="UPI"/>
    <x v="0"/>
    <s v="India"/>
    <x v="11"/>
    <s v="Agatti"/>
    <s v="Premium Shopper"/>
    <x v="1"/>
    <n v="3.7"/>
    <s v="Cancelled"/>
    <s v="Standard"/>
    <n v="5"/>
  </r>
  <r>
    <s v="ORD201098"/>
    <s v="CUST100142"/>
    <s v="Women"/>
    <s v="35-44"/>
    <x v="1732"/>
    <x v="2"/>
    <x v="25"/>
    <x v="3"/>
    <n v="9"/>
    <s v="Black"/>
    <n v="1"/>
    <n v="4099"/>
    <n v="15"/>
    <n v="3480"/>
    <n v="3480"/>
    <s v="Debit/Credit Card"/>
    <x v="0"/>
    <s v="India"/>
    <x v="2"/>
    <s v="Panipat"/>
    <s v="Performance Seeker"/>
    <x v="1"/>
    <n v="4.5"/>
    <s v="Delivered"/>
    <s v="Standard"/>
    <n v="4"/>
  </r>
  <r>
    <s v="ORD201915"/>
    <s v="CUST100308"/>
    <s v="Men"/>
    <s v="25-34"/>
    <x v="1732"/>
    <x v="1"/>
    <x v="1"/>
    <x v="1"/>
    <n v="7"/>
    <s v="Black"/>
    <n v="1"/>
    <n v="5099"/>
    <n v="15"/>
    <n v="4330"/>
    <n v="4330"/>
    <s v="UPI"/>
    <x v="0"/>
    <s v="India"/>
    <x v="30"/>
    <s v="Manimajra"/>
    <s v="Performance Seeker"/>
    <x v="1"/>
    <n v="3.1"/>
    <s v="Delivered"/>
    <s v="Express"/>
    <n v="1"/>
  </r>
  <r>
    <s v="ORD200791"/>
    <s v="CUST100176"/>
    <s v="Men"/>
    <s v="25-34"/>
    <x v="1733"/>
    <x v="5"/>
    <x v="21"/>
    <x v="2"/>
    <n v="11"/>
    <s v="Blue"/>
    <n v="1"/>
    <n v="4499"/>
    <n v="15"/>
    <n v="3820"/>
    <n v="3820"/>
    <s v="UPI"/>
    <x v="0"/>
    <s v="India"/>
    <x v="18"/>
    <s v="Raipur"/>
    <s v="Value Shopper"/>
    <x v="2"/>
    <n v="4.0999999999999996"/>
    <s v="Delivered"/>
    <s v="Standard"/>
    <n v="7"/>
  </r>
  <r>
    <s v="ORD202371"/>
    <s v="CUST100135"/>
    <s v="Men"/>
    <s v="25-34"/>
    <x v="1733"/>
    <x v="2"/>
    <x v="23"/>
    <x v="0"/>
    <n v="8"/>
    <s v="Blue"/>
    <n v="2"/>
    <n v="7599"/>
    <n v="20"/>
    <n v="6080"/>
    <n v="12160"/>
    <s v="UPI"/>
    <x v="1"/>
    <s v="India"/>
    <x v="23"/>
    <s v="Haridwar"/>
    <s v="Lifestyle Shopper"/>
    <x v="1"/>
    <n v="3.9"/>
    <s v="Delivered"/>
    <s v="Same Day"/>
    <n v="1"/>
  </r>
  <r>
    <s v="ORD202778"/>
    <s v="CUST100163"/>
    <s v="Men"/>
    <s v="18-24"/>
    <x v="1733"/>
    <x v="4"/>
    <x v="29"/>
    <x v="2"/>
    <n v="6"/>
    <s v="Blue"/>
    <n v="1"/>
    <n v="8899"/>
    <n v="0"/>
    <n v="8900"/>
    <n v="8900"/>
    <s v="Debit/Credit Card"/>
    <x v="1"/>
    <s v="India"/>
    <x v="26"/>
    <s v="Kozhikode"/>
    <s v="Lifestyle Shopper"/>
    <x v="0"/>
    <n v="3.5"/>
    <s v="Delivered"/>
    <s v="Standard"/>
    <n v="6"/>
  </r>
  <r>
    <s v="ORD200226"/>
    <s v="CUST100342"/>
    <s v="Women"/>
    <s v="25-34"/>
    <x v="1734"/>
    <x v="1"/>
    <x v="20"/>
    <x v="2"/>
    <n v="8"/>
    <s v="Blue"/>
    <n v="1"/>
    <n v="8099"/>
    <n v="25"/>
    <n v="6070"/>
    <n v="6070"/>
    <s v="UPI"/>
    <x v="0"/>
    <s v="India"/>
    <x v="18"/>
    <s v="Bilaspur"/>
    <s v="Comfort Shopper"/>
    <x v="2"/>
    <n v="4.7"/>
    <s v="Returned"/>
    <s v="Express"/>
    <n v="3"/>
  </r>
  <r>
    <s v="ORD200796"/>
    <s v="CUST100016"/>
    <s v="Men"/>
    <s v="25-34"/>
    <x v="1735"/>
    <x v="4"/>
    <x v="22"/>
    <x v="0"/>
    <n v="7"/>
    <s v="Grey"/>
    <n v="1"/>
    <n v="4899"/>
    <n v="0"/>
    <n v="4900"/>
    <n v="4900"/>
    <s v="UPI"/>
    <x v="2"/>
    <s v="India"/>
    <x v="29"/>
    <s v="Vijayawada"/>
    <s v="Premium Shopper"/>
    <x v="2"/>
    <n v="3.6"/>
    <s v="Delivered"/>
    <s v="Express"/>
    <n v="2"/>
  </r>
  <r>
    <s v="ORD202585"/>
    <s v="CUST100163"/>
    <s v="Men"/>
    <s v="35-44"/>
    <x v="1735"/>
    <x v="2"/>
    <x v="23"/>
    <x v="0"/>
    <n v="9"/>
    <s v="Blue"/>
    <n v="2"/>
    <n v="5699"/>
    <n v="30"/>
    <n v="3990"/>
    <n v="7980"/>
    <s v="UPI"/>
    <x v="0"/>
    <s v="India"/>
    <x v="23"/>
    <s v="Haldwani"/>
    <s v="Premium Shopper"/>
    <x v="1"/>
    <n v="2.7"/>
    <s v="Delivered"/>
    <s v="Standard"/>
    <n v="2"/>
  </r>
  <r>
    <s v="ORD201698"/>
    <s v="CUST100014"/>
    <s v="Men"/>
    <s v="25-34"/>
    <x v="1736"/>
    <x v="1"/>
    <x v="33"/>
    <x v="0"/>
    <n v="10"/>
    <s v="Black"/>
    <n v="1"/>
    <n v="8499"/>
    <n v="25"/>
    <n v="6370"/>
    <n v="6370"/>
    <s v="Debit/Credit Card"/>
    <x v="2"/>
    <s v="India"/>
    <x v="1"/>
    <s v="Vasco da Gama"/>
    <s v="Comfort Shopper"/>
    <x v="2"/>
    <n v="3.9"/>
    <s v="Delivered"/>
    <s v="Express"/>
    <n v="3"/>
  </r>
  <r>
    <s v="ORD202594"/>
    <s v="CUST100040"/>
    <s v="Women"/>
    <s v="18-24"/>
    <x v="1736"/>
    <x v="3"/>
    <x v="34"/>
    <x v="3"/>
    <n v="7"/>
    <s v="White"/>
    <n v="1"/>
    <n v="3799"/>
    <n v="25"/>
    <n v="2850"/>
    <n v="2850"/>
    <s v="UPI"/>
    <x v="2"/>
    <s v="India"/>
    <x v="23"/>
    <s v="Dehradun"/>
    <s v="Premium Shopper"/>
    <x v="2"/>
    <n v="4.7"/>
    <s v="Delivered"/>
    <s v="Standard"/>
    <n v="4"/>
  </r>
  <r>
    <s v="ORD200486"/>
    <s v="CUST101033"/>
    <s v="Men"/>
    <s v="35-44"/>
    <x v="1737"/>
    <x v="4"/>
    <x v="29"/>
    <x v="2"/>
    <n v="12"/>
    <s v="Black"/>
    <n v="1"/>
    <n v="8499"/>
    <n v="25"/>
    <n v="6370"/>
    <n v="6370"/>
    <s v="Debit/Credit Card"/>
    <x v="2"/>
    <s v="India"/>
    <x v="16"/>
    <s v="Ahmedabad"/>
    <s v="Performance Seeker"/>
    <x v="1"/>
    <n v="3.7"/>
    <s v="Delivered"/>
    <s v="Standard"/>
    <n v="4"/>
  </r>
  <r>
    <s v="ORD201949"/>
    <s v="CUST100408"/>
    <s v="Women"/>
    <s v="55+"/>
    <x v="1738"/>
    <x v="3"/>
    <x v="35"/>
    <x v="2"/>
    <n v="9"/>
    <s v="Black"/>
    <n v="1"/>
    <n v="4799"/>
    <n v="0"/>
    <n v="4800"/>
    <n v="4800"/>
    <s v="UPI"/>
    <x v="1"/>
    <s v="India"/>
    <x v="33"/>
    <s v="Nagpur"/>
    <s v="Comfort Shopper"/>
    <x v="1"/>
    <n v="3.5"/>
    <s v="Delivered"/>
    <s v="Standard"/>
    <n v="3"/>
  </r>
  <r>
    <s v="ORD201395"/>
    <s v="CUST100425"/>
    <s v="Unisex"/>
    <s v="18-24"/>
    <x v="1739"/>
    <x v="1"/>
    <x v="10"/>
    <x v="3"/>
    <n v="12"/>
    <s v="Green"/>
    <n v="2"/>
    <n v="6499"/>
    <n v="20"/>
    <n v="5200"/>
    <n v="10400"/>
    <s v="UPI"/>
    <x v="1"/>
    <s v="India"/>
    <x v="23"/>
    <s v="Haldwani"/>
    <s v="Comfort Shopper"/>
    <x v="2"/>
    <n v="3.8"/>
    <s v="Delivered"/>
    <s v="Standard"/>
    <n v="4"/>
  </r>
  <r>
    <s v="ORD202625"/>
    <s v="CUST100268"/>
    <s v="Women"/>
    <s v="45-54"/>
    <x v="1740"/>
    <x v="2"/>
    <x v="3"/>
    <x v="2"/>
    <n v="9"/>
    <s v="Black"/>
    <n v="1"/>
    <n v="7599"/>
    <n v="5"/>
    <n v="7220"/>
    <n v="7220"/>
    <s v="UPI"/>
    <x v="1"/>
    <s v="India"/>
    <x v="27"/>
    <s v="Bhubaneswar"/>
    <s v="Premium Shopper"/>
    <x v="2"/>
    <n v="3.9"/>
    <s v="Delivered"/>
    <s v="Standard"/>
    <n v="7"/>
  </r>
  <r>
    <s v="ORD202886"/>
    <s v="CUST100458"/>
    <s v="Unisex"/>
    <s v="18-24"/>
    <x v="1740"/>
    <x v="4"/>
    <x v="9"/>
    <x v="1"/>
    <n v="9"/>
    <s v="Green"/>
    <n v="1"/>
    <n v="4399"/>
    <n v="35"/>
    <n v="2860"/>
    <n v="2860"/>
    <s v="Cash on Delivery"/>
    <x v="1"/>
    <s v="India"/>
    <x v="22"/>
    <s v="Udaipur"/>
    <s v="Value Shopper"/>
    <x v="2"/>
    <n v="3.4"/>
    <s v="Delivered"/>
    <s v="Standard"/>
    <n v="3"/>
  </r>
  <r>
    <s v="ORD200164"/>
    <s v="CUST100871"/>
    <s v="Unisex"/>
    <s v="55+"/>
    <x v="1741"/>
    <x v="5"/>
    <x v="14"/>
    <x v="3"/>
    <n v="6"/>
    <s v="Green"/>
    <n v="1"/>
    <n v="8999"/>
    <n v="40"/>
    <n v="5400"/>
    <n v="5400"/>
    <s v="UPI"/>
    <x v="2"/>
    <s v="India"/>
    <x v="28"/>
    <s v="Leh"/>
    <s v="Performance Seeker"/>
    <x v="1"/>
    <n v="4.7"/>
    <s v="Cancelled"/>
    <s v="Standard"/>
    <n v="2"/>
  </r>
  <r>
    <s v="ORD200671"/>
    <s v="CUST100736"/>
    <s v="Women"/>
    <s v="45-54"/>
    <x v="1741"/>
    <x v="1"/>
    <x v="20"/>
    <x v="2"/>
    <n v="8"/>
    <s v="White"/>
    <n v="1"/>
    <n v="5299"/>
    <n v="5"/>
    <n v="5030"/>
    <n v="5030"/>
    <s v="Cash on Delivery"/>
    <x v="1"/>
    <s v="India"/>
    <x v="6"/>
    <s v="Varanasi"/>
    <s v="Value Shopper"/>
    <x v="2"/>
    <n v="3.6"/>
    <s v="Delivered"/>
    <s v="Standard"/>
    <n v="2"/>
  </r>
  <r>
    <s v="ORD201299"/>
    <s v="CUST100177"/>
    <s v="Women"/>
    <s v="25-34"/>
    <x v="1741"/>
    <x v="1"/>
    <x v="1"/>
    <x v="1"/>
    <n v="9"/>
    <s v="Black"/>
    <n v="2"/>
    <n v="3999"/>
    <n v="25"/>
    <n v="3000"/>
    <n v="6000"/>
    <s v="Cash on Delivery"/>
    <x v="0"/>
    <s v="India"/>
    <x v="23"/>
    <s v="Dehradun"/>
    <s v="Premium Shopper"/>
    <x v="1"/>
    <n v="5"/>
    <s v="Returned"/>
    <s v="Standard"/>
    <n v="3"/>
  </r>
  <r>
    <s v="ORD201792"/>
    <s v="CUST100098"/>
    <s v="Men"/>
    <s v="35-44"/>
    <x v="1741"/>
    <x v="0"/>
    <x v="19"/>
    <x v="4"/>
    <n v="10"/>
    <s v="Black"/>
    <n v="4"/>
    <n v="8099"/>
    <n v="5"/>
    <n v="7690"/>
    <n v="30760"/>
    <s v="Debit/Credit Card"/>
    <x v="1"/>
    <s v="India"/>
    <x v="0"/>
    <s v="Dibrugarh"/>
    <s v="Comfort Shopper"/>
    <x v="1"/>
    <n v="3.2"/>
    <s v="Returned"/>
    <s v="Standard"/>
    <n v="5"/>
  </r>
  <r>
    <s v="ORD202155"/>
    <s v="CUST100849"/>
    <s v="Women"/>
    <s v="18-24"/>
    <x v="1741"/>
    <x v="2"/>
    <x v="32"/>
    <x v="1"/>
    <n v="6"/>
    <s v="Black"/>
    <n v="2"/>
    <n v="3799"/>
    <n v="10"/>
    <n v="3420"/>
    <n v="6840"/>
    <s v="UPI"/>
    <x v="1"/>
    <s v="India"/>
    <x v="28"/>
    <s v="Leh"/>
    <s v="Value Shopper"/>
    <x v="0"/>
    <n v="4.0999999999999996"/>
    <s v="Delivered"/>
    <s v="Same Day"/>
    <n v="1"/>
  </r>
  <r>
    <s v="ORD202669"/>
    <s v="CUST100395"/>
    <s v="Men"/>
    <s v="35-44"/>
    <x v="1742"/>
    <x v="2"/>
    <x v="4"/>
    <x v="2"/>
    <n v="10"/>
    <s v="Blue"/>
    <n v="1"/>
    <n v="7899"/>
    <n v="15"/>
    <n v="6710"/>
    <n v="6710"/>
    <s v="UPI"/>
    <x v="1"/>
    <s v="India"/>
    <x v="15"/>
    <s v="Rohini"/>
    <s v="Performance Seeker"/>
    <x v="2"/>
    <n v="4.2"/>
    <s v="Delivered"/>
    <s v="Express"/>
    <n v="3"/>
  </r>
  <r>
    <s v="ORD203015"/>
    <s v="CUST100112"/>
    <s v="Unisex"/>
    <s v="18-24"/>
    <x v="1742"/>
    <x v="5"/>
    <x v="15"/>
    <x v="4"/>
    <n v="11"/>
    <s v="Grey"/>
    <n v="2"/>
    <n v="5799"/>
    <n v="0"/>
    <n v="5800"/>
    <n v="11600"/>
    <s v="Debit/Credit Card"/>
    <x v="1"/>
    <s v="India"/>
    <x v="24"/>
    <s v="Mysuru"/>
    <s v="Premium Shopper"/>
    <x v="2"/>
    <n v="4.2"/>
    <s v="Delivered"/>
    <s v="Standard"/>
    <n v="4"/>
  </r>
  <r>
    <s v="ORD200933"/>
    <s v="CUST100238"/>
    <s v="Women"/>
    <s v="35-44"/>
    <x v="1743"/>
    <x v="4"/>
    <x v="22"/>
    <x v="0"/>
    <n v="11"/>
    <s v="Black"/>
    <n v="1"/>
    <n v="7399"/>
    <n v="35"/>
    <n v="4810"/>
    <n v="4810"/>
    <s v="UPI"/>
    <x v="1"/>
    <s v="India"/>
    <x v="29"/>
    <s v="Vijayawada"/>
    <s v="Value Shopper"/>
    <x v="2"/>
    <n v="4.5"/>
    <s v="Delivered"/>
    <s v="Express"/>
    <n v="2"/>
  </r>
  <r>
    <s v="ORD201407"/>
    <s v="CUST100528"/>
    <s v="Women"/>
    <s v="18-24"/>
    <x v="1743"/>
    <x v="4"/>
    <x v="26"/>
    <x v="3"/>
    <n v="12"/>
    <s v="Blue"/>
    <n v="1"/>
    <n v="5099"/>
    <n v="5"/>
    <n v="4840"/>
    <n v="4840"/>
    <s v="UPI"/>
    <x v="0"/>
    <s v="India"/>
    <x v="12"/>
    <s v="Port Blair"/>
    <s v="Performance Seeker"/>
    <x v="2"/>
    <n v="5"/>
    <s v="Returned"/>
    <s v="Standard"/>
    <n v="2"/>
  </r>
  <r>
    <s v="ORD202906"/>
    <s v="CUST100616"/>
    <s v="Women"/>
    <s v="25-34"/>
    <x v="1743"/>
    <x v="2"/>
    <x v="32"/>
    <x v="1"/>
    <n v="11"/>
    <s v="White"/>
    <n v="2"/>
    <n v="6399"/>
    <n v="30"/>
    <n v="4480"/>
    <n v="8960"/>
    <s v="Debit/Credit Card"/>
    <x v="1"/>
    <s v="India"/>
    <x v="10"/>
    <s v="Diu"/>
    <s v="Value Shopper"/>
    <x v="1"/>
    <n v="4.4000000000000004"/>
    <s v="Delivered"/>
    <s v="Standard"/>
    <n v="3"/>
  </r>
  <r>
    <s v="ORD202512"/>
    <s v="CUST100789"/>
    <s v="Men"/>
    <s v="25-34"/>
    <x v="1744"/>
    <x v="0"/>
    <x v="31"/>
    <x v="1"/>
    <n v="10"/>
    <s v="Red"/>
    <n v="1"/>
    <n v="8199"/>
    <n v="15"/>
    <n v="6970"/>
    <n v="6970"/>
    <s v="Debit/Credit Card"/>
    <x v="1"/>
    <s v="India"/>
    <x v="16"/>
    <s v="Rajkot"/>
    <s v="Premium Shopper"/>
    <x v="1"/>
    <n v="3.8"/>
    <s v="Returned"/>
    <s v="Standard"/>
    <n v="6"/>
  </r>
  <r>
    <s v="ORD202529"/>
    <s v="CUST100964"/>
    <s v="Men"/>
    <s v="18-24"/>
    <x v="1744"/>
    <x v="5"/>
    <x v="27"/>
    <x v="0"/>
    <n v="6"/>
    <s v="Red"/>
    <n v="1"/>
    <n v="7599"/>
    <n v="20"/>
    <n v="6080"/>
    <n v="6080"/>
    <s v="Debit/Credit Card"/>
    <x v="0"/>
    <s v="India"/>
    <x v="24"/>
    <s v="Bengaluru"/>
    <s v="Value Shopper"/>
    <x v="2"/>
    <n v="5"/>
    <s v="Delivered"/>
    <s v="Express"/>
    <n v="3"/>
  </r>
  <r>
    <s v="ORD201326"/>
    <s v="CUST100586"/>
    <s v="Men"/>
    <s v="35-44"/>
    <x v="1745"/>
    <x v="3"/>
    <x v="11"/>
    <x v="4"/>
    <n v="9"/>
    <s v="White"/>
    <n v="1"/>
    <n v="6799"/>
    <n v="0"/>
    <n v="6800"/>
    <n v="6800"/>
    <s v="UPI"/>
    <x v="2"/>
    <s v="India"/>
    <x v="3"/>
    <s v="Jodhpur"/>
    <s v="Value Shopper"/>
    <x v="2"/>
    <n v="4.9000000000000004"/>
    <s v="Delivered"/>
    <s v="Standard"/>
    <n v="5"/>
  </r>
  <r>
    <s v="ORD200333"/>
    <s v="CUST100867"/>
    <s v="Women"/>
    <s v="25-34"/>
    <x v="1746"/>
    <x v="4"/>
    <x v="6"/>
    <x v="2"/>
    <n v="12"/>
    <s v="Black"/>
    <n v="1"/>
    <n v="6999"/>
    <n v="5"/>
    <n v="6650"/>
    <n v="6650"/>
    <s v="UPI"/>
    <x v="1"/>
    <s v="India"/>
    <x v="20"/>
    <s v="Dharamshala"/>
    <s v="Performance Seeker"/>
    <x v="1"/>
    <n v="4.3"/>
    <s v="Cancelled"/>
    <s v="Standard"/>
    <n v="1"/>
  </r>
  <r>
    <s v="ORD200458"/>
    <s v="CUST100421"/>
    <s v="Women"/>
    <s v="25-34"/>
    <x v="1746"/>
    <x v="2"/>
    <x v="23"/>
    <x v="0"/>
    <n v="9"/>
    <s v="Red"/>
    <n v="1"/>
    <n v="3799"/>
    <n v="15"/>
    <n v="3230"/>
    <n v="3230"/>
    <s v="UPI"/>
    <x v="2"/>
    <s v="India"/>
    <x v="24"/>
    <s v="Hubballi"/>
    <s v="Value Shopper"/>
    <x v="2"/>
    <n v="4.0999999999999996"/>
    <s v="Delivered"/>
    <s v="Standard"/>
    <n v="3"/>
  </r>
  <r>
    <s v="ORD200782"/>
    <s v="CUST100095"/>
    <s v="Women"/>
    <s v="35-44"/>
    <x v="1747"/>
    <x v="5"/>
    <x v="21"/>
    <x v="2"/>
    <n v="8"/>
    <s v="White"/>
    <n v="2"/>
    <n v="7799"/>
    <n v="10"/>
    <n v="7020"/>
    <n v="14040"/>
    <s v="UPI"/>
    <x v="1"/>
    <s v="India"/>
    <x v="8"/>
    <s v="Hyderabad"/>
    <s v="Performance Seeker"/>
    <x v="2"/>
    <n v="4.2"/>
    <s v="Delivered"/>
    <s v="Express"/>
    <n v="4"/>
  </r>
  <r>
    <s v="ORD202481"/>
    <s v="CUST100365"/>
    <s v="Men"/>
    <s v="45-54"/>
    <x v="1747"/>
    <x v="0"/>
    <x v="0"/>
    <x v="0"/>
    <n v="10"/>
    <s v="Green"/>
    <n v="2"/>
    <n v="9299"/>
    <n v="15"/>
    <n v="7900"/>
    <n v="15800"/>
    <s v="Net Banking"/>
    <x v="0"/>
    <s v="India"/>
    <x v="10"/>
    <s v="Amli"/>
    <s v="Lifestyle Shopper"/>
    <x v="2"/>
    <n v="4"/>
    <s v="Delivered"/>
    <s v="Standard"/>
    <n v="4"/>
  </r>
  <r>
    <s v="ORD200044"/>
    <s v="CUST100973"/>
    <s v="Women"/>
    <s v="18-24"/>
    <x v="1748"/>
    <x v="4"/>
    <x v="29"/>
    <x v="2"/>
    <n v="7"/>
    <s v="Black"/>
    <n v="2"/>
    <n v="5199"/>
    <n v="15"/>
    <n v="4420"/>
    <n v="8840"/>
    <s v="UPI"/>
    <x v="1"/>
    <s v="India"/>
    <x v="10"/>
    <s v="Amli"/>
    <s v="Performance Seeker"/>
    <x v="2"/>
    <n v="2.9"/>
    <s v="Delivered"/>
    <s v="Express"/>
    <n v="2"/>
  </r>
  <r>
    <s v="ORD200557"/>
    <s v="CUST100673"/>
    <s v="Men"/>
    <s v="25-34"/>
    <x v="1748"/>
    <x v="2"/>
    <x v="25"/>
    <x v="3"/>
    <n v="10"/>
    <s v="Blue"/>
    <n v="2"/>
    <n v="7299"/>
    <n v="5"/>
    <n v="6930"/>
    <n v="13860"/>
    <s v="UPI"/>
    <x v="1"/>
    <s v="India"/>
    <x v="15"/>
    <s v="Rohini"/>
    <s v="Premium Shopper"/>
    <x v="1"/>
    <n v="4.3"/>
    <s v="Delivered"/>
    <s v="Standard"/>
    <n v="5"/>
  </r>
  <r>
    <s v="ORD202111"/>
    <s v="CUST100761"/>
    <s v="Women"/>
    <s v="18-24"/>
    <x v="1748"/>
    <x v="3"/>
    <x v="35"/>
    <x v="2"/>
    <n v="9"/>
    <s v="Black"/>
    <n v="1"/>
    <n v="5499"/>
    <n v="15"/>
    <n v="4670"/>
    <n v="4670"/>
    <s v="UPI"/>
    <x v="1"/>
    <s v="India"/>
    <x v="14"/>
    <s v="Amritsar"/>
    <s v="Performance Seeker"/>
    <x v="1"/>
    <n v="4.9000000000000004"/>
    <s v="Delivered"/>
    <s v="Standard"/>
    <n v="5"/>
  </r>
  <r>
    <s v="ORD200383"/>
    <s v="CUST100129"/>
    <s v="Unisex"/>
    <s v="18-24"/>
    <x v="1749"/>
    <x v="2"/>
    <x v="25"/>
    <x v="3"/>
    <n v="9"/>
    <s v="Blue"/>
    <n v="2"/>
    <n v="8499"/>
    <n v="15"/>
    <n v="7220"/>
    <n v="14440"/>
    <s v="Debit/Credit Card"/>
    <x v="0"/>
    <s v="India"/>
    <x v="16"/>
    <s v="Rajkot"/>
    <s v="Comfort Shopper"/>
    <x v="2"/>
    <n v="3.7"/>
    <s v="Cancelled"/>
    <s v="Standard"/>
    <n v="4"/>
  </r>
  <r>
    <s v="ORD202138"/>
    <s v="CUST100729"/>
    <s v="Men"/>
    <s v="18-24"/>
    <x v="1749"/>
    <x v="5"/>
    <x v="15"/>
    <x v="4"/>
    <n v="7"/>
    <s v="Blue"/>
    <n v="1"/>
    <n v="4699"/>
    <n v="30"/>
    <n v="3290"/>
    <n v="3290"/>
    <s v="UPI"/>
    <x v="1"/>
    <s v="India"/>
    <x v="25"/>
    <s v="Jammu"/>
    <s v="Performance Seeker"/>
    <x v="1"/>
    <n v="2.9"/>
    <s v="Returned"/>
    <s v="Standard"/>
    <n v="2"/>
  </r>
  <r>
    <s v="ORD200027"/>
    <s v="CUST100913"/>
    <s v="Women"/>
    <s v="45-54"/>
    <x v="1750"/>
    <x v="1"/>
    <x v="12"/>
    <x v="4"/>
    <n v="8"/>
    <s v="Grey"/>
    <n v="1"/>
    <n v="7699"/>
    <n v="15"/>
    <n v="6540"/>
    <n v="6540"/>
    <s v="Debit/Credit Card"/>
    <x v="2"/>
    <s v="India"/>
    <x v="30"/>
    <s v="Chandigarh"/>
    <s v="Value Shopper"/>
    <x v="2"/>
    <n v="4.7"/>
    <s v="Delivered"/>
    <s v="Standard"/>
    <n v="5"/>
  </r>
  <r>
    <s v="ORD202269"/>
    <s v="CUST100268"/>
    <s v="Women"/>
    <s v="45-54"/>
    <x v="1751"/>
    <x v="3"/>
    <x v="34"/>
    <x v="3"/>
    <n v="11"/>
    <s v="Green"/>
    <n v="3"/>
    <n v="3999"/>
    <n v="10"/>
    <n v="3600"/>
    <n v="10800"/>
    <s v="UPI"/>
    <x v="2"/>
    <s v="India"/>
    <x v="27"/>
    <s v="Cuttack"/>
    <s v="Lifestyle Shopper"/>
    <x v="2"/>
    <n v="4.3"/>
    <s v="Delivered"/>
    <s v="Standard"/>
    <n v="3"/>
  </r>
  <r>
    <s v="ORD202367"/>
    <s v="CUST100721"/>
    <s v="Women"/>
    <s v="18-24"/>
    <x v="1751"/>
    <x v="2"/>
    <x v="23"/>
    <x v="0"/>
    <n v="12"/>
    <s v="Black"/>
    <n v="1"/>
    <n v="5799"/>
    <n v="15"/>
    <n v="4930"/>
    <n v="4930"/>
    <s v="Cash on Delivery"/>
    <x v="0"/>
    <s v="India"/>
    <x v="20"/>
    <s v="Solan"/>
    <s v="Premium Shopper"/>
    <x v="2"/>
    <n v="4.0999999999999996"/>
    <s v="Returned"/>
    <s v="Express"/>
    <n v="3"/>
  </r>
  <r>
    <s v="ORD202507"/>
    <s v="CUST100793"/>
    <s v="Men"/>
    <s v="45-54"/>
    <x v="1751"/>
    <x v="0"/>
    <x v="0"/>
    <x v="0"/>
    <n v="6"/>
    <s v="Blue"/>
    <n v="1"/>
    <n v="6699"/>
    <n v="20"/>
    <n v="5360"/>
    <n v="5360"/>
    <s v="Cash on Delivery"/>
    <x v="2"/>
    <s v="India"/>
    <x v="12"/>
    <s v="Port Blair"/>
    <s v="Comfort Shopper"/>
    <x v="2"/>
    <n v="3.8"/>
    <s v="Cancelled"/>
    <s v="Standard"/>
    <n v="5"/>
  </r>
  <r>
    <s v="ORD202686"/>
    <s v="CUST100154"/>
    <s v="Men"/>
    <s v="18-24"/>
    <x v="1751"/>
    <x v="2"/>
    <x v="25"/>
    <x v="3"/>
    <n v="8"/>
    <s v="Black"/>
    <n v="1"/>
    <n v="3899"/>
    <n v="10"/>
    <n v="3510"/>
    <n v="3510"/>
    <s v="Debit/Credit Card"/>
    <x v="0"/>
    <s v="India"/>
    <x v="29"/>
    <s v="Guntur"/>
    <s v="Value Shopper"/>
    <x v="2"/>
    <n v="4.3"/>
    <s v="Cancelled"/>
    <s v="Standard"/>
    <n v="5"/>
  </r>
  <r>
    <s v="ORD201566"/>
    <s v="CUST100306"/>
    <s v="Men"/>
    <s v="45-54"/>
    <x v="1752"/>
    <x v="0"/>
    <x v="13"/>
    <x v="2"/>
    <n v="9"/>
    <s v="Blue"/>
    <n v="1"/>
    <n v="9599"/>
    <n v="10"/>
    <n v="8640"/>
    <n v="8640"/>
    <s v="Debit/Credit Card"/>
    <x v="1"/>
    <s v="India"/>
    <x v="25"/>
    <s v="Baramulla"/>
    <s v="Comfort Shopper"/>
    <x v="2"/>
    <n v="4.8"/>
    <s v="Delivered"/>
    <s v="Standard"/>
    <n v="2"/>
  </r>
  <r>
    <s v="ORD201859"/>
    <s v="CUST100278"/>
    <s v="Men"/>
    <s v="35-44"/>
    <x v="1752"/>
    <x v="4"/>
    <x v="29"/>
    <x v="2"/>
    <n v="9"/>
    <s v="Black"/>
    <n v="2"/>
    <n v="5799"/>
    <n v="20"/>
    <n v="4640"/>
    <n v="9280"/>
    <s v="UPI"/>
    <x v="1"/>
    <s v="India"/>
    <x v="34"/>
    <s v="Siliguri"/>
    <s v="Premium Shopper"/>
    <x v="2"/>
    <n v="4.5999999999999996"/>
    <s v="Delivered"/>
    <s v="Express"/>
    <n v="2"/>
  </r>
  <r>
    <s v="ORD202900"/>
    <s v="CUST100328"/>
    <s v="Men"/>
    <s v="45-54"/>
    <x v="1752"/>
    <x v="2"/>
    <x v="32"/>
    <x v="1"/>
    <n v="10"/>
    <s v="Red"/>
    <n v="1"/>
    <n v="7999"/>
    <n v="40"/>
    <n v="4800"/>
    <n v="4800"/>
    <s v="UPI"/>
    <x v="2"/>
    <s v="India"/>
    <x v="22"/>
    <s v="Udaipur"/>
    <s v="Comfort Shopper"/>
    <x v="2"/>
    <n v="4.3"/>
    <s v="Cancelled"/>
    <s v="Standard"/>
    <n v="4"/>
  </r>
  <r>
    <s v="ORD200096"/>
    <s v="CUST100066"/>
    <s v="Women"/>
    <s v="45-54"/>
    <x v="1753"/>
    <x v="4"/>
    <x v="29"/>
    <x v="2"/>
    <n v="11"/>
    <s v="Blue"/>
    <n v="1"/>
    <n v="8499"/>
    <n v="25"/>
    <n v="6370"/>
    <n v="6370"/>
    <s v="Debit/Credit Card"/>
    <x v="2"/>
    <s v="India"/>
    <x v="2"/>
    <s v="Panipat"/>
    <s v="Performance Seeker"/>
    <x v="2"/>
    <n v="3.6"/>
    <s v="Delivered"/>
    <s v="Same Day"/>
    <n v="1"/>
  </r>
  <r>
    <s v="ORD201607"/>
    <s v="CUST100893"/>
    <s v="Men"/>
    <s v="18-24"/>
    <x v="1753"/>
    <x v="4"/>
    <x v="29"/>
    <x v="2"/>
    <n v="11"/>
    <s v="Grey"/>
    <n v="1"/>
    <n v="6399"/>
    <n v="25"/>
    <n v="4800"/>
    <n v="4800"/>
    <s v="UPI"/>
    <x v="1"/>
    <s v="India"/>
    <x v="17"/>
    <s v="Mahe"/>
    <s v="Lifestyle Shopper"/>
    <x v="2"/>
    <n v="3.6"/>
    <s v="Cancelled"/>
    <s v="Same Day"/>
    <n v="1"/>
  </r>
  <r>
    <s v="ORD202513"/>
    <s v="CUST100793"/>
    <s v="Women"/>
    <s v="45-54"/>
    <x v="1753"/>
    <x v="2"/>
    <x v="23"/>
    <x v="0"/>
    <n v="6"/>
    <s v="Red"/>
    <n v="2"/>
    <n v="6799"/>
    <n v="25"/>
    <n v="5100"/>
    <n v="10200"/>
    <s v="UPI"/>
    <x v="2"/>
    <s v="India"/>
    <x v="7"/>
    <s v="Gwalior"/>
    <s v="Performance Seeker"/>
    <x v="2"/>
    <n v="4.2"/>
    <s v="Delivered"/>
    <s v="Standard"/>
    <n v="3"/>
  </r>
  <r>
    <s v="ORD203057"/>
    <s v="CUST100256"/>
    <s v="Unisex"/>
    <s v="25-34"/>
    <x v="1753"/>
    <x v="2"/>
    <x v="23"/>
    <x v="0"/>
    <n v="10"/>
    <s v="Grey"/>
    <n v="1"/>
    <n v="3799"/>
    <n v="25"/>
    <n v="2850"/>
    <n v="2850"/>
    <s v="UPI"/>
    <x v="0"/>
    <s v="India"/>
    <x v="1"/>
    <s v="Vasco da Gama"/>
    <s v="Premium Shopper"/>
    <x v="2"/>
    <n v="3.2"/>
    <s v="Returned"/>
    <s v="Same Day"/>
    <n v="1"/>
  </r>
  <r>
    <s v="ORD201262"/>
    <s v="CUST100837"/>
    <s v="Women"/>
    <s v="25-34"/>
    <x v="1754"/>
    <x v="4"/>
    <x v="6"/>
    <x v="2"/>
    <n v="8"/>
    <s v="Grey"/>
    <n v="1"/>
    <n v="4299"/>
    <n v="5"/>
    <n v="4080"/>
    <n v="4080"/>
    <s v="UPI"/>
    <x v="1"/>
    <s v="India"/>
    <x v="30"/>
    <s v="Manimajra"/>
    <s v="Performance Seeker"/>
    <x v="1"/>
    <n v="4.0999999999999996"/>
    <s v="Returned"/>
    <s v="Standard"/>
    <n v="1"/>
  </r>
  <r>
    <s v="ORD201760"/>
    <s v="CUST100630"/>
    <s v="Women"/>
    <s v="18-24"/>
    <x v="1754"/>
    <x v="2"/>
    <x v="32"/>
    <x v="1"/>
    <n v="6"/>
    <s v="Blue"/>
    <n v="1"/>
    <n v="4099"/>
    <n v="20"/>
    <n v="3280"/>
    <n v="3280"/>
    <s v="Net Banking"/>
    <x v="1"/>
    <s v="India"/>
    <x v="5"/>
    <s v="Kakching"/>
    <s v="Comfort Shopper"/>
    <x v="1"/>
    <n v="3.7"/>
    <s v="Delivered"/>
    <s v="Standard"/>
    <n v="3"/>
  </r>
  <r>
    <s v="ORD201828"/>
    <s v="CUST100401"/>
    <s v="Unisex"/>
    <s v="18-24"/>
    <x v="1754"/>
    <x v="0"/>
    <x v="31"/>
    <x v="1"/>
    <n v="12"/>
    <s v="Blue"/>
    <n v="1"/>
    <n v="3999"/>
    <n v="15"/>
    <n v="3400"/>
    <n v="3400"/>
    <s v="UPI"/>
    <x v="1"/>
    <s v="India"/>
    <x v="25"/>
    <s v="Baramulla"/>
    <s v="Performance Seeker"/>
    <x v="1"/>
    <n v="4.9000000000000004"/>
    <s v="Returned"/>
    <s v="Standard"/>
    <n v="5"/>
  </r>
  <r>
    <s v="ORD202668"/>
    <s v="CUST100206"/>
    <s v="Unisex"/>
    <s v="45-54"/>
    <x v="1754"/>
    <x v="5"/>
    <x v="7"/>
    <x v="1"/>
    <n v="8"/>
    <s v="Grey"/>
    <n v="2"/>
    <n v="6199"/>
    <n v="20"/>
    <n v="4960"/>
    <n v="9920"/>
    <s v="UPI"/>
    <x v="0"/>
    <s v="India"/>
    <x v="8"/>
    <s v="Warangal"/>
    <s v="Lifestyle Shopper"/>
    <x v="2"/>
    <n v="3.4"/>
    <s v="Delivered"/>
    <s v="Standard"/>
    <n v="5"/>
  </r>
  <r>
    <s v="ORD201417"/>
    <s v="CUST100590"/>
    <s v="Women"/>
    <s v="18-24"/>
    <x v="1755"/>
    <x v="1"/>
    <x v="10"/>
    <x v="3"/>
    <n v="10"/>
    <s v="Black"/>
    <n v="1"/>
    <n v="7899"/>
    <n v="10"/>
    <n v="7110"/>
    <n v="7110"/>
    <s v="Net Banking"/>
    <x v="1"/>
    <s v="India"/>
    <x v="23"/>
    <s v="Haridwar"/>
    <s v="Value Shopper"/>
    <x v="1"/>
    <n v="5"/>
    <s v="Delivered"/>
    <s v="Express"/>
    <n v="3"/>
  </r>
  <r>
    <s v="ORD203087"/>
    <s v="CUST100299"/>
    <s v="Unisex"/>
    <s v="45-54"/>
    <x v="1755"/>
    <x v="2"/>
    <x v="4"/>
    <x v="2"/>
    <n v="12"/>
    <s v="Green"/>
    <n v="1"/>
    <n v="4299"/>
    <n v="15"/>
    <n v="3650"/>
    <n v="3650"/>
    <s v="Net Banking"/>
    <x v="1"/>
    <s v="India"/>
    <x v="16"/>
    <s v="Ahmedabad"/>
    <s v="Lifestyle Shopper"/>
    <x v="2"/>
    <n v="3.7"/>
    <s v="Delivered"/>
    <s v="Same Day"/>
    <n v="1"/>
  </r>
  <r>
    <s v="ORD200235"/>
    <s v="CUST100899"/>
    <s v="Men"/>
    <s v="18-24"/>
    <x v="1756"/>
    <x v="4"/>
    <x v="22"/>
    <x v="0"/>
    <n v="8"/>
    <s v="Grey"/>
    <n v="1"/>
    <n v="9599"/>
    <n v="20"/>
    <n v="7680"/>
    <n v="7680"/>
    <s v="UPI"/>
    <x v="2"/>
    <s v="India"/>
    <x v="11"/>
    <s v="Agatti"/>
    <s v="Performance Seeker"/>
    <x v="2"/>
    <n v="3.7"/>
    <s v="Cancelled"/>
    <s v="Standard"/>
    <n v="3"/>
  </r>
  <r>
    <s v="ORD202897"/>
    <s v="CUST100893"/>
    <s v="Men"/>
    <s v="35-44"/>
    <x v="1756"/>
    <x v="1"/>
    <x v="1"/>
    <x v="1"/>
    <n v="10"/>
    <s v="Blue"/>
    <n v="1"/>
    <n v="4699"/>
    <n v="15"/>
    <n v="3990"/>
    <n v="3990"/>
    <s v="UPI"/>
    <x v="1"/>
    <s v="India"/>
    <x v="24"/>
    <s v="Bengaluru"/>
    <s v="Performance Seeker"/>
    <x v="2"/>
    <n v="5"/>
    <s v="Delivered"/>
    <s v="Express"/>
    <n v="3"/>
  </r>
  <r>
    <s v="ORD201977"/>
    <s v="CUST100092"/>
    <s v="Women"/>
    <s v="35-44"/>
    <x v="1757"/>
    <x v="5"/>
    <x v="14"/>
    <x v="3"/>
    <n v="10"/>
    <s v="Black"/>
    <n v="1"/>
    <n v="7099"/>
    <n v="10"/>
    <n v="6390"/>
    <n v="6390"/>
    <s v="Debit/Credit Card"/>
    <x v="1"/>
    <s v="India"/>
    <x v="25"/>
    <s v="Srinagar"/>
    <s v="Premium Shopper"/>
    <x v="2"/>
    <n v="5"/>
    <s v="Returned"/>
    <s v="Express"/>
    <n v="2"/>
  </r>
  <r>
    <s v="ORD200050"/>
    <s v="CUST100620"/>
    <s v="Unisex"/>
    <s v="45-54"/>
    <x v="1758"/>
    <x v="5"/>
    <x v="21"/>
    <x v="2"/>
    <n v="9"/>
    <s v="White"/>
    <n v="1"/>
    <n v="5699"/>
    <n v="20"/>
    <n v="4560"/>
    <n v="4560"/>
    <s v="UPI"/>
    <x v="1"/>
    <s v="India"/>
    <x v="6"/>
    <s v="Noida"/>
    <s v="Value Shopper"/>
    <x v="1"/>
    <n v="4.5999999999999996"/>
    <s v="Delivered"/>
    <s v="Standard"/>
    <n v="4"/>
  </r>
  <r>
    <s v="ORD200082"/>
    <s v="CUST100904"/>
    <s v="Women"/>
    <s v="25-34"/>
    <x v="1759"/>
    <x v="3"/>
    <x v="35"/>
    <x v="2"/>
    <n v="10"/>
    <s v="Black"/>
    <n v="1"/>
    <n v="4199"/>
    <n v="5"/>
    <n v="3990"/>
    <n v="3990"/>
    <s v="UPI"/>
    <x v="1"/>
    <s v="India"/>
    <x v="28"/>
    <s v="Leh"/>
    <s v="Lifestyle Shopper"/>
    <x v="0"/>
    <n v="4.4000000000000004"/>
    <s v="Returned"/>
    <s v="Standard"/>
    <n v="2"/>
  </r>
  <r>
    <s v="ORD200145"/>
    <s v="CUST100322"/>
    <s v="Unisex"/>
    <s v="18-24"/>
    <x v="1759"/>
    <x v="5"/>
    <x v="14"/>
    <x v="3"/>
    <n v="7"/>
    <s v="White"/>
    <n v="1"/>
    <n v="5899"/>
    <n v="25"/>
    <n v="4420"/>
    <n v="4420"/>
    <s v="UPI"/>
    <x v="1"/>
    <s v="India"/>
    <x v="32"/>
    <s v="Jamshedpur"/>
    <s v="Lifestyle Shopper"/>
    <x v="2"/>
    <n v="5"/>
    <s v="Delivered"/>
    <s v="Standard"/>
    <n v="6"/>
  </r>
  <r>
    <s v="ORD201649"/>
    <s v="CUST100851"/>
    <s v="Women"/>
    <s v="55+"/>
    <x v="1759"/>
    <x v="1"/>
    <x v="33"/>
    <x v="0"/>
    <n v="8"/>
    <s v="Black"/>
    <n v="2"/>
    <n v="7099"/>
    <n v="15"/>
    <n v="6030"/>
    <n v="12060"/>
    <s v="UPI"/>
    <x v="1"/>
    <s v="India"/>
    <x v="30"/>
    <s v="Daria"/>
    <s v="Comfort Shopper"/>
    <x v="1"/>
    <n v="5"/>
    <s v="Delivered"/>
    <s v="Standard"/>
    <n v="4"/>
  </r>
  <r>
    <s v="ORD200766"/>
    <s v="CUST100661"/>
    <s v="Men"/>
    <s v="25-34"/>
    <x v="1760"/>
    <x v="5"/>
    <x v="15"/>
    <x v="4"/>
    <n v="10"/>
    <s v="Black"/>
    <n v="2"/>
    <n v="5599"/>
    <n v="15"/>
    <n v="4760"/>
    <n v="9520"/>
    <s v="Debit/Credit Card"/>
    <x v="0"/>
    <s v="India"/>
    <x v="11"/>
    <s v="Amini"/>
    <s v="Performance Seeker"/>
    <x v="2"/>
    <n v="3.6"/>
    <s v="Delivered"/>
    <s v="Express"/>
    <n v="2"/>
  </r>
  <r>
    <s v="ORD202136"/>
    <s v="CUST100039"/>
    <s v="Women"/>
    <s v="25-34"/>
    <x v="1760"/>
    <x v="3"/>
    <x v="11"/>
    <x v="4"/>
    <n v="12"/>
    <s v="Red"/>
    <n v="1"/>
    <n v="6999"/>
    <n v="0"/>
    <n v="7000"/>
    <n v="7000"/>
    <s v="UPI"/>
    <x v="0"/>
    <s v="India"/>
    <x v="11"/>
    <s v="Andrott"/>
    <s v="Performance Seeker"/>
    <x v="1"/>
    <n v="5"/>
    <s v="Delivered"/>
    <s v="Standard"/>
    <n v="5"/>
  </r>
  <r>
    <s v="ORD200942"/>
    <s v="CUST100086"/>
    <s v="Women"/>
    <s v="35-44"/>
    <x v="1761"/>
    <x v="3"/>
    <x v="11"/>
    <x v="4"/>
    <n v="10"/>
    <s v="Green"/>
    <n v="1"/>
    <n v="5199"/>
    <n v="15"/>
    <n v="4420"/>
    <n v="4420"/>
    <s v="UPI"/>
    <x v="1"/>
    <s v="India"/>
    <x v="3"/>
    <s v="Kota"/>
    <s v="Value Shopper"/>
    <x v="2"/>
    <n v="3.9"/>
    <s v="Returned"/>
    <s v="Express"/>
    <n v="1"/>
  </r>
  <r>
    <s v="ORD201241"/>
    <s v="CUST100172"/>
    <s v="Men"/>
    <s v="25-34"/>
    <x v="1761"/>
    <x v="0"/>
    <x v="13"/>
    <x v="2"/>
    <n v="12"/>
    <s v="Blue"/>
    <n v="2"/>
    <n v="8999"/>
    <n v="15"/>
    <n v="7650"/>
    <n v="15300"/>
    <s v="UPI"/>
    <x v="0"/>
    <s v="India"/>
    <x v="35"/>
    <s v="Kolasib"/>
    <s v="Performance Seeker"/>
    <x v="2"/>
    <n v="4.7"/>
    <s v="Cancelled"/>
    <s v="Standard"/>
    <n v="4"/>
  </r>
  <r>
    <s v="ORD201148"/>
    <s v="CUST101035"/>
    <s v="Men"/>
    <s v="18-24"/>
    <x v="1762"/>
    <x v="5"/>
    <x v="30"/>
    <x v="2"/>
    <n v="6"/>
    <s v="Green"/>
    <n v="2"/>
    <n v="6599"/>
    <n v="20"/>
    <n v="5280"/>
    <n v="10560"/>
    <s v="UPI"/>
    <x v="1"/>
    <s v="India"/>
    <x v="7"/>
    <s v="Gwalior"/>
    <s v="Lifestyle Shopper"/>
    <x v="1"/>
    <n v="3"/>
    <s v="Delivered"/>
    <s v="Standard"/>
    <n v="4"/>
  </r>
  <r>
    <s v="ORD203049"/>
    <s v="CUST100171"/>
    <s v="Unisex"/>
    <s v="35-44"/>
    <x v="1762"/>
    <x v="3"/>
    <x v="5"/>
    <x v="2"/>
    <n v="9"/>
    <s v="Black"/>
    <n v="1"/>
    <n v="5499"/>
    <n v="10"/>
    <n v="4950"/>
    <n v="4950"/>
    <s v="UPI"/>
    <x v="0"/>
    <s v="India"/>
    <x v="33"/>
    <s v="Nashik"/>
    <s v="Comfort Shopper"/>
    <x v="1"/>
    <n v="4.8"/>
    <s v="Returned"/>
    <s v="Express"/>
    <n v="2"/>
  </r>
  <r>
    <s v="ORD200025"/>
    <s v="CUST100450"/>
    <s v="Men"/>
    <s v="35-44"/>
    <x v="1763"/>
    <x v="5"/>
    <x v="30"/>
    <x v="2"/>
    <n v="10"/>
    <s v="Green"/>
    <n v="1"/>
    <n v="9199"/>
    <n v="20"/>
    <n v="7360"/>
    <n v="7360"/>
    <s v="UPI"/>
    <x v="1"/>
    <s v="India"/>
    <x v="32"/>
    <s v="Ranchi"/>
    <s v="Comfort Shopper"/>
    <x v="1"/>
    <n v="4.3"/>
    <s v="Delivered"/>
    <s v="Standard"/>
    <n v="5"/>
  </r>
  <r>
    <s v="ORD200168"/>
    <s v="CUST100900"/>
    <s v="Unisex"/>
    <s v="55+"/>
    <x v="1764"/>
    <x v="2"/>
    <x v="23"/>
    <x v="0"/>
    <n v="8"/>
    <s v="Blue"/>
    <n v="1"/>
    <n v="3299"/>
    <n v="10"/>
    <n v="2970"/>
    <n v="2970"/>
    <s v="UPI"/>
    <x v="0"/>
    <s v="India"/>
    <x v="22"/>
    <s v="Udaipur"/>
    <s v="Lifestyle Shopper"/>
    <x v="1"/>
    <n v="3.5"/>
    <s v="Delivered"/>
    <s v="Standard"/>
    <n v="6"/>
  </r>
  <r>
    <s v="ORD200338"/>
    <s v="CUST100581"/>
    <s v="Unisex"/>
    <s v="25-34"/>
    <x v="1764"/>
    <x v="4"/>
    <x v="26"/>
    <x v="3"/>
    <n v="8"/>
    <s v="White"/>
    <n v="1"/>
    <n v="5599"/>
    <n v="10"/>
    <n v="5040"/>
    <n v="5040"/>
    <s v="Debit/Credit Card"/>
    <x v="0"/>
    <s v="India"/>
    <x v="1"/>
    <s v="Margao"/>
    <s v="Value Shopper"/>
    <x v="1"/>
    <n v="3.2"/>
    <s v="Delivered"/>
    <s v="Standard"/>
    <n v="3"/>
  </r>
  <r>
    <s v="ORD201161"/>
    <s v="CUST100081"/>
    <s v="Women"/>
    <s v="35-44"/>
    <x v="1765"/>
    <x v="5"/>
    <x v="27"/>
    <x v="0"/>
    <n v="7"/>
    <s v="Blue"/>
    <n v="1"/>
    <n v="9799"/>
    <n v="25"/>
    <n v="7350"/>
    <n v="7350"/>
    <s v="UPI"/>
    <x v="1"/>
    <s v="India"/>
    <x v="27"/>
    <s v="Rourkela"/>
    <s v="Premium Shopper"/>
    <x v="2"/>
    <n v="4.0999999999999996"/>
    <s v="Cancelled"/>
    <s v="Standard"/>
    <n v="6"/>
  </r>
  <r>
    <s v="ORD201339"/>
    <s v="CUST100344"/>
    <s v="Women"/>
    <s v="25-34"/>
    <x v="1765"/>
    <x v="0"/>
    <x v="2"/>
    <x v="2"/>
    <n v="6"/>
    <s v="White"/>
    <n v="1"/>
    <n v="8199"/>
    <n v="5"/>
    <n v="7790"/>
    <n v="7790"/>
    <s v="UPI"/>
    <x v="0"/>
    <s v="India"/>
    <x v="18"/>
    <s v="Bhilai"/>
    <s v="Performance Seeker"/>
    <x v="2"/>
    <n v="4.4000000000000004"/>
    <s v="Delivered"/>
    <s v="Standard"/>
    <n v="4"/>
  </r>
  <r>
    <s v="ORD202069"/>
    <s v="CUST100764"/>
    <s v="Women"/>
    <s v="35-44"/>
    <x v="1765"/>
    <x v="3"/>
    <x v="5"/>
    <x v="2"/>
    <n v="9"/>
    <s v="White"/>
    <n v="1"/>
    <n v="8099"/>
    <n v="20"/>
    <n v="6480"/>
    <n v="6480"/>
    <s v="UPI"/>
    <x v="1"/>
    <s v="India"/>
    <x v="11"/>
    <s v="Kavaratti"/>
    <s v="Premium Shopper"/>
    <x v="2"/>
    <n v="3.6"/>
    <s v="Delivered"/>
    <s v="Standard"/>
    <n v="2"/>
  </r>
  <r>
    <s v="ORD200713"/>
    <s v="CUST100158"/>
    <s v="Unisex"/>
    <s v="25-34"/>
    <x v="1766"/>
    <x v="3"/>
    <x v="34"/>
    <x v="3"/>
    <n v="8"/>
    <s v="Green"/>
    <n v="1"/>
    <n v="4699"/>
    <n v="15"/>
    <n v="3990"/>
    <n v="3990"/>
    <s v="UPI"/>
    <x v="2"/>
    <s v="India"/>
    <x v="34"/>
    <s v="Kolkata"/>
    <s v="Performance Seeker"/>
    <x v="2"/>
    <n v="3.8"/>
    <s v="Delivered"/>
    <s v="Same Day"/>
    <n v="1"/>
  </r>
  <r>
    <s v="ORD201341"/>
    <s v="CUST100256"/>
    <s v="Men"/>
    <s v="25-34"/>
    <x v="1766"/>
    <x v="1"/>
    <x v="10"/>
    <x v="3"/>
    <n v="8"/>
    <s v="Grey"/>
    <n v="1"/>
    <n v="5299"/>
    <n v="20"/>
    <n v="4240"/>
    <n v="4240"/>
    <s v="Cash on Delivery"/>
    <x v="0"/>
    <s v="India"/>
    <x v="31"/>
    <s v="Chennai"/>
    <s v="Lifestyle Shopper"/>
    <x v="2"/>
    <n v="4.3"/>
    <s v="Delivered"/>
    <s v="Standard"/>
    <n v="2"/>
  </r>
  <r>
    <s v="ORD202228"/>
    <s v="CUST100271"/>
    <s v="Men"/>
    <s v="45-54"/>
    <x v="1766"/>
    <x v="4"/>
    <x v="26"/>
    <x v="3"/>
    <n v="8"/>
    <s v="Grey"/>
    <n v="1"/>
    <n v="9499"/>
    <n v="5"/>
    <n v="9020"/>
    <n v="9020"/>
    <s v="Debit/Credit Card"/>
    <x v="0"/>
    <s v="India"/>
    <x v="20"/>
    <s v="Shimla"/>
    <s v="Comfort Shopper"/>
    <x v="1"/>
    <n v="4.5999999999999996"/>
    <s v="Delivered"/>
    <s v="Standard"/>
    <n v="3"/>
  </r>
  <r>
    <s v="ORD201730"/>
    <s v="CUST100301"/>
    <s v="Men"/>
    <s v="45-54"/>
    <x v="1767"/>
    <x v="0"/>
    <x v="2"/>
    <x v="2"/>
    <n v="8"/>
    <s v="White"/>
    <n v="1"/>
    <n v="4099"/>
    <n v="10"/>
    <n v="3690"/>
    <n v="3690"/>
    <s v="UPI"/>
    <x v="2"/>
    <s v="India"/>
    <x v="30"/>
    <s v="Chandigarh"/>
    <s v="Comfort Shopper"/>
    <x v="2"/>
    <n v="3.6"/>
    <s v="Cancelled"/>
    <s v="Express"/>
    <n v="4"/>
  </r>
  <r>
    <s v="ORD202884"/>
    <s v="CUST100393"/>
    <s v="Men"/>
    <s v="18-24"/>
    <x v="1768"/>
    <x v="4"/>
    <x v="9"/>
    <x v="1"/>
    <n v="8"/>
    <s v="Green"/>
    <n v="1"/>
    <n v="8399"/>
    <n v="10"/>
    <n v="7560"/>
    <n v="7560"/>
    <s v="UPI"/>
    <x v="2"/>
    <s v="India"/>
    <x v="1"/>
    <s v="Vasco da Gama"/>
    <s v="Value Shopper"/>
    <x v="2"/>
    <n v="4.5999999999999996"/>
    <s v="Delivered"/>
    <s v="Same Day"/>
    <n v="2"/>
  </r>
  <r>
    <s v="ORD200432"/>
    <s v="CUST100584"/>
    <s v="Men"/>
    <s v="55+"/>
    <x v="1769"/>
    <x v="0"/>
    <x v="31"/>
    <x v="1"/>
    <n v="10"/>
    <s v="Green"/>
    <n v="3"/>
    <n v="3899"/>
    <n v="10"/>
    <n v="3510"/>
    <n v="10530"/>
    <s v="UPI"/>
    <x v="1"/>
    <s v="India"/>
    <x v="23"/>
    <s v="Dehradun"/>
    <s v="Lifestyle Shopper"/>
    <x v="2"/>
    <n v="4.7"/>
    <s v="Delivered"/>
    <s v="Express"/>
    <n v="3"/>
  </r>
  <r>
    <s v="ORD202335"/>
    <s v="CUST100373"/>
    <s v="Women"/>
    <s v="35-44"/>
    <x v="1769"/>
    <x v="0"/>
    <x v="2"/>
    <x v="2"/>
    <n v="9"/>
    <s v="Blue"/>
    <n v="2"/>
    <n v="9099"/>
    <n v="15"/>
    <n v="7730"/>
    <n v="15460"/>
    <s v="UPI"/>
    <x v="2"/>
    <s v="India"/>
    <x v="13"/>
    <s v="Tawang"/>
    <s v="Comfort Shopper"/>
    <x v="1"/>
    <n v="3.4"/>
    <s v="Delivered"/>
    <s v="Same Day"/>
    <n v="1"/>
  </r>
  <r>
    <s v="ORD203113"/>
    <s v="CUST100110"/>
    <s v="Women"/>
    <s v="35-44"/>
    <x v="1769"/>
    <x v="2"/>
    <x v="4"/>
    <x v="2"/>
    <n v="12"/>
    <s v="Black"/>
    <n v="2"/>
    <n v="7799"/>
    <n v="15"/>
    <n v="6630"/>
    <n v="13260"/>
    <s v="Cash on Delivery"/>
    <x v="2"/>
    <s v="India"/>
    <x v="4"/>
    <s v="Mangan"/>
    <s v="Comfort Shopper"/>
    <x v="2"/>
    <n v="4.2"/>
    <s v="Cancelled"/>
    <s v="Standard"/>
    <n v="4"/>
  </r>
  <r>
    <s v="ORD202034"/>
    <s v="CUST101039"/>
    <s v="Women"/>
    <s v="18-24"/>
    <x v="1770"/>
    <x v="5"/>
    <x v="21"/>
    <x v="2"/>
    <n v="7"/>
    <s v="Black"/>
    <n v="1"/>
    <n v="4499"/>
    <n v="30"/>
    <n v="3150"/>
    <n v="3150"/>
    <s v="UPI"/>
    <x v="1"/>
    <s v="India"/>
    <x v="0"/>
    <s v="Guwahati"/>
    <s v="Premium Shopper"/>
    <x v="1"/>
    <n v="3.7"/>
    <s v="Delivered"/>
    <s v="Standard"/>
    <n v="6"/>
  </r>
  <r>
    <s v="ORD200148"/>
    <s v="CUST100270"/>
    <s v="Men"/>
    <s v="55+"/>
    <x v="1771"/>
    <x v="3"/>
    <x v="28"/>
    <x v="1"/>
    <n v="10"/>
    <s v="White"/>
    <n v="1"/>
    <n v="5299"/>
    <n v="0"/>
    <n v="5300"/>
    <n v="5300"/>
    <s v="Debit/Credit Card"/>
    <x v="2"/>
    <s v="India"/>
    <x v="31"/>
    <s v="Tiruchirappalli"/>
    <s v="Premium Shopper"/>
    <x v="2"/>
    <n v="4.3"/>
    <s v="Delivered"/>
    <s v="Standard"/>
    <n v="5"/>
  </r>
  <r>
    <s v="ORD201153"/>
    <s v="CUST100933"/>
    <s v="Men"/>
    <s v="35-44"/>
    <x v="1771"/>
    <x v="4"/>
    <x v="29"/>
    <x v="2"/>
    <n v="8"/>
    <s v="Grey"/>
    <n v="2"/>
    <n v="9199"/>
    <n v="10"/>
    <n v="8280"/>
    <n v="16560"/>
    <s v="UPI"/>
    <x v="1"/>
    <s v="India"/>
    <x v="5"/>
    <s v="Churachandpur"/>
    <s v="Performance Seeker"/>
    <x v="2"/>
    <n v="4.4000000000000004"/>
    <s v="Delivered"/>
    <s v="Express"/>
    <n v="2"/>
  </r>
  <r>
    <s v="ORD201710"/>
    <s v="CUST100520"/>
    <s v="Women"/>
    <s v="55+"/>
    <x v="1772"/>
    <x v="0"/>
    <x v="13"/>
    <x v="2"/>
    <n v="8"/>
    <s v="Grey"/>
    <n v="1"/>
    <n v="8699"/>
    <n v="5"/>
    <n v="8260"/>
    <n v="8260"/>
    <s v="Debit/Credit Card"/>
    <x v="1"/>
    <s v="India"/>
    <x v="24"/>
    <s v="Bengaluru"/>
    <s v="Lifestyle Shopper"/>
    <x v="2"/>
    <n v="4.5999999999999996"/>
    <s v="Cancelled"/>
    <s v="Standard"/>
    <n v="3"/>
  </r>
  <r>
    <s v="ORD201908"/>
    <s v="CUST100265"/>
    <s v="Women"/>
    <s v="25-34"/>
    <x v="1772"/>
    <x v="0"/>
    <x v="2"/>
    <x v="2"/>
    <n v="9"/>
    <s v="White"/>
    <n v="1"/>
    <n v="7599"/>
    <n v="15"/>
    <n v="6460"/>
    <n v="6460"/>
    <s v="Debit/Credit Card"/>
    <x v="1"/>
    <s v="India"/>
    <x v="14"/>
    <s v="Jalandhar"/>
    <s v="Performance Seeker"/>
    <x v="2"/>
    <n v="3.6"/>
    <s v="Delivered"/>
    <s v="Express"/>
    <n v="3"/>
  </r>
  <r>
    <s v="ORD200021"/>
    <s v="CUST100136"/>
    <s v="Unisex"/>
    <s v="18-24"/>
    <x v="1773"/>
    <x v="1"/>
    <x v="20"/>
    <x v="2"/>
    <n v="8"/>
    <s v="White"/>
    <n v="1"/>
    <n v="5799"/>
    <n v="10"/>
    <n v="5220"/>
    <n v="5220"/>
    <s v="UPI"/>
    <x v="1"/>
    <s v="India"/>
    <x v="31"/>
    <s v="Chennai"/>
    <s v="Lifestyle Shopper"/>
    <x v="2"/>
    <n v="3.6"/>
    <s v="Delivered"/>
    <s v="Standard"/>
    <n v="2"/>
  </r>
  <r>
    <s v="ORD203152"/>
    <s v="CUST100719"/>
    <s v="Men"/>
    <s v="25-34"/>
    <x v="1773"/>
    <x v="2"/>
    <x v="24"/>
    <x v="4"/>
    <n v="11"/>
    <s v="Green"/>
    <n v="1"/>
    <n v="7699"/>
    <n v="20"/>
    <n v="6160"/>
    <n v="6160"/>
    <s v="UPI"/>
    <x v="1"/>
    <s v="India"/>
    <x v="34"/>
    <s v="Durgapur"/>
    <s v="Performance Seeker"/>
    <x v="2"/>
    <n v="3.8"/>
    <s v="Delivered"/>
    <s v="Express"/>
    <n v="3"/>
  </r>
  <r>
    <s v="ORD201081"/>
    <s v="CUST100975"/>
    <s v="Women"/>
    <s v="18-24"/>
    <x v="1774"/>
    <x v="5"/>
    <x v="14"/>
    <x v="3"/>
    <n v="8"/>
    <s v="Grey"/>
    <n v="2"/>
    <n v="8699"/>
    <n v="20"/>
    <n v="6960"/>
    <n v="13920"/>
    <s v="Net Banking"/>
    <x v="2"/>
    <s v="India"/>
    <x v="32"/>
    <s v="Jamshedpur"/>
    <s v="Comfort Shopper"/>
    <x v="0"/>
    <n v="5"/>
    <s v="Delivered"/>
    <s v="Standard"/>
    <n v="7"/>
  </r>
  <r>
    <s v="ORD202053"/>
    <s v="CUST100010"/>
    <s v="Women"/>
    <s v="25-34"/>
    <x v="1774"/>
    <x v="1"/>
    <x v="18"/>
    <x v="2"/>
    <n v="6"/>
    <s v="Grey"/>
    <n v="1"/>
    <n v="5499"/>
    <n v="5"/>
    <n v="5220"/>
    <n v="5220"/>
    <s v="Debit/Credit Card"/>
    <x v="2"/>
    <s v="India"/>
    <x v="7"/>
    <s v="Indore"/>
    <s v="Value Shopper"/>
    <x v="2"/>
    <n v="5"/>
    <s v="Delivered"/>
    <s v="Express"/>
    <n v="2"/>
  </r>
  <r>
    <s v="ORD202768"/>
    <s v="CUST100049"/>
    <s v="Women"/>
    <s v="18-24"/>
    <x v="1774"/>
    <x v="0"/>
    <x v="31"/>
    <x v="1"/>
    <n v="7"/>
    <s v="Blue"/>
    <n v="1"/>
    <n v="7699"/>
    <n v="0"/>
    <n v="7700"/>
    <n v="7700"/>
    <s v="UPI"/>
    <x v="1"/>
    <s v="India"/>
    <x v="31"/>
    <s v="Tiruchirappalli"/>
    <s v="Value Shopper"/>
    <x v="1"/>
    <n v="5"/>
    <s v="Delivered"/>
    <s v="Express"/>
    <n v="3"/>
  </r>
  <r>
    <s v="ORD201705"/>
    <s v="CUST100031"/>
    <s v="Unisex"/>
    <s v="35-44"/>
    <x v="1775"/>
    <x v="2"/>
    <x v="3"/>
    <x v="2"/>
    <n v="10"/>
    <s v="Blue"/>
    <n v="1"/>
    <n v="4099"/>
    <n v="10"/>
    <n v="3690"/>
    <n v="3690"/>
    <s v="Debit/Credit Card"/>
    <x v="0"/>
    <s v="India"/>
    <x v="23"/>
    <s v="Haldwani"/>
    <s v="Premium Shopper"/>
    <x v="2"/>
    <n v="3.5"/>
    <s v="Delivered"/>
    <s v="Standard"/>
    <n v="5"/>
  </r>
  <r>
    <s v="ORD200681"/>
    <s v="CUST100681"/>
    <s v="Men"/>
    <s v="35-44"/>
    <x v="1776"/>
    <x v="2"/>
    <x v="4"/>
    <x v="2"/>
    <n v="8"/>
    <s v="Green"/>
    <n v="1"/>
    <n v="7599"/>
    <n v="5"/>
    <n v="7220"/>
    <n v="7220"/>
    <s v="UPI"/>
    <x v="0"/>
    <s v="India"/>
    <x v="23"/>
    <s v="Haridwar"/>
    <s v="Value Shopper"/>
    <x v="2"/>
    <n v="5"/>
    <s v="Cancelled"/>
    <s v="Express"/>
    <n v="3"/>
  </r>
  <r>
    <s v="ORD203022"/>
    <s v="CUST100398"/>
    <s v="Men"/>
    <s v="25-34"/>
    <x v="1776"/>
    <x v="0"/>
    <x v="0"/>
    <x v="0"/>
    <n v="7"/>
    <s v="Black"/>
    <n v="3"/>
    <n v="6399"/>
    <n v="25"/>
    <n v="4800"/>
    <n v="14400"/>
    <s v="Debit/Credit Card"/>
    <x v="0"/>
    <s v="India"/>
    <x v="17"/>
    <s v="Puducherry"/>
    <s v="Lifestyle Shopper"/>
    <x v="2"/>
    <n v="3.7"/>
    <s v="Delivered"/>
    <s v="Standard"/>
    <n v="3"/>
  </r>
  <r>
    <s v="ORD201466"/>
    <s v="CUST100108"/>
    <s v="Unisex"/>
    <s v="45-54"/>
    <x v="1777"/>
    <x v="4"/>
    <x v="26"/>
    <x v="3"/>
    <n v="9"/>
    <s v="White"/>
    <n v="1"/>
    <n v="7799"/>
    <n v="10"/>
    <n v="7020"/>
    <n v="7020"/>
    <s v="UPI"/>
    <x v="0"/>
    <s v="India"/>
    <x v="19"/>
    <s v="Tura"/>
    <s v="Performance Seeker"/>
    <x v="2"/>
    <n v="4.5"/>
    <s v="Cancelled"/>
    <s v="Express"/>
    <n v="1"/>
  </r>
  <r>
    <s v="ORD202039"/>
    <s v="CUST100174"/>
    <s v="Men"/>
    <s v="35-44"/>
    <x v="1777"/>
    <x v="3"/>
    <x v="28"/>
    <x v="1"/>
    <n v="8"/>
    <s v="Blue"/>
    <n v="2"/>
    <n v="4499"/>
    <n v="10"/>
    <n v="4050"/>
    <n v="8100"/>
    <s v="Debit/Credit Card"/>
    <x v="2"/>
    <s v="India"/>
    <x v="16"/>
    <s v="Rajkot"/>
    <s v="Value Shopper"/>
    <x v="2"/>
    <n v="4.7"/>
    <s v="Delivered"/>
    <s v="Express"/>
    <n v="2"/>
  </r>
  <r>
    <s v="ORD202196"/>
    <s v="CUST100198"/>
    <s v="Men"/>
    <s v="18-24"/>
    <x v="1777"/>
    <x v="4"/>
    <x v="29"/>
    <x v="2"/>
    <n v="11"/>
    <s v="Black"/>
    <n v="1"/>
    <n v="8199"/>
    <n v="25"/>
    <n v="6150"/>
    <n v="6150"/>
    <s v="Debit/Credit Card"/>
    <x v="1"/>
    <s v="India"/>
    <x v="11"/>
    <s v="Amini"/>
    <s v="Lifestyle Shopper"/>
    <x v="1"/>
    <n v="3.4"/>
    <s v="Returned"/>
    <s v="Standard"/>
    <n v="3"/>
  </r>
  <r>
    <s v="ORD200016"/>
    <s v="CUST100300"/>
    <s v="Women"/>
    <s v="25-34"/>
    <x v="1778"/>
    <x v="3"/>
    <x v="11"/>
    <x v="4"/>
    <n v="7"/>
    <s v="Black"/>
    <n v="1"/>
    <n v="5799"/>
    <n v="10"/>
    <n v="5220"/>
    <n v="5220"/>
    <s v="UPI"/>
    <x v="1"/>
    <s v="India"/>
    <x v="33"/>
    <s v="Mumbai"/>
    <s v="Performance Seeker"/>
    <x v="2"/>
    <n v="4.7"/>
    <s v="Delivered"/>
    <s v="Standard"/>
    <n v="5"/>
  </r>
  <r>
    <s v="ORD200362"/>
    <s v="CUST100673"/>
    <s v="Men"/>
    <s v="45-54"/>
    <x v="1778"/>
    <x v="2"/>
    <x v="4"/>
    <x v="2"/>
    <n v="6"/>
    <s v="Green"/>
    <n v="1"/>
    <n v="6299"/>
    <n v="20"/>
    <n v="5040"/>
    <n v="5040"/>
    <s v="UPI"/>
    <x v="0"/>
    <s v="India"/>
    <x v="14"/>
    <s v="Patiala"/>
    <s v="Lifestyle Shopper"/>
    <x v="1"/>
    <n v="4"/>
    <s v="Cancelled"/>
    <s v="Express"/>
    <n v="3"/>
  </r>
  <r>
    <s v="ORD202026"/>
    <s v="CUST100290"/>
    <s v="Men"/>
    <s v="25-34"/>
    <x v="1778"/>
    <x v="0"/>
    <x v="31"/>
    <x v="1"/>
    <n v="10"/>
    <s v="Black"/>
    <n v="3"/>
    <n v="4399"/>
    <n v="10"/>
    <n v="3960"/>
    <n v="11880"/>
    <s v="UPI"/>
    <x v="1"/>
    <s v="India"/>
    <x v="8"/>
    <s v="Hyderabad"/>
    <s v="Performance Seeker"/>
    <x v="1"/>
    <n v="4.0999999999999996"/>
    <s v="Delivered"/>
    <s v="Standard"/>
    <n v="5"/>
  </r>
  <r>
    <s v="ORD200022"/>
    <s v="CUST100132"/>
    <s v="Women"/>
    <s v="18-24"/>
    <x v="1779"/>
    <x v="0"/>
    <x v="2"/>
    <x v="2"/>
    <n v="9"/>
    <s v="Black"/>
    <n v="1"/>
    <n v="6199"/>
    <n v="10"/>
    <n v="5580"/>
    <n v="5580"/>
    <s v="UPI"/>
    <x v="1"/>
    <s v="India"/>
    <x v="2"/>
    <s v="Hisar"/>
    <s v="Value Shopper"/>
    <x v="2"/>
    <n v="4"/>
    <s v="Delivered"/>
    <s v="Standard"/>
    <n v="3"/>
  </r>
  <r>
    <s v="ORD201325"/>
    <s v="CUST100177"/>
    <s v="Women"/>
    <s v="25-34"/>
    <x v="1780"/>
    <x v="2"/>
    <x v="32"/>
    <x v="1"/>
    <n v="10"/>
    <s v="Grey"/>
    <n v="1"/>
    <n v="4299"/>
    <n v="20"/>
    <n v="3440"/>
    <n v="3440"/>
    <s v="UPI"/>
    <x v="2"/>
    <s v="India"/>
    <x v="0"/>
    <s v="Dibrugarh"/>
    <s v="Value Shopper"/>
    <x v="1"/>
    <n v="4.2"/>
    <s v="Delivered"/>
    <s v="Express"/>
    <n v="1"/>
  </r>
  <r>
    <s v="ORD201764"/>
    <s v="CUST100380"/>
    <s v="Unisex"/>
    <s v="55+"/>
    <x v="1780"/>
    <x v="4"/>
    <x v="9"/>
    <x v="1"/>
    <n v="11"/>
    <s v="Blue"/>
    <n v="2"/>
    <n v="8899"/>
    <n v="30"/>
    <n v="6230"/>
    <n v="12460"/>
    <s v="UPI"/>
    <x v="1"/>
    <s v="India"/>
    <x v="14"/>
    <s v="Patiala"/>
    <s v="Value Shopper"/>
    <x v="2"/>
    <n v="3.8"/>
    <s v="Cancelled"/>
    <s v="Standard"/>
    <n v="2"/>
  </r>
  <r>
    <s v="ORD203097"/>
    <s v="CUST100892"/>
    <s v="Men"/>
    <s v="35-44"/>
    <x v="1780"/>
    <x v="3"/>
    <x v="28"/>
    <x v="1"/>
    <n v="11"/>
    <s v="Grey"/>
    <n v="1"/>
    <n v="5099"/>
    <n v="25"/>
    <n v="3820"/>
    <n v="3820"/>
    <s v="UPI"/>
    <x v="1"/>
    <s v="India"/>
    <x v="30"/>
    <s v="Daria"/>
    <s v="Premium Shopper"/>
    <x v="1"/>
    <n v="4"/>
    <s v="Cancelled"/>
    <s v="Standard"/>
    <n v="7"/>
  </r>
  <r>
    <s v="ORD202050"/>
    <s v="CUST100784"/>
    <s v="Women"/>
    <s v="25-34"/>
    <x v="1781"/>
    <x v="4"/>
    <x v="22"/>
    <x v="0"/>
    <n v="7"/>
    <s v="Red"/>
    <n v="1"/>
    <n v="9099"/>
    <n v="30"/>
    <n v="6370"/>
    <n v="6370"/>
    <s v="UPI"/>
    <x v="2"/>
    <s v="India"/>
    <x v="24"/>
    <s v="Hubballi"/>
    <s v="Performance Seeker"/>
    <x v="1"/>
    <n v="4"/>
    <s v="Delivered"/>
    <s v="Standard"/>
    <n v="5"/>
  </r>
  <r>
    <s v="ORD202403"/>
    <s v="CUST100639"/>
    <s v="Unisex"/>
    <s v="35-44"/>
    <x v="1782"/>
    <x v="2"/>
    <x v="3"/>
    <x v="2"/>
    <n v="9"/>
    <s v="Black"/>
    <n v="1"/>
    <n v="5699"/>
    <n v="15"/>
    <n v="4840"/>
    <n v="4840"/>
    <s v="UPI"/>
    <x v="0"/>
    <s v="India"/>
    <x v="27"/>
    <s v="Rourkela"/>
    <s v="Lifestyle Shopper"/>
    <x v="0"/>
    <n v="4.7"/>
    <s v="Delivered"/>
    <s v="Standard"/>
    <n v="4"/>
  </r>
  <r>
    <s v="ORD200033"/>
    <s v="CUST100584"/>
    <s v="Women"/>
    <s v="25-34"/>
    <x v="1783"/>
    <x v="5"/>
    <x v="21"/>
    <x v="2"/>
    <n v="10"/>
    <s v="Blue"/>
    <n v="1"/>
    <n v="8899"/>
    <n v="20"/>
    <n v="7120"/>
    <n v="7120"/>
    <s v="Debit/Credit Card"/>
    <x v="0"/>
    <s v="India"/>
    <x v="4"/>
    <s v="Namchi"/>
    <s v="Premium Shopper"/>
    <x v="2"/>
    <n v="3.8"/>
    <s v="Returned"/>
    <s v="Express"/>
    <n v="2"/>
  </r>
  <r>
    <s v="ORD200246"/>
    <s v="CUST100038"/>
    <s v="Women"/>
    <s v="18-24"/>
    <x v="1783"/>
    <x v="2"/>
    <x v="32"/>
    <x v="1"/>
    <n v="9"/>
    <s v="White"/>
    <n v="3"/>
    <n v="3199"/>
    <n v="0"/>
    <n v="3200"/>
    <n v="9600"/>
    <s v="Debit/Credit Card"/>
    <x v="1"/>
    <s v="India"/>
    <x v="26"/>
    <s v="Thiruvananthapuram"/>
    <s v="Lifestyle Shopper"/>
    <x v="2"/>
    <n v="5"/>
    <s v="Delivered"/>
    <s v="Express"/>
    <n v="3"/>
  </r>
  <r>
    <s v="ORD200873"/>
    <s v="CUST100209"/>
    <s v="Men"/>
    <s v="25-34"/>
    <x v="1783"/>
    <x v="3"/>
    <x v="34"/>
    <x v="3"/>
    <n v="8"/>
    <s v="White"/>
    <n v="1"/>
    <n v="4299"/>
    <n v="25"/>
    <n v="3220"/>
    <n v="3220"/>
    <s v="UPI"/>
    <x v="2"/>
    <s v="India"/>
    <x v="2"/>
    <s v="Panipat"/>
    <s v="Comfort Shopper"/>
    <x v="0"/>
    <n v="4.7"/>
    <s v="Returned"/>
    <s v="Express"/>
    <n v="1"/>
  </r>
  <r>
    <s v="ORD200995"/>
    <s v="CUST100725"/>
    <s v="Women"/>
    <s v="35-44"/>
    <x v="1783"/>
    <x v="1"/>
    <x v="1"/>
    <x v="1"/>
    <n v="10"/>
    <s v="Green"/>
    <n v="1"/>
    <n v="8499"/>
    <n v="20"/>
    <n v="6800"/>
    <n v="6800"/>
    <s v="Cash on Delivery"/>
    <x v="2"/>
    <s v="India"/>
    <x v="12"/>
    <s v="Diglipur"/>
    <s v="Comfort Shopper"/>
    <x v="2"/>
    <n v="4.5"/>
    <s v="Delivered"/>
    <s v="Standard"/>
    <n v="6"/>
  </r>
  <r>
    <s v="ORD201840"/>
    <s v="CUST100809"/>
    <s v="Men"/>
    <s v="25-34"/>
    <x v="1783"/>
    <x v="5"/>
    <x v="7"/>
    <x v="1"/>
    <n v="8"/>
    <s v="Black"/>
    <n v="3"/>
    <n v="6599"/>
    <n v="25"/>
    <n v="4950"/>
    <n v="14850"/>
    <s v="Debit/Credit Card"/>
    <x v="1"/>
    <s v="India"/>
    <x v="17"/>
    <s v="Puducherry"/>
    <s v="Premium Shopper"/>
    <x v="1"/>
    <n v="3.1"/>
    <s v="Cancelled"/>
    <s v="Express"/>
    <n v="1"/>
  </r>
  <r>
    <s v="ORD203043"/>
    <s v="CUST100469"/>
    <s v="Men"/>
    <s v="18-24"/>
    <x v="1783"/>
    <x v="0"/>
    <x v="8"/>
    <x v="3"/>
    <n v="7"/>
    <s v="Grey"/>
    <n v="1"/>
    <n v="5999"/>
    <n v="25"/>
    <n v="4500"/>
    <n v="4500"/>
    <s v="UPI"/>
    <x v="2"/>
    <s v="India"/>
    <x v="26"/>
    <s v="Thrissur"/>
    <s v="Value Shopper"/>
    <x v="1"/>
    <n v="4.3"/>
    <s v="Delivered"/>
    <s v="Standard"/>
    <n v="7"/>
  </r>
  <r>
    <s v="ORD201389"/>
    <s v="CUST100643"/>
    <s v="Women"/>
    <s v="25-34"/>
    <x v="1784"/>
    <x v="1"/>
    <x v="10"/>
    <x v="3"/>
    <n v="9"/>
    <s v="White"/>
    <n v="3"/>
    <n v="6799"/>
    <n v="15"/>
    <n v="5780"/>
    <n v="17340"/>
    <s v="Debit/Credit Card"/>
    <x v="2"/>
    <s v="India"/>
    <x v="20"/>
    <s v="Shimla"/>
    <s v="Comfort Shopper"/>
    <x v="1"/>
    <n v="4"/>
    <s v="Delivered"/>
    <s v="Standard"/>
    <n v="5"/>
  </r>
  <r>
    <s v="ORD203047"/>
    <s v="CUST100695"/>
    <s v="Women"/>
    <s v="25-34"/>
    <x v="1784"/>
    <x v="5"/>
    <x v="15"/>
    <x v="4"/>
    <n v="8"/>
    <s v="Grey"/>
    <n v="1"/>
    <n v="7599"/>
    <n v="20"/>
    <n v="6080"/>
    <n v="6080"/>
    <s v="UPI"/>
    <x v="1"/>
    <s v="India"/>
    <x v="8"/>
    <s v="Warangal"/>
    <s v="Performance Seeker"/>
    <x v="2"/>
    <n v="3.9"/>
    <s v="Delivered"/>
    <s v="Express"/>
    <n v="2"/>
  </r>
  <r>
    <s v="ORD201789"/>
    <s v="CUST100397"/>
    <s v="Women"/>
    <s v="45-54"/>
    <x v="1785"/>
    <x v="3"/>
    <x v="5"/>
    <x v="2"/>
    <n v="12"/>
    <s v="Black"/>
    <n v="1"/>
    <n v="3899"/>
    <n v="30"/>
    <n v="2730"/>
    <n v="2730"/>
    <s v="UPI"/>
    <x v="1"/>
    <s v="India"/>
    <x v="20"/>
    <s v="Mandi"/>
    <s v="Comfort Shopper"/>
    <x v="2"/>
    <n v="4.4000000000000004"/>
    <s v="Delivered"/>
    <s v="Express"/>
    <n v="4"/>
  </r>
  <r>
    <s v="ORD201914"/>
    <s v="CUST100170"/>
    <s v="Women"/>
    <s v="45-54"/>
    <x v="1785"/>
    <x v="4"/>
    <x v="22"/>
    <x v="0"/>
    <n v="7"/>
    <s v="Blue"/>
    <n v="1"/>
    <n v="7199"/>
    <n v="10"/>
    <n v="6480"/>
    <n v="6480"/>
    <s v="UPI"/>
    <x v="1"/>
    <s v="India"/>
    <x v="0"/>
    <s v="Dibrugarh"/>
    <s v="Premium Shopper"/>
    <x v="1"/>
    <n v="4.0999999999999996"/>
    <s v="Delivered"/>
    <s v="Standard"/>
    <n v="3"/>
  </r>
  <r>
    <s v="ORD202713"/>
    <s v="CUST100369"/>
    <s v="Men"/>
    <s v="25-34"/>
    <x v="1785"/>
    <x v="1"/>
    <x v="20"/>
    <x v="2"/>
    <n v="7"/>
    <s v="Blue"/>
    <n v="1"/>
    <n v="8899"/>
    <n v="15"/>
    <n v="7560"/>
    <n v="7560"/>
    <s v="UPI"/>
    <x v="1"/>
    <s v="India"/>
    <x v="19"/>
    <s v="Shillong"/>
    <s v="Premium Shopper"/>
    <x v="2"/>
    <n v="4.2"/>
    <s v="Delivered"/>
    <s v="Express"/>
    <n v="2"/>
  </r>
  <r>
    <s v="ORD200433"/>
    <s v="CUST100878"/>
    <s v="Men"/>
    <s v="55+"/>
    <x v="1786"/>
    <x v="1"/>
    <x v="18"/>
    <x v="2"/>
    <n v="9"/>
    <s v="Blue"/>
    <n v="1"/>
    <n v="8599"/>
    <n v="25"/>
    <n v="6450"/>
    <n v="6450"/>
    <s v="Cash on Delivery"/>
    <x v="1"/>
    <s v="India"/>
    <x v="0"/>
    <s v="Jorhat"/>
    <s v="Lifestyle Shopper"/>
    <x v="1"/>
    <n v="4.5999999999999996"/>
    <s v="Delivered"/>
    <s v="Standard"/>
    <n v="2"/>
  </r>
  <r>
    <s v="ORD202992"/>
    <s v="CUST100777"/>
    <s v="Women"/>
    <s v="35-44"/>
    <x v="1786"/>
    <x v="1"/>
    <x v="10"/>
    <x v="3"/>
    <n v="11"/>
    <s v="Black"/>
    <n v="1"/>
    <n v="6399"/>
    <n v="0"/>
    <n v="6400"/>
    <n v="6400"/>
    <s v="Debit/Credit Card"/>
    <x v="1"/>
    <s v="India"/>
    <x v="27"/>
    <s v="Bhubaneswar"/>
    <s v="Performance Seeker"/>
    <x v="2"/>
    <n v="4.2"/>
    <s v="Delivered"/>
    <s v="Express"/>
    <n v="2"/>
  </r>
  <r>
    <s v="ORD200346"/>
    <s v="CUST100863"/>
    <s v="Men"/>
    <s v="25-34"/>
    <x v="1787"/>
    <x v="4"/>
    <x v="9"/>
    <x v="1"/>
    <n v="7"/>
    <s v="Grey"/>
    <n v="2"/>
    <n v="6199"/>
    <n v="5"/>
    <n v="5890"/>
    <n v="11780"/>
    <s v="Debit/Credit Card"/>
    <x v="1"/>
    <s v="India"/>
    <x v="33"/>
    <s v="Pune"/>
    <s v="Premium Shopper"/>
    <x v="2"/>
    <n v="4.2"/>
    <s v="Returned"/>
    <s v="Same Day"/>
    <n v="1"/>
  </r>
  <r>
    <s v="ORD200611"/>
    <s v="CUST100398"/>
    <s v="Women"/>
    <s v="25-34"/>
    <x v="1787"/>
    <x v="1"/>
    <x v="20"/>
    <x v="2"/>
    <n v="9"/>
    <s v="Black"/>
    <n v="1"/>
    <n v="9099"/>
    <n v="15"/>
    <n v="7730"/>
    <n v="7730"/>
    <s v="Debit/Credit Card"/>
    <x v="1"/>
    <s v="India"/>
    <x v="2"/>
    <s v="Faridabad"/>
    <s v="Lifestyle Shopper"/>
    <x v="2"/>
    <n v="4.7"/>
    <s v="Cancelled"/>
    <s v="Express"/>
    <n v="2"/>
  </r>
  <r>
    <s v="ORD201388"/>
    <s v="CUST100224"/>
    <s v="Women"/>
    <s v="45-54"/>
    <x v="1787"/>
    <x v="3"/>
    <x v="11"/>
    <x v="4"/>
    <n v="7"/>
    <s v="Green"/>
    <n v="4"/>
    <n v="4599"/>
    <n v="25"/>
    <n v="3450"/>
    <n v="13800"/>
    <s v="UPI"/>
    <x v="2"/>
    <s v="India"/>
    <x v="28"/>
    <s v="Leh"/>
    <s v="Comfort Shopper"/>
    <x v="1"/>
    <n v="4.5"/>
    <s v="Cancelled"/>
    <s v="Express"/>
    <n v="2"/>
  </r>
  <r>
    <s v="ORD201469"/>
    <s v="CUST100991"/>
    <s v="Women"/>
    <s v="35-44"/>
    <x v="1787"/>
    <x v="4"/>
    <x v="22"/>
    <x v="0"/>
    <n v="11"/>
    <s v="White"/>
    <n v="2"/>
    <n v="7199"/>
    <n v="15"/>
    <n v="6120"/>
    <n v="12240"/>
    <s v="Debit/Credit Card"/>
    <x v="2"/>
    <s v="India"/>
    <x v="13"/>
    <s v="Naharlagun"/>
    <s v="Performance Seeker"/>
    <x v="1"/>
    <n v="4.0999999999999996"/>
    <s v="Delivered"/>
    <s v="Standard"/>
    <n v="1"/>
  </r>
  <r>
    <s v="ORD201864"/>
    <s v="CUST100038"/>
    <s v="Women"/>
    <s v="35-44"/>
    <x v="1787"/>
    <x v="2"/>
    <x v="4"/>
    <x v="2"/>
    <n v="7"/>
    <s v="Black"/>
    <n v="2"/>
    <n v="3599"/>
    <n v="30"/>
    <n v="2520"/>
    <n v="5040"/>
    <s v="Cash on Delivery"/>
    <x v="1"/>
    <s v="India"/>
    <x v="34"/>
    <s v="Asansol"/>
    <s v="Premium Shopper"/>
    <x v="2"/>
    <n v="4.3"/>
    <s v="Delivered"/>
    <s v="Standard"/>
    <n v="4"/>
  </r>
  <r>
    <s v="ORD200269"/>
    <s v="CUST100043"/>
    <s v="Women"/>
    <s v="18-24"/>
    <x v="1788"/>
    <x v="1"/>
    <x v="18"/>
    <x v="2"/>
    <n v="8"/>
    <s v="White"/>
    <n v="1"/>
    <n v="5799"/>
    <n v="10"/>
    <n v="5220"/>
    <n v="5220"/>
    <s v="Debit/Credit Card"/>
    <x v="2"/>
    <s v="India"/>
    <x v="25"/>
    <s v="Baramulla"/>
    <s v="Performance Seeker"/>
    <x v="2"/>
    <n v="2.2999999999999998"/>
    <s v="Cancelled"/>
    <s v="Standard"/>
    <n v="7"/>
  </r>
  <r>
    <s v="ORD200397"/>
    <s v="CUST100392"/>
    <s v="Women"/>
    <s v="35-44"/>
    <x v="1788"/>
    <x v="1"/>
    <x v="33"/>
    <x v="0"/>
    <n v="7"/>
    <s v="Black"/>
    <n v="1"/>
    <n v="9699"/>
    <n v="35"/>
    <n v="6300"/>
    <n v="6300"/>
    <s v="UPI"/>
    <x v="0"/>
    <s v="India"/>
    <x v="4"/>
    <s v="Namchi"/>
    <s v="Comfort Shopper"/>
    <x v="2"/>
    <n v="3.1"/>
    <s v="Cancelled"/>
    <s v="Express"/>
    <n v="3"/>
  </r>
  <r>
    <s v="ORD200810"/>
    <s v="CUST100597"/>
    <s v="Men"/>
    <s v="35-44"/>
    <x v="1788"/>
    <x v="5"/>
    <x v="27"/>
    <x v="0"/>
    <n v="11"/>
    <s v="Blue"/>
    <n v="1"/>
    <n v="7599"/>
    <n v="25"/>
    <n v="5700"/>
    <n v="5700"/>
    <s v="Debit/Credit Card"/>
    <x v="2"/>
    <s v="India"/>
    <x v="7"/>
    <s v="Bhopal"/>
    <s v="Lifestyle Shopper"/>
    <x v="1"/>
    <n v="4.2"/>
    <s v="Delivered"/>
    <s v="Standard"/>
    <n v="2"/>
  </r>
  <r>
    <s v="ORD201415"/>
    <s v="CUST100024"/>
    <s v="Men"/>
    <s v="18-24"/>
    <x v="1788"/>
    <x v="2"/>
    <x v="25"/>
    <x v="3"/>
    <n v="7"/>
    <s v="Black"/>
    <n v="1"/>
    <n v="3899"/>
    <n v="5"/>
    <n v="3700"/>
    <n v="3700"/>
    <s v="UPI"/>
    <x v="1"/>
    <s v="India"/>
    <x v="20"/>
    <s v="Mandi"/>
    <s v="Value Shopper"/>
    <x v="2"/>
    <n v="4.2"/>
    <s v="Delivered"/>
    <s v="Express"/>
    <n v="4"/>
  </r>
  <r>
    <s v="ORD201700"/>
    <s v="CUST100034"/>
    <s v="Men"/>
    <s v="55+"/>
    <x v="1788"/>
    <x v="1"/>
    <x v="12"/>
    <x v="4"/>
    <n v="11"/>
    <s v="Red"/>
    <n v="1"/>
    <n v="5699"/>
    <n v="20"/>
    <n v="4560"/>
    <n v="4560"/>
    <s v="UPI"/>
    <x v="1"/>
    <s v="India"/>
    <x v="12"/>
    <s v="Port Blair"/>
    <s v="Lifestyle Shopper"/>
    <x v="1"/>
    <n v="4.3"/>
    <s v="Delivered"/>
    <s v="Express"/>
    <n v="4"/>
  </r>
  <r>
    <s v="ORD201842"/>
    <s v="CUST100340"/>
    <s v="Unisex"/>
    <s v="25-34"/>
    <x v="1788"/>
    <x v="5"/>
    <x v="15"/>
    <x v="4"/>
    <n v="8"/>
    <s v="Grey"/>
    <n v="1"/>
    <n v="7699"/>
    <n v="10"/>
    <n v="6930"/>
    <n v="6930"/>
    <s v="UPI"/>
    <x v="1"/>
    <s v="India"/>
    <x v="20"/>
    <s v="Shimla"/>
    <s v="Value Shopper"/>
    <x v="2"/>
    <n v="3.4"/>
    <s v="Delivered"/>
    <s v="Standard"/>
    <n v="4"/>
  </r>
  <r>
    <s v="ORD201940"/>
    <s v="CUST100788"/>
    <s v="Men"/>
    <s v="18-24"/>
    <x v="1788"/>
    <x v="3"/>
    <x v="34"/>
    <x v="3"/>
    <n v="7"/>
    <s v="Green"/>
    <n v="2"/>
    <n v="6499"/>
    <n v="20"/>
    <n v="5200"/>
    <n v="10400"/>
    <s v="Debit/Credit Card"/>
    <x v="0"/>
    <s v="India"/>
    <x v="34"/>
    <s v="Siliguri"/>
    <s v="Value Shopper"/>
    <x v="1"/>
    <n v="4.5"/>
    <s v="Cancelled"/>
    <s v="Standard"/>
    <n v="2"/>
  </r>
  <r>
    <s v="ORD202037"/>
    <s v="CUST100910"/>
    <s v="Men"/>
    <s v="25-34"/>
    <x v="1788"/>
    <x v="4"/>
    <x v="9"/>
    <x v="1"/>
    <n v="7"/>
    <s v="White"/>
    <n v="1"/>
    <n v="5999"/>
    <n v="20"/>
    <n v="4800"/>
    <n v="4800"/>
    <s v="UPI"/>
    <x v="1"/>
    <s v="India"/>
    <x v="29"/>
    <s v="Visakhapatnam"/>
    <s v="Value Shopper"/>
    <x v="1"/>
    <n v="4.5"/>
    <s v="Delivered"/>
    <s v="Standard"/>
    <n v="4"/>
  </r>
  <r>
    <s v="ORD203115"/>
    <s v="CUST100067"/>
    <s v="Men"/>
    <s v="35-44"/>
    <x v="1788"/>
    <x v="0"/>
    <x v="8"/>
    <x v="3"/>
    <n v="9"/>
    <s v="Red"/>
    <n v="1"/>
    <n v="4899"/>
    <n v="15"/>
    <n v="4160"/>
    <n v="4160"/>
    <s v="UPI"/>
    <x v="1"/>
    <s v="India"/>
    <x v="9"/>
    <s v="Gaya"/>
    <s v="Comfort Shopper"/>
    <x v="2"/>
    <n v="4.2"/>
    <s v="Delivered"/>
    <s v="Standard"/>
    <n v="6"/>
  </r>
  <r>
    <s v="ORD203158"/>
    <s v="CUST100226"/>
    <s v="Women"/>
    <s v="25-34"/>
    <x v="1788"/>
    <x v="4"/>
    <x v="29"/>
    <x v="2"/>
    <n v="10"/>
    <s v="Blue"/>
    <n v="1"/>
    <n v="6999"/>
    <n v="30"/>
    <n v="4900"/>
    <n v="4900"/>
    <s v="UPI"/>
    <x v="0"/>
    <s v="India"/>
    <x v="0"/>
    <s v="Silchar"/>
    <s v="Premium Shopper"/>
    <x v="2"/>
    <n v="3.6"/>
    <s v="Delivered"/>
    <s v="Standard"/>
    <n v="6"/>
  </r>
  <r>
    <s v="ORD200151"/>
    <s v="CUST100916"/>
    <s v="Men"/>
    <s v="25-34"/>
    <x v="1789"/>
    <x v="3"/>
    <x v="5"/>
    <x v="2"/>
    <n v="10"/>
    <s v="Grey"/>
    <n v="1"/>
    <n v="6999"/>
    <n v="10"/>
    <n v="6300"/>
    <n v="6300"/>
    <s v="UPI"/>
    <x v="0"/>
    <s v="India"/>
    <x v="24"/>
    <s v="Hubballi"/>
    <s v="Performance Seeker"/>
    <x v="2"/>
    <n v="3.6"/>
    <s v="Returned"/>
    <s v="Express"/>
    <n v="2"/>
  </r>
  <r>
    <s v="ORD200187"/>
    <s v="CUST100825"/>
    <s v="Men"/>
    <s v="18-24"/>
    <x v="1789"/>
    <x v="4"/>
    <x v="26"/>
    <x v="3"/>
    <n v="6"/>
    <s v="Black"/>
    <n v="1"/>
    <n v="6899"/>
    <n v="0"/>
    <n v="6900"/>
    <n v="6900"/>
    <s v="Debit/Credit Card"/>
    <x v="1"/>
    <s v="India"/>
    <x v="34"/>
    <s v="Durgapur"/>
    <s v="Lifestyle Shopper"/>
    <x v="1"/>
    <n v="2.9"/>
    <s v="Delivered"/>
    <s v="Express"/>
    <n v="1"/>
  </r>
  <r>
    <s v="ORD201164"/>
    <s v="CUST100568"/>
    <s v="Women"/>
    <s v="18-24"/>
    <x v="1789"/>
    <x v="1"/>
    <x v="18"/>
    <x v="2"/>
    <n v="10"/>
    <s v="White"/>
    <n v="2"/>
    <n v="5599"/>
    <n v="25"/>
    <n v="4200"/>
    <n v="8400"/>
    <s v="Debit/Credit Card"/>
    <x v="1"/>
    <s v="India"/>
    <x v="30"/>
    <s v="Manimajra"/>
    <s v="Performance Seeker"/>
    <x v="1"/>
    <n v="4.2"/>
    <s v="Delivered"/>
    <s v="Express"/>
    <n v="2"/>
  </r>
  <r>
    <s v="ORD201681"/>
    <s v="CUST100347"/>
    <s v="Women"/>
    <s v="18-24"/>
    <x v="1789"/>
    <x v="1"/>
    <x v="10"/>
    <x v="3"/>
    <n v="9"/>
    <s v="Green"/>
    <n v="2"/>
    <n v="5299"/>
    <n v="0"/>
    <n v="5300"/>
    <n v="10600"/>
    <s v="Debit/Credit Card"/>
    <x v="2"/>
    <s v="India"/>
    <x v="6"/>
    <s v="Noida"/>
    <s v="Value Shopper"/>
    <x v="2"/>
    <n v="4.3"/>
    <s v="Cancelled"/>
    <s v="Express"/>
    <n v="2"/>
  </r>
  <r>
    <s v="ORD202878"/>
    <s v="CUST100093"/>
    <s v="Men"/>
    <s v="18-24"/>
    <x v="1789"/>
    <x v="3"/>
    <x v="34"/>
    <x v="3"/>
    <n v="6"/>
    <s v="Green"/>
    <n v="1"/>
    <n v="3399"/>
    <n v="10"/>
    <n v="3060"/>
    <n v="3060"/>
    <s v="UPI"/>
    <x v="2"/>
    <s v="India"/>
    <x v="7"/>
    <s v="Indore"/>
    <s v="Value Shopper"/>
    <x v="2"/>
    <n v="4"/>
    <s v="Delivered"/>
    <s v="Standard"/>
    <n v="5"/>
  </r>
  <r>
    <s v="ORD201428"/>
    <s v="CUST100754"/>
    <s v="Men"/>
    <s v="25-34"/>
    <x v="1790"/>
    <x v="0"/>
    <x v="8"/>
    <x v="3"/>
    <n v="9"/>
    <s v="Grey"/>
    <n v="1"/>
    <n v="4699"/>
    <n v="10"/>
    <n v="4230"/>
    <n v="4230"/>
    <s v="UPI"/>
    <x v="2"/>
    <s v="India"/>
    <x v="10"/>
    <s v="Silvassa"/>
    <s v="Performance Seeker"/>
    <x v="1"/>
    <n v="3.9"/>
    <s v="Delivered"/>
    <s v="Express"/>
    <n v="4"/>
  </r>
  <r>
    <s v="ORD201226"/>
    <s v="CUST100666"/>
    <s v="Men"/>
    <s v="35-44"/>
    <x v="1791"/>
    <x v="3"/>
    <x v="35"/>
    <x v="2"/>
    <n v="10"/>
    <s v="Blue"/>
    <n v="1"/>
    <n v="6899"/>
    <n v="20"/>
    <n v="5520"/>
    <n v="5520"/>
    <s v="Debit/Credit Card"/>
    <x v="1"/>
    <s v="India"/>
    <x v="13"/>
    <s v="Tawang"/>
    <s v="Value Shopper"/>
    <x v="2"/>
    <n v="3.5"/>
    <s v="Delivered"/>
    <s v="Standard"/>
    <n v="4"/>
  </r>
  <r>
    <s v="ORD201941"/>
    <s v="CUST100989"/>
    <s v="Men"/>
    <s v="35-44"/>
    <x v="1791"/>
    <x v="2"/>
    <x v="24"/>
    <x v="4"/>
    <n v="11"/>
    <s v="White"/>
    <n v="1"/>
    <n v="3899"/>
    <n v="25"/>
    <n v="2920"/>
    <n v="2920"/>
    <s v="UPI"/>
    <x v="1"/>
    <s v="India"/>
    <x v="32"/>
    <s v="Bokaro"/>
    <s v="Lifestyle Shopper"/>
    <x v="1"/>
    <n v="3.3"/>
    <s v="Delivered"/>
    <s v="Standard"/>
    <n v="2"/>
  </r>
  <r>
    <s v="ORD202740"/>
    <s v="CUST100536"/>
    <s v="Unisex"/>
    <s v="25-34"/>
    <x v="1791"/>
    <x v="0"/>
    <x v="2"/>
    <x v="2"/>
    <n v="8"/>
    <s v="Green"/>
    <n v="1"/>
    <n v="4299"/>
    <n v="5"/>
    <n v="4080"/>
    <n v="4080"/>
    <s v="Debit/Credit Card"/>
    <x v="2"/>
    <s v="India"/>
    <x v="11"/>
    <s v="Agatti"/>
    <s v="Lifestyle Shopper"/>
    <x v="2"/>
    <n v="4.0999999999999996"/>
    <s v="Delivered"/>
    <s v="Express"/>
    <n v="2"/>
  </r>
  <r>
    <s v="ORD200165"/>
    <s v="CUST100144"/>
    <s v="Men"/>
    <s v="35-44"/>
    <x v="1792"/>
    <x v="1"/>
    <x v="10"/>
    <x v="3"/>
    <n v="10"/>
    <s v="Black"/>
    <n v="1"/>
    <n v="4899"/>
    <n v="30"/>
    <n v="3430"/>
    <n v="3430"/>
    <s v="Debit/Credit Card"/>
    <x v="1"/>
    <s v="India"/>
    <x v="33"/>
    <s v="Pune"/>
    <s v="Value Shopper"/>
    <x v="2"/>
    <n v="3.7"/>
    <s v="Delivered"/>
    <s v="Standard"/>
    <n v="6"/>
  </r>
  <r>
    <s v="ORD200384"/>
    <s v="CUST100650"/>
    <s v="Men"/>
    <s v="35-44"/>
    <x v="1792"/>
    <x v="5"/>
    <x v="14"/>
    <x v="3"/>
    <n v="10"/>
    <s v="Red"/>
    <n v="1"/>
    <n v="4999"/>
    <n v="20"/>
    <n v="4000"/>
    <n v="4000"/>
    <s v="UPI"/>
    <x v="1"/>
    <s v="India"/>
    <x v="30"/>
    <s v="Manimajra"/>
    <s v="Premium Shopper"/>
    <x v="1"/>
    <n v="4"/>
    <s v="Delivered"/>
    <s v="Standard"/>
    <n v="5"/>
  </r>
  <r>
    <s v="ORD200391"/>
    <s v="CUST101024"/>
    <s v="Unisex"/>
    <s v="18-24"/>
    <x v="1792"/>
    <x v="1"/>
    <x v="10"/>
    <x v="3"/>
    <n v="10"/>
    <s v="White"/>
    <n v="1"/>
    <n v="4999"/>
    <n v="5"/>
    <n v="4750"/>
    <n v="4750"/>
    <s v="UPI"/>
    <x v="2"/>
    <s v="India"/>
    <x v="8"/>
    <s v="Hyderabad"/>
    <s v="Performance Seeker"/>
    <x v="1"/>
    <n v="5"/>
    <s v="Cancelled"/>
    <s v="Standard"/>
    <n v="3"/>
  </r>
  <r>
    <s v="ORD200732"/>
    <s v="CUST100403"/>
    <s v="Men"/>
    <s v="18-24"/>
    <x v="1792"/>
    <x v="2"/>
    <x v="4"/>
    <x v="2"/>
    <n v="9"/>
    <s v="Black"/>
    <n v="1"/>
    <n v="4499"/>
    <n v="5"/>
    <n v="4270"/>
    <n v="4270"/>
    <s v="Debit/Credit Card"/>
    <x v="1"/>
    <s v="India"/>
    <x v="27"/>
    <s v="Cuttack"/>
    <s v="Premium Shopper"/>
    <x v="2"/>
    <n v="3.7"/>
    <s v="Delivered"/>
    <s v="Standard"/>
    <n v="5"/>
  </r>
  <r>
    <s v="ORD200951"/>
    <s v="CUST100422"/>
    <s v="Women"/>
    <s v="55+"/>
    <x v="1792"/>
    <x v="5"/>
    <x v="7"/>
    <x v="1"/>
    <n v="9"/>
    <s v="Red"/>
    <n v="1"/>
    <n v="6899"/>
    <n v="20"/>
    <n v="5520"/>
    <n v="5520"/>
    <s v="Debit/Credit Card"/>
    <x v="1"/>
    <s v="India"/>
    <x v="3"/>
    <s v="Jodhpur"/>
    <s v="Comfort Shopper"/>
    <x v="2"/>
    <n v="3"/>
    <s v="Delivered"/>
    <s v="Standard"/>
    <n v="3"/>
  </r>
  <r>
    <s v="ORD202954"/>
    <s v="CUST100533"/>
    <s v="Unisex"/>
    <s v="45-54"/>
    <x v="1792"/>
    <x v="5"/>
    <x v="21"/>
    <x v="2"/>
    <n v="11"/>
    <s v="Blue"/>
    <n v="1"/>
    <n v="7999"/>
    <n v="10"/>
    <n v="7200"/>
    <n v="7200"/>
    <s v="UPI"/>
    <x v="2"/>
    <s v="India"/>
    <x v="26"/>
    <s v="Kozhikode"/>
    <s v="Premium Shopper"/>
    <x v="2"/>
    <n v="4.0999999999999996"/>
    <s v="Delivered"/>
    <s v="Standard"/>
    <n v="3"/>
  </r>
  <r>
    <s v="ORD200067"/>
    <s v="CUST100194"/>
    <s v="Men"/>
    <s v="45-54"/>
    <x v="1793"/>
    <x v="3"/>
    <x v="11"/>
    <x v="4"/>
    <n v="9"/>
    <s v="Green"/>
    <n v="1"/>
    <n v="5199"/>
    <n v="10"/>
    <n v="4680"/>
    <n v="4680"/>
    <s v="Debit/Credit Card"/>
    <x v="2"/>
    <s v="India"/>
    <x v="34"/>
    <s v="Asansol"/>
    <s v="Comfort Shopper"/>
    <x v="2"/>
    <n v="4.0999999999999996"/>
    <s v="Delivered"/>
    <s v="Standard"/>
    <n v="3"/>
  </r>
  <r>
    <s v="ORD201357"/>
    <s v="CUST100533"/>
    <s v="Men"/>
    <s v="18-24"/>
    <x v="1793"/>
    <x v="5"/>
    <x v="7"/>
    <x v="1"/>
    <n v="10"/>
    <s v="Blue"/>
    <n v="1"/>
    <n v="8299"/>
    <n v="10"/>
    <n v="7470"/>
    <n v="7470"/>
    <s v="UPI"/>
    <x v="1"/>
    <s v="India"/>
    <x v="13"/>
    <s v="Pasighat"/>
    <s v="Value Shopper"/>
    <x v="2"/>
    <n v="4.8"/>
    <s v="Cancelled"/>
    <s v="Express"/>
    <n v="2"/>
  </r>
  <r>
    <s v="ORD201911"/>
    <s v="CUST100872"/>
    <s v="Unisex"/>
    <s v="35-44"/>
    <x v="1793"/>
    <x v="1"/>
    <x v="12"/>
    <x v="4"/>
    <n v="10"/>
    <s v="White"/>
    <n v="2"/>
    <n v="4299"/>
    <n v="20"/>
    <n v="3440"/>
    <n v="6880"/>
    <s v="Debit/Credit Card"/>
    <x v="1"/>
    <s v="India"/>
    <x v="33"/>
    <s v="Mumbai"/>
    <s v="Performance Seeker"/>
    <x v="2"/>
    <n v="4.3"/>
    <s v="Delivered"/>
    <s v="Express"/>
    <n v="3"/>
  </r>
  <r>
    <s v="ORD202346"/>
    <s v="CUST100932"/>
    <s v="Women"/>
    <s v="18-24"/>
    <x v="1793"/>
    <x v="5"/>
    <x v="7"/>
    <x v="1"/>
    <n v="6"/>
    <s v="Black"/>
    <n v="1"/>
    <n v="7199"/>
    <n v="20"/>
    <n v="5760"/>
    <n v="5760"/>
    <s v="Debit/Credit Card"/>
    <x v="0"/>
    <s v="India"/>
    <x v="5"/>
    <s v="Imphal"/>
    <s v="Performance Seeker"/>
    <x v="1"/>
    <n v="3.6"/>
    <s v="Delivered"/>
    <s v="Express"/>
    <n v="2"/>
  </r>
  <r>
    <s v="ORD201291"/>
    <s v="CUST100168"/>
    <s v="Men"/>
    <s v="45-54"/>
    <x v="1794"/>
    <x v="1"/>
    <x v="20"/>
    <x v="2"/>
    <n v="9"/>
    <s v="Blue"/>
    <n v="2"/>
    <n v="9099"/>
    <n v="10"/>
    <n v="8190"/>
    <n v="16380"/>
    <s v="Debit/Credit Card"/>
    <x v="2"/>
    <s v="India"/>
    <x v="24"/>
    <s v="Mangaluru"/>
    <s v="Comfort Shopper"/>
    <x v="2"/>
    <n v="4.7"/>
    <s v="Delivered"/>
    <s v="Standard"/>
    <n v="3"/>
  </r>
  <r>
    <s v="ORD203153"/>
    <s v="CUST100318"/>
    <s v="Men"/>
    <s v="35-44"/>
    <x v="1794"/>
    <x v="5"/>
    <x v="27"/>
    <x v="0"/>
    <n v="6"/>
    <s v="Grey"/>
    <n v="1"/>
    <n v="6899"/>
    <n v="15"/>
    <n v="5860"/>
    <n v="5860"/>
    <s v="Debit/Credit Card"/>
    <x v="1"/>
    <s v="India"/>
    <x v="13"/>
    <s v="Tawang"/>
    <s v="Value Shopper"/>
    <x v="2"/>
    <n v="4.2"/>
    <s v="Returned"/>
    <s v="Same Day"/>
    <n v="1"/>
  </r>
  <r>
    <s v="ORD200564"/>
    <s v="CUST100116"/>
    <s v="Unisex"/>
    <s v="35-44"/>
    <x v="1795"/>
    <x v="0"/>
    <x v="31"/>
    <x v="1"/>
    <n v="6"/>
    <s v="Black"/>
    <n v="1"/>
    <n v="8599"/>
    <n v="30"/>
    <n v="6020"/>
    <n v="6020"/>
    <s v="Cash on Delivery"/>
    <x v="1"/>
    <s v="India"/>
    <x v="14"/>
    <s v="Patiala"/>
    <s v="Value Shopper"/>
    <x v="1"/>
    <n v="3.2"/>
    <s v="Delivered"/>
    <s v="Express"/>
    <n v="2"/>
  </r>
  <r>
    <s v="ORD202550"/>
    <s v="CUST100560"/>
    <s v="Men"/>
    <s v="18-24"/>
    <x v="1795"/>
    <x v="3"/>
    <x v="34"/>
    <x v="3"/>
    <n v="10"/>
    <s v="Red"/>
    <n v="1"/>
    <n v="8599"/>
    <n v="40"/>
    <n v="5160"/>
    <n v="5160"/>
    <s v="UPI"/>
    <x v="0"/>
    <s v="India"/>
    <x v="6"/>
    <s v="Kanpur"/>
    <s v="Value Shopper"/>
    <x v="1"/>
    <n v="3.8"/>
    <s v="Delivered"/>
    <s v="Standard"/>
    <n v="5"/>
  </r>
  <r>
    <s v="ORD202946"/>
    <s v="CUST100547"/>
    <s v="Women"/>
    <s v="18-24"/>
    <x v="1796"/>
    <x v="3"/>
    <x v="11"/>
    <x v="4"/>
    <n v="8"/>
    <s v="Black"/>
    <n v="2"/>
    <n v="7399"/>
    <n v="5"/>
    <n v="7030"/>
    <n v="14060"/>
    <s v="Cash on Delivery"/>
    <x v="1"/>
    <s v="India"/>
    <x v="2"/>
    <s v="Gurugram"/>
    <s v="Lifestyle Shopper"/>
    <x v="1"/>
    <n v="4.8"/>
    <s v="Returned"/>
    <s v="Standard"/>
    <n v="3"/>
  </r>
  <r>
    <s v="ORD200085"/>
    <s v="CUST100053"/>
    <s v="Unisex"/>
    <s v="18-24"/>
    <x v="1797"/>
    <x v="1"/>
    <x v="18"/>
    <x v="2"/>
    <n v="8"/>
    <s v="Blue"/>
    <n v="1"/>
    <n v="9099"/>
    <n v="10"/>
    <n v="8190"/>
    <n v="8190"/>
    <s v="UPI"/>
    <x v="0"/>
    <s v="India"/>
    <x v="4"/>
    <s v="Namchi"/>
    <s v="Lifestyle Shopper"/>
    <x v="1"/>
    <n v="4.8"/>
    <s v="Returned"/>
    <s v="Express"/>
    <n v="3"/>
  </r>
  <r>
    <s v="ORD200161"/>
    <s v="CUST100629"/>
    <s v="Men"/>
    <s v="25-34"/>
    <x v="1797"/>
    <x v="3"/>
    <x v="28"/>
    <x v="1"/>
    <n v="11"/>
    <s v="Green"/>
    <n v="2"/>
    <n v="6899"/>
    <n v="20"/>
    <n v="5520"/>
    <n v="11040"/>
    <s v="UPI"/>
    <x v="1"/>
    <s v="India"/>
    <x v="5"/>
    <s v="Kakching"/>
    <s v="Performance Seeker"/>
    <x v="1"/>
    <n v="3.6"/>
    <s v="Returned"/>
    <s v="Standard"/>
    <n v="5"/>
  </r>
  <r>
    <s v="ORD200183"/>
    <s v="CUST100436"/>
    <s v="Men"/>
    <s v="25-34"/>
    <x v="1797"/>
    <x v="3"/>
    <x v="11"/>
    <x v="4"/>
    <n v="8"/>
    <s v="Black"/>
    <n v="2"/>
    <n v="7299"/>
    <n v="15"/>
    <n v="6200"/>
    <n v="12400"/>
    <s v="UPI"/>
    <x v="1"/>
    <s v="India"/>
    <x v="26"/>
    <s v="Kozhikode"/>
    <s v="Premium Shopper"/>
    <x v="2"/>
    <n v="4.5"/>
    <s v="Delivered"/>
    <s v="Express"/>
    <n v="3"/>
  </r>
  <r>
    <s v="ORD201900"/>
    <s v="CUST100716"/>
    <s v="Women"/>
    <s v="18-24"/>
    <x v="1797"/>
    <x v="4"/>
    <x v="26"/>
    <x v="3"/>
    <n v="6"/>
    <s v="Black"/>
    <n v="1"/>
    <n v="8999"/>
    <n v="35"/>
    <n v="5850"/>
    <n v="5850"/>
    <s v="Debit/Credit Card"/>
    <x v="1"/>
    <s v="India"/>
    <x v="21"/>
    <s v="Dimapur"/>
    <s v="Value Shopper"/>
    <x v="1"/>
    <n v="4.0999999999999996"/>
    <s v="Delivered"/>
    <s v="Standard"/>
    <n v="6"/>
  </r>
  <r>
    <s v="ORD200293"/>
    <s v="CUST100403"/>
    <s v="Women"/>
    <s v="45-54"/>
    <x v="1798"/>
    <x v="4"/>
    <x v="29"/>
    <x v="2"/>
    <n v="11"/>
    <s v="Blue"/>
    <n v="1"/>
    <n v="9099"/>
    <n v="0"/>
    <n v="9100"/>
    <n v="9100"/>
    <s v="UPI"/>
    <x v="2"/>
    <s v="India"/>
    <x v="0"/>
    <s v="Jorhat"/>
    <s v="Performance Seeker"/>
    <x v="2"/>
    <n v="4.5"/>
    <s v="Returned"/>
    <s v="Standard"/>
    <n v="3"/>
  </r>
  <r>
    <s v="ORD202230"/>
    <s v="CUST100663"/>
    <s v="Women"/>
    <s v="18-24"/>
    <x v="1798"/>
    <x v="5"/>
    <x v="21"/>
    <x v="2"/>
    <n v="10"/>
    <s v="Blue"/>
    <n v="1"/>
    <n v="6099"/>
    <n v="15"/>
    <n v="5180"/>
    <n v="5180"/>
    <s v="UPI"/>
    <x v="1"/>
    <s v="India"/>
    <x v="35"/>
    <s v="Lunglei"/>
    <s v="Lifestyle Shopper"/>
    <x v="1"/>
    <n v="5"/>
    <s v="Returned"/>
    <s v="Standard"/>
    <n v="6"/>
  </r>
  <r>
    <s v="ORD200630"/>
    <s v="CUST100194"/>
    <s v="Women"/>
    <s v="35-44"/>
    <x v="1799"/>
    <x v="0"/>
    <x v="0"/>
    <x v="0"/>
    <n v="7"/>
    <s v="Green"/>
    <n v="1"/>
    <n v="8499"/>
    <n v="5"/>
    <n v="8070"/>
    <n v="8070"/>
    <s v="Debit/Credit Card"/>
    <x v="2"/>
    <s v="India"/>
    <x v="5"/>
    <s v="Imphal"/>
    <s v="Value Shopper"/>
    <x v="2"/>
    <n v="3"/>
    <s v="Cancelled"/>
    <s v="Express"/>
    <n v="3"/>
  </r>
  <r>
    <s v="ORD202430"/>
    <s v="CUST100231"/>
    <s v="Women"/>
    <s v="45-54"/>
    <x v="1799"/>
    <x v="1"/>
    <x v="10"/>
    <x v="3"/>
    <n v="12"/>
    <s v="Black"/>
    <n v="1"/>
    <n v="9199"/>
    <n v="0"/>
    <n v="9200"/>
    <n v="9200"/>
    <s v="Debit/Credit Card"/>
    <x v="1"/>
    <s v="India"/>
    <x v="23"/>
    <s v="Rishikesh"/>
    <s v="Comfort Shopper"/>
    <x v="1"/>
    <n v="4.5"/>
    <s v="Delivered"/>
    <s v="Express"/>
    <n v="4"/>
  </r>
  <r>
    <s v="ORD202996"/>
    <s v="CUST100119"/>
    <s v="Men"/>
    <s v="18-24"/>
    <x v="1799"/>
    <x v="2"/>
    <x v="32"/>
    <x v="1"/>
    <n v="10"/>
    <s v="Green"/>
    <n v="1"/>
    <n v="4099"/>
    <n v="15"/>
    <n v="3480"/>
    <n v="3480"/>
    <s v="Debit/Credit Card"/>
    <x v="1"/>
    <s v="India"/>
    <x v="14"/>
    <s v="Amritsar"/>
    <s v="Premium Shopper"/>
    <x v="2"/>
    <n v="4.0999999999999996"/>
    <s v="Cancelled"/>
    <s v="Standard"/>
    <n v="2"/>
  </r>
  <r>
    <s v="ORD200762"/>
    <s v="CUST100307"/>
    <s v="Unisex"/>
    <s v="25-34"/>
    <x v="1800"/>
    <x v="1"/>
    <x v="1"/>
    <x v="1"/>
    <n v="7"/>
    <s v="Red"/>
    <n v="1"/>
    <n v="7099"/>
    <n v="20"/>
    <n v="5680"/>
    <n v="5680"/>
    <s v="Debit/Credit Card"/>
    <x v="2"/>
    <s v="India"/>
    <x v="9"/>
    <s v="Bhagalpur"/>
    <s v="Performance Seeker"/>
    <x v="2"/>
    <n v="4.2"/>
    <s v="Delivered"/>
    <s v="Standard"/>
    <n v="3"/>
  </r>
  <r>
    <s v="ORD202124"/>
    <s v="CUST100119"/>
    <s v="Women"/>
    <s v="35-44"/>
    <x v="1800"/>
    <x v="1"/>
    <x v="20"/>
    <x v="2"/>
    <n v="10"/>
    <s v="White"/>
    <n v="1"/>
    <n v="7899"/>
    <n v="25"/>
    <n v="5920"/>
    <n v="5920"/>
    <s v="Cash on Delivery"/>
    <x v="2"/>
    <s v="India"/>
    <x v="16"/>
    <s v="Rajkot"/>
    <s v="Performance Seeker"/>
    <x v="2"/>
    <n v="4"/>
    <s v="Delivered"/>
    <s v="Express"/>
    <n v="1"/>
  </r>
  <r>
    <s v="ORD202561"/>
    <s v="CUST100258"/>
    <s v="Unisex"/>
    <s v="25-34"/>
    <x v="1800"/>
    <x v="4"/>
    <x v="22"/>
    <x v="0"/>
    <n v="10"/>
    <s v="Green"/>
    <n v="1"/>
    <n v="6099"/>
    <n v="15"/>
    <n v="5180"/>
    <n v="5180"/>
    <s v="Debit/Credit Card"/>
    <x v="2"/>
    <s v="India"/>
    <x v="27"/>
    <s v="Cuttack"/>
    <s v="Premium Shopper"/>
    <x v="1"/>
    <n v="4.4000000000000004"/>
    <s v="Returned"/>
    <s v="Same Day"/>
    <n v="1"/>
  </r>
  <r>
    <s v="ORD202911"/>
    <s v="CUST100645"/>
    <s v="Women"/>
    <s v="25-34"/>
    <x v="1800"/>
    <x v="0"/>
    <x v="13"/>
    <x v="2"/>
    <n v="9"/>
    <s v="Red"/>
    <n v="1"/>
    <n v="6199"/>
    <n v="20"/>
    <n v="4960"/>
    <n v="4960"/>
    <s v="UPI"/>
    <x v="0"/>
    <s v="India"/>
    <x v="15"/>
    <s v="Rohini"/>
    <s v="Performance Seeker"/>
    <x v="2"/>
    <n v="5"/>
    <s v="Delivered"/>
    <s v="Express"/>
    <n v="2"/>
  </r>
  <r>
    <s v="ORD200196"/>
    <s v="CUST100546"/>
    <s v="Men"/>
    <s v="35-44"/>
    <x v="1801"/>
    <x v="2"/>
    <x v="3"/>
    <x v="2"/>
    <n v="7"/>
    <s v="Green"/>
    <n v="1"/>
    <n v="6799"/>
    <n v="20"/>
    <n v="5440"/>
    <n v="5440"/>
    <s v="UPI"/>
    <x v="2"/>
    <s v="India"/>
    <x v="7"/>
    <s v="Bhopal"/>
    <s v="Premium Shopper"/>
    <x v="2"/>
    <n v="3.3"/>
    <s v="Delivered"/>
    <s v="Standard"/>
    <n v="2"/>
  </r>
  <r>
    <s v="ORD200958"/>
    <s v="CUST100925"/>
    <s v="Women"/>
    <s v="25-34"/>
    <x v="1801"/>
    <x v="5"/>
    <x v="15"/>
    <x v="4"/>
    <n v="11"/>
    <s v="Green"/>
    <n v="1"/>
    <n v="4999"/>
    <n v="15"/>
    <n v="4250"/>
    <n v="4250"/>
    <s v="UPI"/>
    <x v="1"/>
    <s v="India"/>
    <x v="25"/>
    <s v="Anantnag"/>
    <s v="Lifestyle Shopper"/>
    <x v="1"/>
    <n v="4.4000000000000004"/>
    <s v="Cancelled"/>
    <s v="Express"/>
    <n v="3"/>
  </r>
  <r>
    <s v="ORD201761"/>
    <s v="CUST100350"/>
    <s v="Men"/>
    <s v="18-24"/>
    <x v="1801"/>
    <x v="3"/>
    <x v="35"/>
    <x v="2"/>
    <n v="10"/>
    <s v="White"/>
    <n v="4"/>
    <n v="8199"/>
    <n v="0"/>
    <n v="8200"/>
    <n v="32800"/>
    <s v="Debit/Credit Card"/>
    <x v="1"/>
    <s v="India"/>
    <x v="24"/>
    <s v="Bengaluru"/>
    <s v="Value Shopper"/>
    <x v="2"/>
    <n v="2.8"/>
    <s v="Cancelled"/>
    <s v="Express"/>
    <n v="2"/>
  </r>
  <r>
    <s v="ORD202281"/>
    <s v="CUST100427"/>
    <s v="Men"/>
    <s v="25-34"/>
    <x v="1801"/>
    <x v="0"/>
    <x v="13"/>
    <x v="2"/>
    <n v="11"/>
    <s v="Black"/>
    <n v="1"/>
    <n v="4699"/>
    <n v="30"/>
    <n v="3290"/>
    <n v="3290"/>
    <s v="Debit/Credit Card"/>
    <x v="1"/>
    <s v="India"/>
    <x v="3"/>
    <s v="Udaipur"/>
    <s v="Performance Seeker"/>
    <x v="1"/>
    <n v="3.8"/>
    <s v="Returned"/>
    <s v="Standard"/>
    <n v="3"/>
  </r>
  <r>
    <s v="ORD202304"/>
    <s v="CUST100476"/>
    <s v="Men"/>
    <s v="25-34"/>
    <x v="1801"/>
    <x v="1"/>
    <x v="20"/>
    <x v="2"/>
    <n v="11"/>
    <s v="Grey"/>
    <n v="1"/>
    <n v="6299"/>
    <n v="25"/>
    <n v="4720"/>
    <n v="4720"/>
    <s v="UPI"/>
    <x v="2"/>
    <s v="India"/>
    <x v="28"/>
    <s v="Kargil"/>
    <s v="Performance Seeker"/>
    <x v="2"/>
    <n v="4.5"/>
    <s v="Returned"/>
    <s v="Express"/>
    <n v="1"/>
  </r>
  <r>
    <s v="ORD202482"/>
    <s v="CUST100683"/>
    <s v="Women"/>
    <s v="55+"/>
    <x v="1801"/>
    <x v="2"/>
    <x v="4"/>
    <x v="2"/>
    <n v="11"/>
    <s v="Green"/>
    <n v="1"/>
    <n v="7799"/>
    <n v="15"/>
    <n v="6630"/>
    <n v="6630"/>
    <s v="UPI"/>
    <x v="0"/>
    <s v="India"/>
    <x v="34"/>
    <s v="Asansol"/>
    <s v="Comfort Shopper"/>
    <x v="1"/>
    <n v="3.9"/>
    <s v="Returned"/>
    <s v="Standard"/>
    <n v="3"/>
  </r>
  <r>
    <s v="ORD202917"/>
    <s v="CUST100512"/>
    <s v="Women"/>
    <s v="45-54"/>
    <x v="1801"/>
    <x v="0"/>
    <x v="0"/>
    <x v="0"/>
    <n v="9"/>
    <s v="Red"/>
    <n v="1"/>
    <n v="4999"/>
    <n v="20"/>
    <n v="4000"/>
    <n v="4000"/>
    <s v="UPI"/>
    <x v="1"/>
    <s v="India"/>
    <x v="25"/>
    <s v="Jammu"/>
    <s v="Performance Seeker"/>
    <x v="1"/>
    <n v="3.4"/>
    <s v="Delivered"/>
    <s v="Express"/>
    <n v="2"/>
  </r>
  <r>
    <s v="ORD203117"/>
    <s v="CUST100154"/>
    <s v="Unisex"/>
    <s v="35-44"/>
    <x v="1801"/>
    <x v="1"/>
    <x v="12"/>
    <x v="4"/>
    <n v="8"/>
    <s v="Green"/>
    <n v="1"/>
    <n v="6599"/>
    <n v="20"/>
    <n v="5280"/>
    <n v="5280"/>
    <s v="UPI"/>
    <x v="2"/>
    <s v="India"/>
    <x v="28"/>
    <s v="Diskit"/>
    <s v="Performance Seeker"/>
    <x v="2"/>
    <n v="4"/>
    <s v="Delivered"/>
    <s v="Standard"/>
    <n v="4"/>
  </r>
  <r>
    <s v="ORD201936"/>
    <s v="CUST100042"/>
    <s v="Women"/>
    <s v="55+"/>
    <x v="1802"/>
    <x v="4"/>
    <x v="9"/>
    <x v="1"/>
    <n v="8"/>
    <s v="Black"/>
    <n v="2"/>
    <n v="7199"/>
    <n v="10"/>
    <n v="6480"/>
    <n v="12960"/>
    <s v="Debit/Credit Card"/>
    <x v="0"/>
    <s v="India"/>
    <x v="15"/>
    <s v="Rohini"/>
    <s v="Lifestyle Shopper"/>
    <x v="2"/>
    <n v="3.6"/>
    <s v="Delivered"/>
    <s v="Standard"/>
    <n v="3"/>
  </r>
  <r>
    <s v="ORD200539"/>
    <s v="CUST100729"/>
    <s v="Men"/>
    <s v="35-44"/>
    <x v="1803"/>
    <x v="5"/>
    <x v="21"/>
    <x v="2"/>
    <n v="10"/>
    <s v="White"/>
    <n v="1"/>
    <n v="4899"/>
    <n v="5"/>
    <n v="4650"/>
    <n v="4650"/>
    <s v="Cash on Delivery"/>
    <x v="2"/>
    <s v="India"/>
    <x v="8"/>
    <s v="Karimnagar"/>
    <s v="Premium Shopper"/>
    <x v="1"/>
    <n v="4.7"/>
    <s v="Returned"/>
    <s v="Express"/>
    <n v="2"/>
  </r>
  <r>
    <s v="ORD200739"/>
    <s v="CUST100186"/>
    <s v="Men"/>
    <s v="45-54"/>
    <x v="1803"/>
    <x v="4"/>
    <x v="26"/>
    <x v="3"/>
    <n v="9"/>
    <s v="Black"/>
    <n v="1"/>
    <n v="7199"/>
    <n v="20"/>
    <n v="5760"/>
    <n v="5760"/>
    <s v="UPI"/>
    <x v="1"/>
    <s v="India"/>
    <x v="24"/>
    <s v="Mangaluru"/>
    <s v="Value Shopper"/>
    <x v="2"/>
    <n v="3.7"/>
    <s v="Cancelled"/>
    <s v="Express"/>
    <n v="2"/>
  </r>
  <r>
    <s v="ORD202075"/>
    <s v="CUST100601"/>
    <s v="Women"/>
    <s v="25-34"/>
    <x v="1803"/>
    <x v="3"/>
    <x v="5"/>
    <x v="2"/>
    <n v="10"/>
    <s v="White"/>
    <n v="1"/>
    <n v="3599"/>
    <n v="25"/>
    <n v="2700"/>
    <n v="2700"/>
    <s v="UPI"/>
    <x v="1"/>
    <s v="India"/>
    <x v="31"/>
    <s v="Tiruchirappalli"/>
    <s v="Lifestyle Shopper"/>
    <x v="1"/>
    <n v="4.0999999999999996"/>
    <s v="Returned"/>
    <s v="Standard"/>
    <n v="2"/>
  </r>
  <r>
    <s v="ORD203060"/>
    <s v="CUST100489"/>
    <s v="Men"/>
    <s v="18-24"/>
    <x v="1803"/>
    <x v="0"/>
    <x v="0"/>
    <x v="0"/>
    <n v="7"/>
    <s v="Black"/>
    <n v="1"/>
    <n v="5099"/>
    <n v="25"/>
    <n v="3820"/>
    <n v="3820"/>
    <s v="Debit/Credit Card"/>
    <x v="0"/>
    <s v="India"/>
    <x v="25"/>
    <s v="Srinagar"/>
    <s v="Performance Seeker"/>
    <x v="1"/>
    <n v="4.5"/>
    <s v="Cancelled"/>
    <s v="Standard"/>
    <n v="3"/>
  </r>
  <r>
    <s v="ORD201723"/>
    <s v="CUST100563"/>
    <s v="Men"/>
    <s v="25-34"/>
    <x v="1804"/>
    <x v="1"/>
    <x v="20"/>
    <x v="2"/>
    <n v="9"/>
    <s v="White"/>
    <n v="2"/>
    <n v="4299"/>
    <n v="25"/>
    <n v="3220"/>
    <n v="6440"/>
    <s v="Debit/Credit Card"/>
    <x v="1"/>
    <s v="India"/>
    <x v="14"/>
    <s v="Ludhiana"/>
    <s v="Premium Shopper"/>
    <x v="1"/>
    <n v="3.8"/>
    <s v="Delivered"/>
    <s v="Express"/>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490EC2-630E-4BA1-88B9-15FA5B1575F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2" firstHeaderRow="1" firstDataRow="1" firstDataCol="1"/>
  <pivotFields count="28">
    <pivotField showAll="0"/>
    <pivotField showAll="0"/>
    <pivotField showAll="0"/>
    <pivotField showAll="0"/>
    <pivotField numFmtId="14" showAll="0">
      <items count="18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t="default"/>
      </items>
    </pivotField>
    <pivotField showAll="0">
      <items count="7">
        <item x="0"/>
        <item x="4"/>
        <item x="5"/>
        <item x="1"/>
        <item x="3"/>
        <item x="2"/>
        <item t="default"/>
      </items>
    </pivotField>
    <pivotField showAll="0"/>
    <pivotField showAll="0">
      <items count="6">
        <item x="0"/>
        <item x="4"/>
        <item x="1"/>
        <item x="2"/>
        <item x="3"/>
        <item t="default"/>
      </items>
    </pivotField>
    <pivotField showAll="0"/>
    <pivotField showAll="0"/>
    <pivotField showAll="0"/>
    <pivotField numFmtId="44" showAll="0"/>
    <pivotField showAll="0"/>
    <pivotField numFmtId="44" showAll="0"/>
    <pivotField dataField="1" numFmtId="44"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dragToRow="0" dragToCol="0" dragToPage="0" showAll="0" defaultSubtotal="0"/>
  </pivotFields>
  <rowFields count="1">
    <field x="26"/>
  </rowFields>
  <rowItems count="9">
    <i>
      <x v="1"/>
    </i>
    <i>
      <x v="2"/>
    </i>
    <i>
      <x v="3"/>
    </i>
    <i>
      <x v="4"/>
    </i>
    <i>
      <x v="5"/>
    </i>
    <i>
      <x v="6"/>
    </i>
    <i>
      <x v="7"/>
    </i>
    <i>
      <x v="8"/>
    </i>
    <i t="grand">
      <x/>
    </i>
  </rowItems>
  <colItems count="1">
    <i/>
  </colItems>
  <dataFields count="1">
    <dataField name="Sum of Revenue (INR)" fld="14" baseField="0" baseItem="0" numFmtId="44"/>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9751A5-4BE0-4D9C-B45A-FD3DFEA4AEA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28">
    <pivotField showAll="0"/>
    <pivotField showAll="0"/>
    <pivotField showAll="0"/>
    <pivotField showAll="0"/>
    <pivotField numFmtId="14" showAll="0">
      <items count="18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t="default"/>
      </items>
    </pivotField>
    <pivotField showAll="0">
      <items count="7">
        <item x="0"/>
        <item x="4"/>
        <item x="5"/>
        <item x="1"/>
        <item x="3"/>
        <item x="2"/>
        <item t="default"/>
      </items>
    </pivotField>
    <pivotField showAll="0"/>
    <pivotField showAll="0">
      <items count="6">
        <item x="0"/>
        <item x="4"/>
        <item x="1"/>
        <item x="2"/>
        <item x="3"/>
        <item t="default"/>
      </items>
    </pivotField>
    <pivotField showAll="0"/>
    <pivotField showAll="0"/>
    <pivotField showAll="0"/>
    <pivotField numFmtId="44" showAll="0"/>
    <pivotField showAll="0"/>
    <pivotField numFmtId="44" showAll="0"/>
    <pivotField numFmtId="44" showAll="0"/>
    <pivotField showAll="0"/>
    <pivotField showAll="0">
      <items count="4">
        <item x="2"/>
        <item x="1"/>
        <item x="0"/>
        <item t="default"/>
      </items>
    </pivotField>
    <pivotField showAll="0"/>
    <pivotField axis="axisRow" showAll="0" measureFilter="1" sortType="descending">
      <items count="37">
        <item x="12"/>
        <item x="29"/>
        <item x="13"/>
        <item x="0"/>
        <item x="9"/>
        <item x="30"/>
        <item x="18"/>
        <item x="10"/>
        <item x="15"/>
        <item x="1"/>
        <item x="16"/>
        <item x="2"/>
        <item x="20"/>
        <item x="25"/>
        <item x="32"/>
        <item x="24"/>
        <item x="26"/>
        <item x="28"/>
        <item x="11"/>
        <item x="7"/>
        <item x="33"/>
        <item x="5"/>
        <item x="19"/>
        <item x="35"/>
        <item x="21"/>
        <item x="27"/>
        <item x="17"/>
        <item x="14"/>
        <item x="3"/>
        <item x="4"/>
        <item x="31"/>
        <item x="8"/>
        <item x="22"/>
        <item x="6"/>
        <item x="23"/>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dataField="1" dragToRow="0" dragToCol="0" dragToPage="0" showAll="0" defaultSubtotal="0"/>
  </pivotFields>
  <rowFields count="1">
    <field x="18"/>
  </rowFields>
  <rowItems count="6">
    <i>
      <x v="35"/>
    </i>
    <i>
      <x v="15"/>
    </i>
    <i>
      <x v="30"/>
    </i>
    <i>
      <x v="31"/>
    </i>
    <i>
      <x v="19"/>
    </i>
    <i t="grand">
      <x/>
    </i>
  </rowItems>
  <colItems count="1">
    <i/>
  </colItems>
  <dataFields count="1">
    <dataField name="Sum of Revenue (Lakh)" fld="27" baseField="0" baseItem="0" numFmtId="44"/>
  </dataFields>
  <chartFormats count="4">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B141B0-68F8-4F10-9B1C-4169A59BBF4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8">
    <pivotField showAll="0"/>
    <pivotField showAll="0"/>
    <pivotField showAll="0"/>
    <pivotField showAll="0"/>
    <pivotField numFmtId="14" showAll="0">
      <items count="18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t="default"/>
      </items>
    </pivotField>
    <pivotField axis="axisRow" showAll="0" sortType="descending">
      <items count="7">
        <item x="0"/>
        <item x="4"/>
        <item x="5"/>
        <item x="1"/>
        <item x="3"/>
        <item x="2"/>
        <item t="default"/>
      </items>
      <autoSortScope>
        <pivotArea dataOnly="0" outline="0" fieldPosition="0">
          <references count="1">
            <reference field="4294967294" count="1" selected="0">
              <x v="0"/>
            </reference>
          </references>
        </pivotArea>
      </autoSortScope>
    </pivotField>
    <pivotField showAll="0"/>
    <pivotField showAll="0">
      <items count="6">
        <item x="0"/>
        <item x="4"/>
        <item x="1"/>
        <item x="2"/>
        <item x="3"/>
        <item t="default"/>
      </items>
    </pivotField>
    <pivotField showAll="0"/>
    <pivotField showAll="0"/>
    <pivotField showAll="0"/>
    <pivotField numFmtId="44" showAll="0"/>
    <pivotField showAll="0"/>
    <pivotField numFmtId="44" showAll="0"/>
    <pivotField dataField="1" numFmtId="44"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dragToRow="0" dragToCol="0" dragToPage="0" showAll="0" defaultSubtotal="0"/>
  </pivotFields>
  <rowFields count="1">
    <field x="5"/>
  </rowFields>
  <rowItems count="7">
    <i>
      <x/>
    </i>
    <i>
      <x v="2"/>
    </i>
    <i>
      <x v="1"/>
    </i>
    <i>
      <x v="3"/>
    </i>
    <i>
      <x v="5"/>
    </i>
    <i>
      <x v="4"/>
    </i>
    <i t="grand">
      <x/>
    </i>
  </rowItems>
  <colItems count="1">
    <i/>
  </colItems>
  <dataFields count="1">
    <dataField name="Sum of Revenue (INR)" fld="14" baseField="0" baseItem="0" numFmtId="4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C46078-2C41-44A5-B127-5D70F631856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28">
    <pivotField showAll="0"/>
    <pivotField showAll="0"/>
    <pivotField showAll="0"/>
    <pivotField showAll="0"/>
    <pivotField numFmtId="14" showAll="0">
      <items count="18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t="default"/>
      </items>
    </pivotField>
    <pivotField showAll="0">
      <items count="7">
        <item x="0"/>
        <item x="4"/>
        <item x="5"/>
        <item x="1"/>
        <item x="3"/>
        <item x="2"/>
        <item t="default"/>
      </items>
    </pivotField>
    <pivotField axis="axisRow" showAll="0" measureFilter="1" sortType="descending">
      <items count="37">
        <item x="2"/>
        <item x="8"/>
        <item x="13"/>
        <item x="31"/>
        <item x="0"/>
        <item x="19"/>
        <item x="6"/>
        <item x="17"/>
        <item x="29"/>
        <item x="26"/>
        <item x="9"/>
        <item x="22"/>
        <item x="7"/>
        <item x="21"/>
        <item x="15"/>
        <item x="30"/>
        <item x="14"/>
        <item x="27"/>
        <item x="1"/>
        <item x="33"/>
        <item x="12"/>
        <item x="10"/>
        <item x="20"/>
        <item x="18"/>
        <item x="28"/>
        <item x="16"/>
        <item x="34"/>
        <item x="11"/>
        <item x="5"/>
        <item x="35"/>
        <item x="23"/>
        <item x="32"/>
        <item x="4"/>
        <item x="24"/>
        <item x="3"/>
        <item x="25"/>
        <item t="default"/>
      </items>
      <autoSortScope>
        <pivotArea dataOnly="0" outline="0" fieldPosition="0">
          <references count="1">
            <reference field="4294967294" count="1" selected="0">
              <x v="0"/>
            </reference>
          </references>
        </pivotArea>
      </autoSortScope>
    </pivotField>
    <pivotField showAll="0">
      <items count="6">
        <item x="0"/>
        <item x="4"/>
        <item x="1"/>
        <item x="2"/>
        <item x="3"/>
        <item t="default"/>
      </items>
    </pivotField>
    <pivotField showAll="0"/>
    <pivotField showAll="0"/>
    <pivotField showAll="0"/>
    <pivotField numFmtId="44" showAll="0"/>
    <pivotField showAll="0"/>
    <pivotField numFmtId="44" showAll="0"/>
    <pivotField numFmtId="44"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dataField="1" dragToRow="0" dragToCol="0" dragToPage="0" showAll="0" defaultSubtotal="0"/>
  </pivotFields>
  <rowFields count="1">
    <field x="6"/>
  </rowFields>
  <rowItems count="6">
    <i>
      <x/>
    </i>
    <i>
      <x v="6"/>
    </i>
    <i>
      <x v="11"/>
    </i>
    <i>
      <x v="16"/>
    </i>
    <i>
      <x v="8"/>
    </i>
    <i t="grand">
      <x/>
    </i>
  </rowItems>
  <colItems count="1">
    <i/>
  </colItems>
  <dataFields count="1">
    <dataField name="Sum of Revenue (Lakh)" fld="27" baseField="0" baseItem="0" numFmtId="44"/>
  </dataFields>
  <chartFormats count="2">
    <chartFormat chart="0"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5232C6-5898-47CA-B146-0F6896726E1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8">
    <pivotField showAll="0"/>
    <pivotField showAll="0"/>
    <pivotField showAll="0"/>
    <pivotField showAll="0"/>
    <pivotField numFmtId="14" showAll="0">
      <items count="18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t="default"/>
      </items>
    </pivotField>
    <pivotField showAll="0">
      <items count="7">
        <item x="0"/>
        <item x="4"/>
        <item x="5"/>
        <item x="1"/>
        <item x="3"/>
        <item x="2"/>
        <item t="default"/>
      </items>
    </pivotField>
    <pivotField showAll="0"/>
    <pivotField showAll="0">
      <items count="6">
        <item x="0"/>
        <item x="4"/>
        <item x="1"/>
        <item x="2"/>
        <item x="3"/>
        <item t="default"/>
      </items>
    </pivotField>
    <pivotField showAll="0"/>
    <pivotField showAll="0"/>
    <pivotField showAll="0"/>
    <pivotField numFmtId="44" showAll="0"/>
    <pivotField showAll="0"/>
    <pivotField numFmtId="44" showAll="0"/>
    <pivotField dataField="1" numFmtId="44" showAll="0"/>
    <pivotField showAll="0"/>
    <pivotField showAll="0">
      <items count="4">
        <item x="2"/>
        <item x="1"/>
        <item x="0"/>
        <item t="default"/>
      </items>
    </pivotField>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items count="11">
        <item x="0"/>
        <item x="1"/>
        <item x="2"/>
        <item x="3"/>
        <item x="4"/>
        <item x="5"/>
        <item x="6"/>
        <item x="7"/>
        <item x="8"/>
        <item x="9"/>
        <item t="default"/>
      </items>
    </pivotField>
    <pivotField dragToRow="0" dragToCol="0" dragToPage="0" showAll="0" defaultSubtotal="0"/>
  </pivotFields>
  <rowFields count="1">
    <field x="21"/>
  </rowFields>
  <rowItems count="4">
    <i>
      <x/>
    </i>
    <i>
      <x v="1"/>
    </i>
    <i>
      <x v="2"/>
    </i>
    <i t="grand">
      <x/>
    </i>
  </rowItems>
  <colItems count="1">
    <i/>
  </colItems>
  <dataFields count="1">
    <dataField name="Sum of Revenue (INR)" fld="14" baseField="0" baseItem="0" numFmtId="44"/>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1" count="1" selected="0">
            <x v="0"/>
          </reference>
        </references>
      </pivotArea>
    </chartFormat>
    <chartFormat chart="3" format="7">
      <pivotArea type="data" outline="0" fieldPosition="0">
        <references count="2">
          <reference field="4294967294" count="1" selected="0">
            <x v="0"/>
          </reference>
          <reference field="21" count="1" selected="0">
            <x v="1"/>
          </reference>
        </references>
      </pivotArea>
    </chartFormat>
    <chartFormat chart="3" format="8">
      <pivotArea type="data" outline="0" fieldPosition="0">
        <references count="2">
          <reference field="4294967294" count="1" selected="0">
            <x v="0"/>
          </reference>
          <reference field="21" count="1" selected="0">
            <x v="2"/>
          </reference>
        </references>
      </pivotArea>
    </chartFormat>
    <chartFormat chart="0" format="1">
      <pivotArea type="data" outline="0" fieldPosition="0">
        <references count="2">
          <reference field="4294967294" count="1" selected="0">
            <x v="0"/>
          </reference>
          <reference field="21" count="1" selected="0">
            <x v="0"/>
          </reference>
        </references>
      </pivotArea>
    </chartFormat>
    <chartFormat chart="0" format="2">
      <pivotArea type="data" outline="0" fieldPosition="0">
        <references count="2">
          <reference field="4294967294" count="1" selected="0">
            <x v="0"/>
          </reference>
          <reference field="21" count="1" selected="0">
            <x v="1"/>
          </reference>
        </references>
      </pivotArea>
    </chartFormat>
    <chartFormat chart="0" format="3">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CEC669-92AF-4197-B7FE-4A15CE45C93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8">
    <pivotField dataField="1" showAll="0"/>
    <pivotField showAll="0"/>
    <pivotField showAll="0"/>
    <pivotField showAll="0"/>
    <pivotField numFmtId="14" showAll="0">
      <items count="18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t="default"/>
      </items>
    </pivotField>
    <pivotField showAll="0">
      <items count="7">
        <item x="0"/>
        <item x="4"/>
        <item x="5"/>
        <item x="1"/>
        <item x="3"/>
        <item x="2"/>
        <item t="default"/>
      </items>
    </pivotField>
    <pivotField showAll="0"/>
    <pivotField showAll="0">
      <items count="6">
        <item x="0"/>
        <item x="4"/>
        <item x="1"/>
        <item x="2"/>
        <item x="3"/>
        <item t="default"/>
      </items>
    </pivotField>
    <pivotField showAll="0"/>
    <pivotField showAll="0"/>
    <pivotField dataField="1" showAll="0"/>
    <pivotField numFmtId="44" showAll="0"/>
    <pivotField showAll="0"/>
    <pivotField numFmtId="44" showAll="0"/>
    <pivotField dataField="1" numFmtId="44"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defaultSubtotal="0">
      <items count="10">
        <item x="0"/>
        <item x="1"/>
        <item x="2"/>
        <item x="3"/>
        <item x="4"/>
        <item x="5"/>
        <item x="6"/>
        <item x="7"/>
        <item x="8"/>
        <item x="9"/>
      </items>
    </pivotField>
    <pivotField dragToRow="0" dragToCol="0" dragToPage="0" showAll="0" defaultSubtotal="0"/>
  </pivotFields>
  <rowItems count="1">
    <i/>
  </rowItems>
  <colFields count="1">
    <field x="-2"/>
  </colFields>
  <colItems count="4">
    <i>
      <x/>
    </i>
    <i i="1">
      <x v="1"/>
    </i>
    <i i="2">
      <x v="2"/>
    </i>
    <i i="3">
      <x v="3"/>
    </i>
  </colItems>
  <dataFields count="4">
    <dataField name="Sum of Revenue (INR)" fld="14" baseField="0" baseItem="0" numFmtId="44"/>
    <dataField name="Count of Order ID" fld="0" subtotal="count" baseField="0" baseItem="0"/>
    <dataField name="Sum of Units Sold" fld="10" baseField="0" baseItem="0"/>
    <dataField name="Average of Customer Rating" fld="2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FE43CB1-C87C-4916-9862-722AE8D9B065}" sourceName="Brand">
  <pivotTables>
    <pivotTable tabId="7" name="PivotTable6"/>
    <pivotTable tabId="5" name="PivotTable4"/>
    <pivotTable tabId="6" name="PivotTable5"/>
    <pivotTable tabId="4" name="PivotTable3"/>
    <pivotTable tabId="8" name="PivotTable1"/>
  </pivotTables>
  <data>
    <tabular pivotCacheId="888618815">
      <items count="6">
        <i x="0" s="1"/>
        <i x="4" s="1"/>
        <i x="5"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25A3CD-D049-419C-9B1C-1661A2FE26D7}" sourceName="Category">
  <pivotTables>
    <pivotTable tabId="7" name="PivotTable6"/>
    <pivotTable tabId="5" name="PivotTable4"/>
    <pivotTable tabId="6" name="PivotTable5"/>
    <pivotTable tabId="4" name="PivotTable3"/>
    <pivotTable tabId="8" name="PivotTable1"/>
  </pivotTables>
  <data>
    <tabular pivotCacheId="888618815">
      <items count="5">
        <i x="0" s="1"/>
        <i x="4"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00778AE-70DC-4BFF-A768-B1069CC863CF}" sourceName="Sales Channel">
  <pivotTables>
    <pivotTable tabId="7" name="PivotTable6"/>
    <pivotTable tabId="5" name="PivotTable4"/>
    <pivotTable tabId="6" name="PivotTable5"/>
    <pivotTable tabId="4" name="PivotTable3"/>
    <pivotTable tabId="8" name="PivotTable1"/>
  </pivotTables>
  <data>
    <tabular pivotCacheId="88861881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0489F24-3375-440C-898C-C76677804877}" sourceName="Years (Order Date)">
  <pivotTables>
    <pivotTable tabId="7" name="PivotTable6"/>
    <pivotTable tabId="5" name="PivotTable4"/>
    <pivotTable tabId="6" name="PivotTable5"/>
    <pivotTable tabId="4" name="PivotTable3"/>
    <pivotTable tabId="8" name="PivotTable1"/>
  </pivotTables>
  <data>
    <tabular pivotCacheId="888618815">
      <items count="10">
        <i x="1" s="1"/>
        <i x="2" s="1"/>
        <i x="3" s="1"/>
        <i x="4" s="1"/>
        <i x="5" s="1"/>
        <i x="6" s="1"/>
        <i x="7" s="1"/>
        <i x="8" s="1"/>
        <i x="0"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EA4153FE-0FF3-4E70-948E-BC07ED8BC6BC}" cache="Slicer_Brand" caption="Brand" columnCount="2" rowHeight="234950"/>
  <slicer name="Category" xr10:uid="{60FDD7D1-43B3-4CF9-8C5C-2293195FBC34}" cache="Slicer_Category" caption="Category" columnCount="2" rowHeight="234950"/>
  <slicer name="Sales Channel" xr10:uid="{5B6A60F1-9166-4D72-96B7-609EE8A505A6}" cache="Slicer_Sales_Channel" caption="Sales Channel" rowHeight="234950"/>
  <slicer name="Years (Order Date)" xr10:uid="{1D495344-AAF1-49A6-9502-D648FA8E9626}" cache="Slicer_Years__Order_Date" caption="Years"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4584C1-0E68-4771-9B5C-9FAE34792D9A}" name="Table1" displayName="Table1" ref="A1:Z3164" totalsRowShown="0" headerRowCellStyle="Table Header - DA">
  <autoFilter ref="A1:Z3164" xr:uid="{2B4584C1-0E68-4771-9B5C-9FAE34792D9A}"/>
  <tableColumns count="26">
    <tableColumn id="1" xr3:uid="{F54BC00D-8F05-43B0-A5B6-B575C425CF8B}" name="Order ID"/>
    <tableColumn id="2" xr3:uid="{CF841C62-CC35-40F2-9EB7-879B62C0AEAF}" name="Customer ID"/>
    <tableColumn id="3" xr3:uid="{32DBAD89-9600-4C4C-B287-D4368EDD0E88}" name="Gender"/>
    <tableColumn id="4" xr3:uid="{8A994969-D084-4C2C-B9D4-ED9929824416}" name="Age Group"/>
    <tableColumn id="5" xr3:uid="{B2355516-94BB-4B7C-AAEE-4D0211629558}" name="Order Date" dataDxfId="0"/>
    <tableColumn id="6" xr3:uid="{06F3D8F0-C09C-440A-B75F-09682369F531}" name="Brand"/>
    <tableColumn id="7" xr3:uid="{AF505E9B-1A07-4056-9018-B6240FAFC60B}" name="Product Name"/>
    <tableColumn id="8" xr3:uid="{1E8A5094-4A8A-4CC9-B92E-ACEB0E038526}" name="Category"/>
    <tableColumn id="9" xr3:uid="{C57B350C-DC0A-4F2F-B194-563C10DF72E8}" name="Size"/>
    <tableColumn id="10" xr3:uid="{722A29BE-54EA-4734-A691-3B43F7101141}" name="Color"/>
    <tableColumn id="11" xr3:uid="{556B34CA-203C-4E3B-9C82-F6B961FE26A9}" name="Units Sold"/>
    <tableColumn id="12" xr3:uid="{205C3EB4-4E66-4664-A475-F224934A7EB2}" name="MRP (INR)" dataCellStyle="Currency"/>
    <tableColumn id="13" xr3:uid="{E2FA2FAA-0795-4497-9688-4C02F00477EF}" name="Discount (%)"/>
    <tableColumn id="14" xr3:uid="{5A9575CE-98B8-40B6-B4F5-3F154B2C3639}" name="Sold Price (INR)" dataCellStyle="Currency"/>
    <tableColumn id="15" xr3:uid="{45105E96-E663-4F40-957A-2FF53A7124D2}" name="Revenue (INR)" dataCellStyle="Currency"/>
    <tableColumn id="16" xr3:uid="{0E9F1EDC-3D90-432C-9D1C-34F5D9F725A0}" name="Payment Method"/>
    <tableColumn id="17" xr3:uid="{083AABF6-4F8C-43C0-8EDA-671411C8BCD6}" name="Sales Channel"/>
    <tableColumn id="18" xr3:uid="{1C59DB32-C8A6-42EB-B3A7-B9B4491FE169}" name="Country"/>
    <tableColumn id="19" xr3:uid="{7CB9A504-E116-4A7F-A8AA-16F7672CF0BA}" name="State"/>
    <tableColumn id="20" xr3:uid="{B59DDEA0-AB2A-4DE8-895C-D5FB1E49534E}" name="City"/>
    <tableColumn id="21" xr3:uid="{97229379-3477-4D89-B934-EE4A59E46D84}" name="Customer Profile"/>
    <tableColumn id="22" xr3:uid="{DFABF13E-6C31-4A93-B583-B7A49ABFF810}" name="Customer Type"/>
    <tableColumn id="23" xr3:uid="{482B3248-B989-4503-8799-D710C0A4BFB6}" name="Customer Rating"/>
    <tableColumn id="24" xr3:uid="{B2C49F45-7E26-4326-A363-E0C445B4700C}" name="Order Status"/>
    <tableColumn id="25" xr3:uid="{17067143-C4E5-4AEC-8799-90BC1F9095FB}" name="Delivery Type"/>
    <tableColumn id="26" xr3:uid="{95CB25D8-FBD9-4533-B818-84325B0ACBAB}" name="Delivery Days"/>
  </tableColumns>
  <tableStyleInfo name="Devansh Analytics Table" showFirstColumn="0" showLastColumn="0" showRowStripes="1" showColumnStripes="0"/>
</table>
</file>

<file path=xl/theme/theme1.xml><?xml version="1.0" encoding="utf-8"?>
<a:theme xmlns:a="http://schemas.openxmlformats.org/drawingml/2006/main" name="Theme1">
  <a:themeElements>
    <a:clrScheme name="Devansh Analytics">
      <a:dk1>
        <a:srgbClr val="111827"/>
      </a:dk1>
      <a:lt1>
        <a:srgbClr val="FFFFFF"/>
      </a:lt1>
      <a:dk2>
        <a:srgbClr val="1E3A8A"/>
      </a:dk2>
      <a:lt2>
        <a:srgbClr val="DBEAFE"/>
      </a:lt2>
      <a:accent1>
        <a:srgbClr val="1E3A8A"/>
      </a:accent1>
      <a:accent2>
        <a:srgbClr val="DCFCE7"/>
      </a:accent2>
      <a:accent3>
        <a:srgbClr val="FEF3C7"/>
      </a:accent3>
      <a:accent4>
        <a:srgbClr val="FEE2E2"/>
      </a:accent4>
      <a:accent5>
        <a:srgbClr val="E5E7EB"/>
      </a:accent5>
      <a:accent6>
        <a:srgbClr val="9CA3AF"/>
      </a:accent6>
      <a:hlink>
        <a:srgbClr val="467886"/>
      </a:hlink>
      <a:folHlink>
        <a:srgbClr val="96607D"/>
      </a:folHlink>
    </a:clrScheme>
    <a:fontScheme name="Devansh Analytics">
      <a:majorFont>
        <a:latin typeface="Inter"/>
        <a:ea typeface=""/>
        <a:cs typeface=""/>
      </a:majorFont>
      <a:minorFont>
        <a:latin typeface="Inter"/>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20177-30AF-4903-B6BA-C7F1BCFC0F6E}">
  <sheetPr>
    <tabColor rgb="FF00B0F0"/>
  </sheetPr>
  <dimension ref="A1:Y78"/>
  <sheetViews>
    <sheetView showGridLines="0" tabSelected="1" zoomScale="70" zoomScaleNormal="70" workbookViewId="0">
      <selection activeCell="K44" sqref="K44"/>
    </sheetView>
  </sheetViews>
  <sheetFormatPr defaultRowHeight="13.8"/>
  <cols>
    <col min="2" max="2" width="18.69921875" customWidth="1"/>
    <col min="3" max="3" width="16.3984375" bestFit="1" customWidth="1"/>
    <col min="4" max="4" width="15.09765625" bestFit="1" customWidth="1"/>
    <col min="5" max="5" width="12.09765625" bestFit="1" customWidth="1"/>
    <col min="6" max="6" width="23.3984375" bestFit="1" customWidth="1"/>
    <col min="7" max="7" width="24" customWidth="1"/>
    <col min="8" max="8" width="8.796875" customWidth="1"/>
    <col min="11" max="11" width="16.3984375" bestFit="1" customWidth="1"/>
    <col min="14" max="14" width="23.3984375" bestFit="1" customWidth="1"/>
    <col min="16" max="16" width="8.796875" customWidth="1"/>
    <col min="17" max="18" width="10.296875" bestFit="1" customWidth="1"/>
    <col min="19" max="19" width="12" bestFit="1" customWidth="1"/>
    <col min="20" max="20" width="8.8984375" bestFit="1" customWidth="1"/>
    <col min="21" max="21" width="16.09765625" bestFit="1" customWidth="1"/>
    <col min="22" max="23" width="9.59765625" bestFit="1" customWidth="1"/>
    <col min="24" max="24" width="11.8984375" bestFit="1" customWidth="1"/>
    <col min="25" max="25" width="8.8984375" bestFit="1" customWidth="1"/>
  </cols>
  <sheetData>
    <row r="1" spans="1:25" ht="48.6" customHeight="1">
      <c r="A1" s="7"/>
      <c r="B1" s="7"/>
      <c r="C1" s="7"/>
      <c r="D1" s="7"/>
      <c r="E1" s="7"/>
      <c r="F1" s="7"/>
      <c r="G1" s="7"/>
      <c r="H1" s="7"/>
      <c r="I1" s="7"/>
      <c r="J1" s="7"/>
      <c r="K1" s="7"/>
      <c r="L1" s="7"/>
      <c r="M1" s="7"/>
      <c r="N1" s="7"/>
      <c r="O1" s="7"/>
      <c r="P1" s="7"/>
      <c r="Q1" s="7"/>
      <c r="R1" s="7"/>
      <c r="S1" s="7"/>
      <c r="T1" s="7"/>
      <c r="U1" s="7"/>
      <c r="V1" s="7"/>
    </row>
    <row r="2" spans="1:25" ht="26.4" customHeight="1">
      <c r="A2" s="7"/>
      <c r="B2" s="7"/>
      <c r="C2" s="7"/>
      <c r="D2" s="7"/>
      <c r="E2" s="7"/>
      <c r="F2" s="7"/>
      <c r="G2" s="7"/>
      <c r="H2" s="7"/>
      <c r="I2" s="7"/>
      <c r="J2" s="7"/>
      <c r="K2" s="7"/>
      <c r="L2" s="7"/>
      <c r="M2" s="7"/>
      <c r="N2" s="7"/>
      <c r="O2" s="7"/>
      <c r="P2" s="7"/>
      <c r="Q2" s="7"/>
      <c r="R2" s="7"/>
      <c r="S2" s="7"/>
      <c r="T2" s="7"/>
      <c r="U2" s="7"/>
      <c r="V2" s="7"/>
    </row>
    <row r="3" spans="1:25">
      <c r="A3" s="7"/>
      <c r="B3" s="7"/>
      <c r="C3" s="7"/>
      <c r="D3" s="7"/>
      <c r="E3" s="7"/>
      <c r="F3" s="7"/>
      <c r="G3" s="7"/>
      <c r="H3" s="7"/>
      <c r="I3" s="7"/>
      <c r="J3" s="7"/>
      <c r="K3" s="7"/>
      <c r="L3" s="7"/>
      <c r="M3" s="7"/>
      <c r="N3" s="7"/>
      <c r="O3" s="7"/>
      <c r="P3" s="7"/>
      <c r="Q3" s="7"/>
      <c r="R3" s="7"/>
      <c r="S3" s="7"/>
      <c r="T3" s="7"/>
      <c r="U3" s="7"/>
      <c r="V3" s="7"/>
    </row>
    <row r="4" spans="1:25" ht="17.399999999999999">
      <c r="A4" s="7"/>
      <c r="B4" s="7"/>
      <c r="C4" s="7"/>
      <c r="D4" s="7"/>
      <c r="E4" s="7"/>
      <c r="F4" s="7"/>
      <c r="G4" s="7"/>
      <c r="H4" s="7"/>
      <c r="I4" s="7"/>
      <c r="J4" s="7"/>
      <c r="K4" s="7"/>
      <c r="L4" s="7"/>
      <c r="M4" s="7"/>
      <c r="N4" s="7"/>
      <c r="O4" s="7"/>
      <c r="P4" s="7"/>
      <c r="Q4" s="7"/>
      <c r="R4" s="7"/>
      <c r="S4" s="7"/>
      <c r="T4" s="7"/>
      <c r="U4" s="7"/>
      <c r="V4" s="7"/>
      <c r="W4" s="8"/>
      <c r="X4" s="8"/>
      <c r="Y4" s="8"/>
    </row>
    <row r="5" spans="1:25" ht="28.2">
      <c r="A5" s="7"/>
      <c r="B5" s="7"/>
      <c r="C5" s="7"/>
      <c r="D5" s="7"/>
      <c r="E5" s="7"/>
      <c r="F5" s="7"/>
      <c r="G5" s="7"/>
      <c r="H5" s="7"/>
      <c r="I5" s="7"/>
      <c r="J5" s="7"/>
      <c r="K5" s="7"/>
      <c r="L5" s="7"/>
      <c r="M5" s="7"/>
      <c r="N5" s="7"/>
      <c r="O5" s="7"/>
      <c r="P5" s="7"/>
      <c r="Q5" s="7"/>
      <c r="R5" s="7"/>
      <c r="S5" s="7"/>
      <c r="T5" s="7"/>
      <c r="U5" s="7"/>
      <c r="V5" s="7"/>
      <c r="W5" s="9"/>
      <c r="X5" s="10"/>
      <c r="Y5" s="11"/>
    </row>
    <row r="6" spans="1:25">
      <c r="A6" s="7"/>
      <c r="B6" s="7"/>
      <c r="C6" s="7"/>
      <c r="D6" s="7"/>
      <c r="E6" s="7"/>
      <c r="F6" s="7"/>
      <c r="G6" s="7"/>
      <c r="H6" s="7"/>
      <c r="I6" s="7"/>
      <c r="J6" s="7"/>
      <c r="K6" s="7"/>
      <c r="L6" s="7"/>
      <c r="M6" s="7"/>
      <c r="N6" s="7"/>
      <c r="O6" s="7"/>
      <c r="P6" s="7"/>
      <c r="Q6" s="7"/>
      <c r="R6" s="7"/>
      <c r="S6" s="7"/>
      <c r="T6" s="7"/>
      <c r="U6" s="7"/>
      <c r="V6" s="7"/>
    </row>
    <row r="7" spans="1:25">
      <c r="A7" s="7"/>
      <c r="B7" s="7"/>
      <c r="C7" s="7"/>
      <c r="D7" s="7"/>
      <c r="E7" s="7"/>
      <c r="F7" s="7"/>
      <c r="G7" s="7"/>
      <c r="H7" s="7"/>
      <c r="I7" s="7"/>
      <c r="J7" s="7"/>
      <c r="K7" s="7"/>
      <c r="L7" s="7"/>
      <c r="M7" s="7"/>
      <c r="N7" s="7"/>
      <c r="O7" s="7"/>
      <c r="P7" s="7"/>
      <c r="Q7" s="7"/>
      <c r="R7" s="7"/>
      <c r="S7" s="7"/>
      <c r="T7" s="7"/>
      <c r="U7" s="7"/>
      <c r="V7" s="7"/>
    </row>
    <row r="8" spans="1:25">
      <c r="A8" s="7"/>
      <c r="B8" s="7"/>
      <c r="C8" s="7"/>
      <c r="D8" s="7"/>
      <c r="E8" s="7"/>
      <c r="F8" s="7"/>
      <c r="G8" s="7"/>
      <c r="H8" s="7"/>
      <c r="I8" s="7"/>
      <c r="J8" s="7"/>
      <c r="K8" s="7"/>
      <c r="L8" s="7"/>
      <c r="M8" s="7"/>
      <c r="N8" s="7"/>
      <c r="O8" s="7"/>
      <c r="P8" s="7"/>
      <c r="Q8" s="7"/>
      <c r="R8" s="7"/>
      <c r="S8" s="7"/>
      <c r="T8" s="7"/>
      <c r="U8" s="7"/>
      <c r="V8" s="7"/>
    </row>
    <row r="9" spans="1:25">
      <c r="A9" s="7"/>
      <c r="B9" s="7"/>
      <c r="C9" s="7"/>
      <c r="D9" s="7"/>
      <c r="E9" s="7"/>
      <c r="F9" s="7"/>
      <c r="G9" s="7"/>
      <c r="H9" s="7"/>
      <c r="I9" s="7"/>
      <c r="J9" s="7"/>
      <c r="K9" s="7"/>
      <c r="L9" s="7"/>
      <c r="M9" s="7"/>
      <c r="N9" s="7"/>
      <c r="O9" s="7"/>
      <c r="P9" s="7"/>
      <c r="Q9" s="7"/>
      <c r="R9" s="7"/>
      <c r="S9" s="7"/>
      <c r="T9" s="7"/>
      <c r="U9" s="7"/>
      <c r="V9" s="7"/>
    </row>
    <row r="10" spans="1:25">
      <c r="A10" s="7"/>
      <c r="B10" s="7"/>
      <c r="C10" s="7"/>
      <c r="D10" s="7"/>
      <c r="E10" s="7"/>
      <c r="F10" s="7"/>
      <c r="G10" s="7"/>
      <c r="H10" s="7"/>
      <c r="I10" s="7"/>
      <c r="J10" s="7"/>
      <c r="K10" s="7"/>
      <c r="L10" s="7"/>
      <c r="M10" s="7"/>
      <c r="N10" s="7"/>
      <c r="O10" s="7"/>
      <c r="P10" s="7"/>
      <c r="Q10" s="7"/>
      <c r="R10" s="7"/>
      <c r="S10" s="7"/>
      <c r="T10" s="7"/>
      <c r="U10" s="7"/>
      <c r="V10" s="7"/>
    </row>
    <row r="11" spans="1:25">
      <c r="A11" s="7"/>
      <c r="B11" s="7"/>
      <c r="C11" s="7"/>
      <c r="D11" s="7"/>
      <c r="E11" s="7"/>
      <c r="F11" s="7"/>
      <c r="G11" s="7"/>
      <c r="H11" s="7"/>
      <c r="I11" s="7"/>
      <c r="J11" s="7"/>
      <c r="K11" s="7"/>
      <c r="L11" s="7"/>
      <c r="M11" s="7"/>
      <c r="N11" s="7"/>
      <c r="O11" s="7"/>
      <c r="P11" s="7"/>
      <c r="Q11" s="7"/>
      <c r="R11" s="7"/>
      <c r="S11" s="7"/>
      <c r="T11" s="7"/>
      <c r="U11" s="7"/>
      <c r="V11" s="7"/>
    </row>
    <row r="12" spans="1:25">
      <c r="A12" s="7"/>
      <c r="G12" s="7"/>
      <c r="H12" s="7"/>
      <c r="I12" s="7"/>
      <c r="J12" s="7"/>
      <c r="P12" s="7"/>
      <c r="Q12" s="7"/>
      <c r="R12" s="7"/>
      <c r="S12" s="7"/>
      <c r="T12" s="7"/>
      <c r="U12" s="7"/>
      <c r="V12" s="7"/>
    </row>
    <row r="13" spans="1:25">
      <c r="A13" s="7"/>
      <c r="G13" s="7"/>
      <c r="H13" s="7"/>
      <c r="I13" s="7"/>
      <c r="J13" s="7"/>
      <c r="P13" s="7"/>
      <c r="Q13" s="7"/>
      <c r="R13" s="7"/>
      <c r="S13" s="7"/>
      <c r="T13" s="7"/>
      <c r="U13" s="7"/>
      <c r="V13" s="7"/>
    </row>
    <row r="14" spans="1:25">
      <c r="A14" s="7"/>
      <c r="B14" s="7"/>
      <c r="C14" s="7"/>
      <c r="D14" s="7"/>
      <c r="E14" s="7"/>
      <c r="F14" s="7"/>
      <c r="G14" s="7"/>
      <c r="H14" s="7"/>
      <c r="I14" s="7"/>
      <c r="J14" s="7"/>
      <c r="K14" s="7"/>
      <c r="L14" s="7"/>
      <c r="M14" s="7"/>
      <c r="N14" s="7"/>
      <c r="O14" s="7"/>
      <c r="P14" s="7"/>
      <c r="Q14" s="7"/>
      <c r="R14" s="7"/>
      <c r="S14" s="7"/>
      <c r="T14" s="7"/>
      <c r="U14" s="7"/>
      <c r="V14" s="7"/>
    </row>
    <row r="15" spans="1:25">
      <c r="A15" s="7"/>
      <c r="B15" s="7"/>
      <c r="C15" s="7"/>
      <c r="D15" s="7"/>
      <c r="E15" s="7"/>
      <c r="F15" s="7"/>
      <c r="G15" s="7"/>
      <c r="H15" s="7"/>
      <c r="I15" s="7"/>
      <c r="J15" s="7"/>
      <c r="K15" s="7"/>
      <c r="L15" s="7"/>
      <c r="M15" s="7"/>
      <c r="N15" s="7"/>
      <c r="O15" s="7"/>
      <c r="P15" s="7"/>
      <c r="Q15" s="7"/>
      <c r="R15" s="7"/>
      <c r="S15" s="7"/>
      <c r="T15" s="7"/>
      <c r="U15" s="7"/>
      <c r="V15" s="7"/>
    </row>
    <row r="16" spans="1:25">
      <c r="A16" s="7"/>
      <c r="B16" s="7"/>
      <c r="C16" s="7"/>
      <c r="D16" s="7"/>
      <c r="E16" s="7"/>
      <c r="F16" s="7"/>
      <c r="G16" s="7"/>
      <c r="H16" s="7"/>
      <c r="I16" s="7"/>
      <c r="J16" s="7"/>
      <c r="K16" s="7"/>
      <c r="L16" s="7"/>
      <c r="M16" s="7"/>
      <c r="N16" s="7"/>
      <c r="O16" s="7"/>
      <c r="P16" s="7"/>
      <c r="Q16" s="7"/>
      <c r="R16" s="7"/>
      <c r="S16" s="7"/>
      <c r="T16" s="7"/>
      <c r="U16" s="7"/>
      <c r="V16" s="7"/>
    </row>
    <row r="17" spans="1:22">
      <c r="A17" s="7"/>
      <c r="B17" s="7"/>
      <c r="C17" s="7"/>
      <c r="D17" s="7"/>
      <c r="E17" s="7"/>
      <c r="F17" s="7"/>
      <c r="G17" s="7"/>
      <c r="H17" s="7"/>
      <c r="I17" s="7"/>
      <c r="J17" s="7"/>
      <c r="K17" s="7"/>
      <c r="L17" s="7"/>
      <c r="M17" s="7"/>
      <c r="N17" s="7"/>
      <c r="O17" s="7"/>
      <c r="P17" s="7"/>
      <c r="Q17" s="7"/>
      <c r="R17" s="7"/>
      <c r="S17" s="7"/>
      <c r="T17" s="7"/>
      <c r="U17" s="7"/>
      <c r="V17" s="7"/>
    </row>
    <row r="18" spans="1:22">
      <c r="A18" s="7"/>
      <c r="B18" s="7"/>
      <c r="C18" s="7"/>
      <c r="D18" s="7"/>
      <c r="E18" s="7"/>
      <c r="F18" s="7"/>
      <c r="G18" s="7"/>
      <c r="H18" s="7"/>
      <c r="I18" s="7"/>
      <c r="J18" s="7"/>
      <c r="K18" s="7"/>
      <c r="L18" s="7"/>
      <c r="M18" s="7"/>
      <c r="N18" s="7"/>
      <c r="O18" s="7"/>
      <c r="P18" s="7"/>
      <c r="Q18" s="7"/>
      <c r="R18" s="7"/>
      <c r="S18" s="7"/>
      <c r="T18" s="7"/>
      <c r="U18" s="7"/>
      <c r="V18" s="7"/>
    </row>
    <row r="19" spans="1:22">
      <c r="A19" s="7"/>
      <c r="B19" s="7"/>
      <c r="C19" s="7"/>
      <c r="D19" s="7"/>
      <c r="E19" s="7"/>
      <c r="F19" s="7"/>
      <c r="G19" s="7"/>
      <c r="H19" s="7"/>
      <c r="I19" s="7"/>
      <c r="J19" s="7"/>
      <c r="K19" s="7"/>
      <c r="L19" s="7"/>
      <c r="M19" s="7"/>
      <c r="N19" s="7"/>
      <c r="O19" s="7"/>
      <c r="P19" s="7"/>
      <c r="Q19" s="7"/>
      <c r="R19" s="7"/>
      <c r="S19" s="7"/>
      <c r="T19" s="7"/>
      <c r="U19" s="7"/>
      <c r="V19" s="7"/>
    </row>
    <row r="20" spans="1:22">
      <c r="A20" s="7"/>
      <c r="B20" s="7"/>
      <c r="C20" s="7"/>
      <c r="D20" s="7"/>
      <c r="E20" s="7"/>
      <c r="F20" s="7"/>
      <c r="G20" s="7"/>
      <c r="H20" s="7"/>
      <c r="I20" s="7"/>
      <c r="J20" s="7"/>
      <c r="K20" s="7"/>
      <c r="L20" s="7"/>
      <c r="M20" s="7"/>
      <c r="N20" s="7"/>
      <c r="O20" s="7"/>
      <c r="P20" s="7"/>
      <c r="Q20" s="7"/>
      <c r="R20" s="7"/>
      <c r="S20" s="7"/>
      <c r="T20" s="7"/>
      <c r="U20" s="7"/>
      <c r="V20" s="7"/>
    </row>
    <row r="21" spans="1:22">
      <c r="A21" s="7"/>
      <c r="B21" s="7"/>
      <c r="C21" s="7"/>
      <c r="D21" s="7"/>
      <c r="E21" s="7"/>
      <c r="F21" s="7"/>
      <c r="G21" s="7"/>
      <c r="H21" s="7"/>
      <c r="I21" s="7"/>
      <c r="J21" s="7"/>
      <c r="K21" s="7"/>
      <c r="L21" s="7"/>
      <c r="M21" s="7"/>
      <c r="N21" s="7"/>
      <c r="O21" s="7"/>
      <c r="P21" s="7"/>
      <c r="Q21" s="7"/>
      <c r="R21" s="7"/>
      <c r="S21" s="7"/>
      <c r="T21" s="7"/>
      <c r="U21" s="7"/>
      <c r="V21" s="7"/>
    </row>
    <row r="22" spans="1:22">
      <c r="A22" s="7"/>
      <c r="B22" s="7"/>
      <c r="C22" s="7"/>
      <c r="D22" s="7"/>
      <c r="E22" s="7"/>
      <c r="F22" s="7"/>
      <c r="G22" s="7"/>
      <c r="H22" s="7"/>
      <c r="I22" s="7"/>
      <c r="J22" s="7"/>
      <c r="K22" s="7"/>
      <c r="L22" s="7"/>
      <c r="M22" s="7"/>
      <c r="N22" s="7"/>
      <c r="O22" s="7"/>
      <c r="P22" s="7"/>
      <c r="Q22" s="7"/>
      <c r="R22" s="7"/>
      <c r="S22" s="7"/>
      <c r="T22" s="7"/>
      <c r="U22" s="7"/>
      <c r="V22" s="7"/>
    </row>
    <row r="23" spans="1:22">
      <c r="A23" s="7"/>
      <c r="B23" s="7"/>
      <c r="C23" s="7"/>
      <c r="D23" s="7"/>
      <c r="E23" s="7"/>
      <c r="F23" s="7"/>
      <c r="G23" s="7"/>
      <c r="H23" s="7"/>
      <c r="I23" s="7"/>
      <c r="J23" s="7"/>
      <c r="K23" s="7"/>
      <c r="L23" s="7"/>
      <c r="M23" s="7"/>
      <c r="N23" s="7"/>
      <c r="O23" s="7"/>
      <c r="P23" s="7"/>
      <c r="Q23" s="7"/>
      <c r="R23" s="7"/>
      <c r="S23" s="7"/>
      <c r="T23" s="7"/>
      <c r="U23" s="7"/>
      <c r="V23" s="7"/>
    </row>
    <row r="24" spans="1:22">
      <c r="A24" s="7"/>
      <c r="B24" s="7"/>
      <c r="C24" s="7"/>
      <c r="D24" s="7"/>
      <c r="E24" s="7"/>
      <c r="F24" s="7"/>
      <c r="G24" s="7"/>
      <c r="H24" s="7"/>
      <c r="I24" s="7"/>
      <c r="J24" s="7"/>
      <c r="K24" s="7"/>
      <c r="L24" s="7"/>
      <c r="M24" s="7"/>
      <c r="N24" s="7"/>
      <c r="O24" s="7"/>
      <c r="P24" s="7"/>
      <c r="Q24" s="7"/>
      <c r="R24" s="7"/>
      <c r="S24" s="7"/>
      <c r="T24" s="7"/>
      <c r="U24" s="7"/>
      <c r="V24" s="7"/>
    </row>
    <row r="25" spans="1:22">
      <c r="A25" s="7"/>
      <c r="B25" s="7"/>
      <c r="C25" s="7"/>
      <c r="D25" s="7"/>
      <c r="E25" s="7"/>
      <c r="F25" s="7"/>
      <c r="G25" s="7"/>
      <c r="H25" s="7"/>
      <c r="I25" s="7"/>
      <c r="J25" s="7"/>
      <c r="K25" s="7"/>
      <c r="L25" s="7"/>
      <c r="M25" s="7"/>
      <c r="N25" s="7"/>
      <c r="O25" s="7"/>
      <c r="P25" s="7"/>
      <c r="Q25" s="7"/>
      <c r="R25" s="7"/>
      <c r="S25" s="7"/>
      <c r="T25" s="7"/>
      <c r="U25" s="7"/>
      <c r="V25" s="7"/>
    </row>
    <row r="26" spans="1:22">
      <c r="A26" s="7"/>
      <c r="B26" s="7"/>
      <c r="C26" s="7"/>
      <c r="D26" s="7"/>
      <c r="E26" s="7"/>
      <c r="F26" s="7"/>
      <c r="G26" s="7"/>
      <c r="H26" s="7"/>
      <c r="I26" s="7"/>
      <c r="J26" s="7"/>
      <c r="K26" s="7"/>
      <c r="L26" s="7"/>
      <c r="M26" s="7"/>
      <c r="N26" s="7"/>
      <c r="O26" s="7"/>
      <c r="P26" s="7"/>
      <c r="Q26" s="7"/>
      <c r="R26" s="7"/>
      <c r="S26" s="7"/>
      <c r="T26" s="7"/>
      <c r="U26" s="7"/>
      <c r="V26" s="7"/>
    </row>
    <row r="27" spans="1:22">
      <c r="A27" s="7"/>
      <c r="B27" s="7"/>
      <c r="C27" s="7"/>
      <c r="D27" s="7"/>
      <c r="E27" s="7"/>
      <c r="F27" s="7"/>
      <c r="G27" s="7"/>
      <c r="H27" s="7"/>
      <c r="I27" s="7"/>
      <c r="J27" s="7"/>
      <c r="K27" s="7"/>
      <c r="L27" s="7"/>
      <c r="M27" s="7"/>
      <c r="N27" s="7"/>
      <c r="O27" s="7"/>
      <c r="P27" s="7"/>
      <c r="Q27" s="7"/>
      <c r="R27" s="7"/>
      <c r="S27" s="7"/>
      <c r="T27" s="7"/>
      <c r="U27" s="7"/>
      <c r="V27" s="7"/>
    </row>
    <row r="28" spans="1:22">
      <c r="A28" s="7"/>
      <c r="B28" s="7"/>
      <c r="C28" s="7"/>
      <c r="D28" s="7"/>
      <c r="E28" s="7"/>
      <c r="F28" s="7"/>
      <c r="G28" s="7"/>
      <c r="H28" s="7"/>
      <c r="I28" s="7"/>
      <c r="J28" s="7"/>
      <c r="K28" s="7"/>
      <c r="L28" s="7"/>
      <c r="M28" s="7"/>
      <c r="N28" s="7"/>
      <c r="O28" s="7"/>
      <c r="P28" s="7"/>
      <c r="Q28" s="7"/>
      <c r="R28" s="7"/>
      <c r="S28" s="7"/>
      <c r="T28" s="7"/>
      <c r="U28" s="7"/>
      <c r="V28" s="7"/>
    </row>
    <row r="29" spans="1:22">
      <c r="A29" s="7"/>
      <c r="B29" s="7"/>
      <c r="C29" s="7"/>
      <c r="D29" s="7"/>
      <c r="E29" s="7"/>
      <c r="F29" s="7"/>
      <c r="G29" s="7"/>
      <c r="H29" s="7"/>
      <c r="I29" s="7"/>
      <c r="J29" s="7"/>
      <c r="K29" s="7"/>
      <c r="L29" s="7"/>
      <c r="M29" s="7"/>
      <c r="N29" s="7"/>
      <c r="O29" s="7"/>
      <c r="P29" s="7"/>
      <c r="Q29" s="7"/>
      <c r="R29" s="7"/>
      <c r="S29" s="7"/>
      <c r="T29" s="7"/>
      <c r="U29" s="7"/>
      <c r="V29" s="7"/>
    </row>
    <row r="30" spans="1:22">
      <c r="A30" s="7"/>
      <c r="B30" s="7"/>
      <c r="C30" s="7"/>
      <c r="D30" s="7"/>
      <c r="E30" s="7"/>
      <c r="F30" s="7"/>
      <c r="G30" s="7"/>
      <c r="H30" s="7"/>
      <c r="I30" s="7"/>
      <c r="J30" s="7"/>
      <c r="K30" s="7"/>
      <c r="L30" s="7"/>
      <c r="M30" s="7"/>
      <c r="N30" s="7"/>
      <c r="O30" s="7"/>
      <c r="P30" s="7"/>
      <c r="Q30" s="7"/>
      <c r="R30" s="7"/>
      <c r="S30" s="7"/>
      <c r="T30" s="7"/>
      <c r="U30" s="7"/>
      <c r="V30" s="7"/>
    </row>
    <row r="31" spans="1:22">
      <c r="A31" s="7"/>
      <c r="B31" s="7"/>
      <c r="C31" s="7"/>
      <c r="D31" s="7"/>
      <c r="E31" s="7"/>
      <c r="F31" s="7"/>
      <c r="G31" s="7"/>
      <c r="H31" s="7"/>
      <c r="I31" s="7"/>
      <c r="J31" s="7"/>
      <c r="K31" s="7"/>
      <c r="L31" s="7"/>
      <c r="M31" s="7"/>
      <c r="N31" s="7"/>
      <c r="O31" s="7"/>
      <c r="P31" s="7"/>
      <c r="Q31" s="7"/>
      <c r="R31" s="7"/>
      <c r="S31" s="7"/>
      <c r="T31" s="7"/>
      <c r="U31" s="7"/>
      <c r="V31" s="7"/>
    </row>
    <row r="32" spans="1:22">
      <c r="A32" s="7"/>
      <c r="B32" s="7"/>
      <c r="C32" s="7"/>
      <c r="D32" s="7"/>
      <c r="E32" s="7"/>
      <c r="F32" s="7"/>
      <c r="G32" s="7"/>
      <c r="H32" s="7"/>
      <c r="I32" s="7"/>
      <c r="J32" s="7"/>
      <c r="K32" s="7"/>
      <c r="L32" s="7"/>
      <c r="M32" s="7"/>
      <c r="N32" s="7"/>
      <c r="O32" s="7"/>
      <c r="P32" s="7"/>
      <c r="Q32" s="7"/>
      <c r="R32" s="7"/>
      <c r="S32" s="7"/>
      <c r="T32" s="7"/>
      <c r="U32" s="7"/>
      <c r="V32" s="7"/>
    </row>
    <row r="33" spans="1:22">
      <c r="A33" s="7"/>
      <c r="B33" s="7"/>
      <c r="C33" s="7"/>
      <c r="D33" s="7"/>
      <c r="E33" s="7"/>
      <c r="F33" s="7"/>
      <c r="G33" s="7"/>
      <c r="H33" s="7"/>
      <c r="I33" s="7"/>
      <c r="J33" s="7"/>
      <c r="K33" s="7"/>
      <c r="L33" s="7"/>
      <c r="M33" s="7"/>
      <c r="N33" s="7"/>
      <c r="O33" s="7"/>
      <c r="P33" s="7"/>
      <c r="Q33" s="7"/>
      <c r="R33" s="7"/>
      <c r="S33" s="7"/>
      <c r="T33" s="7"/>
      <c r="U33" s="7"/>
      <c r="V33" s="7"/>
    </row>
    <row r="34" spans="1:22">
      <c r="A34" s="7"/>
      <c r="B34" s="7"/>
      <c r="C34" s="7"/>
      <c r="D34" s="7"/>
      <c r="E34" s="7"/>
      <c r="F34" s="7"/>
      <c r="G34" s="7"/>
      <c r="H34" s="7"/>
      <c r="I34" s="7"/>
      <c r="J34" s="7"/>
      <c r="K34" s="7"/>
      <c r="L34" s="7"/>
      <c r="M34" s="7"/>
      <c r="N34" s="7"/>
      <c r="O34" s="7"/>
      <c r="P34" s="7"/>
      <c r="Q34" s="7"/>
      <c r="R34" s="7"/>
      <c r="S34" s="7"/>
      <c r="T34" s="7"/>
      <c r="U34" s="7"/>
      <c r="V34" s="7"/>
    </row>
    <row r="35" spans="1:22">
      <c r="A35" s="7"/>
      <c r="B35" s="7"/>
      <c r="C35" s="7"/>
      <c r="D35" s="7"/>
      <c r="E35" s="7"/>
      <c r="F35" s="7"/>
      <c r="G35" s="7"/>
      <c r="H35" s="7"/>
      <c r="I35" s="7"/>
      <c r="J35" s="7"/>
      <c r="K35" s="7"/>
      <c r="L35" s="7"/>
      <c r="M35" s="7"/>
      <c r="N35" s="7"/>
      <c r="O35" s="7"/>
      <c r="P35" s="7"/>
      <c r="Q35" s="7"/>
      <c r="R35" s="7"/>
      <c r="S35" s="7"/>
      <c r="T35" s="7"/>
      <c r="U35" s="7"/>
      <c r="V35" s="7"/>
    </row>
    <row r="36" spans="1:22">
      <c r="A36" s="7"/>
      <c r="B36" s="7"/>
      <c r="C36" s="7"/>
      <c r="D36" s="7"/>
      <c r="E36" s="7"/>
      <c r="F36" s="7"/>
      <c r="G36" s="7"/>
      <c r="H36" s="7"/>
      <c r="I36" s="7"/>
      <c r="J36" s="7"/>
      <c r="K36" s="7"/>
      <c r="L36" s="7"/>
      <c r="M36" s="7"/>
      <c r="N36" s="7"/>
      <c r="O36" s="7"/>
      <c r="P36" s="7"/>
      <c r="Q36" s="7"/>
      <c r="R36" s="7"/>
      <c r="S36" s="7"/>
      <c r="T36" s="7"/>
      <c r="U36" s="7"/>
      <c r="V36" s="7"/>
    </row>
    <row r="37" spans="1:22">
      <c r="A37" s="7"/>
      <c r="B37" s="7"/>
      <c r="C37" s="7"/>
      <c r="D37" s="7"/>
      <c r="E37" s="7"/>
      <c r="F37" s="7"/>
      <c r="G37" s="7"/>
      <c r="H37" s="7"/>
      <c r="I37" s="7"/>
      <c r="J37" s="7"/>
      <c r="K37" s="7"/>
      <c r="L37" s="7"/>
      <c r="M37" s="7"/>
      <c r="N37" s="7"/>
      <c r="O37" s="7"/>
      <c r="P37" s="7"/>
      <c r="Q37" s="7"/>
      <c r="R37" s="7"/>
      <c r="S37" s="7"/>
      <c r="T37" s="7"/>
      <c r="U37" s="7"/>
      <c r="V37" s="7"/>
    </row>
    <row r="38" spans="1:22">
      <c r="A38" s="7"/>
      <c r="B38" s="7"/>
      <c r="C38" s="7"/>
      <c r="D38" s="7"/>
      <c r="E38" s="7"/>
      <c r="F38" s="7"/>
      <c r="G38" s="7"/>
      <c r="H38" s="7"/>
      <c r="I38" s="7"/>
      <c r="J38" s="7"/>
      <c r="K38" s="7"/>
      <c r="L38" s="7"/>
      <c r="M38" s="7"/>
      <c r="N38" s="7"/>
      <c r="O38" s="7"/>
      <c r="P38" s="7"/>
      <c r="Q38" s="7"/>
      <c r="R38" s="7"/>
      <c r="S38" s="7"/>
      <c r="T38" s="7"/>
      <c r="U38" s="7"/>
      <c r="V38" s="7"/>
    </row>
    <row r="39" spans="1:22">
      <c r="A39" s="7"/>
      <c r="B39" s="7"/>
      <c r="C39" s="7"/>
      <c r="D39" s="7"/>
      <c r="E39" s="7"/>
      <c r="F39" s="7"/>
      <c r="G39" s="7"/>
      <c r="H39" s="7"/>
      <c r="I39" s="7"/>
      <c r="J39" s="7"/>
      <c r="K39" s="7"/>
      <c r="L39" s="7"/>
      <c r="M39" s="7"/>
      <c r="N39" s="7"/>
      <c r="O39" s="7"/>
      <c r="P39" s="7"/>
      <c r="Q39" s="7"/>
      <c r="R39" s="7"/>
      <c r="S39" s="7"/>
      <c r="T39" s="7"/>
      <c r="U39" s="7"/>
      <c r="V39" s="7"/>
    </row>
    <row r="40" spans="1:22">
      <c r="A40" s="7"/>
      <c r="B40" s="7"/>
      <c r="C40" s="7"/>
      <c r="D40" s="7"/>
      <c r="E40" s="7"/>
      <c r="F40" s="7"/>
      <c r="G40" s="7"/>
      <c r="H40" s="7"/>
      <c r="I40" s="7"/>
      <c r="J40" s="7"/>
      <c r="K40" s="7"/>
      <c r="L40" s="7"/>
      <c r="M40" s="7"/>
      <c r="N40" s="7"/>
      <c r="O40" s="7"/>
      <c r="P40" s="7"/>
      <c r="Q40" s="7"/>
      <c r="R40" s="7"/>
      <c r="S40" s="7"/>
      <c r="T40" s="7"/>
      <c r="U40" s="7"/>
      <c r="V40" s="7"/>
    </row>
    <row r="41" spans="1:22">
      <c r="A41" s="7"/>
      <c r="B41" s="7"/>
      <c r="C41" s="7"/>
      <c r="D41" s="7"/>
      <c r="E41" s="7"/>
      <c r="F41" s="7"/>
      <c r="G41" s="7"/>
      <c r="H41" s="7"/>
      <c r="I41" s="7"/>
      <c r="J41" s="7"/>
      <c r="K41" s="7"/>
      <c r="L41" s="7"/>
      <c r="M41" s="7"/>
      <c r="N41" s="7"/>
      <c r="O41" s="7"/>
      <c r="P41" s="7"/>
      <c r="Q41" s="7"/>
      <c r="R41" s="7"/>
      <c r="S41" s="7"/>
      <c r="T41" s="7"/>
      <c r="U41" s="7"/>
      <c r="V41" s="7"/>
    </row>
    <row r="42" spans="1:22">
      <c r="A42" s="7"/>
      <c r="B42" s="7"/>
      <c r="C42" s="7"/>
      <c r="D42" s="7"/>
      <c r="E42" s="7"/>
      <c r="F42" s="7"/>
      <c r="G42" s="7"/>
      <c r="H42" s="7"/>
      <c r="I42" s="7"/>
      <c r="J42" s="7"/>
      <c r="K42" s="7"/>
      <c r="L42" s="7"/>
      <c r="M42" s="7"/>
      <c r="N42" s="7"/>
      <c r="O42" s="7"/>
      <c r="P42" s="7"/>
      <c r="Q42" s="7"/>
      <c r="R42" s="7"/>
      <c r="S42" s="7"/>
      <c r="T42" s="7"/>
      <c r="U42" s="7"/>
      <c r="V42" s="7"/>
    </row>
    <row r="43" spans="1:22">
      <c r="A43" s="7"/>
      <c r="B43" s="7"/>
      <c r="C43" s="7"/>
      <c r="D43" s="7"/>
      <c r="E43" s="7"/>
      <c r="F43" s="7"/>
      <c r="G43" s="7"/>
      <c r="H43" s="7"/>
      <c r="I43" s="7"/>
      <c r="J43" s="7"/>
      <c r="K43" s="7"/>
      <c r="L43" s="7"/>
      <c r="M43" s="7"/>
      <c r="N43" s="7"/>
      <c r="O43" s="7"/>
      <c r="P43" s="7"/>
      <c r="Q43" s="7"/>
      <c r="R43" s="7"/>
      <c r="S43" s="7"/>
      <c r="T43" s="7"/>
      <c r="U43" s="7"/>
      <c r="V43" s="7"/>
    </row>
    <row r="44" spans="1:22">
      <c r="A44" s="7"/>
      <c r="B44" s="7"/>
      <c r="C44" s="7"/>
      <c r="D44" s="7"/>
      <c r="E44" s="7"/>
      <c r="F44" s="7"/>
      <c r="G44" s="7"/>
      <c r="H44" s="7"/>
      <c r="I44" s="7"/>
      <c r="J44" s="7"/>
      <c r="K44" s="7"/>
      <c r="L44" s="7"/>
      <c r="M44" s="7"/>
      <c r="N44" s="7"/>
      <c r="O44" s="7"/>
      <c r="P44" s="7"/>
      <c r="Q44" s="7"/>
      <c r="R44" s="7"/>
      <c r="S44" s="7"/>
      <c r="T44" s="7"/>
      <c r="U44" s="7"/>
      <c r="V44" s="7"/>
    </row>
    <row r="45" spans="1:22">
      <c r="A45" s="7"/>
      <c r="B45" s="7"/>
      <c r="C45" s="7"/>
      <c r="D45" s="7"/>
      <c r="E45" s="7"/>
      <c r="F45" s="7"/>
      <c r="G45" s="7"/>
      <c r="H45" s="7"/>
      <c r="I45" s="7"/>
      <c r="J45" s="7"/>
      <c r="K45" s="7"/>
      <c r="L45" s="7"/>
      <c r="M45" s="7"/>
      <c r="N45" s="7"/>
      <c r="O45" s="7"/>
      <c r="P45" s="7"/>
      <c r="Q45" s="7"/>
      <c r="R45" s="7"/>
      <c r="S45" s="7"/>
      <c r="T45" s="7"/>
      <c r="U45" s="7"/>
      <c r="V45" s="7"/>
    </row>
    <row r="46" spans="1:22">
      <c r="A46" s="7"/>
      <c r="B46" s="7"/>
      <c r="C46" s="7"/>
      <c r="D46" s="7"/>
      <c r="E46" s="7"/>
      <c r="F46" s="7"/>
      <c r="G46" s="7"/>
      <c r="H46" s="7"/>
      <c r="I46" s="7"/>
      <c r="J46" s="7"/>
      <c r="K46" s="7"/>
      <c r="L46" s="7"/>
      <c r="M46" s="7"/>
      <c r="N46" s="7"/>
      <c r="O46" s="7"/>
      <c r="P46" s="7"/>
      <c r="Q46" s="7"/>
      <c r="R46" s="7"/>
      <c r="S46" s="7"/>
      <c r="T46" s="7"/>
      <c r="U46" s="7"/>
      <c r="V46" s="7"/>
    </row>
    <row r="47" spans="1:22">
      <c r="A47" s="7"/>
      <c r="B47" s="7"/>
      <c r="C47" s="7"/>
      <c r="D47" s="7"/>
      <c r="E47" s="7"/>
      <c r="F47" s="7"/>
      <c r="G47" s="7"/>
      <c r="H47" s="7"/>
      <c r="I47" s="7"/>
      <c r="J47" s="7"/>
      <c r="K47" s="7"/>
      <c r="L47" s="7"/>
      <c r="M47" s="7"/>
      <c r="N47" s="7"/>
      <c r="O47" s="7"/>
      <c r="P47" s="7"/>
      <c r="Q47" s="7"/>
      <c r="R47" s="7"/>
      <c r="S47" s="7"/>
      <c r="T47" s="7"/>
      <c r="U47" s="7"/>
      <c r="V47" s="7"/>
    </row>
    <row r="48" spans="1:22">
      <c r="A48" s="7"/>
      <c r="B48" s="7"/>
      <c r="C48" s="7"/>
      <c r="D48" s="7"/>
      <c r="E48" s="7"/>
      <c r="F48" s="7"/>
      <c r="G48" s="7"/>
      <c r="H48" s="7"/>
      <c r="I48" s="7"/>
      <c r="J48" s="7"/>
      <c r="K48" s="7"/>
      <c r="L48" s="7"/>
      <c r="M48" s="7"/>
      <c r="N48" s="7"/>
      <c r="O48" s="7"/>
      <c r="P48" s="7"/>
      <c r="Q48" s="7"/>
      <c r="R48" s="7"/>
      <c r="S48" s="7"/>
      <c r="T48" s="7"/>
      <c r="U48" s="7"/>
      <c r="V48" s="7"/>
    </row>
    <row r="49" spans="1:22">
      <c r="A49" s="7"/>
      <c r="B49" s="7"/>
      <c r="C49" s="7"/>
      <c r="D49" s="7"/>
      <c r="E49" s="7"/>
      <c r="F49" s="7"/>
      <c r="G49" s="7"/>
      <c r="H49" s="7"/>
      <c r="I49" s="7"/>
      <c r="J49" s="7"/>
      <c r="K49" s="7"/>
      <c r="L49" s="7"/>
      <c r="M49" s="7"/>
      <c r="N49" s="7"/>
      <c r="O49" s="7"/>
      <c r="P49" s="7"/>
      <c r="Q49" s="7"/>
      <c r="R49" s="7"/>
      <c r="S49" s="7"/>
      <c r="T49" s="7"/>
      <c r="U49" s="7"/>
      <c r="V49" s="7"/>
    </row>
    <row r="50" spans="1:22">
      <c r="A50" s="7"/>
      <c r="B50" s="7"/>
      <c r="C50" s="7"/>
      <c r="D50" s="7"/>
      <c r="E50" s="7"/>
      <c r="F50" s="7"/>
      <c r="G50" s="7"/>
      <c r="H50" s="7"/>
      <c r="I50" s="7"/>
      <c r="J50" s="7"/>
      <c r="K50" s="7"/>
      <c r="L50" s="7"/>
      <c r="M50" s="7"/>
      <c r="N50" s="7"/>
      <c r="O50" s="7"/>
      <c r="P50" s="7"/>
      <c r="Q50" s="7"/>
      <c r="R50" s="7"/>
      <c r="S50" s="7"/>
      <c r="T50" s="7"/>
      <c r="U50" s="7"/>
      <c r="V50" s="7"/>
    </row>
    <row r="51" spans="1:22">
      <c r="A51" s="7"/>
      <c r="B51" s="7"/>
      <c r="C51" s="7"/>
      <c r="D51" s="7"/>
      <c r="E51" s="7"/>
      <c r="F51" s="7"/>
      <c r="G51" s="7"/>
      <c r="H51" s="7"/>
      <c r="I51" s="7"/>
      <c r="J51" s="7"/>
      <c r="K51" s="7"/>
      <c r="L51" s="7"/>
      <c r="M51" s="7"/>
      <c r="N51" s="7"/>
      <c r="O51" s="7"/>
      <c r="P51" s="7"/>
      <c r="Q51" s="7"/>
      <c r="R51" s="7"/>
      <c r="S51" s="7"/>
      <c r="T51" s="7"/>
      <c r="U51" s="7"/>
      <c r="V51" s="7"/>
    </row>
    <row r="52" spans="1:22">
      <c r="A52" s="7"/>
      <c r="B52" s="7"/>
      <c r="C52" s="7"/>
      <c r="D52" s="7"/>
      <c r="E52" s="7"/>
      <c r="F52" s="7"/>
      <c r="G52" s="7"/>
      <c r="H52" s="7"/>
      <c r="I52" s="7"/>
      <c r="J52" s="7"/>
      <c r="K52" s="7"/>
      <c r="L52" s="7"/>
      <c r="M52" s="7"/>
      <c r="N52" s="7"/>
      <c r="O52" s="7"/>
      <c r="P52" s="7"/>
      <c r="Q52" s="7"/>
      <c r="R52" s="7"/>
      <c r="S52" s="7"/>
      <c r="T52" s="7"/>
      <c r="U52" s="7"/>
      <c r="V52" s="7"/>
    </row>
    <row r="53" spans="1:22">
      <c r="A53" s="7"/>
      <c r="B53" s="7"/>
      <c r="C53" s="7"/>
      <c r="D53" s="7"/>
      <c r="E53" s="7"/>
      <c r="F53" s="7"/>
      <c r="G53" s="7"/>
      <c r="H53" s="7"/>
      <c r="I53" s="7"/>
      <c r="J53" s="7"/>
      <c r="K53" s="7"/>
      <c r="L53" s="7"/>
      <c r="M53" s="7"/>
      <c r="N53" s="7"/>
      <c r="O53" s="7"/>
      <c r="P53" s="7"/>
      <c r="Q53" s="7"/>
      <c r="R53" s="7"/>
      <c r="S53" s="7"/>
      <c r="T53" s="7"/>
      <c r="U53" s="7"/>
      <c r="V53" s="7"/>
    </row>
    <row r="54" spans="1:22">
      <c r="A54" s="7"/>
      <c r="B54" s="7"/>
      <c r="C54" s="7"/>
      <c r="D54" s="7"/>
      <c r="E54" s="7"/>
      <c r="F54" s="7"/>
      <c r="G54" s="7"/>
      <c r="H54" s="7"/>
      <c r="I54" s="7"/>
      <c r="J54" s="7"/>
      <c r="K54" s="7"/>
      <c r="L54" s="7"/>
      <c r="M54" s="7"/>
      <c r="N54" s="7"/>
      <c r="O54" s="7"/>
      <c r="P54" s="7"/>
      <c r="Q54" s="7"/>
      <c r="R54" s="7"/>
      <c r="S54" s="7"/>
      <c r="T54" s="7"/>
      <c r="U54" s="7"/>
      <c r="V54" s="7"/>
    </row>
    <row r="55" spans="1:22">
      <c r="A55" s="7"/>
      <c r="B55" s="7"/>
      <c r="C55" s="7"/>
      <c r="D55" s="7"/>
      <c r="E55" s="7"/>
      <c r="F55" s="7"/>
      <c r="G55" s="7"/>
      <c r="H55" s="7"/>
      <c r="I55" s="7"/>
      <c r="J55" s="7"/>
      <c r="K55" s="7"/>
      <c r="L55" s="7"/>
      <c r="M55" s="7"/>
      <c r="N55" s="7"/>
      <c r="O55" s="7"/>
      <c r="P55" s="7"/>
      <c r="Q55" s="7"/>
      <c r="R55" s="7"/>
      <c r="S55" s="7"/>
      <c r="T55" s="7"/>
      <c r="U55" s="7"/>
      <c r="V55" s="7"/>
    </row>
    <row r="56" spans="1:22">
      <c r="A56" s="7"/>
      <c r="B56" s="7"/>
      <c r="C56" s="7"/>
      <c r="D56" s="7"/>
      <c r="E56" s="7"/>
      <c r="F56" s="7"/>
      <c r="G56" s="7"/>
      <c r="H56" s="7"/>
      <c r="I56" s="7"/>
      <c r="J56" s="7"/>
      <c r="K56" s="7"/>
      <c r="L56" s="7"/>
      <c r="M56" s="7"/>
      <c r="N56" s="7"/>
      <c r="O56" s="7"/>
      <c r="P56" s="7"/>
      <c r="Q56" s="7"/>
      <c r="R56" s="7"/>
      <c r="S56" s="7"/>
      <c r="T56" s="7"/>
      <c r="U56" s="7"/>
      <c r="V56" s="7"/>
    </row>
    <row r="57" spans="1:22">
      <c r="A57" s="7"/>
      <c r="B57" s="7"/>
      <c r="C57" s="7"/>
      <c r="D57" s="7"/>
      <c r="E57" s="7"/>
      <c r="F57" s="7"/>
      <c r="G57" s="7"/>
      <c r="H57" s="7"/>
      <c r="I57" s="7"/>
      <c r="J57" s="7"/>
      <c r="K57" s="7"/>
      <c r="L57" s="7"/>
      <c r="M57" s="7"/>
      <c r="N57" s="7"/>
      <c r="O57" s="7"/>
      <c r="P57" s="7"/>
      <c r="Q57" s="7"/>
      <c r="R57" s="7"/>
      <c r="S57" s="7"/>
      <c r="T57" s="7"/>
      <c r="U57" s="7"/>
      <c r="V57" s="7"/>
    </row>
    <row r="58" spans="1:22">
      <c r="A58" s="7"/>
      <c r="B58" s="7"/>
      <c r="C58" s="7"/>
      <c r="D58" s="7"/>
      <c r="E58" s="7"/>
      <c r="F58" s="7"/>
      <c r="G58" s="7"/>
      <c r="H58" s="7"/>
      <c r="I58" s="7"/>
      <c r="J58" s="7"/>
      <c r="K58" s="7"/>
      <c r="L58" s="7"/>
      <c r="M58" s="7"/>
      <c r="N58" s="7"/>
      <c r="O58" s="7"/>
      <c r="P58" s="7"/>
      <c r="Q58" s="7"/>
      <c r="R58" s="7"/>
      <c r="S58" s="7"/>
      <c r="T58" s="7"/>
      <c r="U58" s="7"/>
      <c r="V58" s="7"/>
    </row>
    <row r="59" spans="1:22">
      <c r="A59" s="7"/>
      <c r="B59" s="7"/>
      <c r="C59" s="7"/>
      <c r="D59" s="7"/>
      <c r="E59" s="7"/>
      <c r="F59" s="7"/>
      <c r="G59" s="7"/>
      <c r="H59" s="7"/>
      <c r="I59" s="7"/>
      <c r="J59" s="7"/>
      <c r="K59" s="7"/>
      <c r="L59" s="7"/>
      <c r="M59" s="7"/>
      <c r="N59" s="7"/>
      <c r="O59" s="7"/>
      <c r="P59" s="7"/>
      <c r="Q59" s="7"/>
      <c r="R59" s="7"/>
      <c r="S59" s="7"/>
      <c r="T59" s="7"/>
      <c r="U59" s="7"/>
      <c r="V59" s="7"/>
    </row>
    <row r="60" spans="1:22">
      <c r="A60" s="7"/>
      <c r="B60" s="7"/>
      <c r="C60" s="7"/>
      <c r="D60" s="7"/>
      <c r="E60" s="7"/>
      <c r="F60" s="7"/>
      <c r="G60" s="7"/>
      <c r="H60" s="7"/>
      <c r="I60" s="7"/>
      <c r="J60" s="7"/>
      <c r="K60" s="7"/>
      <c r="L60" s="7"/>
      <c r="M60" s="7"/>
      <c r="N60" s="7"/>
      <c r="O60" s="7"/>
      <c r="P60" s="7"/>
      <c r="Q60" s="7"/>
      <c r="R60" s="7"/>
      <c r="S60" s="7"/>
      <c r="T60" s="7"/>
      <c r="U60" s="7"/>
      <c r="V60" s="7"/>
    </row>
    <row r="61" spans="1:22">
      <c r="A61" s="7"/>
      <c r="B61" s="7"/>
      <c r="C61" s="7"/>
      <c r="D61" s="7"/>
      <c r="E61" s="7"/>
      <c r="F61" s="7"/>
      <c r="G61" s="7"/>
      <c r="H61" s="7"/>
      <c r="I61" s="7"/>
      <c r="J61" s="7"/>
      <c r="K61" s="7"/>
      <c r="L61" s="7"/>
      <c r="M61" s="7"/>
      <c r="N61" s="7"/>
      <c r="O61" s="7"/>
      <c r="P61" s="7"/>
      <c r="Q61" s="7"/>
      <c r="R61" s="7"/>
      <c r="S61" s="7"/>
      <c r="T61" s="7"/>
      <c r="U61" s="7"/>
      <c r="V61" s="7"/>
    </row>
    <row r="62" spans="1:22">
      <c r="A62" s="7"/>
      <c r="B62" s="7"/>
      <c r="C62" s="7"/>
      <c r="D62" s="7"/>
      <c r="E62" s="7"/>
      <c r="F62" s="7"/>
      <c r="G62" s="7"/>
      <c r="H62" s="7"/>
      <c r="I62" s="7"/>
      <c r="J62" s="7"/>
      <c r="K62" s="7"/>
      <c r="L62" s="7"/>
      <c r="M62" s="7"/>
      <c r="N62" s="7"/>
      <c r="O62" s="7"/>
      <c r="P62" s="7"/>
      <c r="Q62" s="7"/>
      <c r="R62" s="7"/>
      <c r="S62" s="7"/>
      <c r="T62" s="7"/>
      <c r="U62" s="7"/>
      <c r="V62" s="7"/>
    </row>
    <row r="63" spans="1:22">
      <c r="A63" s="7"/>
      <c r="B63" s="7"/>
      <c r="C63" s="7"/>
      <c r="D63" s="7"/>
      <c r="E63" s="7"/>
      <c r="F63" s="7"/>
      <c r="G63" s="7"/>
      <c r="H63" s="7"/>
      <c r="I63" s="7"/>
      <c r="J63" s="7"/>
      <c r="K63" s="7"/>
      <c r="L63" s="7"/>
      <c r="M63" s="7"/>
      <c r="N63" s="7"/>
      <c r="O63" s="7"/>
      <c r="P63" s="7"/>
      <c r="Q63" s="7"/>
      <c r="R63" s="7"/>
      <c r="S63" s="7"/>
      <c r="T63" s="7"/>
      <c r="U63" s="7"/>
      <c r="V63" s="7"/>
    </row>
    <row r="64" spans="1:22">
      <c r="A64" s="7"/>
      <c r="B64" s="7"/>
      <c r="C64" s="7"/>
      <c r="D64" s="7"/>
      <c r="E64" s="7"/>
      <c r="F64" s="7"/>
      <c r="G64" s="7"/>
      <c r="H64" s="7"/>
      <c r="I64" s="7"/>
      <c r="J64" s="7"/>
      <c r="K64" s="7"/>
      <c r="L64" s="7"/>
      <c r="M64" s="7"/>
      <c r="N64" s="7"/>
      <c r="O64" s="7"/>
      <c r="P64" s="7"/>
      <c r="Q64" s="7"/>
      <c r="R64" s="7"/>
      <c r="S64" s="7"/>
      <c r="T64" s="7"/>
      <c r="U64" s="7"/>
      <c r="V64" s="7"/>
    </row>
    <row r="65" spans="1:22">
      <c r="A65" s="7"/>
      <c r="B65" s="7"/>
      <c r="C65" s="7"/>
      <c r="D65" s="7"/>
      <c r="E65" s="7"/>
      <c r="F65" s="7"/>
      <c r="G65" s="7"/>
      <c r="H65" s="7"/>
      <c r="I65" s="7"/>
      <c r="J65" s="7"/>
      <c r="K65" s="7"/>
      <c r="L65" s="7"/>
      <c r="M65" s="7"/>
      <c r="N65" s="7"/>
      <c r="O65" s="7"/>
      <c r="P65" s="7"/>
      <c r="Q65" s="7"/>
      <c r="R65" s="7"/>
      <c r="S65" s="7"/>
      <c r="T65" s="7"/>
      <c r="U65" s="7"/>
      <c r="V65" s="7"/>
    </row>
    <row r="66" spans="1:22">
      <c r="A66" s="7"/>
      <c r="B66" s="7"/>
      <c r="C66" s="7"/>
      <c r="D66" s="7"/>
      <c r="E66" s="7"/>
      <c r="F66" s="7"/>
      <c r="G66" s="7"/>
      <c r="H66" s="7"/>
      <c r="I66" s="7"/>
      <c r="J66" s="7"/>
      <c r="K66" s="7"/>
      <c r="L66" s="7"/>
      <c r="M66" s="7"/>
      <c r="N66" s="7"/>
      <c r="O66" s="7"/>
      <c r="P66" s="7"/>
      <c r="Q66" s="7"/>
      <c r="R66" s="7"/>
      <c r="S66" s="7"/>
      <c r="T66" s="7"/>
      <c r="U66" s="7"/>
      <c r="V66" s="7"/>
    </row>
    <row r="67" spans="1:22">
      <c r="A67" s="7"/>
      <c r="B67" s="7"/>
      <c r="C67" s="7"/>
      <c r="D67" s="7"/>
      <c r="E67" s="7"/>
      <c r="F67" s="7"/>
      <c r="G67" s="7"/>
      <c r="H67" s="7"/>
      <c r="I67" s="7"/>
      <c r="J67" s="7"/>
      <c r="K67" s="7"/>
      <c r="L67" s="7"/>
      <c r="M67" s="7"/>
      <c r="N67" s="7"/>
      <c r="O67" s="7"/>
      <c r="P67" s="7"/>
      <c r="Q67" s="7"/>
      <c r="R67" s="7"/>
      <c r="S67" s="7"/>
      <c r="T67" s="7"/>
      <c r="U67" s="7"/>
      <c r="V67" s="7"/>
    </row>
    <row r="68" spans="1:22">
      <c r="A68" s="7"/>
      <c r="B68" s="7"/>
      <c r="C68" s="7"/>
      <c r="D68" s="7"/>
      <c r="E68" s="7"/>
      <c r="F68" s="7"/>
      <c r="G68" s="7"/>
      <c r="H68" s="7"/>
      <c r="I68" s="7"/>
      <c r="J68" s="7"/>
      <c r="K68" s="7"/>
      <c r="L68" s="7"/>
      <c r="M68" s="7"/>
      <c r="N68" s="7"/>
      <c r="O68" s="7"/>
      <c r="P68" s="7"/>
      <c r="Q68" s="7"/>
      <c r="R68" s="7"/>
      <c r="S68" s="7"/>
      <c r="T68" s="7"/>
      <c r="U68" s="7"/>
      <c r="V68" s="7"/>
    </row>
    <row r="69" spans="1:22">
      <c r="A69" s="7"/>
      <c r="B69" s="7"/>
      <c r="C69" s="7"/>
      <c r="D69" s="7"/>
      <c r="E69" s="7"/>
      <c r="F69" s="7"/>
      <c r="G69" s="7"/>
      <c r="H69" s="7"/>
      <c r="I69" s="7"/>
      <c r="J69" s="7"/>
      <c r="K69" s="7"/>
      <c r="L69" s="7"/>
      <c r="M69" s="7"/>
      <c r="N69" s="7"/>
      <c r="O69" s="7"/>
      <c r="P69" s="7"/>
      <c r="Q69" s="7"/>
      <c r="R69" s="7"/>
      <c r="S69" s="7"/>
      <c r="T69" s="7"/>
      <c r="U69" s="7"/>
      <c r="V69" s="7"/>
    </row>
    <row r="70" spans="1:22">
      <c r="A70" s="7"/>
      <c r="B70" s="7"/>
      <c r="C70" s="7"/>
      <c r="D70" s="7"/>
      <c r="E70" s="7"/>
      <c r="F70" s="7"/>
      <c r="G70" s="7"/>
      <c r="H70" s="7"/>
      <c r="I70" s="7"/>
      <c r="J70" s="7"/>
      <c r="K70" s="7"/>
      <c r="L70" s="7"/>
      <c r="M70" s="7"/>
      <c r="N70" s="7"/>
      <c r="O70" s="7"/>
      <c r="P70" s="7"/>
      <c r="Q70" s="7"/>
      <c r="R70" s="7"/>
      <c r="S70" s="7"/>
      <c r="T70" s="7"/>
      <c r="U70" s="7"/>
      <c r="V70" s="7"/>
    </row>
    <row r="71" spans="1:22">
      <c r="A71" s="7"/>
      <c r="B71" s="7"/>
      <c r="C71" s="7"/>
      <c r="D71" s="7"/>
      <c r="E71" s="7"/>
      <c r="F71" s="7"/>
      <c r="G71" s="7"/>
      <c r="H71" s="7"/>
      <c r="I71" s="7"/>
      <c r="J71" s="7"/>
      <c r="K71" s="7"/>
      <c r="L71" s="7"/>
      <c r="M71" s="7"/>
      <c r="N71" s="7"/>
      <c r="O71" s="7"/>
      <c r="P71" s="7"/>
      <c r="Q71" s="7"/>
      <c r="R71" s="7"/>
      <c r="S71" s="7"/>
      <c r="T71" s="7"/>
      <c r="U71" s="7"/>
      <c r="V71" s="7"/>
    </row>
    <row r="72" spans="1:22">
      <c r="A72" s="7"/>
      <c r="B72" s="7"/>
      <c r="C72" s="7"/>
      <c r="D72" s="7"/>
      <c r="E72" s="7"/>
      <c r="F72" s="7"/>
      <c r="G72" s="7"/>
      <c r="H72" s="7"/>
      <c r="I72" s="7"/>
      <c r="J72" s="7"/>
      <c r="K72" s="7"/>
      <c r="L72" s="7"/>
      <c r="M72" s="7"/>
      <c r="N72" s="7"/>
      <c r="O72" s="7"/>
      <c r="P72" s="7"/>
      <c r="Q72" s="7"/>
      <c r="R72" s="7"/>
      <c r="S72" s="7"/>
      <c r="T72" s="7"/>
      <c r="U72" s="7"/>
      <c r="V72" s="7"/>
    </row>
    <row r="73" spans="1:22">
      <c r="A73" s="7"/>
      <c r="B73" s="7"/>
      <c r="C73" s="7"/>
      <c r="D73" s="7"/>
      <c r="E73" s="7"/>
      <c r="F73" s="7"/>
      <c r="G73" s="7"/>
      <c r="H73" s="7"/>
      <c r="I73" s="7"/>
      <c r="J73" s="7"/>
      <c r="K73" s="7"/>
      <c r="L73" s="7"/>
      <c r="M73" s="7"/>
      <c r="N73" s="7"/>
      <c r="O73" s="7"/>
      <c r="P73" s="7"/>
      <c r="Q73" s="7"/>
      <c r="R73" s="7"/>
      <c r="S73" s="7"/>
      <c r="T73" s="7"/>
      <c r="U73" s="7"/>
      <c r="V73" s="7"/>
    </row>
    <row r="74" spans="1:22">
      <c r="A74" s="7"/>
      <c r="B74" s="7"/>
      <c r="C74" s="7"/>
      <c r="D74" s="7"/>
      <c r="E74" s="7"/>
      <c r="F74" s="7"/>
      <c r="G74" s="7"/>
      <c r="H74" s="7"/>
      <c r="I74" s="7"/>
      <c r="J74" s="7"/>
      <c r="K74" s="7"/>
      <c r="L74" s="7"/>
      <c r="M74" s="7"/>
      <c r="N74" s="7"/>
      <c r="O74" s="7"/>
      <c r="P74" s="7"/>
      <c r="Q74" s="7"/>
      <c r="R74" s="7"/>
      <c r="S74" s="7"/>
      <c r="T74" s="7"/>
      <c r="U74" s="7"/>
      <c r="V74" s="7"/>
    </row>
    <row r="75" spans="1:22">
      <c r="A75" s="7"/>
      <c r="B75" s="7"/>
      <c r="C75" s="7"/>
      <c r="D75" s="7"/>
      <c r="E75" s="7"/>
      <c r="F75" s="7"/>
      <c r="G75" s="7"/>
      <c r="H75" s="7"/>
      <c r="I75" s="7"/>
      <c r="J75" s="7"/>
      <c r="K75" s="7"/>
      <c r="L75" s="7"/>
      <c r="M75" s="7"/>
      <c r="N75" s="7"/>
      <c r="O75" s="7"/>
      <c r="P75" s="7"/>
      <c r="Q75" s="7"/>
      <c r="R75" s="7"/>
      <c r="S75" s="7"/>
      <c r="T75" s="7"/>
      <c r="U75" s="7"/>
      <c r="V75" s="7"/>
    </row>
    <row r="76" spans="1:22">
      <c r="A76" s="7"/>
      <c r="B76" s="7"/>
      <c r="C76" s="7"/>
      <c r="D76" s="7"/>
      <c r="E76" s="7"/>
      <c r="F76" s="7"/>
      <c r="G76" s="7"/>
      <c r="H76" s="7"/>
      <c r="I76" s="7"/>
      <c r="J76" s="7"/>
      <c r="K76" s="7"/>
      <c r="L76" s="7"/>
      <c r="M76" s="7"/>
      <c r="N76" s="7"/>
      <c r="O76" s="7"/>
      <c r="P76" s="7"/>
      <c r="Q76" s="7"/>
      <c r="R76" s="7"/>
      <c r="S76" s="7"/>
      <c r="T76" s="7"/>
      <c r="U76" s="7"/>
      <c r="V76" s="7"/>
    </row>
    <row r="77" spans="1:22">
      <c r="A77" s="7"/>
      <c r="B77" s="7"/>
      <c r="C77" s="7"/>
      <c r="D77" s="7"/>
      <c r="E77" s="7"/>
      <c r="F77" s="7"/>
      <c r="G77" s="7"/>
      <c r="H77" s="7"/>
      <c r="I77" s="7"/>
      <c r="J77" s="7"/>
      <c r="K77" s="7"/>
      <c r="L77" s="7"/>
      <c r="M77" s="7"/>
      <c r="N77" s="7"/>
      <c r="O77" s="7"/>
      <c r="P77" s="7"/>
      <c r="Q77" s="7"/>
      <c r="R77" s="7"/>
      <c r="S77" s="7"/>
      <c r="T77" s="7"/>
      <c r="U77" s="7"/>
      <c r="V77" s="7"/>
    </row>
    <row r="78" spans="1:22">
      <c r="A78" s="7"/>
      <c r="B78" s="7"/>
      <c r="C78" s="7"/>
      <c r="D78" s="7"/>
      <c r="E78" s="7"/>
      <c r="F78" s="7"/>
      <c r="G78" s="7"/>
      <c r="H78" s="7"/>
      <c r="I78" s="7"/>
      <c r="J78" s="7"/>
      <c r="K78" s="7"/>
      <c r="L78" s="7"/>
      <c r="M78" s="7"/>
      <c r="N78" s="7"/>
      <c r="O78" s="7"/>
      <c r="P78" s="7"/>
      <c r="Q78" s="7"/>
      <c r="R78" s="7"/>
      <c r="S78" s="7"/>
      <c r="T78" s="7"/>
      <c r="U78" s="7"/>
      <c r="V78"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626A9-23F7-41CD-AB01-64B06BF19F4E}">
  <sheetPr>
    <tabColor rgb="FF64748B"/>
  </sheetPr>
  <dimension ref="A1:Z3164"/>
  <sheetViews>
    <sheetView topLeftCell="A2" workbookViewId="0">
      <selection activeCell="A2" sqref="A2:Z3164"/>
    </sheetView>
  </sheetViews>
  <sheetFormatPr defaultRowHeight="13.8"/>
  <cols>
    <col min="1" max="1" width="12" bestFit="1" customWidth="1"/>
    <col min="2" max="2" width="15.5" bestFit="1" customWidth="1"/>
    <col min="3" max="3" width="11.09765625" bestFit="1" customWidth="1"/>
    <col min="4" max="4" width="14" bestFit="1" customWidth="1"/>
    <col min="5" max="5" width="14.09765625" bestFit="1" customWidth="1"/>
    <col min="6" max="6" width="11.5" bestFit="1" customWidth="1"/>
    <col min="7" max="7" width="29.3984375" bestFit="1" customWidth="1"/>
    <col min="8" max="8" width="12.69921875" bestFit="1" customWidth="1"/>
    <col min="9" max="9" width="8.59765625" bestFit="1" customWidth="1"/>
    <col min="10" max="10" width="9.59765625" bestFit="1" customWidth="1"/>
    <col min="11" max="11" width="13.69921875" bestFit="1" customWidth="1"/>
    <col min="12" max="12" width="13.796875" bestFit="1" customWidth="1"/>
    <col min="13" max="13" width="16.19921875" bestFit="1" customWidth="1"/>
    <col min="14" max="14" width="18.59765625" bestFit="1" customWidth="1"/>
    <col min="15" max="15" width="17.296875" bestFit="1" customWidth="1"/>
    <col min="16" max="16" width="19.3984375" bestFit="1" customWidth="1"/>
    <col min="17" max="17" width="17.19921875" bestFit="1" customWidth="1"/>
    <col min="18" max="18" width="11.796875" bestFit="1" customWidth="1"/>
    <col min="19" max="19" width="37.19921875" bestFit="1" customWidth="1"/>
    <col min="20" max="20" width="17.69921875" bestFit="1" customWidth="1"/>
    <col min="21" max="21" width="19.5" bestFit="1" customWidth="1"/>
    <col min="22" max="22" width="18.09765625" bestFit="1" customWidth="1"/>
    <col min="23" max="23" width="19.296875" bestFit="1" customWidth="1"/>
    <col min="24" max="24" width="15.69921875" bestFit="1" customWidth="1"/>
    <col min="25" max="26" width="16.59765625" bestFit="1" customWidth="1"/>
  </cols>
  <sheetData>
    <row r="1" spans="1:26" ht="17.39999999999999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c r="A2" t="s">
        <v>26</v>
      </c>
      <c r="B2" t="s">
        <v>27</v>
      </c>
      <c r="C2" t="s">
        <v>28</v>
      </c>
      <c r="D2" t="s">
        <v>29</v>
      </c>
      <c r="E2" s="1">
        <v>43101</v>
      </c>
      <c r="F2" t="s">
        <v>30</v>
      </c>
      <c r="G2" t="s">
        <v>31</v>
      </c>
      <c r="H2" t="s">
        <v>32</v>
      </c>
      <c r="I2">
        <v>9</v>
      </c>
      <c r="J2" t="s">
        <v>33</v>
      </c>
      <c r="K2">
        <v>1</v>
      </c>
      <c r="L2" s="3">
        <v>8599</v>
      </c>
      <c r="M2">
        <v>20</v>
      </c>
      <c r="N2" s="3">
        <v>6880</v>
      </c>
      <c r="O2" s="3">
        <v>6880</v>
      </c>
      <c r="P2" t="s">
        <v>34</v>
      </c>
      <c r="Q2" t="s">
        <v>35</v>
      </c>
      <c r="R2" t="s">
        <v>36</v>
      </c>
      <c r="S2" t="s">
        <v>37</v>
      </c>
      <c r="T2" t="s">
        <v>38</v>
      </c>
      <c r="U2" t="s">
        <v>39</v>
      </c>
      <c r="V2" t="s">
        <v>40</v>
      </c>
      <c r="W2">
        <v>3.2</v>
      </c>
      <c r="X2" t="s">
        <v>41</v>
      </c>
      <c r="Y2" t="s">
        <v>42</v>
      </c>
      <c r="Z2">
        <v>2</v>
      </c>
    </row>
    <row r="3" spans="1:26">
      <c r="A3" t="s">
        <v>43</v>
      </c>
      <c r="B3" t="s">
        <v>44</v>
      </c>
      <c r="C3" t="s">
        <v>45</v>
      </c>
      <c r="D3" t="s">
        <v>46</v>
      </c>
      <c r="E3" s="1">
        <v>43106</v>
      </c>
      <c r="F3" t="s">
        <v>47</v>
      </c>
      <c r="G3" t="s">
        <v>48</v>
      </c>
      <c r="H3" t="s">
        <v>49</v>
      </c>
      <c r="I3">
        <v>10</v>
      </c>
      <c r="J3" t="s">
        <v>33</v>
      </c>
      <c r="K3">
        <v>1</v>
      </c>
      <c r="L3" s="3">
        <v>7199</v>
      </c>
      <c r="M3">
        <v>15</v>
      </c>
      <c r="N3" s="3">
        <v>6120</v>
      </c>
      <c r="O3" s="3">
        <v>6120</v>
      </c>
      <c r="P3" t="s">
        <v>50</v>
      </c>
      <c r="Q3" t="s">
        <v>51</v>
      </c>
      <c r="R3" t="s">
        <v>36</v>
      </c>
      <c r="S3" t="s">
        <v>52</v>
      </c>
      <c r="T3" t="s">
        <v>53</v>
      </c>
      <c r="U3" t="s">
        <v>54</v>
      </c>
      <c r="V3" t="s">
        <v>40</v>
      </c>
      <c r="W3">
        <v>3.9</v>
      </c>
      <c r="X3" t="s">
        <v>41</v>
      </c>
      <c r="Y3" t="s">
        <v>55</v>
      </c>
      <c r="Z3">
        <v>2</v>
      </c>
    </row>
    <row r="4" spans="1:26">
      <c r="A4" t="s">
        <v>56</v>
      </c>
      <c r="B4" t="s">
        <v>57</v>
      </c>
      <c r="C4" t="s">
        <v>28</v>
      </c>
      <c r="D4" t="s">
        <v>46</v>
      </c>
      <c r="E4" s="1">
        <v>43109</v>
      </c>
      <c r="F4" t="s">
        <v>30</v>
      </c>
      <c r="G4" t="s">
        <v>58</v>
      </c>
      <c r="H4" t="s">
        <v>59</v>
      </c>
      <c r="I4">
        <v>8</v>
      </c>
      <c r="J4" t="s">
        <v>33</v>
      </c>
      <c r="K4">
        <v>1</v>
      </c>
      <c r="L4" s="3">
        <v>7299</v>
      </c>
      <c r="M4">
        <v>10</v>
      </c>
      <c r="N4" s="3">
        <v>6570</v>
      </c>
      <c r="O4" s="3">
        <v>6570</v>
      </c>
      <c r="P4" t="s">
        <v>34</v>
      </c>
      <c r="Q4" t="s">
        <v>51</v>
      </c>
      <c r="R4" t="s">
        <v>36</v>
      </c>
      <c r="S4" t="s">
        <v>52</v>
      </c>
      <c r="T4" t="s">
        <v>60</v>
      </c>
      <c r="U4" t="s">
        <v>61</v>
      </c>
      <c r="V4" t="s">
        <v>40</v>
      </c>
      <c r="W4">
        <v>3.8</v>
      </c>
      <c r="X4" t="s">
        <v>62</v>
      </c>
      <c r="Y4" t="s">
        <v>42</v>
      </c>
      <c r="Z4">
        <v>1</v>
      </c>
    </row>
    <row r="5" spans="1:26">
      <c r="A5" t="s">
        <v>63</v>
      </c>
      <c r="B5" t="s">
        <v>64</v>
      </c>
      <c r="C5" t="s">
        <v>28</v>
      </c>
      <c r="D5" t="s">
        <v>46</v>
      </c>
      <c r="E5" s="1">
        <v>43110</v>
      </c>
      <c r="F5" t="s">
        <v>65</v>
      </c>
      <c r="G5" t="s">
        <v>66</v>
      </c>
      <c r="H5" t="s">
        <v>59</v>
      </c>
      <c r="I5">
        <v>11</v>
      </c>
      <c r="J5" t="s">
        <v>67</v>
      </c>
      <c r="K5">
        <v>1</v>
      </c>
      <c r="L5" s="3">
        <v>5399</v>
      </c>
      <c r="M5">
        <v>10</v>
      </c>
      <c r="N5" s="3">
        <v>4860</v>
      </c>
      <c r="O5" s="3">
        <v>4860</v>
      </c>
      <c r="P5" t="s">
        <v>50</v>
      </c>
      <c r="Q5" t="s">
        <v>51</v>
      </c>
      <c r="R5" t="s">
        <v>36</v>
      </c>
      <c r="S5" t="s">
        <v>68</v>
      </c>
      <c r="T5" t="s">
        <v>69</v>
      </c>
      <c r="U5" t="s">
        <v>61</v>
      </c>
      <c r="V5" t="s">
        <v>40</v>
      </c>
      <c r="W5">
        <v>4.2</v>
      </c>
      <c r="X5" t="s">
        <v>41</v>
      </c>
      <c r="Y5" t="s">
        <v>42</v>
      </c>
      <c r="Z5">
        <v>3</v>
      </c>
    </row>
    <row r="6" spans="1:26">
      <c r="A6" t="s">
        <v>70</v>
      </c>
      <c r="B6" t="s">
        <v>71</v>
      </c>
      <c r="C6" t="s">
        <v>45</v>
      </c>
      <c r="D6" t="s">
        <v>46</v>
      </c>
      <c r="E6" s="1">
        <v>43111</v>
      </c>
      <c r="F6" t="s">
        <v>65</v>
      </c>
      <c r="G6" t="s">
        <v>72</v>
      </c>
      <c r="H6" t="s">
        <v>59</v>
      </c>
      <c r="I6">
        <v>11</v>
      </c>
      <c r="J6" t="s">
        <v>73</v>
      </c>
      <c r="K6">
        <v>1</v>
      </c>
      <c r="L6" s="3">
        <v>7299</v>
      </c>
      <c r="M6">
        <v>15</v>
      </c>
      <c r="N6" s="3">
        <v>6200</v>
      </c>
      <c r="O6" s="3">
        <v>6200</v>
      </c>
      <c r="P6" t="s">
        <v>74</v>
      </c>
      <c r="Q6" t="s">
        <v>51</v>
      </c>
      <c r="R6" t="s">
        <v>36</v>
      </c>
      <c r="S6" t="s">
        <v>75</v>
      </c>
      <c r="T6" t="s">
        <v>76</v>
      </c>
      <c r="U6" t="s">
        <v>61</v>
      </c>
      <c r="V6" t="s">
        <v>40</v>
      </c>
      <c r="W6">
        <v>5</v>
      </c>
      <c r="X6" t="s">
        <v>41</v>
      </c>
      <c r="Y6" t="s">
        <v>42</v>
      </c>
      <c r="Z6">
        <v>6</v>
      </c>
    </row>
    <row r="7" spans="1:26">
      <c r="A7" t="s">
        <v>77</v>
      </c>
      <c r="B7" t="s">
        <v>78</v>
      </c>
      <c r="C7" t="s">
        <v>45</v>
      </c>
      <c r="D7" t="s">
        <v>46</v>
      </c>
      <c r="E7" s="1">
        <v>43111</v>
      </c>
      <c r="F7" t="s">
        <v>79</v>
      </c>
      <c r="G7" t="s">
        <v>80</v>
      </c>
      <c r="H7" t="s">
        <v>59</v>
      </c>
      <c r="I7">
        <v>9</v>
      </c>
      <c r="J7" t="s">
        <v>33</v>
      </c>
      <c r="K7">
        <v>3</v>
      </c>
      <c r="L7" s="3">
        <v>7599</v>
      </c>
      <c r="M7">
        <v>30</v>
      </c>
      <c r="N7" s="3">
        <v>5320</v>
      </c>
      <c r="O7" s="3">
        <v>15960</v>
      </c>
      <c r="P7" t="s">
        <v>81</v>
      </c>
      <c r="Q7" t="s">
        <v>82</v>
      </c>
      <c r="R7" t="s">
        <v>36</v>
      </c>
      <c r="S7" t="s">
        <v>52</v>
      </c>
      <c r="T7" t="s">
        <v>83</v>
      </c>
      <c r="U7" t="s">
        <v>54</v>
      </c>
      <c r="V7" t="s">
        <v>40</v>
      </c>
      <c r="W7">
        <v>3.7</v>
      </c>
      <c r="X7" t="s">
        <v>41</v>
      </c>
      <c r="Y7" t="s">
        <v>55</v>
      </c>
      <c r="Z7">
        <v>3</v>
      </c>
    </row>
    <row r="8" spans="1:26">
      <c r="A8" t="s">
        <v>84</v>
      </c>
      <c r="B8" t="s">
        <v>85</v>
      </c>
      <c r="C8" t="s">
        <v>45</v>
      </c>
      <c r="D8" t="s">
        <v>46</v>
      </c>
      <c r="E8" s="1">
        <v>43111</v>
      </c>
      <c r="F8" t="s">
        <v>86</v>
      </c>
      <c r="G8" t="s">
        <v>87</v>
      </c>
      <c r="H8" t="s">
        <v>59</v>
      </c>
      <c r="I8">
        <v>8</v>
      </c>
      <c r="J8" t="s">
        <v>88</v>
      </c>
      <c r="K8">
        <v>1</v>
      </c>
      <c r="L8" s="3">
        <v>5499</v>
      </c>
      <c r="M8">
        <v>25</v>
      </c>
      <c r="N8" s="3">
        <v>4120</v>
      </c>
      <c r="O8" s="3">
        <v>4120</v>
      </c>
      <c r="P8" t="s">
        <v>81</v>
      </c>
      <c r="Q8" t="s">
        <v>82</v>
      </c>
      <c r="R8" t="s">
        <v>36</v>
      </c>
      <c r="S8" t="s">
        <v>89</v>
      </c>
      <c r="T8" t="s">
        <v>90</v>
      </c>
      <c r="U8" t="s">
        <v>91</v>
      </c>
      <c r="V8" t="s">
        <v>40</v>
      </c>
      <c r="W8">
        <v>4.0999999999999996</v>
      </c>
      <c r="X8" t="s">
        <v>41</v>
      </c>
      <c r="Y8" t="s">
        <v>55</v>
      </c>
      <c r="Z8">
        <v>2</v>
      </c>
    </row>
    <row r="9" spans="1:26">
      <c r="A9" t="s">
        <v>92</v>
      </c>
      <c r="B9" t="s">
        <v>93</v>
      </c>
      <c r="C9" t="s">
        <v>94</v>
      </c>
      <c r="D9" t="s">
        <v>95</v>
      </c>
      <c r="E9" s="1">
        <v>43112</v>
      </c>
      <c r="F9" t="s">
        <v>96</v>
      </c>
      <c r="G9" t="s">
        <v>97</v>
      </c>
      <c r="H9" t="s">
        <v>49</v>
      </c>
      <c r="I9">
        <v>12</v>
      </c>
      <c r="J9" t="s">
        <v>98</v>
      </c>
      <c r="K9">
        <v>1</v>
      </c>
      <c r="L9" s="3">
        <v>7699</v>
      </c>
      <c r="M9">
        <v>10</v>
      </c>
      <c r="N9" s="3">
        <v>6930</v>
      </c>
      <c r="O9" s="3">
        <v>6930</v>
      </c>
      <c r="P9" t="s">
        <v>34</v>
      </c>
      <c r="Q9" t="s">
        <v>51</v>
      </c>
      <c r="R9" t="s">
        <v>36</v>
      </c>
      <c r="S9" t="s">
        <v>99</v>
      </c>
      <c r="T9" t="s">
        <v>100</v>
      </c>
      <c r="U9" t="s">
        <v>54</v>
      </c>
      <c r="V9" t="s">
        <v>40</v>
      </c>
      <c r="W9">
        <v>3</v>
      </c>
      <c r="X9" t="s">
        <v>41</v>
      </c>
      <c r="Y9" t="s">
        <v>42</v>
      </c>
      <c r="Z9">
        <v>6</v>
      </c>
    </row>
    <row r="10" spans="1:26">
      <c r="A10" t="s">
        <v>101</v>
      </c>
      <c r="B10" t="s">
        <v>102</v>
      </c>
      <c r="C10" t="s">
        <v>28</v>
      </c>
      <c r="D10" t="s">
        <v>103</v>
      </c>
      <c r="E10" s="1">
        <v>43116</v>
      </c>
      <c r="F10" t="s">
        <v>96</v>
      </c>
      <c r="G10" t="s">
        <v>97</v>
      </c>
      <c r="H10" t="s">
        <v>49</v>
      </c>
      <c r="I10">
        <v>7</v>
      </c>
      <c r="J10" t="s">
        <v>98</v>
      </c>
      <c r="K10">
        <v>1</v>
      </c>
      <c r="L10" s="3">
        <v>7199</v>
      </c>
      <c r="M10">
        <v>15</v>
      </c>
      <c r="N10" s="3">
        <v>6120</v>
      </c>
      <c r="O10" s="3">
        <v>6120</v>
      </c>
      <c r="P10" t="s">
        <v>34</v>
      </c>
      <c r="Q10" t="s">
        <v>35</v>
      </c>
      <c r="R10" t="s">
        <v>36</v>
      </c>
      <c r="S10" t="s">
        <v>104</v>
      </c>
      <c r="T10" t="s">
        <v>105</v>
      </c>
      <c r="U10" t="s">
        <v>39</v>
      </c>
      <c r="V10" t="s">
        <v>40</v>
      </c>
      <c r="W10">
        <v>4.3</v>
      </c>
      <c r="X10" t="s">
        <v>106</v>
      </c>
      <c r="Y10" t="s">
        <v>55</v>
      </c>
      <c r="Z10">
        <v>2</v>
      </c>
    </row>
    <row r="11" spans="1:26">
      <c r="A11" t="s">
        <v>107</v>
      </c>
      <c r="B11" t="s">
        <v>108</v>
      </c>
      <c r="C11" t="s">
        <v>28</v>
      </c>
      <c r="D11" t="s">
        <v>109</v>
      </c>
      <c r="E11" s="1">
        <v>43117</v>
      </c>
      <c r="F11" t="s">
        <v>30</v>
      </c>
      <c r="G11" t="s">
        <v>110</v>
      </c>
      <c r="H11" t="s">
        <v>111</v>
      </c>
      <c r="I11">
        <v>8</v>
      </c>
      <c r="J11" t="s">
        <v>73</v>
      </c>
      <c r="K11">
        <v>1</v>
      </c>
      <c r="L11" s="3">
        <v>8099</v>
      </c>
      <c r="M11">
        <v>25</v>
      </c>
      <c r="N11" s="3">
        <v>6070</v>
      </c>
      <c r="O11" s="3">
        <v>6070</v>
      </c>
      <c r="P11" t="s">
        <v>34</v>
      </c>
      <c r="Q11" t="s">
        <v>35</v>
      </c>
      <c r="R11" t="s">
        <v>36</v>
      </c>
      <c r="S11" t="s">
        <v>112</v>
      </c>
      <c r="T11" t="s">
        <v>113</v>
      </c>
      <c r="U11" t="s">
        <v>54</v>
      </c>
      <c r="V11" t="s">
        <v>40</v>
      </c>
      <c r="W11">
        <v>4.0999999999999996</v>
      </c>
      <c r="X11" t="s">
        <v>41</v>
      </c>
      <c r="Y11" t="s">
        <v>42</v>
      </c>
      <c r="Z11">
        <v>3</v>
      </c>
    </row>
    <row r="12" spans="1:26">
      <c r="A12" t="s">
        <v>114</v>
      </c>
      <c r="B12" t="s">
        <v>115</v>
      </c>
      <c r="C12" t="s">
        <v>45</v>
      </c>
      <c r="D12" t="s">
        <v>109</v>
      </c>
      <c r="E12" s="1">
        <v>43120</v>
      </c>
      <c r="F12" t="s">
        <v>86</v>
      </c>
      <c r="G12" t="s">
        <v>116</v>
      </c>
      <c r="H12" t="s">
        <v>49</v>
      </c>
      <c r="I12">
        <v>11</v>
      </c>
      <c r="J12" t="s">
        <v>98</v>
      </c>
      <c r="K12">
        <v>1</v>
      </c>
      <c r="L12" s="3">
        <v>8199</v>
      </c>
      <c r="M12">
        <v>10</v>
      </c>
      <c r="N12" s="3">
        <v>7380</v>
      </c>
      <c r="O12" s="3">
        <v>7380</v>
      </c>
      <c r="P12" t="s">
        <v>50</v>
      </c>
      <c r="Q12" t="s">
        <v>82</v>
      </c>
      <c r="R12" t="s">
        <v>36</v>
      </c>
      <c r="S12" t="s">
        <v>117</v>
      </c>
      <c r="T12" t="s">
        <v>118</v>
      </c>
      <c r="U12" t="s">
        <v>54</v>
      </c>
      <c r="V12" t="s">
        <v>40</v>
      </c>
      <c r="W12">
        <v>5</v>
      </c>
      <c r="X12" t="s">
        <v>62</v>
      </c>
      <c r="Y12" t="s">
        <v>55</v>
      </c>
      <c r="Z12">
        <v>1</v>
      </c>
    </row>
    <row r="13" spans="1:26">
      <c r="A13" t="s">
        <v>119</v>
      </c>
      <c r="B13" t="s">
        <v>120</v>
      </c>
      <c r="C13" t="s">
        <v>45</v>
      </c>
      <c r="D13" t="s">
        <v>95</v>
      </c>
      <c r="E13" s="1">
        <v>43121</v>
      </c>
      <c r="F13" t="s">
        <v>47</v>
      </c>
      <c r="G13" t="s">
        <v>121</v>
      </c>
      <c r="H13" t="s">
        <v>111</v>
      </c>
      <c r="I13">
        <v>10</v>
      </c>
      <c r="J13" t="s">
        <v>88</v>
      </c>
      <c r="K13">
        <v>2</v>
      </c>
      <c r="L13" s="3">
        <v>9399</v>
      </c>
      <c r="M13">
        <v>15</v>
      </c>
      <c r="N13" s="3">
        <v>7990</v>
      </c>
      <c r="O13" s="3">
        <v>15980</v>
      </c>
      <c r="P13" t="s">
        <v>74</v>
      </c>
      <c r="Q13" t="s">
        <v>51</v>
      </c>
      <c r="R13" t="s">
        <v>36</v>
      </c>
      <c r="S13" t="s">
        <v>122</v>
      </c>
      <c r="T13" t="s">
        <v>123</v>
      </c>
      <c r="U13" t="s">
        <v>124</v>
      </c>
      <c r="V13" t="s">
        <v>40</v>
      </c>
      <c r="W13">
        <v>3.9</v>
      </c>
      <c r="X13" t="s">
        <v>41</v>
      </c>
      <c r="Y13" t="s">
        <v>55</v>
      </c>
      <c r="Z13">
        <v>4</v>
      </c>
    </row>
    <row r="14" spans="1:26">
      <c r="A14" t="s">
        <v>125</v>
      </c>
      <c r="B14" t="s">
        <v>126</v>
      </c>
      <c r="C14" t="s">
        <v>45</v>
      </c>
      <c r="D14" t="s">
        <v>46</v>
      </c>
      <c r="E14" s="1">
        <v>43121</v>
      </c>
      <c r="F14" t="s">
        <v>79</v>
      </c>
      <c r="G14" t="s">
        <v>127</v>
      </c>
      <c r="H14" t="s">
        <v>128</v>
      </c>
      <c r="I14">
        <v>10</v>
      </c>
      <c r="J14" t="s">
        <v>98</v>
      </c>
      <c r="K14">
        <v>1</v>
      </c>
      <c r="L14" s="3">
        <v>3699</v>
      </c>
      <c r="M14">
        <v>25</v>
      </c>
      <c r="N14" s="3">
        <v>2770</v>
      </c>
      <c r="O14" s="3">
        <v>2770</v>
      </c>
      <c r="P14" t="s">
        <v>50</v>
      </c>
      <c r="Q14" t="s">
        <v>82</v>
      </c>
      <c r="R14" t="s">
        <v>36</v>
      </c>
      <c r="S14" t="s">
        <v>129</v>
      </c>
      <c r="T14" t="s">
        <v>130</v>
      </c>
      <c r="U14" t="s">
        <v>54</v>
      </c>
      <c r="V14" t="s">
        <v>40</v>
      </c>
      <c r="W14">
        <v>5</v>
      </c>
      <c r="X14" t="s">
        <v>41</v>
      </c>
      <c r="Y14" t="s">
        <v>42</v>
      </c>
      <c r="Z14">
        <v>3</v>
      </c>
    </row>
    <row r="15" spans="1:26">
      <c r="A15" t="s">
        <v>131</v>
      </c>
      <c r="B15" t="s">
        <v>132</v>
      </c>
      <c r="C15" t="s">
        <v>28</v>
      </c>
      <c r="D15" t="s">
        <v>95</v>
      </c>
      <c r="E15" s="1">
        <v>43125</v>
      </c>
      <c r="F15" t="s">
        <v>79</v>
      </c>
      <c r="G15" t="s">
        <v>80</v>
      </c>
      <c r="H15" t="s">
        <v>59</v>
      </c>
      <c r="I15">
        <v>10</v>
      </c>
      <c r="J15" t="s">
        <v>73</v>
      </c>
      <c r="K15">
        <v>1</v>
      </c>
      <c r="L15" s="3">
        <v>7799</v>
      </c>
      <c r="M15">
        <v>15</v>
      </c>
      <c r="N15" s="3">
        <v>6630</v>
      </c>
      <c r="O15" s="3">
        <v>6630</v>
      </c>
      <c r="P15" t="s">
        <v>81</v>
      </c>
      <c r="Q15" t="s">
        <v>35</v>
      </c>
      <c r="R15" t="s">
        <v>36</v>
      </c>
      <c r="S15" t="s">
        <v>112</v>
      </c>
      <c r="T15" t="s">
        <v>133</v>
      </c>
      <c r="U15" t="s">
        <v>61</v>
      </c>
      <c r="V15" t="s">
        <v>40</v>
      </c>
      <c r="W15">
        <v>5</v>
      </c>
      <c r="X15" t="s">
        <v>41</v>
      </c>
      <c r="Y15" t="s">
        <v>42</v>
      </c>
      <c r="Z15">
        <v>3</v>
      </c>
    </row>
    <row r="16" spans="1:26">
      <c r="A16" t="s">
        <v>134</v>
      </c>
      <c r="B16" t="s">
        <v>135</v>
      </c>
      <c r="C16" t="s">
        <v>28</v>
      </c>
      <c r="D16" t="s">
        <v>103</v>
      </c>
      <c r="E16" s="1">
        <v>43125</v>
      </c>
      <c r="F16" t="s">
        <v>30</v>
      </c>
      <c r="G16" t="s">
        <v>31</v>
      </c>
      <c r="H16" t="s">
        <v>32</v>
      </c>
      <c r="I16">
        <v>11</v>
      </c>
      <c r="J16" t="s">
        <v>88</v>
      </c>
      <c r="K16">
        <v>3</v>
      </c>
      <c r="L16" s="3">
        <v>7999</v>
      </c>
      <c r="M16">
        <v>20</v>
      </c>
      <c r="N16" s="3">
        <v>6400</v>
      </c>
      <c r="O16" s="3">
        <v>19200</v>
      </c>
      <c r="P16" t="s">
        <v>81</v>
      </c>
      <c r="Q16" t="s">
        <v>51</v>
      </c>
      <c r="R16" t="s">
        <v>36</v>
      </c>
      <c r="S16" t="s">
        <v>136</v>
      </c>
      <c r="T16" t="s">
        <v>137</v>
      </c>
      <c r="U16" t="s">
        <v>61</v>
      </c>
      <c r="V16" t="s">
        <v>40</v>
      </c>
      <c r="W16">
        <v>3.7</v>
      </c>
      <c r="X16" t="s">
        <v>41</v>
      </c>
      <c r="Y16" t="s">
        <v>55</v>
      </c>
      <c r="Z16">
        <v>2</v>
      </c>
    </row>
    <row r="17" spans="1:26">
      <c r="A17" t="s">
        <v>138</v>
      </c>
      <c r="B17" t="s">
        <v>139</v>
      </c>
      <c r="C17" t="s">
        <v>28</v>
      </c>
      <c r="D17" t="s">
        <v>46</v>
      </c>
      <c r="E17" s="1">
        <v>43132</v>
      </c>
      <c r="F17" t="s">
        <v>47</v>
      </c>
      <c r="G17" t="s">
        <v>140</v>
      </c>
      <c r="H17" t="s">
        <v>128</v>
      </c>
      <c r="I17">
        <v>10</v>
      </c>
      <c r="J17" t="s">
        <v>33</v>
      </c>
      <c r="K17">
        <v>1</v>
      </c>
      <c r="L17" s="3">
        <v>3799</v>
      </c>
      <c r="M17">
        <v>5</v>
      </c>
      <c r="N17" s="3">
        <v>3610</v>
      </c>
      <c r="O17" s="3">
        <v>3610</v>
      </c>
      <c r="P17" t="s">
        <v>50</v>
      </c>
      <c r="Q17" t="s">
        <v>35</v>
      </c>
      <c r="R17" t="s">
        <v>36</v>
      </c>
      <c r="S17" t="s">
        <v>141</v>
      </c>
      <c r="T17" t="s">
        <v>142</v>
      </c>
      <c r="U17" t="s">
        <v>91</v>
      </c>
      <c r="V17" t="s">
        <v>40</v>
      </c>
      <c r="W17">
        <v>3.4</v>
      </c>
      <c r="X17" t="s">
        <v>41</v>
      </c>
      <c r="Y17" t="s">
        <v>42</v>
      </c>
      <c r="Z17">
        <v>4</v>
      </c>
    </row>
    <row r="18" spans="1:26">
      <c r="A18" t="s">
        <v>143</v>
      </c>
      <c r="B18" t="s">
        <v>144</v>
      </c>
      <c r="C18" t="s">
        <v>94</v>
      </c>
      <c r="D18" t="s">
        <v>103</v>
      </c>
      <c r="E18" s="1">
        <v>43134</v>
      </c>
      <c r="F18" t="s">
        <v>30</v>
      </c>
      <c r="G18" t="s">
        <v>145</v>
      </c>
      <c r="H18" t="s">
        <v>59</v>
      </c>
      <c r="I18">
        <v>10</v>
      </c>
      <c r="J18" t="s">
        <v>73</v>
      </c>
      <c r="K18">
        <v>1</v>
      </c>
      <c r="L18" s="3">
        <v>4699</v>
      </c>
      <c r="M18">
        <v>15</v>
      </c>
      <c r="N18" s="3">
        <v>3990</v>
      </c>
      <c r="O18" s="3">
        <v>3990</v>
      </c>
      <c r="P18" t="s">
        <v>34</v>
      </c>
      <c r="Q18" t="s">
        <v>82</v>
      </c>
      <c r="R18" t="s">
        <v>36</v>
      </c>
      <c r="S18" t="s">
        <v>129</v>
      </c>
      <c r="T18" t="s">
        <v>146</v>
      </c>
      <c r="U18" t="s">
        <v>61</v>
      </c>
      <c r="V18" t="s">
        <v>40</v>
      </c>
      <c r="W18">
        <v>4.2</v>
      </c>
      <c r="X18" t="s">
        <v>62</v>
      </c>
      <c r="Y18" t="s">
        <v>147</v>
      </c>
      <c r="Z18">
        <v>1</v>
      </c>
    </row>
    <row r="19" spans="1:26">
      <c r="A19" t="s">
        <v>148</v>
      </c>
      <c r="B19" t="s">
        <v>149</v>
      </c>
      <c r="C19" t="s">
        <v>45</v>
      </c>
      <c r="D19" t="s">
        <v>29</v>
      </c>
      <c r="E19" s="1">
        <v>43134</v>
      </c>
      <c r="F19" t="s">
        <v>30</v>
      </c>
      <c r="G19" t="s">
        <v>110</v>
      </c>
      <c r="H19" t="s">
        <v>111</v>
      </c>
      <c r="I19">
        <v>9</v>
      </c>
      <c r="J19" t="s">
        <v>150</v>
      </c>
      <c r="K19">
        <v>1</v>
      </c>
      <c r="L19" s="3">
        <v>5199</v>
      </c>
      <c r="M19">
        <v>20</v>
      </c>
      <c r="N19" s="3">
        <v>4160</v>
      </c>
      <c r="O19" s="3">
        <v>4160</v>
      </c>
      <c r="P19" t="s">
        <v>34</v>
      </c>
      <c r="Q19" t="s">
        <v>51</v>
      </c>
      <c r="R19" t="s">
        <v>36</v>
      </c>
      <c r="S19" t="s">
        <v>151</v>
      </c>
      <c r="T19" t="s">
        <v>152</v>
      </c>
      <c r="U19" t="s">
        <v>124</v>
      </c>
      <c r="V19" t="s">
        <v>40</v>
      </c>
      <c r="W19">
        <v>4.8</v>
      </c>
      <c r="X19" t="s">
        <v>41</v>
      </c>
      <c r="Y19" t="s">
        <v>42</v>
      </c>
      <c r="Z19">
        <v>4</v>
      </c>
    </row>
    <row r="20" spans="1:26">
      <c r="A20" t="s">
        <v>153</v>
      </c>
      <c r="B20" t="s">
        <v>154</v>
      </c>
      <c r="C20" t="s">
        <v>45</v>
      </c>
      <c r="D20" t="s">
        <v>103</v>
      </c>
      <c r="E20" s="1">
        <v>43135</v>
      </c>
      <c r="F20" t="s">
        <v>96</v>
      </c>
      <c r="G20" t="s">
        <v>155</v>
      </c>
      <c r="H20" t="s">
        <v>111</v>
      </c>
      <c r="I20">
        <v>11</v>
      </c>
      <c r="J20" t="s">
        <v>33</v>
      </c>
      <c r="K20">
        <v>1</v>
      </c>
      <c r="L20" s="3">
        <v>9599</v>
      </c>
      <c r="M20">
        <v>15</v>
      </c>
      <c r="N20" s="3">
        <v>8160</v>
      </c>
      <c r="O20" s="3">
        <v>8160</v>
      </c>
      <c r="P20" t="s">
        <v>74</v>
      </c>
      <c r="Q20" t="s">
        <v>82</v>
      </c>
      <c r="R20" t="s">
        <v>36</v>
      </c>
      <c r="S20" t="s">
        <v>156</v>
      </c>
      <c r="T20" t="s">
        <v>157</v>
      </c>
      <c r="U20" t="s">
        <v>39</v>
      </c>
      <c r="V20" t="s">
        <v>40</v>
      </c>
      <c r="W20">
        <v>4.7</v>
      </c>
      <c r="X20" t="s">
        <v>41</v>
      </c>
      <c r="Y20" t="s">
        <v>42</v>
      </c>
      <c r="Z20">
        <v>3</v>
      </c>
    </row>
    <row r="21" spans="1:26">
      <c r="A21" t="s">
        <v>158</v>
      </c>
      <c r="B21" t="s">
        <v>159</v>
      </c>
      <c r="C21" t="s">
        <v>28</v>
      </c>
      <c r="D21" t="s">
        <v>109</v>
      </c>
      <c r="E21" s="1">
        <v>43137</v>
      </c>
      <c r="F21" t="s">
        <v>30</v>
      </c>
      <c r="G21" t="s">
        <v>145</v>
      </c>
      <c r="H21" t="s">
        <v>59</v>
      </c>
      <c r="I21">
        <v>9</v>
      </c>
      <c r="J21" t="s">
        <v>88</v>
      </c>
      <c r="K21">
        <v>2</v>
      </c>
      <c r="L21" s="3">
        <v>7599</v>
      </c>
      <c r="M21">
        <v>40</v>
      </c>
      <c r="N21" s="3">
        <v>4560</v>
      </c>
      <c r="O21" s="3">
        <v>9120</v>
      </c>
      <c r="P21" t="s">
        <v>74</v>
      </c>
      <c r="Q21" t="s">
        <v>51</v>
      </c>
      <c r="R21" t="s">
        <v>36</v>
      </c>
      <c r="S21" t="s">
        <v>160</v>
      </c>
      <c r="T21" t="s">
        <v>161</v>
      </c>
      <c r="U21" t="s">
        <v>61</v>
      </c>
      <c r="V21" t="s">
        <v>40</v>
      </c>
      <c r="W21">
        <v>5</v>
      </c>
      <c r="X21" t="s">
        <v>106</v>
      </c>
      <c r="Y21" t="s">
        <v>55</v>
      </c>
      <c r="Z21">
        <v>2</v>
      </c>
    </row>
    <row r="22" spans="1:26">
      <c r="A22" t="s">
        <v>162</v>
      </c>
      <c r="B22" t="s">
        <v>163</v>
      </c>
      <c r="C22" t="s">
        <v>45</v>
      </c>
      <c r="D22" t="s">
        <v>46</v>
      </c>
      <c r="E22" s="1">
        <v>43139</v>
      </c>
      <c r="F22" t="s">
        <v>30</v>
      </c>
      <c r="G22" t="s">
        <v>145</v>
      </c>
      <c r="H22" t="s">
        <v>59</v>
      </c>
      <c r="I22">
        <v>7</v>
      </c>
      <c r="J22" t="s">
        <v>73</v>
      </c>
      <c r="K22">
        <v>2</v>
      </c>
      <c r="L22" s="3">
        <v>5299</v>
      </c>
      <c r="M22">
        <v>10</v>
      </c>
      <c r="N22" s="3">
        <v>4770</v>
      </c>
      <c r="O22" s="3">
        <v>9540</v>
      </c>
      <c r="P22" t="s">
        <v>50</v>
      </c>
      <c r="Q22" t="s">
        <v>51</v>
      </c>
      <c r="R22" t="s">
        <v>36</v>
      </c>
      <c r="S22" t="s">
        <v>164</v>
      </c>
      <c r="T22" t="s">
        <v>165</v>
      </c>
      <c r="U22" t="s">
        <v>124</v>
      </c>
      <c r="V22" t="s">
        <v>40</v>
      </c>
      <c r="W22">
        <v>4</v>
      </c>
      <c r="X22" t="s">
        <v>41</v>
      </c>
      <c r="Y22" t="s">
        <v>42</v>
      </c>
      <c r="Z22">
        <v>4</v>
      </c>
    </row>
    <row r="23" spans="1:26">
      <c r="A23" t="s">
        <v>166</v>
      </c>
      <c r="B23" t="s">
        <v>167</v>
      </c>
      <c r="C23" t="s">
        <v>45</v>
      </c>
      <c r="D23" t="s">
        <v>95</v>
      </c>
      <c r="E23" s="1">
        <v>43139</v>
      </c>
      <c r="F23" t="s">
        <v>47</v>
      </c>
      <c r="G23" t="s">
        <v>140</v>
      </c>
      <c r="H23" t="s">
        <v>128</v>
      </c>
      <c r="I23">
        <v>9</v>
      </c>
      <c r="J23" t="s">
        <v>33</v>
      </c>
      <c r="K23">
        <v>1</v>
      </c>
      <c r="L23" s="3">
        <v>6099</v>
      </c>
      <c r="M23">
        <v>10</v>
      </c>
      <c r="N23" s="3">
        <v>5490</v>
      </c>
      <c r="O23" s="3">
        <v>5490</v>
      </c>
      <c r="P23" t="s">
        <v>34</v>
      </c>
      <c r="Q23" t="s">
        <v>35</v>
      </c>
      <c r="R23" t="s">
        <v>36</v>
      </c>
      <c r="S23" t="s">
        <v>168</v>
      </c>
      <c r="T23" t="s">
        <v>168</v>
      </c>
      <c r="U23" t="s">
        <v>91</v>
      </c>
      <c r="V23" t="s">
        <v>40</v>
      </c>
      <c r="W23">
        <v>3.6</v>
      </c>
      <c r="X23" t="s">
        <v>41</v>
      </c>
      <c r="Y23" t="s">
        <v>42</v>
      </c>
      <c r="Z23">
        <v>3</v>
      </c>
    </row>
    <row r="24" spans="1:26">
      <c r="A24" t="s">
        <v>169</v>
      </c>
      <c r="B24" t="s">
        <v>170</v>
      </c>
      <c r="C24" t="s">
        <v>28</v>
      </c>
      <c r="D24" t="s">
        <v>46</v>
      </c>
      <c r="E24" s="1">
        <v>43143</v>
      </c>
      <c r="F24" t="s">
        <v>96</v>
      </c>
      <c r="G24" t="s">
        <v>171</v>
      </c>
      <c r="H24" t="s">
        <v>128</v>
      </c>
      <c r="I24">
        <v>10</v>
      </c>
      <c r="J24" t="s">
        <v>88</v>
      </c>
      <c r="K24">
        <v>1</v>
      </c>
      <c r="L24" s="3">
        <v>8199</v>
      </c>
      <c r="M24">
        <v>10</v>
      </c>
      <c r="N24" s="3">
        <v>7380</v>
      </c>
      <c r="O24" s="3">
        <v>7380</v>
      </c>
      <c r="P24" t="s">
        <v>34</v>
      </c>
      <c r="Q24" t="s">
        <v>51</v>
      </c>
      <c r="R24" t="s">
        <v>36</v>
      </c>
      <c r="S24" t="s">
        <v>160</v>
      </c>
      <c r="T24" t="s">
        <v>160</v>
      </c>
      <c r="U24" t="s">
        <v>39</v>
      </c>
      <c r="V24" t="s">
        <v>40</v>
      </c>
      <c r="W24">
        <v>4.7</v>
      </c>
      <c r="X24" t="s">
        <v>106</v>
      </c>
      <c r="Y24" t="s">
        <v>42</v>
      </c>
      <c r="Z24">
        <v>4</v>
      </c>
    </row>
    <row r="25" spans="1:26">
      <c r="A25" t="s">
        <v>172</v>
      </c>
      <c r="B25" t="s">
        <v>173</v>
      </c>
      <c r="C25" t="s">
        <v>28</v>
      </c>
      <c r="D25" t="s">
        <v>103</v>
      </c>
      <c r="E25" s="1">
        <v>43144</v>
      </c>
      <c r="F25" t="s">
        <v>79</v>
      </c>
      <c r="G25" t="s">
        <v>174</v>
      </c>
      <c r="H25" t="s">
        <v>32</v>
      </c>
      <c r="I25">
        <v>8</v>
      </c>
      <c r="J25" t="s">
        <v>67</v>
      </c>
      <c r="K25">
        <v>2</v>
      </c>
      <c r="L25" s="3">
        <v>4899</v>
      </c>
      <c r="M25">
        <v>15</v>
      </c>
      <c r="N25" s="3">
        <v>4160</v>
      </c>
      <c r="O25" s="3">
        <v>8320</v>
      </c>
      <c r="P25" t="s">
        <v>34</v>
      </c>
      <c r="Q25" t="s">
        <v>51</v>
      </c>
      <c r="R25" t="s">
        <v>36</v>
      </c>
      <c r="S25" t="s">
        <v>175</v>
      </c>
      <c r="T25" t="s">
        <v>176</v>
      </c>
      <c r="U25" t="s">
        <v>39</v>
      </c>
      <c r="V25" t="s">
        <v>40</v>
      </c>
      <c r="W25">
        <v>3.5</v>
      </c>
      <c r="X25" t="s">
        <v>41</v>
      </c>
      <c r="Y25" t="s">
        <v>55</v>
      </c>
      <c r="Z25">
        <v>2</v>
      </c>
    </row>
    <row r="26" spans="1:26">
      <c r="A26" t="s">
        <v>177</v>
      </c>
      <c r="B26" t="s">
        <v>178</v>
      </c>
      <c r="C26" t="s">
        <v>45</v>
      </c>
      <c r="D26" t="s">
        <v>46</v>
      </c>
      <c r="E26" s="1">
        <v>43145</v>
      </c>
      <c r="F26" t="s">
        <v>47</v>
      </c>
      <c r="G26" t="s">
        <v>121</v>
      </c>
      <c r="H26" t="s">
        <v>111</v>
      </c>
      <c r="I26">
        <v>8</v>
      </c>
      <c r="J26" t="s">
        <v>98</v>
      </c>
      <c r="K26">
        <v>1</v>
      </c>
      <c r="L26" s="3">
        <v>6099</v>
      </c>
      <c r="M26">
        <v>30</v>
      </c>
      <c r="N26" s="3">
        <v>4270</v>
      </c>
      <c r="O26" s="3">
        <v>4270</v>
      </c>
      <c r="P26" t="s">
        <v>34</v>
      </c>
      <c r="Q26" t="s">
        <v>51</v>
      </c>
      <c r="R26" t="s">
        <v>36</v>
      </c>
      <c r="S26" t="s">
        <v>104</v>
      </c>
      <c r="T26" t="s">
        <v>179</v>
      </c>
      <c r="U26" t="s">
        <v>39</v>
      </c>
      <c r="V26" t="s">
        <v>40</v>
      </c>
      <c r="W26">
        <v>3</v>
      </c>
      <c r="X26" t="s">
        <v>41</v>
      </c>
      <c r="Y26" t="s">
        <v>42</v>
      </c>
      <c r="Z26">
        <v>5</v>
      </c>
    </row>
    <row r="27" spans="1:26">
      <c r="A27" t="s">
        <v>180</v>
      </c>
      <c r="B27" t="s">
        <v>181</v>
      </c>
      <c r="C27" t="s">
        <v>45</v>
      </c>
      <c r="D27" t="s">
        <v>95</v>
      </c>
      <c r="E27" s="1">
        <v>43145</v>
      </c>
      <c r="F27" t="s">
        <v>65</v>
      </c>
      <c r="G27" t="s">
        <v>66</v>
      </c>
      <c r="H27" t="s">
        <v>59</v>
      </c>
      <c r="I27">
        <v>7</v>
      </c>
      <c r="J27" t="s">
        <v>67</v>
      </c>
      <c r="K27">
        <v>1</v>
      </c>
      <c r="L27" s="3">
        <v>5299</v>
      </c>
      <c r="M27">
        <v>40</v>
      </c>
      <c r="N27" s="3">
        <v>3180</v>
      </c>
      <c r="O27" s="3">
        <v>3180</v>
      </c>
      <c r="P27" t="s">
        <v>34</v>
      </c>
      <c r="Q27" t="s">
        <v>82</v>
      </c>
      <c r="R27" t="s">
        <v>36</v>
      </c>
      <c r="S27" t="s">
        <v>182</v>
      </c>
      <c r="T27" t="s">
        <v>183</v>
      </c>
      <c r="U27" t="s">
        <v>91</v>
      </c>
      <c r="V27" t="s">
        <v>40</v>
      </c>
      <c r="W27">
        <v>3.2</v>
      </c>
      <c r="X27" t="s">
        <v>41</v>
      </c>
      <c r="Y27" t="s">
        <v>42</v>
      </c>
      <c r="Z27">
        <v>3</v>
      </c>
    </row>
    <row r="28" spans="1:26">
      <c r="A28" t="s">
        <v>184</v>
      </c>
      <c r="B28" t="s">
        <v>185</v>
      </c>
      <c r="C28" t="s">
        <v>28</v>
      </c>
      <c r="D28" t="s">
        <v>46</v>
      </c>
      <c r="E28" s="1">
        <v>43147</v>
      </c>
      <c r="F28" t="s">
        <v>65</v>
      </c>
      <c r="G28" t="s">
        <v>72</v>
      </c>
      <c r="H28" t="s">
        <v>59</v>
      </c>
      <c r="I28">
        <v>9</v>
      </c>
      <c r="J28" t="s">
        <v>98</v>
      </c>
      <c r="K28">
        <v>3</v>
      </c>
      <c r="L28" s="3">
        <v>7799</v>
      </c>
      <c r="M28">
        <v>10</v>
      </c>
      <c r="N28" s="3">
        <v>7020</v>
      </c>
      <c r="O28" s="3">
        <v>21060</v>
      </c>
      <c r="P28" t="s">
        <v>81</v>
      </c>
      <c r="Q28" t="s">
        <v>35</v>
      </c>
      <c r="R28" t="s">
        <v>36</v>
      </c>
      <c r="S28" t="s">
        <v>186</v>
      </c>
      <c r="T28" t="s">
        <v>187</v>
      </c>
      <c r="U28" t="s">
        <v>124</v>
      </c>
      <c r="V28" t="s">
        <v>40</v>
      </c>
      <c r="W28">
        <v>3.3</v>
      </c>
      <c r="X28" t="s">
        <v>41</v>
      </c>
      <c r="Y28" t="s">
        <v>42</v>
      </c>
      <c r="Z28">
        <v>7</v>
      </c>
    </row>
    <row r="29" spans="1:26">
      <c r="A29" t="s">
        <v>188</v>
      </c>
      <c r="B29" t="s">
        <v>189</v>
      </c>
      <c r="C29" t="s">
        <v>28</v>
      </c>
      <c r="D29" t="s">
        <v>29</v>
      </c>
      <c r="E29" s="1">
        <v>43150</v>
      </c>
      <c r="F29" t="s">
        <v>86</v>
      </c>
      <c r="G29" t="s">
        <v>190</v>
      </c>
      <c r="H29" t="s">
        <v>128</v>
      </c>
      <c r="I29">
        <v>9</v>
      </c>
      <c r="J29" t="s">
        <v>88</v>
      </c>
      <c r="K29">
        <v>1</v>
      </c>
      <c r="L29" s="3">
        <v>3899</v>
      </c>
      <c r="M29">
        <v>20</v>
      </c>
      <c r="N29" s="3">
        <v>3120</v>
      </c>
      <c r="O29" s="3">
        <v>3120</v>
      </c>
      <c r="P29" t="s">
        <v>74</v>
      </c>
      <c r="Q29" t="s">
        <v>51</v>
      </c>
      <c r="R29" t="s">
        <v>36</v>
      </c>
      <c r="S29" t="s">
        <v>191</v>
      </c>
      <c r="T29" t="s">
        <v>192</v>
      </c>
      <c r="U29" t="s">
        <v>54</v>
      </c>
      <c r="V29" t="s">
        <v>40</v>
      </c>
      <c r="W29">
        <v>4.9000000000000004</v>
      </c>
      <c r="X29" t="s">
        <v>106</v>
      </c>
      <c r="Y29" t="s">
        <v>42</v>
      </c>
      <c r="Z29">
        <v>3</v>
      </c>
    </row>
    <row r="30" spans="1:26">
      <c r="A30" t="s">
        <v>193</v>
      </c>
      <c r="B30" t="s">
        <v>194</v>
      </c>
      <c r="C30" t="s">
        <v>45</v>
      </c>
      <c r="D30" t="s">
        <v>109</v>
      </c>
      <c r="E30" s="1">
        <v>43153</v>
      </c>
      <c r="F30" t="s">
        <v>86</v>
      </c>
      <c r="G30" t="s">
        <v>190</v>
      </c>
      <c r="H30" t="s">
        <v>128</v>
      </c>
      <c r="I30">
        <v>9</v>
      </c>
      <c r="J30" t="s">
        <v>33</v>
      </c>
      <c r="K30">
        <v>1</v>
      </c>
      <c r="L30" s="3">
        <v>4099</v>
      </c>
      <c r="M30">
        <v>5</v>
      </c>
      <c r="N30" s="3">
        <v>3890</v>
      </c>
      <c r="O30" s="3">
        <v>3890</v>
      </c>
      <c r="P30" t="s">
        <v>74</v>
      </c>
      <c r="Q30" t="s">
        <v>51</v>
      </c>
      <c r="R30" t="s">
        <v>36</v>
      </c>
      <c r="S30" t="s">
        <v>195</v>
      </c>
      <c r="T30" t="s">
        <v>196</v>
      </c>
      <c r="U30" t="s">
        <v>39</v>
      </c>
      <c r="V30" t="s">
        <v>40</v>
      </c>
      <c r="W30">
        <v>5</v>
      </c>
      <c r="X30" t="s">
        <v>106</v>
      </c>
      <c r="Y30" t="s">
        <v>42</v>
      </c>
      <c r="Z30">
        <v>7</v>
      </c>
    </row>
    <row r="31" spans="1:26">
      <c r="A31" t="s">
        <v>197</v>
      </c>
      <c r="B31" t="s">
        <v>198</v>
      </c>
      <c r="C31" t="s">
        <v>45</v>
      </c>
      <c r="D31" t="s">
        <v>46</v>
      </c>
      <c r="E31" s="1">
        <v>43154</v>
      </c>
      <c r="F31" t="s">
        <v>47</v>
      </c>
      <c r="G31" t="s">
        <v>199</v>
      </c>
      <c r="H31" t="s">
        <v>59</v>
      </c>
      <c r="I31">
        <v>9</v>
      </c>
      <c r="J31" t="s">
        <v>33</v>
      </c>
      <c r="K31">
        <v>2</v>
      </c>
      <c r="L31" s="3">
        <v>9199</v>
      </c>
      <c r="M31">
        <v>10</v>
      </c>
      <c r="N31" s="3">
        <v>8280</v>
      </c>
      <c r="O31" s="3">
        <v>16560</v>
      </c>
      <c r="P31" t="s">
        <v>81</v>
      </c>
      <c r="Q31" t="s">
        <v>51</v>
      </c>
      <c r="R31" t="s">
        <v>36</v>
      </c>
      <c r="S31" t="s">
        <v>200</v>
      </c>
      <c r="T31" t="s">
        <v>201</v>
      </c>
      <c r="U31" t="s">
        <v>54</v>
      </c>
      <c r="V31" t="s">
        <v>40</v>
      </c>
      <c r="W31">
        <v>4.2</v>
      </c>
      <c r="X31" t="s">
        <v>41</v>
      </c>
      <c r="Y31" t="s">
        <v>55</v>
      </c>
      <c r="Z31">
        <v>3</v>
      </c>
    </row>
    <row r="32" spans="1:26">
      <c r="A32" t="s">
        <v>202</v>
      </c>
      <c r="B32" t="s">
        <v>203</v>
      </c>
      <c r="C32" t="s">
        <v>45</v>
      </c>
      <c r="D32" t="s">
        <v>103</v>
      </c>
      <c r="E32" s="1">
        <v>43156</v>
      </c>
      <c r="F32" t="s">
        <v>47</v>
      </c>
      <c r="G32" t="s">
        <v>199</v>
      </c>
      <c r="H32" t="s">
        <v>59</v>
      </c>
      <c r="I32">
        <v>12</v>
      </c>
      <c r="J32" t="s">
        <v>73</v>
      </c>
      <c r="K32">
        <v>3</v>
      </c>
      <c r="L32" s="3">
        <v>5699</v>
      </c>
      <c r="M32">
        <v>10</v>
      </c>
      <c r="N32" s="3">
        <v>5130</v>
      </c>
      <c r="O32" s="3">
        <v>15390</v>
      </c>
      <c r="P32" t="s">
        <v>81</v>
      </c>
      <c r="Q32" t="s">
        <v>51</v>
      </c>
      <c r="R32" t="s">
        <v>36</v>
      </c>
      <c r="S32" t="s">
        <v>200</v>
      </c>
      <c r="T32" t="s">
        <v>204</v>
      </c>
      <c r="U32" t="s">
        <v>54</v>
      </c>
      <c r="V32" t="s">
        <v>40</v>
      </c>
      <c r="W32">
        <v>4.8</v>
      </c>
      <c r="X32" t="s">
        <v>106</v>
      </c>
      <c r="Y32" t="s">
        <v>42</v>
      </c>
      <c r="Z32">
        <v>4</v>
      </c>
    </row>
    <row r="33" spans="1:26">
      <c r="A33" t="s">
        <v>205</v>
      </c>
      <c r="B33" t="s">
        <v>206</v>
      </c>
      <c r="C33" t="s">
        <v>45</v>
      </c>
      <c r="D33" t="s">
        <v>46</v>
      </c>
      <c r="E33" s="1">
        <v>43156</v>
      </c>
      <c r="F33" t="s">
        <v>47</v>
      </c>
      <c r="G33" t="s">
        <v>48</v>
      </c>
      <c r="H33" t="s">
        <v>49</v>
      </c>
      <c r="I33">
        <v>9</v>
      </c>
      <c r="J33" t="s">
        <v>98</v>
      </c>
      <c r="K33">
        <v>1</v>
      </c>
      <c r="L33" s="3">
        <v>5499</v>
      </c>
      <c r="M33">
        <v>0</v>
      </c>
      <c r="N33" s="3">
        <v>5500</v>
      </c>
      <c r="O33" s="3">
        <v>5500</v>
      </c>
      <c r="P33" t="s">
        <v>74</v>
      </c>
      <c r="Q33" t="s">
        <v>35</v>
      </c>
      <c r="R33" t="s">
        <v>36</v>
      </c>
      <c r="S33" t="s">
        <v>68</v>
      </c>
      <c r="T33" t="s">
        <v>207</v>
      </c>
      <c r="U33" t="s">
        <v>91</v>
      </c>
      <c r="V33" t="s">
        <v>40</v>
      </c>
      <c r="W33">
        <v>3.5</v>
      </c>
      <c r="X33" t="s">
        <v>41</v>
      </c>
      <c r="Y33" t="s">
        <v>42</v>
      </c>
      <c r="Z33">
        <v>1</v>
      </c>
    </row>
    <row r="34" spans="1:26">
      <c r="A34" t="s">
        <v>208</v>
      </c>
      <c r="B34" t="s">
        <v>209</v>
      </c>
      <c r="C34" t="s">
        <v>94</v>
      </c>
      <c r="D34" t="s">
        <v>95</v>
      </c>
      <c r="E34" s="1">
        <v>43159</v>
      </c>
      <c r="F34" t="s">
        <v>96</v>
      </c>
      <c r="G34" t="s">
        <v>155</v>
      </c>
      <c r="H34" t="s">
        <v>111</v>
      </c>
      <c r="I34">
        <v>7</v>
      </c>
      <c r="J34" t="s">
        <v>98</v>
      </c>
      <c r="K34">
        <v>2</v>
      </c>
      <c r="L34" s="3">
        <v>9599</v>
      </c>
      <c r="M34">
        <v>0</v>
      </c>
      <c r="N34" s="3">
        <v>9600</v>
      </c>
      <c r="O34" s="3">
        <v>19200</v>
      </c>
      <c r="P34" t="s">
        <v>81</v>
      </c>
      <c r="Q34" t="s">
        <v>82</v>
      </c>
      <c r="R34" t="s">
        <v>36</v>
      </c>
      <c r="S34" t="s">
        <v>210</v>
      </c>
      <c r="T34" t="s">
        <v>211</v>
      </c>
      <c r="U34" t="s">
        <v>61</v>
      </c>
      <c r="V34" t="s">
        <v>40</v>
      </c>
      <c r="W34">
        <v>3.5</v>
      </c>
      <c r="X34" t="s">
        <v>41</v>
      </c>
      <c r="Y34" t="s">
        <v>42</v>
      </c>
      <c r="Z34">
        <v>4</v>
      </c>
    </row>
    <row r="35" spans="1:26">
      <c r="A35" t="s">
        <v>212</v>
      </c>
      <c r="B35" t="s">
        <v>213</v>
      </c>
      <c r="C35" t="s">
        <v>45</v>
      </c>
      <c r="D35" t="s">
        <v>46</v>
      </c>
      <c r="E35" s="1">
        <v>43161</v>
      </c>
      <c r="F35" t="s">
        <v>30</v>
      </c>
      <c r="G35" t="s">
        <v>214</v>
      </c>
      <c r="H35" t="s">
        <v>128</v>
      </c>
      <c r="I35">
        <v>9</v>
      </c>
      <c r="J35" t="s">
        <v>67</v>
      </c>
      <c r="K35">
        <v>4</v>
      </c>
      <c r="L35" s="3">
        <v>4899</v>
      </c>
      <c r="M35">
        <v>25</v>
      </c>
      <c r="N35" s="3">
        <v>3670</v>
      </c>
      <c r="O35" s="3">
        <v>14680</v>
      </c>
      <c r="P35" t="s">
        <v>34</v>
      </c>
      <c r="Q35" t="s">
        <v>51</v>
      </c>
      <c r="R35" t="s">
        <v>36</v>
      </c>
      <c r="S35" t="s">
        <v>195</v>
      </c>
      <c r="T35" t="s">
        <v>215</v>
      </c>
      <c r="U35" t="s">
        <v>54</v>
      </c>
      <c r="V35" t="s">
        <v>40</v>
      </c>
      <c r="W35">
        <v>3</v>
      </c>
      <c r="X35" t="s">
        <v>41</v>
      </c>
      <c r="Y35" t="s">
        <v>55</v>
      </c>
      <c r="Z35">
        <v>4</v>
      </c>
    </row>
    <row r="36" spans="1:26">
      <c r="A36" t="s">
        <v>216</v>
      </c>
      <c r="B36" t="s">
        <v>217</v>
      </c>
      <c r="C36" t="s">
        <v>45</v>
      </c>
      <c r="D36" t="s">
        <v>109</v>
      </c>
      <c r="E36" s="1">
        <v>43164</v>
      </c>
      <c r="F36" t="s">
        <v>47</v>
      </c>
      <c r="G36" t="s">
        <v>218</v>
      </c>
      <c r="H36" t="s">
        <v>59</v>
      </c>
      <c r="I36">
        <v>10</v>
      </c>
      <c r="J36" t="s">
        <v>98</v>
      </c>
      <c r="K36">
        <v>1</v>
      </c>
      <c r="L36" s="3">
        <v>6099</v>
      </c>
      <c r="M36">
        <v>15</v>
      </c>
      <c r="N36" s="3">
        <v>5180</v>
      </c>
      <c r="O36" s="3">
        <v>5180</v>
      </c>
      <c r="P36" t="s">
        <v>74</v>
      </c>
      <c r="Q36" t="s">
        <v>51</v>
      </c>
      <c r="R36" t="s">
        <v>36</v>
      </c>
      <c r="S36" t="s">
        <v>200</v>
      </c>
      <c r="T36" t="s">
        <v>219</v>
      </c>
      <c r="U36" t="s">
        <v>61</v>
      </c>
      <c r="V36" t="s">
        <v>40</v>
      </c>
      <c r="W36">
        <v>4.5999999999999996</v>
      </c>
      <c r="X36" t="s">
        <v>106</v>
      </c>
      <c r="Y36" t="s">
        <v>55</v>
      </c>
      <c r="Z36">
        <v>3</v>
      </c>
    </row>
    <row r="37" spans="1:26">
      <c r="A37" t="s">
        <v>220</v>
      </c>
      <c r="B37" t="s">
        <v>221</v>
      </c>
      <c r="C37" t="s">
        <v>28</v>
      </c>
      <c r="D37" t="s">
        <v>29</v>
      </c>
      <c r="E37" s="1">
        <v>43165</v>
      </c>
      <c r="F37" t="s">
        <v>47</v>
      </c>
      <c r="G37" t="s">
        <v>218</v>
      </c>
      <c r="H37" t="s">
        <v>59</v>
      </c>
      <c r="I37">
        <v>9</v>
      </c>
      <c r="J37" t="s">
        <v>150</v>
      </c>
      <c r="K37">
        <v>1</v>
      </c>
      <c r="L37" s="3">
        <v>9699</v>
      </c>
      <c r="M37">
        <v>15</v>
      </c>
      <c r="N37" s="3">
        <v>8240</v>
      </c>
      <c r="O37" s="3">
        <v>8240</v>
      </c>
      <c r="P37" t="s">
        <v>81</v>
      </c>
      <c r="Q37" t="s">
        <v>51</v>
      </c>
      <c r="R37" t="s">
        <v>36</v>
      </c>
      <c r="S37" t="s">
        <v>186</v>
      </c>
      <c r="T37" t="s">
        <v>222</v>
      </c>
      <c r="U37" t="s">
        <v>124</v>
      </c>
      <c r="V37" t="s">
        <v>40</v>
      </c>
      <c r="W37">
        <v>4.2</v>
      </c>
      <c r="X37" t="s">
        <v>41</v>
      </c>
      <c r="Y37" t="s">
        <v>42</v>
      </c>
      <c r="Z37">
        <v>3</v>
      </c>
    </row>
    <row r="38" spans="1:26">
      <c r="A38" t="s">
        <v>223</v>
      </c>
      <c r="B38" t="s">
        <v>224</v>
      </c>
      <c r="C38" t="s">
        <v>45</v>
      </c>
      <c r="D38" t="s">
        <v>29</v>
      </c>
      <c r="E38" s="1">
        <v>43165</v>
      </c>
      <c r="F38" t="s">
        <v>30</v>
      </c>
      <c r="G38" t="s">
        <v>110</v>
      </c>
      <c r="H38" t="s">
        <v>111</v>
      </c>
      <c r="I38">
        <v>10</v>
      </c>
      <c r="J38" t="s">
        <v>98</v>
      </c>
      <c r="K38">
        <v>1</v>
      </c>
      <c r="L38" s="3">
        <v>5199</v>
      </c>
      <c r="M38">
        <v>10</v>
      </c>
      <c r="N38" s="3">
        <v>4680</v>
      </c>
      <c r="O38" s="3">
        <v>4680</v>
      </c>
      <c r="P38" t="s">
        <v>34</v>
      </c>
      <c r="Q38" t="s">
        <v>35</v>
      </c>
      <c r="R38" t="s">
        <v>36</v>
      </c>
      <c r="S38" t="s">
        <v>136</v>
      </c>
      <c r="T38" t="s">
        <v>225</v>
      </c>
      <c r="U38" t="s">
        <v>54</v>
      </c>
      <c r="V38" t="s">
        <v>40</v>
      </c>
      <c r="W38">
        <v>3.9</v>
      </c>
      <c r="X38" t="s">
        <v>41</v>
      </c>
      <c r="Y38" t="s">
        <v>42</v>
      </c>
      <c r="Z38">
        <v>5</v>
      </c>
    </row>
    <row r="39" spans="1:26">
      <c r="A39" t="s">
        <v>226</v>
      </c>
      <c r="B39" t="s">
        <v>227</v>
      </c>
      <c r="C39" t="s">
        <v>45</v>
      </c>
      <c r="D39" t="s">
        <v>109</v>
      </c>
      <c r="E39" s="1">
        <v>43168</v>
      </c>
      <c r="F39" t="s">
        <v>96</v>
      </c>
      <c r="G39" t="s">
        <v>228</v>
      </c>
      <c r="H39" t="s">
        <v>59</v>
      </c>
      <c r="I39">
        <v>10</v>
      </c>
      <c r="J39" t="s">
        <v>33</v>
      </c>
      <c r="K39">
        <v>1</v>
      </c>
      <c r="L39" s="3">
        <v>7399</v>
      </c>
      <c r="M39">
        <v>10</v>
      </c>
      <c r="N39" s="3">
        <v>6660</v>
      </c>
      <c r="O39" s="3">
        <v>6660</v>
      </c>
      <c r="P39" t="s">
        <v>81</v>
      </c>
      <c r="Q39" t="s">
        <v>51</v>
      </c>
      <c r="R39" t="s">
        <v>36</v>
      </c>
      <c r="S39" t="s">
        <v>99</v>
      </c>
      <c r="T39" t="s">
        <v>229</v>
      </c>
      <c r="U39" t="s">
        <v>124</v>
      </c>
      <c r="V39" t="s">
        <v>40</v>
      </c>
      <c r="W39">
        <v>4.0999999999999996</v>
      </c>
      <c r="X39" t="s">
        <v>41</v>
      </c>
      <c r="Y39" t="s">
        <v>55</v>
      </c>
      <c r="Z39">
        <v>3</v>
      </c>
    </row>
    <row r="40" spans="1:26">
      <c r="A40" t="s">
        <v>230</v>
      </c>
      <c r="B40" t="s">
        <v>231</v>
      </c>
      <c r="C40" t="s">
        <v>45</v>
      </c>
      <c r="D40" t="s">
        <v>103</v>
      </c>
      <c r="E40" s="1">
        <v>43169</v>
      </c>
      <c r="F40" t="s">
        <v>30</v>
      </c>
      <c r="G40" t="s">
        <v>145</v>
      </c>
      <c r="H40" t="s">
        <v>59</v>
      </c>
      <c r="I40">
        <v>8</v>
      </c>
      <c r="J40" t="s">
        <v>33</v>
      </c>
      <c r="K40">
        <v>1</v>
      </c>
      <c r="L40" s="3">
        <v>7699</v>
      </c>
      <c r="M40">
        <v>20</v>
      </c>
      <c r="N40" s="3">
        <v>6160</v>
      </c>
      <c r="O40" s="3">
        <v>6160</v>
      </c>
      <c r="P40" t="s">
        <v>34</v>
      </c>
      <c r="Q40" t="s">
        <v>51</v>
      </c>
      <c r="R40" t="s">
        <v>36</v>
      </c>
      <c r="S40" t="s">
        <v>200</v>
      </c>
      <c r="T40" t="s">
        <v>232</v>
      </c>
      <c r="U40" t="s">
        <v>91</v>
      </c>
      <c r="V40" t="s">
        <v>40</v>
      </c>
      <c r="W40">
        <v>4.4000000000000004</v>
      </c>
      <c r="X40" t="s">
        <v>41</v>
      </c>
      <c r="Y40" t="s">
        <v>55</v>
      </c>
      <c r="Z40">
        <v>2</v>
      </c>
    </row>
    <row r="41" spans="1:26">
      <c r="A41" t="s">
        <v>233</v>
      </c>
      <c r="B41" t="s">
        <v>234</v>
      </c>
      <c r="C41" t="s">
        <v>28</v>
      </c>
      <c r="D41" t="s">
        <v>46</v>
      </c>
      <c r="E41" s="1">
        <v>43170</v>
      </c>
      <c r="F41" t="s">
        <v>86</v>
      </c>
      <c r="G41" t="s">
        <v>190</v>
      </c>
      <c r="H41" t="s">
        <v>128</v>
      </c>
      <c r="I41">
        <v>10</v>
      </c>
      <c r="J41" t="s">
        <v>88</v>
      </c>
      <c r="K41">
        <v>1</v>
      </c>
      <c r="L41" s="3">
        <v>4399</v>
      </c>
      <c r="M41">
        <v>10</v>
      </c>
      <c r="N41" s="3">
        <v>3960</v>
      </c>
      <c r="O41" s="3">
        <v>3960</v>
      </c>
      <c r="P41" t="s">
        <v>74</v>
      </c>
      <c r="Q41" t="s">
        <v>82</v>
      </c>
      <c r="R41" t="s">
        <v>36</v>
      </c>
      <c r="S41" t="s">
        <v>52</v>
      </c>
      <c r="T41" t="s">
        <v>235</v>
      </c>
      <c r="U41" t="s">
        <v>39</v>
      </c>
      <c r="V41" t="s">
        <v>40</v>
      </c>
      <c r="W41">
        <v>5</v>
      </c>
      <c r="X41" t="s">
        <v>41</v>
      </c>
      <c r="Y41" t="s">
        <v>42</v>
      </c>
      <c r="Z41">
        <v>2</v>
      </c>
    </row>
    <row r="42" spans="1:26">
      <c r="A42" t="s">
        <v>236</v>
      </c>
      <c r="B42" t="s">
        <v>237</v>
      </c>
      <c r="C42" t="s">
        <v>45</v>
      </c>
      <c r="D42" t="s">
        <v>46</v>
      </c>
      <c r="E42" s="1">
        <v>43171</v>
      </c>
      <c r="F42" t="s">
        <v>30</v>
      </c>
      <c r="G42" t="s">
        <v>214</v>
      </c>
      <c r="H42" t="s">
        <v>128</v>
      </c>
      <c r="I42">
        <v>10</v>
      </c>
      <c r="J42" t="s">
        <v>98</v>
      </c>
      <c r="K42">
        <v>1</v>
      </c>
      <c r="L42" s="3">
        <v>8199</v>
      </c>
      <c r="M42">
        <v>30</v>
      </c>
      <c r="N42" s="3">
        <v>5740</v>
      </c>
      <c r="O42" s="3">
        <v>5740</v>
      </c>
      <c r="P42" t="s">
        <v>81</v>
      </c>
      <c r="Q42" t="s">
        <v>35</v>
      </c>
      <c r="R42" t="s">
        <v>36</v>
      </c>
      <c r="S42" t="s">
        <v>238</v>
      </c>
      <c r="T42" t="s">
        <v>239</v>
      </c>
      <c r="U42" t="s">
        <v>39</v>
      </c>
      <c r="V42" t="s">
        <v>40</v>
      </c>
      <c r="W42">
        <v>4.9000000000000004</v>
      </c>
      <c r="X42" t="s">
        <v>41</v>
      </c>
      <c r="Y42" t="s">
        <v>42</v>
      </c>
      <c r="Z42">
        <v>7</v>
      </c>
    </row>
    <row r="43" spans="1:26">
      <c r="A43" t="s">
        <v>240</v>
      </c>
      <c r="B43" t="s">
        <v>241</v>
      </c>
      <c r="C43" t="s">
        <v>45</v>
      </c>
      <c r="D43" t="s">
        <v>95</v>
      </c>
      <c r="E43" s="1">
        <v>43172</v>
      </c>
      <c r="F43" t="s">
        <v>86</v>
      </c>
      <c r="G43" t="s">
        <v>242</v>
      </c>
      <c r="H43" t="s">
        <v>32</v>
      </c>
      <c r="I43">
        <v>10</v>
      </c>
      <c r="J43" t="s">
        <v>98</v>
      </c>
      <c r="K43">
        <v>1</v>
      </c>
      <c r="L43" s="3">
        <v>7599</v>
      </c>
      <c r="M43">
        <v>10</v>
      </c>
      <c r="N43" s="3">
        <v>6840</v>
      </c>
      <c r="O43" s="3">
        <v>6840</v>
      </c>
      <c r="P43" t="s">
        <v>34</v>
      </c>
      <c r="Q43" t="s">
        <v>51</v>
      </c>
      <c r="R43" t="s">
        <v>36</v>
      </c>
      <c r="S43" t="s">
        <v>243</v>
      </c>
      <c r="T43" t="s">
        <v>244</v>
      </c>
      <c r="U43" t="s">
        <v>61</v>
      </c>
      <c r="V43" t="s">
        <v>40</v>
      </c>
      <c r="W43">
        <v>3.1</v>
      </c>
      <c r="X43" t="s">
        <v>106</v>
      </c>
      <c r="Y43" t="s">
        <v>42</v>
      </c>
      <c r="Z43">
        <v>3</v>
      </c>
    </row>
    <row r="44" spans="1:26">
      <c r="A44" t="s">
        <v>245</v>
      </c>
      <c r="B44" t="s">
        <v>246</v>
      </c>
      <c r="C44" t="s">
        <v>28</v>
      </c>
      <c r="D44" t="s">
        <v>46</v>
      </c>
      <c r="E44" s="1">
        <v>43173</v>
      </c>
      <c r="F44" t="s">
        <v>47</v>
      </c>
      <c r="G44" t="s">
        <v>48</v>
      </c>
      <c r="H44" t="s">
        <v>49</v>
      </c>
      <c r="I44">
        <v>9</v>
      </c>
      <c r="J44" t="s">
        <v>150</v>
      </c>
      <c r="K44">
        <v>1</v>
      </c>
      <c r="L44" s="3">
        <v>7299</v>
      </c>
      <c r="M44">
        <v>20</v>
      </c>
      <c r="N44" s="3">
        <v>5840</v>
      </c>
      <c r="O44" s="3">
        <v>5840</v>
      </c>
      <c r="P44" t="s">
        <v>34</v>
      </c>
      <c r="Q44" t="s">
        <v>51</v>
      </c>
      <c r="R44" t="s">
        <v>36</v>
      </c>
      <c r="S44" t="s">
        <v>160</v>
      </c>
      <c r="T44" t="s">
        <v>247</v>
      </c>
      <c r="U44" t="s">
        <v>39</v>
      </c>
      <c r="V44" t="s">
        <v>40</v>
      </c>
      <c r="W44">
        <v>4.5999999999999996</v>
      </c>
      <c r="X44" t="s">
        <v>62</v>
      </c>
      <c r="Y44" t="s">
        <v>42</v>
      </c>
      <c r="Z44">
        <v>3</v>
      </c>
    </row>
    <row r="45" spans="1:26">
      <c r="A45" t="s">
        <v>248</v>
      </c>
      <c r="B45" t="s">
        <v>249</v>
      </c>
      <c r="C45" t="s">
        <v>45</v>
      </c>
      <c r="D45" t="s">
        <v>46</v>
      </c>
      <c r="E45" s="1">
        <v>43174</v>
      </c>
      <c r="F45" t="s">
        <v>47</v>
      </c>
      <c r="G45" t="s">
        <v>140</v>
      </c>
      <c r="H45" t="s">
        <v>128</v>
      </c>
      <c r="I45">
        <v>7</v>
      </c>
      <c r="J45" t="s">
        <v>67</v>
      </c>
      <c r="K45">
        <v>1</v>
      </c>
      <c r="L45" s="3">
        <v>8399</v>
      </c>
      <c r="M45">
        <v>20</v>
      </c>
      <c r="N45" s="3">
        <v>6720</v>
      </c>
      <c r="O45" s="3">
        <v>6720</v>
      </c>
      <c r="P45" t="s">
        <v>50</v>
      </c>
      <c r="Q45" t="s">
        <v>82</v>
      </c>
      <c r="R45" t="s">
        <v>36</v>
      </c>
      <c r="S45" t="s">
        <v>112</v>
      </c>
      <c r="T45" t="s">
        <v>250</v>
      </c>
      <c r="U45" t="s">
        <v>54</v>
      </c>
      <c r="V45" t="s">
        <v>40</v>
      </c>
      <c r="W45">
        <v>4.5999999999999996</v>
      </c>
      <c r="X45" t="s">
        <v>41</v>
      </c>
      <c r="Y45" t="s">
        <v>42</v>
      </c>
      <c r="Z45">
        <v>5</v>
      </c>
    </row>
    <row r="46" spans="1:26">
      <c r="A46" t="s">
        <v>251</v>
      </c>
      <c r="B46" t="s">
        <v>252</v>
      </c>
      <c r="C46" t="s">
        <v>28</v>
      </c>
      <c r="D46" t="s">
        <v>95</v>
      </c>
      <c r="E46" s="1">
        <v>43176</v>
      </c>
      <c r="F46" t="s">
        <v>47</v>
      </c>
      <c r="G46" t="s">
        <v>199</v>
      </c>
      <c r="H46" t="s">
        <v>59</v>
      </c>
      <c r="I46">
        <v>11</v>
      </c>
      <c r="J46" t="s">
        <v>88</v>
      </c>
      <c r="K46">
        <v>1</v>
      </c>
      <c r="L46" s="3">
        <v>8999</v>
      </c>
      <c r="M46">
        <v>10</v>
      </c>
      <c r="N46" s="3">
        <v>8100</v>
      </c>
      <c r="O46" s="3">
        <v>8100</v>
      </c>
      <c r="P46" t="s">
        <v>50</v>
      </c>
      <c r="Q46" t="s">
        <v>51</v>
      </c>
      <c r="R46" t="s">
        <v>36</v>
      </c>
      <c r="S46" t="s">
        <v>117</v>
      </c>
      <c r="T46" t="s">
        <v>253</v>
      </c>
      <c r="U46" t="s">
        <v>124</v>
      </c>
      <c r="V46" t="s">
        <v>40</v>
      </c>
      <c r="W46">
        <v>4.4000000000000004</v>
      </c>
      <c r="X46" t="s">
        <v>41</v>
      </c>
      <c r="Y46" t="s">
        <v>147</v>
      </c>
      <c r="Z46">
        <v>1</v>
      </c>
    </row>
    <row r="47" spans="1:26">
      <c r="A47" t="s">
        <v>254</v>
      </c>
      <c r="B47" t="s">
        <v>255</v>
      </c>
      <c r="C47" t="s">
        <v>45</v>
      </c>
      <c r="D47" t="s">
        <v>46</v>
      </c>
      <c r="E47" s="1">
        <v>43176</v>
      </c>
      <c r="F47" t="s">
        <v>65</v>
      </c>
      <c r="G47" t="s">
        <v>256</v>
      </c>
      <c r="H47" t="s">
        <v>32</v>
      </c>
      <c r="I47">
        <v>11</v>
      </c>
      <c r="J47" t="s">
        <v>88</v>
      </c>
      <c r="K47">
        <v>2</v>
      </c>
      <c r="L47" s="3">
        <v>7199</v>
      </c>
      <c r="M47">
        <v>0</v>
      </c>
      <c r="N47" s="3">
        <v>7200</v>
      </c>
      <c r="O47" s="3">
        <v>14400</v>
      </c>
      <c r="P47" t="s">
        <v>81</v>
      </c>
      <c r="Q47" t="s">
        <v>51</v>
      </c>
      <c r="R47" t="s">
        <v>36</v>
      </c>
      <c r="S47" t="s">
        <v>156</v>
      </c>
      <c r="T47" t="s">
        <v>257</v>
      </c>
      <c r="U47" t="s">
        <v>54</v>
      </c>
      <c r="V47" t="s">
        <v>40</v>
      </c>
      <c r="W47">
        <v>4.5</v>
      </c>
      <c r="X47" t="s">
        <v>41</v>
      </c>
      <c r="Y47" t="s">
        <v>55</v>
      </c>
      <c r="Z47">
        <v>2</v>
      </c>
    </row>
    <row r="48" spans="1:26">
      <c r="A48" t="s">
        <v>258</v>
      </c>
      <c r="B48" t="s">
        <v>259</v>
      </c>
      <c r="C48" t="s">
        <v>28</v>
      </c>
      <c r="D48" t="s">
        <v>95</v>
      </c>
      <c r="E48" s="1">
        <v>43176</v>
      </c>
      <c r="F48" t="s">
        <v>47</v>
      </c>
      <c r="G48" t="s">
        <v>121</v>
      </c>
      <c r="H48" t="s">
        <v>111</v>
      </c>
      <c r="I48">
        <v>7</v>
      </c>
      <c r="J48" t="s">
        <v>150</v>
      </c>
      <c r="K48">
        <v>1</v>
      </c>
      <c r="L48" s="3">
        <v>6299</v>
      </c>
      <c r="M48">
        <v>35</v>
      </c>
      <c r="N48" s="3">
        <v>4090</v>
      </c>
      <c r="O48" s="3">
        <v>4090</v>
      </c>
      <c r="P48" t="s">
        <v>50</v>
      </c>
      <c r="Q48" t="s">
        <v>51</v>
      </c>
      <c r="R48" t="s">
        <v>36</v>
      </c>
      <c r="S48" t="s">
        <v>238</v>
      </c>
      <c r="T48" t="s">
        <v>260</v>
      </c>
      <c r="U48" t="s">
        <v>124</v>
      </c>
      <c r="V48" t="s">
        <v>40</v>
      </c>
      <c r="W48">
        <v>3.7</v>
      </c>
      <c r="X48" t="s">
        <v>41</v>
      </c>
      <c r="Y48" t="s">
        <v>147</v>
      </c>
      <c r="Z48">
        <v>1</v>
      </c>
    </row>
    <row r="49" spans="1:26">
      <c r="A49" t="s">
        <v>261</v>
      </c>
      <c r="B49" t="s">
        <v>262</v>
      </c>
      <c r="C49" t="s">
        <v>28</v>
      </c>
      <c r="D49" t="s">
        <v>46</v>
      </c>
      <c r="E49" s="1">
        <v>43176</v>
      </c>
      <c r="F49" t="s">
        <v>65</v>
      </c>
      <c r="G49" t="s">
        <v>256</v>
      </c>
      <c r="H49" t="s">
        <v>32</v>
      </c>
      <c r="I49">
        <v>9</v>
      </c>
      <c r="J49" t="s">
        <v>67</v>
      </c>
      <c r="K49">
        <v>2</v>
      </c>
      <c r="L49" s="3">
        <v>8599</v>
      </c>
      <c r="M49">
        <v>20</v>
      </c>
      <c r="N49" s="3">
        <v>6880</v>
      </c>
      <c r="O49" s="3">
        <v>13760</v>
      </c>
      <c r="P49" t="s">
        <v>74</v>
      </c>
      <c r="Q49" t="s">
        <v>51</v>
      </c>
      <c r="R49" t="s">
        <v>36</v>
      </c>
      <c r="S49" t="s">
        <v>200</v>
      </c>
      <c r="T49" t="s">
        <v>201</v>
      </c>
      <c r="U49" t="s">
        <v>39</v>
      </c>
      <c r="V49" t="s">
        <v>40</v>
      </c>
      <c r="W49">
        <v>4.8</v>
      </c>
      <c r="X49" t="s">
        <v>41</v>
      </c>
      <c r="Y49" t="s">
        <v>42</v>
      </c>
      <c r="Z49">
        <v>5</v>
      </c>
    </row>
    <row r="50" spans="1:26">
      <c r="A50" t="s">
        <v>263</v>
      </c>
      <c r="B50" t="s">
        <v>264</v>
      </c>
      <c r="C50" t="s">
        <v>28</v>
      </c>
      <c r="D50" t="s">
        <v>109</v>
      </c>
      <c r="E50" s="1">
        <v>43181</v>
      </c>
      <c r="F50" t="s">
        <v>47</v>
      </c>
      <c r="G50" t="s">
        <v>218</v>
      </c>
      <c r="H50" t="s">
        <v>59</v>
      </c>
      <c r="I50">
        <v>9</v>
      </c>
      <c r="J50" t="s">
        <v>98</v>
      </c>
      <c r="K50">
        <v>1</v>
      </c>
      <c r="L50" s="3">
        <v>5599</v>
      </c>
      <c r="M50">
        <v>30</v>
      </c>
      <c r="N50" s="3">
        <v>3920</v>
      </c>
      <c r="O50" s="3">
        <v>3920</v>
      </c>
      <c r="P50" t="s">
        <v>74</v>
      </c>
      <c r="Q50" t="s">
        <v>82</v>
      </c>
      <c r="R50" t="s">
        <v>36</v>
      </c>
      <c r="S50" t="s">
        <v>112</v>
      </c>
      <c r="T50" t="s">
        <v>265</v>
      </c>
      <c r="U50" t="s">
        <v>124</v>
      </c>
      <c r="V50" t="s">
        <v>40</v>
      </c>
      <c r="W50">
        <v>4.5999999999999996</v>
      </c>
      <c r="X50" t="s">
        <v>41</v>
      </c>
      <c r="Y50" t="s">
        <v>42</v>
      </c>
      <c r="Z50">
        <v>5</v>
      </c>
    </row>
    <row r="51" spans="1:26">
      <c r="A51" t="s">
        <v>266</v>
      </c>
      <c r="B51" t="s">
        <v>267</v>
      </c>
      <c r="C51" t="s">
        <v>28</v>
      </c>
      <c r="D51" t="s">
        <v>103</v>
      </c>
      <c r="E51" s="1">
        <v>43181</v>
      </c>
      <c r="F51" t="s">
        <v>65</v>
      </c>
      <c r="G51" t="s">
        <v>268</v>
      </c>
      <c r="H51" t="s">
        <v>128</v>
      </c>
      <c r="I51">
        <v>9</v>
      </c>
      <c r="J51" t="s">
        <v>33</v>
      </c>
      <c r="K51">
        <v>1</v>
      </c>
      <c r="L51" s="3">
        <v>3099</v>
      </c>
      <c r="M51">
        <v>10</v>
      </c>
      <c r="N51" s="3">
        <v>2790</v>
      </c>
      <c r="O51" s="3">
        <v>2790</v>
      </c>
      <c r="P51" t="s">
        <v>34</v>
      </c>
      <c r="Q51" t="s">
        <v>35</v>
      </c>
      <c r="R51" t="s">
        <v>36</v>
      </c>
      <c r="S51" t="s">
        <v>269</v>
      </c>
      <c r="T51" t="s">
        <v>270</v>
      </c>
      <c r="U51" t="s">
        <v>61</v>
      </c>
      <c r="V51" t="s">
        <v>40</v>
      </c>
      <c r="W51">
        <v>4.5999999999999996</v>
      </c>
      <c r="X51" t="s">
        <v>41</v>
      </c>
      <c r="Y51" t="s">
        <v>55</v>
      </c>
      <c r="Z51">
        <v>2</v>
      </c>
    </row>
    <row r="52" spans="1:26">
      <c r="A52" t="s">
        <v>271</v>
      </c>
      <c r="B52" t="s">
        <v>272</v>
      </c>
      <c r="C52" t="s">
        <v>45</v>
      </c>
      <c r="D52" t="s">
        <v>109</v>
      </c>
      <c r="E52" s="1">
        <v>43181</v>
      </c>
      <c r="F52" t="s">
        <v>86</v>
      </c>
      <c r="G52" t="s">
        <v>116</v>
      </c>
      <c r="H52" t="s">
        <v>49</v>
      </c>
      <c r="I52">
        <v>7</v>
      </c>
      <c r="J52" t="s">
        <v>67</v>
      </c>
      <c r="K52">
        <v>1</v>
      </c>
      <c r="L52" s="3">
        <v>5899</v>
      </c>
      <c r="M52">
        <v>20</v>
      </c>
      <c r="N52" s="3">
        <v>4720</v>
      </c>
      <c r="O52" s="3">
        <v>4720</v>
      </c>
      <c r="P52" t="s">
        <v>34</v>
      </c>
      <c r="Q52" t="s">
        <v>82</v>
      </c>
      <c r="R52" t="s">
        <v>36</v>
      </c>
      <c r="S52" t="s">
        <v>243</v>
      </c>
      <c r="T52" t="s">
        <v>273</v>
      </c>
      <c r="U52" t="s">
        <v>124</v>
      </c>
      <c r="V52" t="s">
        <v>40</v>
      </c>
      <c r="W52">
        <v>5</v>
      </c>
      <c r="X52" t="s">
        <v>41</v>
      </c>
      <c r="Y52" t="s">
        <v>55</v>
      </c>
      <c r="Z52">
        <v>1</v>
      </c>
    </row>
    <row r="53" spans="1:26">
      <c r="A53" t="s">
        <v>274</v>
      </c>
      <c r="B53" t="s">
        <v>275</v>
      </c>
      <c r="C53" t="s">
        <v>28</v>
      </c>
      <c r="D53" t="s">
        <v>29</v>
      </c>
      <c r="E53" s="1">
        <v>43183</v>
      </c>
      <c r="F53" t="s">
        <v>79</v>
      </c>
      <c r="G53" t="s">
        <v>80</v>
      </c>
      <c r="H53" t="s">
        <v>59</v>
      </c>
      <c r="I53">
        <v>10</v>
      </c>
      <c r="J53" t="s">
        <v>88</v>
      </c>
      <c r="K53">
        <v>3</v>
      </c>
      <c r="L53" s="3">
        <v>5899</v>
      </c>
      <c r="M53">
        <v>20</v>
      </c>
      <c r="N53" s="3">
        <v>4720</v>
      </c>
      <c r="O53" s="3">
        <v>14160</v>
      </c>
      <c r="P53" t="s">
        <v>50</v>
      </c>
      <c r="Q53" t="s">
        <v>82</v>
      </c>
      <c r="R53" t="s">
        <v>36</v>
      </c>
      <c r="S53" t="s">
        <v>243</v>
      </c>
      <c r="T53" t="s">
        <v>276</v>
      </c>
      <c r="U53" t="s">
        <v>39</v>
      </c>
      <c r="V53" t="s">
        <v>40</v>
      </c>
      <c r="W53">
        <v>4.7</v>
      </c>
      <c r="X53" t="s">
        <v>41</v>
      </c>
      <c r="Y53" t="s">
        <v>55</v>
      </c>
      <c r="Z53">
        <v>2</v>
      </c>
    </row>
    <row r="54" spans="1:26">
      <c r="A54" t="s">
        <v>277</v>
      </c>
      <c r="B54" t="s">
        <v>278</v>
      </c>
      <c r="C54" t="s">
        <v>94</v>
      </c>
      <c r="D54" t="s">
        <v>29</v>
      </c>
      <c r="E54" s="1">
        <v>43183</v>
      </c>
      <c r="F54" t="s">
        <v>65</v>
      </c>
      <c r="G54" t="s">
        <v>279</v>
      </c>
      <c r="H54" t="s">
        <v>111</v>
      </c>
      <c r="I54">
        <v>7</v>
      </c>
      <c r="J54" t="s">
        <v>67</v>
      </c>
      <c r="K54">
        <v>2</v>
      </c>
      <c r="L54" s="3">
        <v>6699</v>
      </c>
      <c r="M54">
        <v>10</v>
      </c>
      <c r="N54" s="3">
        <v>6030</v>
      </c>
      <c r="O54" s="3">
        <v>12060</v>
      </c>
      <c r="P54" t="s">
        <v>74</v>
      </c>
      <c r="Q54" t="s">
        <v>82</v>
      </c>
      <c r="R54" t="s">
        <v>36</v>
      </c>
      <c r="S54" t="s">
        <v>52</v>
      </c>
      <c r="T54" t="s">
        <v>60</v>
      </c>
      <c r="U54" t="s">
        <v>39</v>
      </c>
      <c r="V54" t="s">
        <v>40</v>
      </c>
      <c r="W54">
        <v>5</v>
      </c>
      <c r="X54" t="s">
        <v>41</v>
      </c>
      <c r="Y54" t="s">
        <v>42</v>
      </c>
      <c r="Z54">
        <v>5</v>
      </c>
    </row>
    <row r="55" spans="1:26">
      <c r="A55" t="s">
        <v>280</v>
      </c>
      <c r="B55" t="s">
        <v>281</v>
      </c>
      <c r="C55" t="s">
        <v>28</v>
      </c>
      <c r="D55" t="s">
        <v>46</v>
      </c>
      <c r="E55" s="1">
        <v>43184</v>
      </c>
      <c r="F55" t="s">
        <v>96</v>
      </c>
      <c r="G55" t="s">
        <v>171</v>
      </c>
      <c r="H55" t="s">
        <v>128</v>
      </c>
      <c r="I55">
        <v>9</v>
      </c>
      <c r="J55" t="s">
        <v>67</v>
      </c>
      <c r="K55">
        <v>1</v>
      </c>
      <c r="L55" s="3">
        <v>5999</v>
      </c>
      <c r="M55">
        <v>0</v>
      </c>
      <c r="N55" s="3">
        <v>6000</v>
      </c>
      <c r="O55" s="3">
        <v>6000</v>
      </c>
      <c r="P55" t="s">
        <v>81</v>
      </c>
      <c r="Q55" t="s">
        <v>82</v>
      </c>
      <c r="R55" t="s">
        <v>36</v>
      </c>
      <c r="S55" t="s">
        <v>129</v>
      </c>
      <c r="T55" t="s">
        <v>282</v>
      </c>
      <c r="U55" t="s">
        <v>91</v>
      </c>
      <c r="V55" t="s">
        <v>40</v>
      </c>
      <c r="W55">
        <v>4.5</v>
      </c>
      <c r="X55" t="s">
        <v>41</v>
      </c>
      <c r="Y55" t="s">
        <v>147</v>
      </c>
      <c r="Z55">
        <v>1</v>
      </c>
    </row>
    <row r="56" spans="1:26">
      <c r="A56" t="s">
        <v>283</v>
      </c>
      <c r="B56" t="s">
        <v>284</v>
      </c>
      <c r="C56" t="s">
        <v>94</v>
      </c>
      <c r="D56" t="s">
        <v>46</v>
      </c>
      <c r="E56" s="1">
        <v>43184</v>
      </c>
      <c r="F56" t="s">
        <v>86</v>
      </c>
      <c r="G56" t="s">
        <v>285</v>
      </c>
      <c r="H56" t="s">
        <v>111</v>
      </c>
      <c r="I56">
        <v>8</v>
      </c>
      <c r="J56" t="s">
        <v>67</v>
      </c>
      <c r="K56">
        <v>2</v>
      </c>
      <c r="L56" s="3">
        <v>7299</v>
      </c>
      <c r="M56">
        <v>35</v>
      </c>
      <c r="N56" s="3">
        <v>4740</v>
      </c>
      <c r="O56" s="3">
        <v>9480</v>
      </c>
      <c r="P56" t="s">
        <v>34</v>
      </c>
      <c r="Q56" t="s">
        <v>35</v>
      </c>
      <c r="R56" t="s">
        <v>36</v>
      </c>
      <c r="S56" t="s">
        <v>286</v>
      </c>
      <c r="T56" t="s">
        <v>287</v>
      </c>
      <c r="U56" t="s">
        <v>54</v>
      </c>
      <c r="V56" t="s">
        <v>40</v>
      </c>
      <c r="W56">
        <v>4.7</v>
      </c>
      <c r="X56" t="s">
        <v>41</v>
      </c>
      <c r="Y56" t="s">
        <v>42</v>
      </c>
      <c r="Z56">
        <v>1</v>
      </c>
    </row>
    <row r="57" spans="1:26">
      <c r="A57" t="s">
        <v>288</v>
      </c>
      <c r="B57" t="s">
        <v>289</v>
      </c>
      <c r="C57" t="s">
        <v>45</v>
      </c>
      <c r="D57" t="s">
        <v>46</v>
      </c>
      <c r="E57" s="1">
        <v>43187</v>
      </c>
      <c r="F57" t="s">
        <v>96</v>
      </c>
      <c r="G57" t="s">
        <v>290</v>
      </c>
      <c r="H57" t="s">
        <v>32</v>
      </c>
      <c r="I57">
        <v>10</v>
      </c>
      <c r="J57" t="s">
        <v>33</v>
      </c>
      <c r="K57">
        <v>1</v>
      </c>
      <c r="L57" s="3">
        <v>8599</v>
      </c>
      <c r="M57">
        <v>10</v>
      </c>
      <c r="N57" s="3">
        <v>7740</v>
      </c>
      <c r="O57" s="3">
        <v>7740</v>
      </c>
      <c r="P57" t="s">
        <v>34</v>
      </c>
      <c r="Q57" t="s">
        <v>51</v>
      </c>
      <c r="R57" t="s">
        <v>36</v>
      </c>
      <c r="S57" t="s">
        <v>104</v>
      </c>
      <c r="T57" t="s">
        <v>291</v>
      </c>
      <c r="U57" t="s">
        <v>91</v>
      </c>
      <c r="V57" t="s">
        <v>40</v>
      </c>
      <c r="W57">
        <v>3.4</v>
      </c>
      <c r="X57" t="s">
        <v>41</v>
      </c>
      <c r="Y57" t="s">
        <v>42</v>
      </c>
      <c r="Z57">
        <v>2</v>
      </c>
    </row>
    <row r="58" spans="1:26">
      <c r="A58" t="s">
        <v>292</v>
      </c>
      <c r="B58" t="s">
        <v>293</v>
      </c>
      <c r="C58" t="s">
        <v>28</v>
      </c>
      <c r="D58" t="s">
        <v>46</v>
      </c>
      <c r="E58" s="1">
        <v>43187</v>
      </c>
      <c r="F58" t="s">
        <v>30</v>
      </c>
      <c r="G58" t="s">
        <v>214</v>
      </c>
      <c r="H58" t="s">
        <v>128</v>
      </c>
      <c r="I58">
        <v>10</v>
      </c>
      <c r="J58" t="s">
        <v>98</v>
      </c>
      <c r="K58">
        <v>2</v>
      </c>
      <c r="L58" s="3">
        <v>4399</v>
      </c>
      <c r="M58">
        <v>40</v>
      </c>
      <c r="N58" s="3">
        <v>2640</v>
      </c>
      <c r="O58" s="3">
        <v>5280</v>
      </c>
      <c r="P58" t="s">
        <v>50</v>
      </c>
      <c r="Q58" t="s">
        <v>35</v>
      </c>
      <c r="R58" t="s">
        <v>36</v>
      </c>
      <c r="S58" t="s">
        <v>141</v>
      </c>
      <c r="T58" t="s">
        <v>294</v>
      </c>
      <c r="U58" t="s">
        <v>39</v>
      </c>
      <c r="V58" t="s">
        <v>40</v>
      </c>
      <c r="W58">
        <v>4.0999999999999996</v>
      </c>
      <c r="X58" t="s">
        <v>41</v>
      </c>
      <c r="Y58" t="s">
        <v>42</v>
      </c>
      <c r="Z58">
        <v>4</v>
      </c>
    </row>
    <row r="59" spans="1:26">
      <c r="A59" t="s">
        <v>295</v>
      </c>
      <c r="B59" t="s">
        <v>296</v>
      </c>
      <c r="C59" t="s">
        <v>28</v>
      </c>
      <c r="D59" t="s">
        <v>95</v>
      </c>
      <c r="E59" s="1">
        <v>43192</v>
      </c>
      <c r="F59" t="s">
        <v>47</v>
      </c>
      <c r="G59" t="s">
        <v>48</v>
      </c>
      <c r="H59" t="s">
        <v>49</v>
      </c>
      <c r="I59">
        <v>12</v>
      </c>
      <c r="J59" t="s">
        <v>67</v>
      </c>
      <c r="K59">
        <v>1</v>
      </c>
      <c r="L59" s="3">
        <v>7899</v>
      </c>
      <c r="M59">
        <v>15</v>
      </c>
      <c r="N59" s="3">
        <v>6710</v>
      </c>
      <c r="O59" s="3">
        <v>6710</v>
      </c>
      <c r="P59" t="s">
        <v>34</v>
      </c>
      <c r="Q59" t="s">
        <v>82</v>
      </c>
      <c r="R59" t="s">
        <v>36</v>
      </c>
      <c r="S59" t="s">
        <v>297</v>
      </c>
      <c r="T59" t="s">
        <v>298</v>
      </c>
      <c r="U59" t="s">
        <v>39</v>
      </c>
      <c r="V59" t="s">
        <v>40</v>
      </c>
      <c r="W59">
        <v>4.0999999999999996</v>
      </c>
      <c r="X59" t="s">
        <v>41</v>
      </c>
      <c r="Y59" t="s">
        <v>42</v>
      </c>
      <c r="Z59">
        <v>2</v>
      </c>
    </row>
    <row r="60" spans="1:26">
      <c r="A60" t="s">
        <v>299</v>
      </c>
      <c r="B60" t="s">
        <v>300</v>
      </c>
      <c r="C60" t="s">
        <v>28</v>
      </c>
      <c r="D60" t="s">
        <v>103</v>
      </c>
      <c r="E60" s="1">
        <v>43195</v>
      </c>
      <c r="F60" t="s">
        <v>79</v>
      </c>
      <c r="G60" t="s">
        <v>301</v>
      </c>
      <c r="H60" t="s">
        <v>49</v>
      </c>
      <c r="I60">
        <v>11</v>
      </c>
      <c r="J60" t="s">
        <v>73</v>
      </c>
      <c r="K60">
        <v>1</v>
      </c>
      <c r="L60" s="3">
        <v>7599</v>
      </c>
      <c r="M60">
        <v>25</v>
      </c>
      <c r="N60" s="3">
        <v>5700</v>
      </c>
      <c r="O60" s="3">
        <v>5700</v>
      </c>
      <c r="P60" t="s">
        <v>50</v>
      </c>
      <c r="Q60" t="s">
        <v>51</v>
      </c>
      <c r="R60" t="s">
        <v>36</v>
      </c>
      <c r="S60" t="s">
        <v>200</v>
      </c>
      <c r="T60" t="s">
        <v>201</v>
      </c>
      <c r="U60" t="s">
        <v>61</v>
      </c>
      <c r="V60" t="s">
        <v>40</v>
      </c>
      <c r="W60">
        <v>4.4000000000000004</v>
      </c>
      <c r="X60" t="s">
        <v>41</v>
      </c>
      <c r="Y60" t="s">
        <v>42</v>
      </c>
      <c r="Z60">
        <v>1</v>
      </c>
    </row>
    <row r="61" spans="1:26">
      <c r="A61" t="s">
        <v>302</v>
      </c>
      <c r="B61" t="s">
        <v>303</v>
      </c>
      <c r="C61" t="s">
        <v>28</v>
      </c>
      <c r="D61" t="s">
        <v>46</v>
      </c>
      <c r="E61" s="1">
        <v>43196</v>
      </c>
      <c r="F61" t="s">
        <v>30</v>
      </c>
      <c r="G61" t="s">
        <v>214</v>
      </c>
      <c r="H61" t="s">
        <v>128</v>
      </c>
      <c r="I61">
        <v>7</v>
      </c>
      <c r="J61" t="s">
        <v>98</v>
      </c>
      <c r="K61">
        <v>1</v>
      </c>
      <c r="L61" s="3">
        <v>7799</v>
      </c>
      <c r="M61">
        <v>15</v>
      </c>
      <c r="N61" s="3">
        <v>6630</v>
      </c>
      <c r="O61" s="3">
        <v>6630</v>
      </c>
      <c r="P61" t="s">
        <v>34</v>
      </c>
      <c r="Q61" t="s">
        <v>51</v>
      </c>
      <c r="R61" t="s">
        <v>36</v>
      </c>
      <c r="S61" t="s">
        <v>122</v>
      </c>
      <c r="T61" t="s">
        <v>304</v>
      </c>
      <c r="U61" t="s">
        <v>91</v>
      </c>
      <c r="V61" t="s">
        <v>40</v>
      </c>
      <c r="W61">
        <v>4.5999999999999996</v>
      </c>
      <c r="X61" t="s">
        <v>41</v>
      </c>
      <c r="Y61" t="s">
        <v>147</v>
      </c>
      <c r="Z61">
        <v>1</v>
      </c>
    </row>
    <row r="62" spans="1:26">
      <c r="A62" t="s">
        <v>305</v>
      </c>
      <c r="B62" t="s">
        <v>306</v>
      </c>
      <c r="C62" t="s">
        <v>28</v>
      </c>
      <c r="D62" t="s">
        <v>95</v>
      </c>
      <c r="E62" s="1">
        <v>43196</v>
      </c>
      <c r="F62" t="s">
        <v>79</v>
      </c>
      <c r="G62" t="s">
        <v>127</v>
      </c>
      <c r="H62" t="s">
        <v>128</v>
      </c>
      <c r="I62">
        <v>10</v>
      </c>
      <c r="J62" t="s">
        <v>150</v>
      </c>
      <c r="K62">
        <v>1</v>
      </c>
      <c r="L62" s="3">
        <v>5099</v>
      </c>
      <c r="M62">
        <v>5</v>
      </c>
      <c r="N62" s="3">
        <v>4840</v>
      </c>
      <c r="O62" s="3">
        <v>4840</v>
      </c>
      <c r="P62" t="s">
        <v>74</v>
      </c>
      <c r="Q62" t="s">
        <v>51</v>
      </c>
      <c r="R62" t="s">
        <v>36</v>
      </c>
      <c r="S62" t="s">
        <v>129</v>
      </c>
      <c r="T62" t="s">
        <v>146</v>
      </c>
      <c r="U62" t="s">
        <v>124</v>
      </c>
      <c r="V62" t="s">
        <v>40</v>
      </c>
      <c r="W62">
        <v>3.5</v>
      </c>
      <c r="X62" t="s">
        <v>106</v>
      </c>
      <c r="Y62" t="s">
        <v>42</v>
      </c>
      <c r="Z62">
        <v>1</v>
      </c>
    </row>
    <row r="63" spans="1:26">
      <c r="A63" t="s">
        <v>307</v>
      </c>
      <c r="B63" t="s">
        <v>308</v>
      </c>
      <c r="C63" t="s">
        <v>45</v>
      </c>
      <c r="D63" t="s">
        <v>95</v>
      </c>
      <c r="E63" s="1">
        <v>43198</v>
      </c>
      <c r="F63" t="s">
        <v>65</v>
      </c>
      <c r="G63" t="s">
        <v>279</v>
      </c>
      <c r="H63" t="s">
        <v>111</v>
      </c>
      <c r="I63">
        <v>6</v>
      </c>
      <c r="J63" t="s">
        <v>73</v>
      </c>
      <c r="K63">
        <v>1</v>
      </c>
      <c r="L63" s="3">
        <v>5199</v>
      </c>
      <c r="M63">
        <v>10</v>
      </c>
      <c r="N63" s="3">
        <v>4680</v>
      </c>
      <c r="O63" s="3">
        <v>4680</v>
      </c>
      <c r="P63" t="s">
        <v>81</v>
      </c>
      <c r="Q63" t="s">
        <v>51</v>
      </c>
      <c r="R63" t="s">
        <v>36</v>
      </c>
      <c r="S63" t="s">
        <v>182</v>
      </c>
      <c r="T63" t="s">
        <v>309</v>
      </c>
      <c r="U63" t="s">
        <v>54</v>
      </c>
      <c r="V63" t="s">
        <v>40</v>
      </c>
      <c r="W63">
        <v>3.6</v>
      </c>
      <c r="X63" t="s">
        <v>41</v>
      </c>
      <c r="Y63" t="s">
        <v>55</v>
      </c>
      <c r="Z63">
        <v>1</v>
      </c>
    </row>
    <row r="64" spans="1:26">
      <c r="A64" t="s">
        <v>310</v>
      </c>
      <c r="B64" t="s">
        <v>311</v>
      </c>
      <c r="C64" t="s">
        <v>94</v>
      </c>
      <c r="D64" t="s">
        <v>103</v>
      </c>
      <c r="E64" s="1">
        <v>43199</v>
      </c>
      <c r="F64" t="s">
        <v>86</v>
      </c>
      <c r="G64" t="s">
        <v>312</v>
      </c>
      <c r="H64" t="s">
        <v>59</v>
      </c>
      <c r="I64">
        <v>8</v>
      </c>
      <c r="J64" t="s">
        <v>33</v>
      </c>
      <c r="K64">
        <v>1</v>
      </c>
      <c r="L64" s="3">
        <v>8799</v>
      </c>
      <c r="M64">
        <v>25</v>
      </c>
      <c r="N64" s="3">
        <v>6600</v>
      </c>
      <c r="O64" s="3">
        <v>6600</v>
      </c>
      <c r="P64" t="s">
        <v>81</v>
      </c>
      <c r="Q64" t="s">
        <v>51</v>
      </c>
      <c r="R64" t="s">
        <v>36</v>
      </c>
      <c r="S64" t="s">
        <v>52</v>
      </c>
      <c r="T64" t="s">
        <v>235</v>
      </c>
      <c r="U64" t="s">
        <v>91</v>
      </c>
      <c r="V64" t="s">
        <v>40</v>
      </c>
      <c r="W64">
        <v>4.4000000000000004</v>
      </c>
      <c r="X64" t="s">
        <v>41</v>
      </c>
      <c r="Y64" t="s">
        <v>55</v>
      </c>
      <c r="Z64">
        <v>1</v>
      </c>
    </row>
    <row r="65" spans="1:26">
      <c r="A65" t="s">
        <v>313</v>
      </c>
      <c r="B65" t="s">
        <v>85</v>
      </c>
      <c r="C65" t="s">
        <v>45</v>
      </c>
      <c r="D65" t="s">
        <v>29</v>
      </c>
      <c r="E65" s="1">
        <v>43199</v>
      </c>
      <c r="F65" t="s">
        <v>65</v>
      </c>
      <c r="G65" t="s">
        <v>66</v>
      </c>
      <c r="H65" t="s">
        <v>59</v>
      </c>
      <c r="I65">
        <v>6</v>
      </c>
      <c r="J65" t="s">
        <v>98</v>
      </c>
      <c r="K65">
        <v>1</v>
      </c>
      <c r="L65" s="3">
        <v>3599</v>
      </c>
      <c r="M65">
        <v>30</v>
      </c>
      <c r="N65" s="3">
        <v>2520</v>
      </c>
      <c r="O65" s="3">
        <v>2520</v>
      </c>
      <c r="P65" t="s">
        <v>34</v>
      </c>
      <c r="Q65" t="s">
        <v>35</v>
      </c>
      <c r="R65" t="s">
        <v>36</v>
      </c>
      <c r="S65" t="s">
        <v>164</v>
      </c>
      <c r="T65" t="s">
        <v>314</v>
      </c>
      <c r="U65" t="s">
        <v>54</v>
      </c>
      <c r="V65" t="s">
        <v>315</v>
      </c>
      <c r="W65">
        <v>3.7</v>
      </c>
      <c r="X65" t="s">
        <v>41</v>
      </c>
      <c r="Y65" t="s">
        <v>42</v>
      </c>
      <c r="Z65">
        <v>4</v>
      </c>
    </row>
    <row r="66" spans="1:26">
      <c r="A66" t="s">
        <v>316</v>
      </c>
      <c r="B66" t="s">
        <v>317</v>
      </c>
      <c r="C66" t="s">
        <v>94</v>
      </c>
      <c r="D66" t="s">
        <v>29</v>
      </c>
      <c r="E66" s="1">
        <v>43202</v>
      </c>
      <c r="F66" t="s">
        <v>65</v>
      </c>
      <c r="G66" t="s">
        <v>66</v>
      </c>
      <c r="H66" t="s">
        <v>59</v>
      </c>
      <c r="I66">
        <v>8</v>
      </c>
      <c r="J66" t="s">
        <v>98</v>
      </c>
      <c r="K66">
        <v>3</v>
      </c>
      <c r="L66" s="3">
        <v>5399</v>
      </c>
      <c r="M66">
        <v>25</v>
      </c>
      <c r="N66" s="3">
        <v>4050</v>
      </c>
      <c r="O66" s="3">
        <v>12150</v>
      </c>
      <c r="P66" t="s">
        <v>74</v>
      </c>
      <c r="Q66" t="s">
        <v>51</v>
      </c>
      <c r="R66" t="s">
        <v>36</v>
      </c>
      <c r="S66" t="s">
        <v>75</v>
      </c>
      <c r="T66" t="s">
        <v>318</v>
      </c>
      <c r="U66" t="s">
        <v>39</v>
      </c>
      <c r="V66" t="s">
        <v>40</v>
      </c>
      <c r="W66">
        <v>4.3</v>
      </c>
      <c r="X66" t="s">
        <v>41</v>
      </c>
      <c r="Y66" t="s">
        <v>42</v>
      </c>
      <c r="Z66">
        <v>2</v>
      </c>
    </row>
    <row r="67" spans="1:26">
      <c r="A67" t="s">
        <v>319</v>
      </c>
      <c r="B67" t="s">
        <v>320</v>
      </c>
      <c r="C67" t="s">
        <v>45</v>
      </c>
      <c r="D67" t="s">
        <v>103</v>
      </c>
      <c r="E67" s="1">
        <v>43203</v>
      </c>
      <c r="F67" t="s">
        <v>96</v>
      </c>
      <c r="G67" t="s">
        <v>171</v>
      </c>
      <c r="H67" t="s">
        <v>128</v>
      </c>
      <c r="I67">
        <v>10</v>
      </c>
      <c r="J67" t="s">
        <v>73</v>
      </c>
      <c r="K67">
        <v>2</v>
      </c>
      <c r="L67" s="3">
        <v>5399</v>
      </c>
      <c r="M67">
        <v>10</v>
      </c>
      <c r="N67" s="3">
        <v>4860</v>
      </c>
      <c r="O67" s="3">
        <v>9720</v>
      </c>
      <c r="P67" t="s">
        <v>81</v>
      </c>
      <c r="Q67" t="s">
        <v>51</v>
      </c>
      <c r="R67" t="s">
        <v>36</v>
      </c>
      <c r="S67" t="s">
        <v>243</v>
      </c>
      <c r="T67" t="s">
        <v>276</v>
      </c>
      <c r="U67" t="s">
        <v>61</v>
      </c>
      <c r="V67" t="s">
        <v>40</v>
      </c>
      <c r="W67">
        <v>2.9</v>
      </c>
      <c r="X67" t="s">
        <v>41</v>
      </c>
      <c r="Y67" t="s">
        <v>42</v>
      </c>
      <c r="Z67">
        <v>5</v>
      </c>
    </row>
    <row r="68" spans="1:26">
      <c r="A68" t="s">
        <v>321</v>
      </c>
      <c r="B68" t="s">
        <v>322</v>
      </c>
      <c r="C68" t="s">
        <v>45</v>
      </c>
      <c r="D68" t="s">
        <v>29</v>
      </c>
      <c r="E68" s="1">
        <v>43204</v>
      </c>
      <c r="F68" t="s">
        <v>96</v>
      </c>
      <c r="G68" t="s">
        <v>323</v>
      </c>
      <c r="H68" t="s">
        <v>59</v>
      </c>
      <c r="I68">
        <v>7</v>
      </c>
      <c r="J68" t="s">
        <v>67</v>
      </c>
      <c r="K68">
        <v>1</v>
      </c>
      <c r="L68" s="3">
        <v>7699</v>
      </c>
      <c r="M68">
        <v>20</v>
      </c>
      <c r="N68" s="3">
        <v>6160</v>
      </c>
      <c r="O68" s="3">
        <v>6160</v>
      </c>
      <c r="P68" t="s">
        <v>74</v>
      </c>
      <c r="Q68" t="s">
        <v>35</v>
      </c>
      <c r="R68" t="s">
        <v>36</v>
      </c>
      <c r="S68" t="s">
        <v>156</v>
      </c>
      <c r="T68" t="s">
        <v>324</v>
      </c>
      <c r="U68" t="s">
        <v>54</v>
      </c>
      <c r="V68" t="s">
        <v>40</v>
      </c>
      <c r="W68">
        <v>3</v>
      </c>
      <c r="X68" t="s">
        <v>41</v>
      </c>
      <c r="Y68" t="s">
        <v>55</v>
      </c>
      <c r="Z68">
        <v>3</v>
      </c>
    </row>
    <row r="69" spans="1:26">
      <c r="A69" t="s">
        <v>325</v>
      </c>
      <c r="B69" t="s">
        <v>173</v>
      </c>
      <c r="C69" t="s">
        <v>45</v>
      </c>
      <c r="D69" t="s">
        <v>103</v>
      </c>
      <c r="E69" s="1">
        <v>43205</v>
      </c>
      <c r="F69" t="s">
        <v>86</v>
      </c>
      <c r="G69" t="s">
        <v>190</v>
      </c>
      <c r="H69" t="s">
        <v>128</v>
      </c>
      <c r="I69">
        <v>6</v>
      </c>
      <c r="J69" t="s">
        <v>73</v>
      </c>
      <c r="K69">
        <v>1</v>
      </c>
      <c r="L69" s="3">
        <v>8299</v>
      </c>
      <c r="M69">
        <v>25</v>
      </c>
      <c r="N69" s="3">
        <v>6220</v>
      </c>
      <c r="O69" s="3">
        <v>6220</v>
      </c>
      <c r="P69" t="s">
        <v>74</v>
      </c>
      <c r="Q69" t="s">
        <v>51</v>
      </c>
      <c r="R69" t="s">
        <v>36</v>
      </c>
      <c r="S69" t="s">
        <v>156</v>
      </c>
      <c r="T69" t="s">
        <v>257</v>
      </c>
      <c r="U69" t="s">
        <v>54</v>
      </c>
      <c r="V69" t="s">
        <v>315</v>
      </c>
      <c r="W69">
        <v>3.7</v>
      </c>
      <c r="X69" t="s">
        <v>62</v>
      </c>
      <c r="Y69" t="s">
        <v>42</v>
      </c>
      <c r="Z69">
        <v>4</v>
      </c>
    </row>
    <row r="70" spans="1:26">
      <c r="A70" t="s">
        <v>326</v>
      </c>
      <c r="B70" t="s">
        <v>327</v>
      </c>
      <c r="C70" t="s">
        <v>45</v>
      </c>
      <c r="D70" t="s">
        <v>46</v>
      </c>
      <c r="E70" s="1">
        <v>43206</v>
      </c>
      <c r="F70" t="s">
        <v>96</v>
      </c>
      <c r="G70" t="s">
        <v>155</v>
      </c>
      <c r="H70" t="s">
        <v>111</v>
      </c>
      <c r="I70">
        <v>11</v>
      </c>
      <c r="J70" t="s">
        <v>98</v>
      </c>
      <c r="K70">
        <v>2</v>
      </c>
      <c r="L70" s="3">
        <v>9599</v>
      </c>
      <c r="M70">
        <v>25</v>
      </c>
      <c r="N70" s="3">
        <v>7200</v>
      </c>
      <c r="O70" s="3">
        <v>14400</v>
      </c>
      <c r="P70" t="s">
        <v>74</v>
      </c>
      <c r="Q70" t="s">
        <v>51</v>
      </c>
      <c r="R70" t="s">
        <v>36</v>
      </c>
      <c r="S70" t="s">
        <v>243</v>
      </c>
      <c r="T70" t="s">
        <v>328</v>
      </c>
      <c r="U70" t="s">
        <v>91</v>
      </c>
      <c r="V70" t="s">
        <v>40</v>
      </c>
      <c r="W70">
        <v>3.8</v>
      </c>
      <c r="X70" t="s">
        <v>41</v>
      </c>
      <c r="Y70" t="s">
        <v>42</v>
      </c>
      <c r="Z70">
        <v>3</v>
      </c>
    </row>
    <row r="71" spans="1:26">
      <c r="A71" t="s">
        <v>329</v>
      </c>
      <c r="B71" t="s">
        <v>330</v>
      </c>
      <c r="C71" t="s">
        <v>45</v>
      </c>
      <c r="D71" t="s">
        <v>46</v>
      </c>
      <c r="E71" s="1">
        <v>43209</v>
      </c>
      <c r="F71" t="s">
        <v>30</v>
      </c>
      <c r="G71" t="s">
        <v>214</v>
      </c>
      <c r="H71" t="s">
        <v>128</v>
      </c>
      <c r="I71">
        <v>8</v>
      </c>
      <c r="J71" t="s">
        <v>33</v>
      </c>
      <c r="K71">
        <v>1</v>
      </c>
      <c r="L71" s="3">
        <v>3699</v>
      </c>
      <c r="M71">
        <v>20</v>
      </c>
      <c r="N71" s="3">
        <v>2960</v>
      </c>
      <c r="O71" s="3">
        <v>2960</v>
      </c>
      <c r="P71" t="s">
        <v>50</v>
      </c>
      <c r="Q71" t="s">
        <v>35</v>
      </c>
      <c r="R71" t="s">
        <v>36</v>
      </c>
      <c r="S71" t="s">
        <v>112</v>
      </c>
      <c r="T71" t="s">
        <v>250</v>
      </c>
      <c r="U71" t="s">
        <v>91</v>
      </c>
      <c r="V71" t="s">
        <v>40</v>
      </c>
      <c r="W71">
        <v>3.5</v>
      </c>
      <c r="X71" t="s">
        <v>41</v>
      </c>
      <c r="Y71" t="s">
        <v>55</v>
      </c>
      <c r="Z71">
        <v>4</v>
      </c>
    </row>
    <row r="72" spans="1:26">
      <c r="A72" t="s">
        <v>331</v>
      </c>
      <c r="B72" t="s">
        <v>311</v>
      </c>
      <c r="C72" t="s">
        <v>28</v>
      </c>
      <c r="D72" t="s">
        <v>95</v>
      </c>
      <c r="E72" s="1">
        <v>43210</v>
      </c>
      <c r="F72" t="s">
        <v>30</v>
      </c>
      <c r="G72" t="s">
        <v>214</v>
      </c>
      <c r="H72" t="s">
        <v>128</v>
      </c>
      <c r="I72">
        <v>7</v>
      </c>
      <c r="J72" t="s">
        <v>88</v>
      </c>
      <c r="K72">
        <v>3</v>
      </c>
      <c r="L72" s="3">
        <v>5299</v>
      </c>
      <c r="M72">
        <v>15</v>
      </c>
      <c r="N72" s="3">
        <v>4500</v>
      </c>
      <c r="O72" s="3">
        <v>13500</v>
      </c>
      <c r="P72" t="s">
        <v>50</v>
      </c>
      <c r="Q72" t="s">
        <v>35</v>
      </c>
      <c r="R72" t="s">
        <v>36</v>
      </c>
      <c r="S72" t="s">
        <v>191</v>
      </c>
      <c r="T72" t="s">
        <v>332</v>
      </c>
      <c r="U72" t="s">
        <v>54</v>
      </c>
      <c r="V72" t="s">
        <v>315</v>
      </c>
      <c r="W72">
        <v>5</v>
      </c>
      <c r="X72" t="s">
        <v>41</v>
      </c>
      <c r="Y72" t="s">
        <v>55</v>
      </c>
      <c r="Z72">
        <v>2</v>
      </c>
    </row>
    <row r="73" spans="1:26">
      <c r="A73" t="s">
        <v>333</v>
      </c>
      <c r="B73" t="s">
        <v>334</v>
      </c>
      <c r="C73" t="s">
        <v>45</v>
      </c>
      <c r="D73" t="s">
        <v>95</v>
      </c>
      <c r="E73" s="1">
        <v>43210</v>
      </c>
      <c r="F73" t="s">
        <v>30</v>
      </c>
      <c r="G73" t="s">
        <v>145</v>
      </c>
      <c r="H73" t="s">
        <v>59</v>
      </c>
      <c r="I73">
        <v>12</v>
      </c>
      <c r="J73" t="s">
        <v>98</v>
      </c>
      <c r="K73">
        <v>1</v>
      </c>
      <c r="L73" s="3">
        <v>7999</v>
      </c>
      <c r="M73">
        <v>0</v>
      </c>
      <c r="N73" s="3">
        <v>8000</v>
      </c>
      <c r="O73" s="3">
        <v>8000</v>
      </c>
      <c r="P73" t="s">
        <v>34</v>
      </c>
      <c r="Q73" t="s">
        <v>82</v>
      </c>
      <c r="R73" t="s">
        <v>36</v>
      </c>
      <c r="S73" t="s">
        <v>99</v>
      </c>
      <c r="T73" t="s">
        <v>335</v>
      </c>
      <c r="U73" t="s">
        <v>54</v>
      </c>
      <c r="V73" t="s">
        <v>40</v>
      </c>
      <c r="W73">
        <v>4.0999999999999996</v>
      </c>
      <c r="X73" t="s">
        <v>41</v>
      </c>
      <c r="Y73" t="s">
        <v>55</v>
      </c>
      <c r="Z73">
        <v>3</v>
      </c>
    </row>
    <row r="74" spans="1:26">
      <c r="A74" t="s">
        <v>336</v>
      </c>
      <c r="B74" t="s">
        <v>337</v>
      </c>
      <c r="C74" t="s">
        <v>45</v>
      </c>
      <c r="D74" t="s">
        <v>46</v>
      </c>
      <c r="E74" s="1">
        <v>43211</v>
      </c>
      <c r="F74" t="s">
        <v>65</v>
      </c>
      <c r="G74" t="s">
        <v>256</v>
      </c>
      <c r="H74" t="s">
        <v>32</v>
      </c>
      <c r="I74">
        <v>9</v>
      </c>
      <c r="J74" t="s">
        <v>73</v>
      </c>
      <c r="K74">
        <v>1</v>
      </c>
      <c r="L74" s="3">
        <v>6999</v>
      </c>
      <c r="M74">
        <v>5</v>
      </c>
      <c r="N74" s="3">
        <v>6650</v>
      </c>
      <c r="O74" s="3">
        <v>6650</v>
      </c>
      <c r="P74" t="s">
        <v>74</v>
      </c>
      <c r="Q74" t="s">
        <v>51</v>
      </c>
      <c r="R74" t="s">
        <v>36</v>
      </c>
      <c r="S74" t="s">
        <v>338</v>
      </c>
      <c r="T74" t="s">
        <v>338</v>
      </c>
      <c r="U74" t="s">
        <v>124</v>
      </c>
      <c r="V74" t="s">
        <v>40</v>
      </c>
      <c r="W74">
        <v>3.3</v>
      </c>
      <c r="X74" t="s">
        <v>41</v>
      </c>
      <c r="Y74" t="s">
        <v>42</v>
      </c>
      <c r="Z74">
        <v>2</v>
      </c>
    </row>
    <row r="75" spans="1:26">
      <c r="A75" t="s">
        <v>339</v>
      </c>
      <c r="B75" t="s">
        <v>340</v>
      </c>
      <c r="C75" t="s">
        <v>28</v>
      </c>
      <c r="D75" t="s">
        <v>95</v>
      </c>
      <c r="E75" s="1">
        <v>43214</v>
      </c>
      <c r="F75" t="s">
        <v>96</v>
      </c>
      <c r="G75" t="s">
        <v>97</v>
      </c>
      <c r="H75" t="s">
        <v>49</v>
      </c>
      <c r="I75">
        <v>11</v>
      </c>
      <c r="J75" t="s">
        <v>33</v>
      </c>
      <c r="K75">
        <v>3</v>
      </c>
      <c r="L75" s="3">
        <v>7999</v>
      </c>
      <c r="M75">
        <v>10</v>
      </c>
      <c r="N75" s="3">
        <v>7200</v>
      </c>
      <c r="O75" s="3">
        <v>21600</v>
      </c>
      <c r="P75" t="s">
        <v>34</v>
      </c>
      <c r="Q75" t="s">
        <v>51</v>
      </c>
      <c r="R75" t="s">
        <v>36</v>
      </c>
      <c r="S75" t="s">
        <v>186</v>
      </c>
      <c r="T75" t="s">
        <v>341</v>
      </c>
      <c r="U75" t="s">
        <v>61</v>
      </c>
      <c r="V75" t="s">
        <v>40</v>
      </c>
      <c r="W75">
        <v>4.5</v>
      </c>
      <c r="X75" t="s">
        <v>41</v>
      </c>
      <c r="Y75" t="s">
        <v>55</v>
      </c>
      <c r="Z75">
        <v>2</v>
      </c>
    </row>
    <row r="76" spans="1:26">
      <c r="A76" t="s">
        <v>342</v>
      </c>
      <c r="B76" t="s">
        <v>343</v>
      </c>
      <c r="C76" t="s">
        <v>28</v>
      </c>
      <c r="D76" t="s">
        <v>46</v>
      </c>
      <c r="E76" s="1">
        <v>43216</v>
      </c>
      <c r="F76" t="s">
        <v>30</v>
      </c>
      <c r="G76" t="s">
        <v>110</v>
      </c>
      <c r="H76" t="s">
        <v>111</v>
      </c>
      <c r="I76">
        <v>10</v>
      </c>
      <c r="J76" t="s">
        <v>88</v>
      </c>
      <c r="K76">
        <v>1</v>
      </c>
      <c r="L76" s="3">
        <v>7099</v>
      </c>
      <c r="M76">
        <v>15</v>
      </c>
      <c r="N76" s="3">
        <v>6030</v>
      </c>
      <c r="O76" s="3">
        <v>6030</v>
      </c>
      <c r="P76" t="s">
        <v>34</v>
      </c>
      <c r="Q76" t="s">
        <v>51</v>
      </c>
      <c r="R76" t="s">
        <v>36</v>
      </c>
      <c r="S76" t="s">
        <v>160</v>
      </c>
      <c r="T76" t="s">
        <v>344</v>
      </c>
      <c r="U76" t="s">
        <v>124</v>
      </c>
      <c r="V76" t="s">
        <v>40</v>
      </c>
      <c r="W76">
        <v>3.6</v>
      </c>
      <c r="X76" t="s">
        <v>41</v>
      </c>
      <c r="Y76" t="s">
        <v>55</v>
      </c>
      <c r="Z76">
        <v>2</v>
      </c>
    </row>
    <row r="77" spans="1:26">
      <c r="A77" t="s">
        <v>345</v>
      </c>
      <c r="B77" t="s">
        <v>346</v>
      </c>
      <c r="C77" t="s">
        <v>28</v>
      </c>
      <c r="D77" t="s">
        <v>103</v>
      </c>
      <c r="E77" s="1">
        <v>43217</v>
      </c>
      <c r="F77" t="s">
        <v>30</v>
      </c>
      <c r="G77" t="s">
        <v>347</v>
      </c>
      <c r="H77" t="s">
        <v>49</v>
      </c>
      <c r="I77">
        <v>6</v>
      </c>
      <c r="J77" t="s">
        <v>33</v>
      </c>
      <c r="K77">
        <v>1</v>
      </c>
      <c r="L77" s="3">
        <v>6899</v>
      </c>
      <c r="M77">
        <v>15</v>
      </c>
      <c r="N77" s="3">
        <v>5860</v>
      </c>
      <c r="O77" s="3">
        <v>5860</v>
      </c>
      <c r="P77" t="s">
        <v>74</v>
      </c>
      <c r="Q77" t="s">
        <v>51</v>
      </c>
      <c r="R77" t="s">
        <v>36</v>
      </c>
      <c r="S77" t="s">
        <v>164</v>
      </c>
      <c r="T77" t="s">
        <v>348</v>
      </c>
      <c r="U77" t="s">
        <v>39</v>
      </c>
      <c r="V77" t="s">
        <v>40</v>
      </c>
      <c r="W77">
        <v>4.2</v>
      </c>
      <c r="X77" t="s">
        <v>41</v>
      </c>
      <c r="Y77" t="s">
        <v>42</v>
      </c>
      <c r="Z77">
        <v>3</v>
      </c>
    </row>
    <row r="78" spans="1:26">
      <c r="A78" t="s">
        <v>349</v>
      </c>
      <c r="B78" t="s">
        <v>350</v>
      </c>
      <c r="C78" t="s">
        <v>28</v>
      </c>
      <c r="D78" t="s">
        <v>95</v>
      </c>
      <c r="E78" s="1">
        <v>43223</v>
      </c>
      <c r="F78" t="s">
        <v>65</v>
      </c>
      <c r="G78" t="s">
        <v>268</v>
      </c>
      <c r="H78" t="s">
        <v>128</v>
      </c>
      <c r="I78">
        <v>10</v>
      </c>
      <c r="J78" t="s">
        <v>67</v>
      </c>
      <c r="K78">
        <v>1</v>
      </c>
      <c r="L78" s="3">
        <v>6299</v>
      </c>
      <c r="M78">
        <v>20</v>
      </c>
      <c r="N78" s="3">
        <v>5040</v>
      </c>
      <c r="O78" s="3">
        <v>5040</v>
      </c>
      <c r="P78" t="s">
        <v>81</v>
      </c>
      <c r="Q78" t="s">
        <v>35</v>
      </c>
      <c r="R78" t="s">
        <v>36</v>
      </c>
      <c r="S78" t="s">
        <v>297</v>
      </c>
      <c r="T78" t="s">
        <v>351</v>
      </c>
      <c r="U78" t="s">
        <v>124</v>
      </c>
      <c r="V78" t="s">
        <v>40</v>
      </c>
      <c r="W78">
        <v>4.5</v>
      </c>
      <c r="X78" t="s">
        <v>41</v>
      </c>
      <c r="Y78" t="s">
        <v>42</v>
      </c>
      <c r="Z78">
        <v>6</v>
      </c>
    </row>
    <row r="79" spans="1:26">
      <c r="A79" t="s">
        <v>352</v>
      </c>
      <c r="B79" t="s">
        <v>353</v>
      </c>
      <c r="C79" t="s">
        <v>45</v>
      </c>
      <c r="D79" t="s">
        <v>103</v>
      </c>
      <c r="E79" s="1">
        <v>43223</v>
      </c>
      <c r="F79" t="s">
        <v>30</v>
      </c>
      <c r="G79" t="s">
        <v>110</v>
      </c>
      <c r="H79" t="s">
        <v>111</v>
      </c>
      <c r="I79">
        <v>11</v>
      </c>
      <c r="J79" t="s">
        <v>67</v>
      </c>
      <c r="K79">
        <v>1</v>
      </c>
      <c r="L79" s="3">
        <v>8399</v>
      </c>
      <c r="M79">
        <v>30</v>
      </c>
      <c r="N79" s="3">
        <v>5880</v>
      </c>
      <c r="O79" s="3">
        <v>5880</v>
      </c>
      <c r="P79" t="s">
        <v>50</v>
      </c>
      <c r="Q79" t="s">
        <v>51</v>
      </c>
      <c r="R79" t="s">
        <v>36</v>
      </c>
      <c r="S79" t="s">
        <v>354</v>
      </c>
      <c r="T79" t="s">
        <v>355</v>
      </c>
      <c r="U79" t="s">
        <v>54</v>
      </c>
      <c r="V79" t="s">
        <v>40</v>
      </c>
      <c r="W79">
        <v>3.9</v>
      </c>
      <c r="X79" t="s">
        <v>41</v>
      </c>
      <c r="Y79" t="s">
        <v>42</v>
      </c>
      <c r="Z79">
        <v>4</v>
      </c>
    </row>
    <row r="80" spans="1:26">
      <c r="A80" t="s">
        <v>356</v>
      </c>
      <c r="B80" t="s">
        <v>357</v>
      </c>
      <c r="C80" t="s">
        <v>28</v>
      </c>
      <c r="D80" t="s">
        <v>46</v>
      </c>
      <c r="E80" s="1">
        <v>43224</v>
      </c>
      <c r="F80" t="s">
        <v>30</v>
      </c>
      <c r="G80" t="s">
        <v>58</v>
      </c>
      <c r="H80" t="s">
        <v>59</v>
      </c>
      <c r="I80">
        <v>7</v>
      </c>
      <c r="J80" t="s">
        <v>150</v>
      </c>
      <c r="K80">
        <v>1</v>
      </c>
      <c r="L80" s="3">
        <v>8399</v>
      </c>
      <c r="M80">
        <v>20</v>
      </c>
      <c r="N80" s="3">
        <v>6720</v>
      </c>
      <c r="O80" s="3">
        <v>6720</v>
      </c>
      <c r="P80" t="s">
        <v>34</v>
      </c>
      <c r="Q80" t="s">
        <v>51</v>
      </c>
      <c r="R80" t="s">
        <v>36</v>
      </c>
      <c r="S80" t="s">
        <v>358</v>
      </c>
      <c r="T80" t="s">
        <v>359</v>
      </c>
      <c r="U80" t="s">
        <v>124</v>
      </c>
      <c r="V80" t="s">
        <v>40</v>
      </c>
      <c r="W80">
        <v>3.3</v>
      </c>
      <c r="X80" t="s">
        <v>41</v>
      </c>
      <c r="Y80" t="s">
        <v>55</v>
      </c>
      <c r="Z80">
        <v>1</v>
      </c>
    </row>
    <row r="81" spans="1:26">
      <c r="A81" t="s">
        <v>360</v>
      </c>
      <c r="B81" t="s">
        <v>361</v>
      </c>
      <c r="C81" t="s">
        <v>45</v>
      </c>
      <c r="D81" t="s">
        <v>46</v>
      </c>
      <c r="E81" s="1">
        <v>43224</v>
      </c>
      <c r="F81" t="s">
        <v>30</v>
      </c>
      <c r="G81" t="s">
        <v>214</v>
      </c>
      <c r="H81" t="s">
        <v>128</v>
      </c>
      <c r="I81">
        <v>7</v>
      </c>
      <c r="J81" t="s">
        <v>67</v>
      </c>
      <c r="K81">
        <v>1</v>
      </c>
      <c r="L81" s="3">
        <v>3599</v>
      </c>
      <c r="M81">
        <v>20</v>
      </c>
      <c r="N81" s="3">
        <v>2880</v>
      </c>
      <c r="O81" s="3">
        <v>2880</v>
      </c>
      <c r="P81" t="s">
        <v>81</v>
      </c>
      <c r="Q81" t="s">
        <v>82</v>
      </c>
      <c r="R81" t="s">
        <v>36</v>
      </c>
      <c r="S81" t="s">
        <v>141</v>
      </c>
      <c r="T81" t="s">
        <v>362</v>
      </c>
      <c r="U81" t="s">
        <v>91</v>
      </c>
      <c r="V81" t="s">
        <v>40</v>
      </c>
      <c r="W81">
        <v>3.2</v>
      </c>
      <c r="X81" t="s">
        <v>62</v>
      </c>
      <c r="Y81" t="s">
        <v>147</v>
      </c>
      <c r="Z81">
        <v>1</v>
      </c>
    </row>
    <row r="82" spans="1:26">
      <c r="A82" t="s">
        <v>363</v>
      </c>
      <c r="B82" t="s">
        <v>364</v>
      </c>
      <c r="C82" t="s">
        <v>45</v>
      </c>
      <c r="D82" t="s">
        <v>95</v>
      </c>
      <c r="E82" s="1">
        <v>43225</v>
      </c>
      <c r="F82" t="s">
        <v>65</v>
      </c>
      <c r="G82" t="s">
        <v>365</v>
      </c>
      <c r="H82" t="s">
        <v>49</v>
      </c>
      <c r="I82">
        <v>7</v>
      </c>
      <c r="J82" t="s">
        <v>150</v>
      </c>
      <c r="K82">
        <v>2</v>
      </c>
      <c r="L82" s="3">
        <v>7499</v>
      </c>
      <c r="M82">
        <v>5</v>
      </c>
      <c r="N82" s="3">
        <v>7120</v>
      </c>
      <c r="O82" s="3">
        <v>14240</v>
      </c>
      <c r="P82" t="s">
        <v>34</v>
      </c>
      <c r="Q82" t="s">
        <v>82</v>
      </c>
      <c r="R82" t="s">
        <v>36</v>
      </c>
      <c r="S82" t="s">
        <v>286</v>
      </c>
      <c r="T82" t="s">
        <v>366</v>
      </c>
      <c r="U82" t="s">
        <v>61</v>
      </c>
      <c r="V82" t="s">
        <v>40</v>
      </c>
      <c r="W82">
        <v>4.2</v>
      </c>
      <c r="X82" t="s">
        <v>41</v>
      </c>
      <c r="Y82" t="s">
        <v>42</v>
      </c>
      <c r="Z82">
        <v>3</v>
      </c>
    </row>
    <row r="83" spans="1:26">
      <c r="A83" t="s">
        <v>367</v>
      </c>
      <c r="B83" t="s">
        <v>368</v>
      </c>
      <c r="C83" t="s">
        <v>28</v>
      </c>
      <c r="D83" t="s">
        <v>103</v>
      </c>
      <c r="E83" s="1">
        <v>43226</v>
      </c>
      <c r="F83" t="s">
        <v>47</v>
      </c>
      <c r="G83" t="s">
        <v>121</v>
      </c>
      <c r="H83" t="s">
        <v>111</v>
      </c>
      <c r="I83">
        <v>9</v>
      </c>
      <c r="J83" t="s">
        <v>73</v>
      </c>
      <c r="K83">
        <v>1</v>
      </c>
      <c r="L83" s="3">
        <v>7899</v>
      </c>
      <c r="M83">
        <v>20</v>
      </c>
      <c r="N83" s="3">
        <v>6320</v>
      </c>
      <c r="O83" s="3">
        <v>6320</v>
      </c>
      <c r="P83" t="s">
        <v>74</v>
      </c>
      <c r="Q83" t="s">
        <v>82</v>
      </c>
      <c r="R83" t="s">
        <v>36</v>
      </c>
      <c r="S83" t="s">
        <v>156</v>
      </c>
      <c r="T83" t="s">
        <v>369</v>
      </c>
      <c r="U83" t="s">
        <v>39</v>
      </c>
      <c r="V83" t="s">
        <v>40</v>
      </c>
      <c r="W83">
        <v>4.5999999999999996</v>
      </c>
      <c r="X83" t="s">
        <v>41</v>
      </c>
      <c r="Y83" t="s">
        <v>42</v>
      </c>
      <c r="Z83">
        <v>5</v>
      </c>
    </row>
    <row r="84" spans="1:26">
      <c r="A84" t="s">
        <v>370</v>
      </c>
      <c r="B84" t="s">
        <v>371</v>
      </c>
      <c r="C84" t="s">
        <v>45</v>
      </c>
      <c r="D84" t="s">
        <v>103</v>
      </c>
      <c r="E84" s="1">
        <v>43227</v>
      </c>
      <c r="F84" t="s">
        <v>96</v>
      </c>
      <c r="G84" t="s">
        <v>323</v>
      </c>
      <c r="H84" t="s">
        <v>59</v>
      </c>
      <c r="I84">
        <v>10</v>
      </c>
      <c r="J84" t="s">
        <v>150</v>
      </c>
      <c r="K84">
        <v>1</v>
      </c>
      <c r="L84" s="3">
        <v>4999</v>
      </c>
      <c r="M84">
        <v>10</v>
      </c>
      <c r="N84" s="3">
        <v>4500</v>
      </c>
      <c r="O84" s="3">
        <v>4500</v>
      </c>
      <c r="P84" t="s">
        <v>34</v>
      </c>
      <c r="Q84" t="s">
        <v>51</v>
      </c>
      <c r="R84" t="s">
        <v>36</v>
      </c>
      <c r="S84" t="s">
        <v>122</v>
      </c>
      <c r="T84" t="s">
        <v>372</v>
      </c>
      <c r="U84" t="s">
        <v>61</v>
      </c>
      <c r="V84" t="s">
        <v>40</v>
      </c>
      <c r="W84">
        <v>3.7</v>
      </c>
      <c r="X84" t="s">
        <v>41</v>
      </c>
      <c r="Y84" t="s">
        <v>42</v>
      </c>
      <c r="Z84">
        <v>4</v>
      </c>
    </row>
    <row r="85" spans="1:26">
      <c r="A85" t="s">
        <v>373</v>
      </c>
      <c r="B85" t="s">
        <v>374</v>
      </c>
      <c r="C85" t="s">
        <v>45</v>
      </c>
      <c r="D85" t="s">
        <v>95</v>
      </c>
      <c r="E85" s="1">
        <v>43227</v>
      </c>
      <c r="F85" t="s">
        <v>86</v>
      </c>
      <c r="G85" t="s">
        <v>285</v>
      </c>
      <c r="H85" t="s">
        <v>111</v>
      </c>
      <c r="I85">
        <v>8</v>
      </c>
      <c r="J85" t="s">
        <v>98</v>
      </c>
      <c r="K85">
        <v>1</v>
      </c>
      <c r="L85" s="3">
        <v>8199</v>
      </c>
      <c r="M85">
        <v>15</v>
      </c>
      <c r="N85" s="3">
        <v>6970</v>
      </c>
      <c r="O85" s="3">
        <v>6970</v>
      </c>
      <c r="P85" t="s">
        <v>74</v>
      </c>
      <c r="Q85" t="s">
        <v>51</v>
      </c>
      <c r="R85" t="s">
        <v>36</v>
      </c>
      <c r="S85" t="s">
        <v>141</v>
      </c>
      <c r="T85" t="s">
        <v>142</v>
      </c>
      <c r="U85" t="s">
        <v>54</v>
      </c>
      <c r="V85" t="s">
        <v>40</v>
      </c>
      <c r="W85">
        <v>5</v>
      </c>
      <c r="X85" t="s">
        <v>41</v>
      </c>
      <c r="Y85" t="s">
        <v>147</v>
      </c>
      <c r="Z85">
        <v>2</v>
      </c>
    </row>
    <row r="86" spans="1:26">
      <c r="A86" t="s">
        <v>375</v>
      </c>
      <c r="B86" t="s">
        <v>376</v>
      </c>
      <c r="C86" t="s">
        <v>94</v>
      </c>
      <c r="D86" t="s">
        <v>95</v>
      </c>
      <c r="E86" s="1">
        <v>43228</v>
      </c>
      <c r="F86" t="s">
        <v>65</v>
      </c>
      <c r="G86" t="s">
        <v>268</v>
      </c>
      <c r="H86" t="s">
        <v>128</v>
      </c>
      <c r="I86">
        <v>10</v>
      </c>
      <c r="J86" t="s">
        <v>150</v>
      </c>
      <c r="K86">
        <v>1</v>
      </c>
      <c r="L86" s="3">
        <v>4899</v>
      </c>
      <c r="M86">
        <v>20</v>
      </c>
      <c r="N86" s="3">
        <v>3920</v>
      </c>
      <c r="O86" s="3">
        <v>3920</v>
      </c>
      <c r="P86" t="s">
        <v>74</v>
      </c>
      <c r="Q86" t="s">
        <v>51</v>
      </c>
      <c r="R86" t="s">
        <v>36</v>
      </c>
      <c r="S86" t="s">
        <v>238</v>
      </c>
      <c r="T86" t="s">
        <v>377</v>
      </c>
      <c r="U86" t="s">
        <v>61</v>
      </c>
      <c r="V86" t="s">
        <v>40</v>
      </c>
      <c r="W86">
        <v>4.7</v>
      </c>
      <c r="X86" t="s">
        <v>106</v>
      </c>
      <c r="Y86" t="s">
        <v>55</v>
      </c>
      <c r="Z86">
        <v>1</v>
      </c>
    </row>
    <row r="87" spans="1:26">
      <c r="A87" t="s">
        <v>378</v>
      </c>
      <c r="B87" t="s">
        <v>379</v>
      </c>
      <c r="C87" t="s">
        <v>45</v>
      </c>
      <c r="D87" t="s">
        <v>103</v>
      </c>
      <c r="E87" s="1">
        <v>43228</v>
      </c>
      <c r="F87" t="s">
        <v>86</v>
      </c>
      <c r="G87" t="s">
        <v>285</v>
      </c>
      <c r="H87" t="s">
        <v>111</v>
      </c>
      <c r="I87">
        <v>7</v>
      </c>
      <c r="J87" t="s">
        <v>88</v>
      </c>
      <c r="K87">
        <v>1</v>
      </c>
      <c r="L87" s="3">
        <v>8399</v>
      </c>
      <c r="M87">
        <v>10</v>
      </c>
      <c r="N87" s="3">
        <v>7560</v>
      </c>
      <c r="O87" s="3">
        <v>7560</v>
      </c>
      <c r="P87" t="s">
        <v>74</v>
      </c>
      <c r="Q87" t="s">
        <v>82</v>
      </c>
      <c r="R87" t="s">
        <v>36</v>
      </c>
      <c r="S87" t="s">
        <v>160</v>
      </c>
      <c r="T87" t="s">
        <v>247</v>
      </c>
      <c r="U87" t="s">
        <v>61</v>
      </c>
      <c r="V87" t="s">
        <v>40</v>
      </c>
      <c r="W87">
        <v>4.4000000000000004</v>
      </c>
      <c r="X87" t="s">
        <v>62</v>
      </c>
      <c r="Y87" t="s">
        <v>147</v>
      </c>
      <c r="Z87">
        <v>1</v>
      </c>
    </row>
    <row r="88" spans="1:26">
      <c r="A88" t="s">
        <v>380</v>
      </c>
      <c r="B88" t="s">
        <v>381</v>
      </c>
      <c r="C88" t="s">
        <v>28</v>
      </c>
      <c r="D88" t="s">
        <v>46</v>
      </c>
      <c r="E88" s="1">
        <v>43228</v>
      </c>
      <c r="F88" t="s">
        <v>47</v>
      </c>
      <c r="G88" t="s">
        <v>140</v>
      </c>
      <c r="H88" t="s">
        <v>128</v>
      </c>
      <c r="I88">
        <v>7</v>
      </c>
      <c r="J88" t="s">
        <v>98</v>
      </c>
      <c r="K88">
        <v>1</v>
      </c>
      <c r="L88" s="3">
        <v>5799</v>
      </c>
      <c r="M88">
        <v>10</v>
      </c>
      <c r="N88" s="3">
        <v>5220</v>
      </c>
      <c r="O88" s="3">
        <v>5220</v>
      </c>
      <c r="P88" t="s">
        <v>74</v>
      </c>
      <c r="Q88" t="s">
        <v>35</v>
      </c>
      <c r="R88" t="s">
        <v>36</v>
      </c>
      <c r="S88" t="s">
        <v>122</v>
      </c>
      <c r="T88" t="s">
        <v>382</v>
      </c>
      <c r="U88" t="s">
        <v>54</v>
      </c>
      <c r="V88" t="s">
        <v>40</v>
      </c>
      <c r="W88">
        <v>4.8</v>
      </c>
      <c r="X88" t="s">
        <v>106</v>
      </c>
      <c r="Y88" t="s">
        <v>42</v>
      </c>
      <c r="Z88">
        <v>1</v>
      </c>
    </row>
    <row r="89" spans="1:26">
      <c r="A89" t="s">
        <v>383</v>
      </c>
      <c r="B89" t="s">
        <v>262</v>
      </c>
      <c r="C89" t="s">
        <v>45</v>
      </c>
      <c r="D89" t="s">
        <v>29</v>
      </c>
      <c r="E89" s="1">
        <v>43232</v>
      </c>
      <c r="F89" t="s">
        <v>96</v>
      </c>
      <c r="G89" t="s">
        <v>97</v>
      </c>
      <c r="H89" t="s">
        <v>49</v>
      </c>
      <c r="I89">
        <v>8</v>
      </c>
      <c r="J89" t="s">
        <v>73</v>
      </c>
      <c r="K89">
        <v>1</v>
      </c>
      <c r="L89" s="3">
        <v>7299</v>
      </c>
      <c r="M89">
        <v>15</v>
      </c>
      <c r="N89" s="3">
        <v>6200</v>
      </c>
      <c r="O89" s="3">
        <v>6200</v>
      </c>
      <c r="P89" t="s">
        <v>81</v>
      </c>
      <c r="Q89" t="s">
        <v>82</v>
      </c>
      <c r="R89" t="s">
        <v>36</v>
      </c>
      <c r="S89" t="s">
        <v>384</v>
      </c>
      <c r="T89" t="s">
        <v>385</v>
      </c>
      <c r="U89" t="s">
        <v>124</v>
      </c>
      <c r="V89" t="s">
        <v>315</v>
      </c>
      <c r="W89">
        <v>3.9</v>
      </c>
      <c r="X89" t="s">
        <v>41</v>
      </c>
      <c r="Y89" t="s">
        <v>55</v>
      </c>
      <c r="Z89">
        <v>3</v>
      </c>
    </row>
    <row r="90" spans="1:26">
      <c r="A90" t="s">
        <v>386</v>
      </c>
      <c r="B90" t="s">
        <v>387</v>
      </c>
      <c r="C90" t="s">
        <v>28</v>
      </c>
      <c r="D90" t="s">
        <v>95</v>
      </c>
      <c r="E90" s="1">
        <v>43233</v>
      </c>
      <c r="F90" t="s">
        <v>30</v>
      </c>
      <c r="G90" t="s">
        <v>31</v>
      </c>
      <c r="H90" t="s">
        <v>32</v>
      </c>
      <c r="I90">
        <v>9</v>
      </c>
      <c r="J90" t="s">
        <v>98</v>
      </c>
      <c r="K90">
        <v>1</v>
      </c>
      <c r="L90" s="3">
        <v>4999</v>
      </c>
      <c r="M90">
        <v>30</v>
      </c>
      <c r="N90" s="3">
        <v>3500</v>
      </c>
      <c r="O90" s="3">
        <v>3500</v>
      </c>
      <c r="P90" t="s">
        <v>81</v>
      </c>
      <c r="Q90" t="s">
        <v>51</v>
      </c>
      <c r="R90" t="s">
        <v>36</v>
      </c>
      <c r="S90" t="s">
        <v>238</v>
      </c>
      <c r="T90" t="s">
        <v>377</v>
      </c>
      <c r="U90" t="s">
        <v>91</v>
      </c>
      <c r="V90" t="s">
        <v>40</v>
      </c>
      <c r="W90">
        <v>5</v>
      </c>
      <c r="X90" t="s">
        <v>41</v>
      </c>
      <c r="Y90" t="s">
        <v>55</v>
      </c>
      <c r="Z90">
        <v>3</v>
      </c>
    </row>
    <row r="91" spans="1:26">
      <c r="A91" t="s">
        <v>388</v>
      </c>
      <c r="B91" t="s">
        <v>389</v>
      </c>
      <c r="C91" t="s">
        <v>45</v>
      </c>
      <c r="D91" t="s">
        <v>29</v>
      </c>
      <c r="E91" s="1">
        <v>43233</v>
      </c>
      <c r="F91" t="s">
        <v>30</v>
      </c>
      <c r="G91" t="s">
        <v>58</v>
      </c>
      <c r="H91" t="s">
        <v>59</v>
      </c>
      <c r="I91">
        <v>11</v>
      </c>
      <c r="J91" t="s">
        <v>67</v>
      </c>
      <c r="K91">
        <v>1</v>
      </c>
      <c r="L91" s="3">
        <v>4499</v>
      </c>
      <c r="M91">
        <v>25</v>
      </c>
      <c r="N91" s="3">
        <v>3370</v>
      </c>
      <c r="O91" s="3">
        <v>3370</v>
      </c>
      <c r="P91" t="s">
        <v>50</v>
      </c>
      <c r="Q91" t="s">
        <v>51</v>
      </c>
      <c r="R91" t="s">
        <v>36</v>
      </c>
      <c r="S91" t="s">
        <v>297</v>
      </c>
      <c r="T91" t="s">
        <v>390</v>
      </c>
      <c r="U91" t="s">
        <v>61</v>
      </c>
      <c r="V91" t="s">
        <v>40</v>
      </c>
      <c r="W91">
        <v>4.7</v>
      </c>
      <c r="X91" t="s">
        <v>41</v>
      </c>
      <c r="Y91" t="s">
        <v>55</v>
      </c>
      <c r="Z91">
        <v>3</v>
      </c>
    </row>
    <row r="92" spans="1:26">
      <c r="A92" t="s">
        <v>391</v>
      </c>
      <c r="B92" t="s">
        <v>392</v>
      </c>
      <c r="C92" t="s">
        <v>45</v>
      </c>
      <c r="D92" t="s">
        <v>46</v>
      </c>
      <c r="E92" s="1">
        <v>43235</v>
      </c>
      <c r="F92" t="s">
        <v>65</v>
      </c>
      <c r="G92" t="s">
        <v>365</v>
      </c>
      <c r="H92" t="s">
        <v>49</v>
      </c>
      <c r="I92">
        <v>8</v>
      </c>
      <c r="J92" t="s">
        <v>73</v>
      </c>
      <c r="K92">
        <v>2</v>
      </c>
      <c r="L92" s="3">
        <v>4299</v>
      </c>
      <c r="M92">
        <v>15</v>
      </c>
      <c r="N92" s="3">
        <v>3650</v>
      </c>
      <c r="O92" s="3">
        <v>7300</v>
      </c>
      <c r="P92" t="s">
        <v>50</v>
      </c>
      <c r="Q92" t="s">
        <v>51</v>
      </c>
      <c r="R92" t="s">
        <v>36</v>
      </c>
      <c r="S92" t="s">
        <v>243</v>
      </c>
      <c r="T92" t="s">
        <v>244</v>
      </c>
      <c r="U92" t="s">
        <v>124</v>
      </c>
      <c r="V92" t="s">
        <v>40</v>
      </c>
      <c r="W92">
        <v>2.5</v>
      </c>
      <c r="X92" t="s">
        <v>62</v>
      </c>
      <c r="Y92" t="s">
        <v>42</v>
      </c>
      <c r="Z92">
        <v>4</v>
      </c>
    </row>
    <row r="93" spans="1:26">
      <c r="A93" t="s">
        <v>393</v>
      </c>
      <c r="B93" t="s">
        <v>255</v>
      </c>
      <c r="C93" t="s">
        <v>28</v>
      </c>
      <c r="D93" t="s">
        <v>46</v>
      </c>
      <c r="E93" s="1">
        <v>43237</v>
      </c>
      <c r="F93" t="s">
        <v>96</v>
      </c>
      <c r="G93" t="s">
        <v>171</v>
      </c>
      <c r="H93" t="s">
        <v>128</v>
      </c>
      <c r="I93">
        <v>10</v>
      </c>
      <c r="J93" t="s">
        <v>33</v>
      </c>
      <c r="K93">
        <v>1</v>
      </c>
      <c r="L93" s="3">
        <v>4899</v>
      </c>
      <c r="M93">
        <v>20</v>
      </c>
      <c r="N93" s="3">
        <v>3920</v>
      </c>
      <c r="O93" s="3">
        <v>3920</v>
      </c>
      <c r="P93" t="s">
        <v>74</v>
      </c>
      <c r="Q93" t="s">
        <v>51</v>
      </c>
      <c r="R93" t="s">
        <v>36</v>
      </c>
      <c r="S93" t="s">
        <v>338</v>
      </c>
      <c r="T93" t="s">
        <v>394</v>
      </c>
      <c r="U93" t="s">
        <v>124</v>
      </c>
      <c r="V93" t="s">
        <v>315</v>
      </c>
      <c r="W93">
        <v>2.9</v>
      </c>
      <c r="X93" t="s">
        <v>106</v>
      </c>
      <c r="Y93" t="s">
        <v>42</v>
      </c>
      <c r="Z93">
        <v>7</v>
      </c>
    </row>
    <row r="94" spans="1:26">
      <c r="A94" t="s">
        <v>395</v>
      </c>
      <c r="B94" t="s">
        <v>396</v>
      </c>
      <c r="C94" t="s">
        <v>45</v>
      </c>
      <c r="D94" t="s">
        <v>46</v>
      </c>
      <c r="E94" s="1">
        <v>43237</v>
      </c>
      <c r="F94" t="s">
        <v>96</v>
      </c>
      <c r="G94" t="s">
        <v>97</v>
      </c>
      <c r="H94" t="s">
        <v>49</v>
      </c>
      <c r="I94">
        <v>11</v>
      </c>
      <c r="J94" t="s">
        <v>150</v>
      </c>
      <c r="K94">
        <v>1</v>
      </c>
      <c r="L94" s="3">
        <v>6099</v>
      </c>
      <c r="M94">
        <v>25</v>
      </c>
      <c r="N94" s="3">
        <v>4570</v>
      </c>
      <c r="O94" s="3">
        <v>4570</v>
      </c>
      <c r="P94" t="s">
        <v>81</v>
      </c>
      <c r="Q94" t="s">
        <v>51</v>
      </c>
      <c r="R94" t="s">
        <v>36</v>
      </c>
      <c r="S94" t="s">
        <v>186</v>
      </c>
      <c r="T94" t="s">
        <v>397</v>
      </c>
      <c r="U94" t="s">
        <v>39</v>
      </c>
      <c r="V94" t="s">
        <v>40</v>
      </c>
      <c r="W94">
        <v>5</v>
      </c>
      <c r="X94" t="s">
        <v>41</v>
      </c>
      <c r="Y94" t="s">
        <v>42</v>
      </c>
      <c r="Z94">
        <v>4</v>
      </c>
    </row>
    <row r="95" spans="1:26">
      <c r="A95" t="s">
        <v>398</v>
      </c>
      <c r="B95" t="s">
        <v>399</v>
      </c>
      <c r="C95" t="s">
        <v>28</v>
      </c>
      <c r="D95" t="s">
        <v>46</v>
      </c>
      <c r="E95" s="1">
        <v>43238</v>
      </c>
      <c r="F95" t="s">
        <v>30</v>
      </c>
      <c r="G95" t="s">
        <v>214</v>
      </c>
      <c r="H95" t="s">
        <v>128</v>
      </c>
      <c r="I95">
        <v>6</v>
      </c>
      <c r="J95" t="s">
        <v>150</v>
      </c>
      <c r="K95">
        <v>1</v>
      </c>
      <c r="L95" s="3">
        <v>5799</v>
      </c>
      <c r="M95">
        <v>5</v>
      </c>
      <c r="N95" s="3">
        <v>5510</v>
      </c>
      <c r="O95" s="3">
        <v>5510</v>
      </c>
      <c r="P95" t="s">
        <v>81</v>
      </c>
      <c r="Q95" t="s">
        <v>51</v>
      </c>
      <c r="R95" t="s">
        <v>36</v>
      </c>
      <c r="S95" t="s">
        <v>68</v>
      </c>
      <c r="T95" t="s">
        <v>400</v>
      </c>
      <c r="U95" t="s">
        <v>54</v>
      </c>
      <c r="V95" t="s">
        <v>40</v>
      </c>
      <c r="W95">
        <v>3.8</v>
      </c>
      <c r="X95" t="s">
        <v>106</v>
      </c>
      <c r="Y95" t="s">
        <v>42</v>
      </c>
      <c r="Z95">
        <v>3</v>
      </c>
    </row>
    <row r="96" spans="1:26">
      <c r="A96" t="s">
        <v>401</v>
      </c>
      <c r="B96" t="s">
        <v>198</v>
      </c>
      <c r="C96" t="s">
        <v>28</v>
      </c>
      <c r="D96" t="s">
        <v>46</v>
      </c>
      <c r="E96" s="1">
        <v>43239</v>
      </c>
      <c r="F96" t="s">
        <v>47</v>
      </c>
      <c r="G96" t="s">
        <v>402</v>
      </c>
      <c r="H96" t="s">
        <v>32</v>
      </c>
      <c r="I96">
        <v>7</v>
      </c>
      <c r="J96" t="s">
        <v>67</v>
      </c>
      <c r="K96">
        <v>3</v>
      </c>
      <c r="L96" s="3">
        <v>9599</v>
      </c>
      <c r="M96">
        <v>5</v>
      </c>
      <c r="N96" s="3">
        <v>9120</v>
      </c>
      <c r="O96" s="3">
        <v>27360</v>
      </c>
      <c r="P96" t="s">
        <v>74</v>
      </c>
      <c r="Q96" t="s">
        <v>82</v>
      </c>
      <c r="R96" t="s">
        <v>36</v>
      </c>
      <c r="S96" t="s">
        <v>238</v>
      </c>
      <c r="T96" t="s">
        <v>239</v>
      </c>
      <c r="U96" t="s">
        <v>39</v>
      </c>
      <c r="V96" t="s">
        <v>315</v>
      </c>
      <c r="W96">
        <v>4.4000000000000004</v>
      </c>
      <c r="X96" t="s">
        <v>62</v>
      </c>
      <c r="Y96" t="s">
        <v>55</v>
      </c>
      <c r="Z96">
        <v>2</v>
      </c>
    </row>
    <row r="97" spans="1:26">
      <c r="A97" t="s">
        <v>403</v>
      </c>
      <c r="B97" t="s">
        <v>404</v>
      </c>
      <c r="C97" t="s">
        <v>94</v>
      </c>
      <c r="D97" t="s">
        <v>46</v>
      </c>
      <c r="E97" s="1">
        <v>43240</v>
      </c>
      <c r="F97" t="s">
        <v>96</v>
      </c>
      <c r="G97" t="s">
        <v>323</v>
      </c>
      <c r="H97" t="s">
        <v>59</v>
      </c>
      <c r="I97">
        <v>11</v>
      </c>
      <c r="J97" t="s">
        <v>67</v>
      </c>
      <c r="K97">
        <v>1</v>
      </c>
      <c r="L97" s="3">
        <v>5899</v>
      </c>
      <c r="M97">
        <v>0</v>
      </c>
      <c r="N97" s="3">
        <v>5900</v>
      </c>
      <c r="O97" s="3">
        <v>5900</v>
      </c>
      <c r="P97" t="s">
        <v>81</v>
      </c>
      <c r="Q97" t="s">
        <v>51</v>
      </c>
      <c r="R97" t="s">
        <v>36</v>
      </c>
      <c r="S97" t="s">
        <v>200</v>
      </c>
      <c r="T97" t="s">
        <v>232</v>
      </c>
      <c r="U97" t="s">
        <v>39</v>
      </c>
      <c r="V97" t="s">
        <v>40</v>
      </c>
      <c r="W97">
        <v>4.4000000000000004</v>
      </c>
      <c r="X97" t="s">
        <v>106</v>
      </c>
      <c r="Y97" t="s">
        <v>42</v>
      </c>
      <c r="Z97">
        <v>2</v>
      </c>
    </row>
    <row r="98" spans="1:26">
      <c r="A98" t="s">
        <v>405</v>
      </c>
      <c r="B98" t="s">
        <v>406</v>
      </c>
      <c r="C98" t="s">
        <v>45</v>
      </c>
      <c r="D98" t="s">
        <v>46</v>
      </c>
      <c r="E98" s="1">
        <v>43241</v>
      </c>
      <c r="F98" t="s">
        <v>96</v>
      </c>
      <c r="G98" t="s">
        <v>290</v>
      </c>
      <c r="H98" t="s">
        <v>32</v>
      </c>
      <c r="I98">
        <v>10</v>
      </c>
      <c r="J98" t="s">
        <v>98</v>
      </c>
      <c r="K98">
        <v>1</v>
      </c>
      <c r="L98" s="3">
        <v>9599</v>
      </c>
      <c r="M98">
        <v>25</v>
      </c>
      <c r="N98" s="3">
        <v>7200</v>
      </c>
      <c r="O98" s="3">
        <v>7200</v>
      </c>
      <c r="P98" t="s">
        <v>81</v>
      </c>
      <c r="Q98" t="s">
        <v>51</v>
      </c>
      <c r="R98" t="s">
        <v>36</v>
      </c>
      <c r="S98" t="s">
        <v>112</v>
      </c>
      <c r="T98" t="s">
        <v>250</v>
      </c>
      <c r="U98" t="s">
        <v>54</v>
      </c>
      <c r="V98" t="s">
        <v>40</v>
      </c>
      <c r="W98">
        <v>4.5999999999999996</v>
      </c>
      <c r="X98" t="s">
        <v>41</v>
      </c>
      <c r="Y98" t="s">
        <v>42</v>
      </c>
      <c r="Z98">
        <v>4</v>
      </c>
    </row>
    <row r="99" spans="1:26">
      <c r="A99" t="s">
        <v>407</v>
      </c>
      <c r="B99" t="s">
        <v>408</v>
      </c>
      <c r="C99" t="s">
        <v>28</v>
      </c>
      <c r="D99" t="s">
        <v>95</v>
      </c>
      <c r="E99" s="1">
        <v>43243</v>
      </c>
      <c r="F99" t="s">
        <v>86</v>
      </c>
      <c r="G99" t="s">
        <v>285</v>
      </c>
      <c r="H99" t="s">
        <v>111</v>
      </c>
      <c r="I99">
        <v>9</v>
      </c>
      <c r="J99" t="s">
        <v>33</v>
      </c>
      <c r="K99">
        <v>1</v>
      </c>
      <c r="L99" s="3">
        <v>8599</v>
      </c>
      <c r="M99">
        <v>0</v>
      </c>
      <c r="N99" s="3">
        <v>8600</v>
      </c>
      <c r="O99" s="3">
        <v>8600</v>
      </c>
      <c r="P99" t="s">
        <v>50</v>
      </c>
      <c r="Q99" t="s">
        <v>51</v>
      </c>
      <c r="R99" t="s">
        <v>36</v>
      </c>
      <c r="S99" t="s">
        <v>164</v>
      </c>
      <c r="T99" t="s">
        <v>409</v>
      </c>
      <c r="U99" t="s">
        <v>124</v>
      </c>
      <c r="V99" t="s">
        <v>40</v>
      </c>
      <c r="W99">
        <v>4.3</v>
      </c>
      <c r="X99" t="s">
        <v>41</v>
      </c>
      <c r="Y99" t="s">
        <v>42</v>
      </c>
      <c r="Z99">
        <v>2</v>
      </c>
    </row>
    <row r="100" spans="1:26">
      <c r="A100" t="s">
        <v>410</v>
      </c>
      <c r="B100" t="s">
        <v>411</v>
      </c>
      <c r="C100" t="s">
        <v>45</v>
      </c>
      <c r="D100" t="s">
        <v>46</v>
      </c>
      <c r="E100" s="1">
        <v>43243</v>
      </c>
      <c r="F100" t="s">
        <v>30</v>
      </c>
      <c r="G100" t="s">
        <v>347</v>
      </c>
      <c r="H100" t="s">
        <v>49</v>
      </c>
      <c r="I100">
        <v>7</v>
      </c>
      <c r="J100" t="s">
        <v>150</v>
      </c>
      <c r="K100">
        <v>2</v>
      </c>
      <c r="L100" s="3">
        <v>9199</v>
      </c>
      <c r="M100">
        <v>20</v>
      </c>
      <c r="N100" s="3">
        <v>7360</v>
      </c>
      <c r="O100" s="3">
        <v>14720</v>
      </c>
      <c r="P100" t="s">
        <v>34</v>
      </c>
      <c r="Q100" t="s">
        <v>35</v>
      </c>
      <c r="R100" t="s">
        <v>36</v>
      </c>
      <c r="S100" t="s">
        <v>210</v>
      </c>
      <c r="T100" t="s">
        <v>412</v>
      </c>
      <c r="U100" t="s">
        <v>91</v>
      </c>
      <c r="V100" t="s">
        <v>40</v>
      </c>
      <c r="W100">
        <v>3.9</v>
      </c>
      <c r="X100" t="s">
        <v>41</v>
      </c>
      <c r="Y100" t="s">
        <v>42</v>
      </c>
      <c r="Z100">
        <v>6</v>
      </c>
    </row>
    <row r="101" spans="1:26">
      <c r="A101" t="s">
        <v>413</v>
      </c>
      <c r="B101" t="s">
        <v>414</v>
      </c>
      <c r="C101" t="s">
        <v>45</v>
      </c>
      <c r="D101" t="s">
        <v>46</v>
      </c>
      <c r="E101" s="1">
        <v>43246</v>
      </c>
      <c r="F101" t="s">
        <v>86</v>
      </c>
      <c r="G101" t="s">
        <v>242</v>
      </c>
      <c r="H101" t="s">
        <v>32</v>
      </c>
      <c r="I101">
        <v>7</v>
      </c>
      <c r="J101" t="s">
        <v>67</v>
      </c>
      <c r="K101">
        <v>1</v>
      </c>
      <c r="L101" s="3">
        <v>8699</v>
      </c>
      <c r="M101">
        <v>15</v>
      </c>
      <c r="N101" s="3">
        <v>7390</v>
      </c>
      <c r="O101" s="3">
        <v>7390</v>
      </c>
      <c r="P101" t="s">
        <v>34</v>
      </c>
      <c r="Q101" t="s">
        <v>82</v>
      </c>
      <c r="R101" t="s">
        <v>36</v>
      </c>
      <c r="S101" t="s">
        <v>210</v>
      </c>
      <c r="T101" t="s">
        <v>415</v>
      </c>
      <c r="U101" t="s">
        <v>124</v>
      </c>
      <c r="V101" t="s">
        <v>40</v>
      </c>
      <c r="W101">
        <v>4.2</v>
      </c>
      <c r="X101" t="s">
        <v>41</v>
      </c>
      <c r="Y101" t="s">
        <v>42</v>
      </c>
      <c r="Z101">
        <v>5</v>
      </c>
    </row>
    <row r="102" spans="1:26">
      <c r="A102" t="s">
        <v>416</v>
      </c>
      <c r="B102" t="s">
        <v>417</v>
      </c>
      <c r="C102" t="s">
        <v>28</v>
      </c>
      <c r="D102" t="s">
        <v>95</v>
      </c>
      <c r="E102" s="1">
        <v>43247</v>
      </c>
      <c r="F102" t="s">
        <v>96</v>
      </c>
      <c r="G102" t="s">
        <v>97</v>
      </c>
      <c r="H102" t="s">
        <v>49</v>
      </c>
      <c r="I102">
        <v>10</v>
      </c>
      <c r="J102" t="s">
        <v>88</v>
      </c>
      <c r="K102">
        <v>1</v>
      </c>
      <c r="L102" s="3">
        <v>6399</v>
      </c>
      <c r="M102">
        <v>15</v>
      </c>
      <c r="N102" s="3">
        <v>5440</v>
      </c>
      <c r="O102" s="3">
        <v>5440</v>
      </c>
      <c r="P102" t="s">
        <v>34</v>
      </c>
      <c r="Q102" t="s">
        <v>82</v>
      </c>
      <c r="R102" t="s">
        <v>36</v>
      </c>
      <c r="S102" t="s">
        <v>418</v>
      </c>
      <c r="T102" t="s">
        <v>419</v>
      </c>
      <c r="U102" t="s">
        <v>39</v>
      </c>
      <c r="V102" t="s">
        <v>40</v>
      </c>
      <c r="W102">
        <v>3.6</v>
      </c>
      <c r="X102" t="s">
        <v>41</v>
      </c>
      <c r="Y102" t="s">
        <v>147</v>
      </c>
      <c r="Z102">
        <v>2</v>
      </c>
    </row>
    <row r="103" spans="1:26">
      <c r="A103" t="s">
        <v>420</v>
      </c>
      <c r="B103" t="s">
        <v>241</v>
      </c>
      <c r="C103" t="s">
        <v>28</v>
      </c>
      <c r="D103" t="s">
        <v>103</v>
      </c>
      <c r="E103" s="1">
        <v>43254</v>
      </c>
      <c r="F103" t="s">
        <v>79</v>
      </c>
      <c r="G103" t="s">
        <v>301</v>
      </c>
      <c r="H103" t="s">
        <v>49</v>
      </c>
      <c r="I103">
        <v>9</v>
      </c>
      <c r="J103" t="s">
        <v>98</v>
      </c>
      <c r="K103">
        <v>1</v>
      </c>
      <c r="L103" s="3">
        <v>7599</v>
      </c>
      <c r="M103">
        <v>30</v>
      </c>
      <c r="N103" s="3">
        <v>5320</v>
      </c>
      <c r="O103" s="3">
        <v>5320</v>
      </c>
      <c r="P103" t="s">
        <v>34</v>
      </c>
      <c r="Q103" t="s">
        <v>51</v>
      </c>
      <c r="R103" t="s">
        <v>36</v>
      </c>
      <c r="S103" t="s">
        <v>186</v>
      </c>
      <c r="T103" t="s">
        <v>341</v>
      </c>
      <c r="U103" t="s">
        <v>54</v>
      </c>
      <c r="V103" t="s">
        <v>315</v>
      </c>
      <c r="W103">
        <v>3.8</v>
      </c>
      <c r="X103" t="s">
        <v>41</v>
      </c>
      <c r="Y103" t="s">
        <v>42</v>
      </c>
      <c r="Z103">
        <v>7</v>
      </c>
    </row>
    <row r="104" spans="1:26">
      <c r="A104" t="s">
        <v>421</v>
      </c>
      <c r="B104" t="s">
        <v>422</v>
      </c>
      <c r="C104" t="s">
        <v>94</v>
      </c>
      <c r="D104" t="s">
        <v>29</v>
      </c>
      <c r="E104" s="1">
        <v>43258</v>
      </c>
      <c r="F104" t="s">
        <v>47</v>
      </c>
      <c r="G104" t="s">
        <v>48</v>
      </c>
      <c r="H104" t="s">
        <v>49</v>
      </c>
      <c r="I104">
        <v>11</v>
      </c>
      <c r="J104" t="s">
        <v>73</v>
      </c>
      <c r="K104">
        <v>1</v>
      </c>
      <c r="L104" s="3">
        <v>5199</v>
      </c>
      <c r="M104">
        <v>5</v>
      </c>
      <c r="N104" s="3">
        <v>4940</v>
      </c>
      <c r="O104" s="3">
        <v>4940</v>
      </c>
      <c r="P104" t="s">
        <v>81</v>
      </c>
      <c r="Q104" t="s">
        <v>51</v>
      </c>
      <c r="R104" t="s">
        <v>36</v>
      </c>
      <c r="S104" t="s">
        <v>112</v>
      </c>
      <c r="T104" t="s">
        <v>250</v>
      </c>
      <c r="U104" t="s">
        <v>91</v>
      </c>
      <c r="V104" t="s">
        <v>40</v>
      </c>
      <c r="W104">
        <v>4.5</v>
      </c>
      <c r="X104" t="s">
        <v>41</v>
      </c>
      <c r="Y104" t="s">
        <v>55</v>
      </c>
      <c r="Z104">
        <v>2</v>
      </c>
    </row>
    <row r="105" spans="1:26">
      <c r="A105" t="s">
        <v>423</v>
      </c>
      <c r="B105" t="s">
        <v>424</v>
      </c>
      <c r="C105" t="s">
        <v>28</v>
      </c>
      <c r="D105" t="s">
        <v>46</v>
      </c>
      <c r="E105" s="1">
        <v>43259</v>
      </c>
      <c r="F105" t="s">
        <v>47</v>
      </c>
      <c r="G105" t="s">
        <v>402</v>
      </c>
      <c r="H105" t="s">
        <v>32</v>
      </c>
      <c r="I105">
        <v>9</v>
      </c>
      <c r="J105" t="s">
        <v>67</v>
      </c>
      <c r="K105">
        <v>1</v>
      </c>
      <c r="L105" s="3">
        <v>6599</v>
      </c>
      <c r="M105">
        <v>20</v>
      </c>
      <c r="N105" s="3">
        <v>5280</v>
      </c>
      <c r="O105" s="3">
        <v>5280</v>
      </c>
      <c r="P105" t="s">
        <v>74</v>
      </c>
      <c r="Q105" t="s">
        <v>35</v>
      </c>
      <c r="R105" t="s">
        <v>36</v>
      </c>
      <c r="S105" t="s">
        <v>89</v>
      </c>
      <c r="T105" t="s">
        <v>425</v>
      </c>
      <c r="U105" t="s">
        <v>54</v>
      </c>
      <c r="V105" t="s">
        <v>40</v>
      </c>
      <c r="W105">
        <v>4.3</v>
      </c>
      <c r="X105" t="s">
        <v>41</v>
      </c>
      <c r="Y105" t="s">
        <v>147</v>
      </c>
      <c r="Z105">
        <v>1</v>
      </c>
    </row>
    <row r="106" spans="1:26">
      <c r="A106" t="s">
        <v>426</v>
      </c>
      <c r="B106" t="s">
        <v>427</v>
      </c>
      <c r="C106" t="s">
        <v>28</v>
      </c>
      <c r="D106" t="s">
        <v>103</v>
      </c>
      <c r="E106" s="1">
        <v>43259</v>
      </c>
      <c r="F106" t="s">
        <v>65</v>
      </c>
      <c r="G106" t="s">
        <v>268</v>
      </c>
      <c r="H106" t="s">
        <v>128</v>
      </c>
      <c r="I106">
        <v>8</v>
      </c>
      <c r="J106" t="s">
        <v>73</v>
      </c>
      <c r="K106">
        <v>2</v>
      </c>
      <c r="L106" s="3">
        <v>8099</v>
      </c>
      <c r="M106">
        <v>20</v>
      </c>
      <c r="N106" s="3">
        <v>6480</v>
      </c>
      <c r="O106" s="3">
        <v>12960</v>
      </c>
      <c r="P106" t="s">
        <v>34</v>
      </c>
      <c r="Q106" t="s">
        <v>35</v>
      </c>
      <c r="R106" t="s">
        <v>36</v>
      </c>
      <c r="S106" t="s">
        <v>195</v>
      </c>
      <c r="T106" t="s">
        <v>428</v>
      </c>
      <c r="U106" t="s">
        <v>61</v>
      </c>
      <c r="V106" t="s">
        <v>40</v>
      </c>
      <c r="W106">
        <v>3.8</v>
      </c>
      <c r="X106" t="s">
        <v>106</v>
      </c>
      <c r="Y106" t="s">
        <v>42</v>
      </c>
      <c r="Z106">
        <v>3</v>
      </c>
    </row>
    <row r="107" spans="1:26">
      <c r="A107" t="s">
        <v>429</v>
      </c>
      <c r="B107" t="s">
        <v>430</v>
      </c>
      <c r="C107" t="s">
        <v>45</v>
      </c>
      <c r="D107" t="s">
        <v>103</v>
      </c>
      <c r="E107" s="1">
        <v>43260</v>
      </c>
      <c r="F107" t="s">
        <v>30</v>
      </c>
      <c r="G107" t="s">
        <v>347</v>
      </c>
      <c r="H107" t="s">
        <v>49</v>
      </c>
      <c r="I107">
        <v>10</v>
      </c>
      <c r="J107" t="s">
        <v>98</v>
      </c>
      <c r="K107">
        <v>1</v>
      </c>
      <c r="L107" s="3">
        <v>6999</v>
      </c>
      <c r="M107">
        <v>10</v>
      </c>
      <c r="N107" s="3">
        <v>6300</v>
      </c>
      <c r="O107" s="3">
        <v>6300</v>
      </c>
      <c r="P107" t="s">
        <v>50</v>
      </c>
      <c r="Q107" t="s">
        <v>82</v>
      </c>
      <c r="R107" t="s">
        <v>36</v>
      </c>
      <c r="S107" t="s">
        <v>354</v>
      </c>
      <c r="T107" t="s">
        <v>431</v>
      </c>
      <c r="U107" t="s">
        <v>39</v>
      </c>
      <c r="V107" t="s">
        <v>40</v>
      </c>
      <c r="W107">
        <v>4.9000000000000004</v>
      </c>
      <c r="X107" t="s">
        <v>106</v>
      </c>
      <c r="Y107" t="s">
        <v>42</v>
      </c>
      <c r="Z107">
        <v>6</v>
      </c>
    </row>
    <row r="108" spans="1:26">
      <c r="A108" t="s">
        <v>432</v>
      </c>
      <c r="B108" t="s">
        <v>433</v>
      </c>
      <c r="C108" t="s">
        <v>28</v>
      </c>
      <c r="D108" t="s">
        <v>46</v>
      </c>
      <c r="E108" s="1">
        <v>43262</v>
      </c>
      <c r="F108" t="s">
        <v>65</v>
      </c>
      <c r="G108" t="s">
        <v>256</v>
      </c>
      <c r="H108" t="s">
        <v>32</v>
      </c>
      <c r="I108">
        <v>7</v>
      </c>
      <c r="J108" t="s">
        <v>67</v>
      </c>
      <c r="K108">
        <v>1</v>
      </c>
      <c r="L108" s="3">
        <v>7399</v>
      </c>
      <c r="M108">
        <v>15</v>
      </c>
      <c r="N108" s="3">
        <v>6290</v>
      </c>
      <c r="O108" s="3">
        <v>6290</v>
      </c>
      <c r="P108" t="s">
        <v>74</v>
      </c>
      <c r="Q108" t="s">
        <v>51</v>
      </c>
      <c r="R108" t="s">
        <v>36</v>
      </c>
      <c r="S108" t="s">
        <v>354</v>
      </c>
      <c r="T108" t="s">
        <v>434</v>
      </c>
      <c r="U108" t="s">
        <v>91</v>
      </c>
      <c r="V108" t="s">
        <v>40</v>
      </c>
      <c r="W108">
        <v>4.4000000000000004</v>
      </c>
      <c r="X108" t="s">
        <v>62</v>
      </c>
      <c r="Y108" t="s">
        <v>55</v>
      </c>
      <c r="Z108">
        <v>2</v>
      </c>
    </row>
    <row r="109" spans="1:26">
      <c r="A109" t="s">
        <v>435</v>
      </c>
      <c r="B109" t="s">
        <v>436</v>
      </c>
      <c r="C109" t="s">
        <v>45</v>
      </c>
      <c r="D109" t="s">
        <v>103</v>
      </c>
      <c r="E109" s="1">
        <v>43262</v>
      </c>
      <c r="F109" t="s">
        <v>86</v>
      </c>
      <c r="G109" t="s">
        <v>285</v>
      </c>
      <c r="H109" t="s">
        <v>111</v>
      </c>
      <c r="I109">
        <v>10</v>
      </c>
      <c r="J109" t="s">
        <v>88</v>
      </c>
      <c r="K109">
        <v>1</v>
      </c>
      <c r="L109" s="3">
        <v>4499</v>
      </c>
      <c r="M109">
        <v>15</v>
      </c>
      <c r="N109" s="3">
        <v>3820</v>
      </c>
      <c r="O109" s="3">
        <v>3820</v>
      </c>
      <c r="P109" t="s">
        <v>34</v>
      </c>
      <c r="Q109" t="s">
        <v>35</v>
      </c>
      <c r="R109" t="s">
        <v>36</v>
      </c>
      <c r="S109" t="s">
        <v>175</v>
      </c>
      <c r="T109" t="s">
        <v>437</v>
      </c>
      <c r="U109" t="s">
        <v>61</v>
      </c>
      <c r="V109" t="s">
        <v>40</v>
      </c>
      <c r="W109">
        <v>4.0999999999999996</v>
      </c>
      <c r="X109" t="s">
        <v>41</v>
      </c>
      <c r="Y109" t="s">
        <v>42</v>
      </c>
      <c r="Z109">
        <v>3</v>
      </c>
    </row>
    <row r="110" spans="1:26">
      <c r="A110" t="s">
        <v>438</v>
      </c>
      <c r="B110" t="s">
        <v>439</v>
      </c>
      <c r="C110" t="s">
        <v>45</v>
      </c>
      <c r="D110" t="s">
        <v>29</v>
      </c>
      <c r="E110" s="1">
        <v>43262</v>
      </c>
      <c r="F110" t="s">
        <v>79</v>
      </c>
      <c r="G110" t="s">
        <v>127</v>
      </c>
      <c r="H110" t="s">
        <v>128</v>
      </c>
      <c r="I110">
        <v>7</v>
      </c>
      <c r="J110" t="s">
        <v>150</v>
      </c>
      <c r="K110">
        <v>2</v>
      </c>
      <c r="L110" s="3">
        <v>4299</v>
      </c>
      <c r="M110">
        <v>20</v>
      </c>
      <c r="N110" s="3">
        <v>3440</v>
      </c>
      <c r="O110" s="3">
        <v>6880</v>
      </c>
      <c r="P110" t="s">
        <v>50</v>
      </c>
      <c r="Q110" t="s">
        <v>82</v>
      </c>
      <c r="R110" t="s">
        <v>36</v>
      </c>
      <c r="S110" t="s">
        <v>238</v>
      </c>
      <c r="T110" t="s">
        <v>239</v>
      </c>
      <c r="U110" t="s">
        <v>39</v>
      </c>
      <c r="V110" t="s">
        <v>40</v>
      </c>
      <c r="W110">
        <v>3.5</v>
      </c>
      <c r="X110" t="s">
        <v>62</v>
      </c>
      <c r="Y110" t="s">
        <v>147</v>
      </c>
      <c r="Z110">
        <v>1</v>
      </c>
    </row>
    <row r="111" spans="1:26">
      <c r="A111" t="s">
        <v>440</v>
      </c>
      <c r="B111" t="s">
        <v>441</v>
      </c>
      <c r="C111" t="s">
        <v>94</v>
      </c>
      <c r="D111" t="s">
        <v>29</v>
      </c>
      <c r="E111" s="1">
        <v>43264</v>
      </c>
      <c r="F111" t="s">
        <v>86</v>
      </c>
      <c r="G111" t="s">
        <v>116</v>
      </c>
      <c r="H111" t="s">
        <v>49</v>
      </c>
      <c r="I111">
        <v>6</v>
      </c>
      <c r="J111" t="s">
        <v>88</v>
      </c>
      <c r="K111">
        <v>1</v>
      </c>
      <c r="L111" s="3">
        <v>5899</v>
      </c>
      <c r="M111">
        <v>15</v>
      </c>
      <c r="N111" s="3">
        <v>5010</v>
      </c>
      <c r="O111" s="3">
        <v>5010</v>
      </c>
      <c r="P111" t="s">
        <v>50</v>
      </c>
      <c r="Q111" t="s">
        <v>51</v>
      </c>
      <c r="R111" t="s">
        <v>36</v>
      </c>
      <c r="S111" t="s">
        <v>243</v>
      </c>
      <c r="T111" t="s">
        <v>276</v>
      </c>
      <c r="U111" t="s">
        <v>61</v>
      </c>
      <c r="V111" t="s">
        <v>40</v>
      </c>
      <c r="W111">
        <v>3.4</v>
      </c>
      <c r="X111" t="s">
        <v>41</v>
      </c>
      <c r="Y111" t="s">
        <v>42</v>
      </c>
      <c r="Z111">
        <v>4</v>
      </c>
    </row>
    <row r="112" spans="1:26">
      <c r="A112" t="s">
        <v>442</v>
      </c>
      <c r="B112" t="s">
        <v>443</v>
      </c>
      <c r="C112" t="s">
        <v>45</v>
      </c>
      <c r="D112" t="s">
        <v>46</v>
      </c>
      <c r="E112" s="1">
        <v>43265</v>
      </c>
      <c r="F112" t="s">
        <v>30</v>
      </c>
      <c r="G112" t="s">
        <v>214</v>
      </c>
      <c r="H112" t="s">
        <v>128</v>
      </c>
      <c r="I112">
        <v>8</v>
      </c>
      <c r="J112" t="s">
        <v>67</v>
      </c>
      <c r="K112">
        <v>2</v>
      </c>
      <c r="L112" s="3">
        <v>3799</v>
      </c>
      <c r="M112">
        <v>0</v>
      </c>
      <c r="N112" s="3">
        <v>3800</v>
      </c>
      <c r="O112" s="3">
        <v>7600</v>
      </c>
      <c r="P112" t="s">
        <v>34</v>
      </c>
      <c r="Q112" t="s">
        <v>51</v>
      </c>
      <c r="R112" t="s">
        <v>36</v>
      </c>
      <c r="S112" t="s">
        <v>384</v>
      </c>
      <c r="T112" t="s">
        <v>444</v>
      </c>
      <c r="U112" t="s">
        <v>54</v>
      </c>
      <c r="V112" t="s">
        <v>40</v>
      </c>
      <c r="W112">
        <v>4.5999999999999996</v>
      </c>
      <c r="X112" t="s">
        <v>41</v>
      </c>
      <c r="Y112" t="s">
        <v>42</v>
      </c>
      <c r="Z112">
        <v>4</v>
      </c>
    </row>
    <row r="113" spans="1:26">
      <c r="A113" t="s">
        <v>445</v>
      </c>
      <c r="B113" t="s">
        <v>446</v>
      </c>
      <c r="C113" t="s">
        <v>94</v>
      </c>
      <c r="D113" t="s">
        <v>46</v>
      </c>
      <c r="E113" s="1">
        <v>43265</v>
      </c>
      <c r="F113" t="s">
        <v>96</v>
      </c>
      <c r="G113" t="s">
        <v>171</v>
      </c>
      <c r="H113" t="s">
        <v>128</v>
      </c>
      <c r="I113">
        <v>8</v>
      </c>
      <c r="J113" t="s">
        <v>33</v>
      </c>
      <c r="K113">
        <v>1</v>
      </c>
      <c r="L113" s="3">
        <v>8199</v>
      </c>
      <c r="M113">
        <v>15</v>
      </c>
      <c r="N113" s="3">
        <v>6970</v>
      </c>
      <c r="O113" s="3">
        <v>6970</v>
      </c>
      <c r="P113" t="s">
        <v>50</v>
      </c>
      <c r="Q113" t="s">
        <v>51</v>
      </c>
      <c r="R113" t="s">
        <v>36</v>
      </c>
      <c r="S113" t="s">
        <v>297</v>
      </c>
      <c r="T113" t="s">
        <v>390</v>
      </c>
      <c r="U113" t="s">
        <v>39</v>
      </c>
      <c r="V113" t="s">
        <v>40</v>
      </c>
      <c r="W113">
        <v>4.8</v>
      </c>
      <c r="X113" t="s">
        <v>41</v>
      </c>
      <c r="Y113" t="s">
        <v>55</v>
      </c>
      <c r="Z113">
        <v>3</v>
      </c>
    </row>
    <row r="114" spans="1:26">
      <c r="A114" t="s">
        <v>447</v>
      </c>
      <c r="B114" t="s">
        <v>448</v>
      </c>
      <c r="C114" t="s">
        <v>28</v>
      </c>
      <c r="D114" t="s">
        <v>46</v>
      </c>
      <c r="E114" s="1">
        <v>43266</v>
      </c>
      <c r="F114" t="s">
        <v>47</v>
      </c>
      <c r="G114" t="s">
        <v>121</v>
      </c>
      <c r="H114" t="s">
        <v>111</v>
      </c>
      <c r="I114">
        <v>10</v>
      </c>
      <c r="J114" t="s">
        <v>98</v>
      </c>
      <c r="K114">
        <v>1</v>
      </c>
      <c r="L114" s="3">
        <v>8799</v>
      </c>
      <c r="M114">
        <v>20</v>
      </c>
      <c r="N114" s="3">
        <v>7040</v>
      </c>
      <c r="O114" s="3">
        <v>7040</v>
      </c>
      <c r="P114" t="s">
        <v>34</v>
      </c>
      <c r="Q114" t="s">
        <v>51</v>
      </c>
      <c r="R114" t="s">
        <v>36</v>
      </c>
      <c r="S114" t="s">
        <v>338</v>
      </c>
      <c r="T114" t="s">
        <v>449</v>
      </c>
      <c r="U114" t="s">
        <v>39</v>
      </c>
      <c r="V114" t="s">
        <v>40</v>
      </c>
      <c r="W114">
        <v>4.2</v>
      </c>
      <c r="X114" t="s">
        <v>41</v>
      </c>
      <c r="Y114" t="s">
        <v>147</v>
      </c>
      <c r="Z114">
        <v>1</v>
      </c>
    </row>
    <row r="115" spans="1:26">
      <c r="A115" t="s">
        <v>450</v>
      </c>
      <c r="B115" t="s">
        <v>451</v>
      </c>
      <c r="C115" t="s">
        <v>28</v>
      </c>
      <c r="D115" t="s">
        <v>109</v>
      </c>
      <c r="E115" s="1">
        <v>43267</v>
      </c>
      <c r="F115" t="s">
        <v>65</v>
      </c>
      <c r="G115" t="s">
        <v>72</v>
      </c>
      <c r="H115" t="s">
        <v>59</v>
      </c>
      <c r="I115">
        <v>9</v>
      </c>
      <c r="J115" t="s">
        <v>98</v>
      </c>
      <c r="K115">
        <v>1</v>
      </c>
      <c r="L115" s="3">
        <v>4499</v>
      </c>
      <c r="M115">
        <v>20</v>
      </c>
      <c r="N115" s="3">
        <v>3600</v>
      </c>
      <c r="O115" s="3">
        <v>3600</v>
      </c>
      <c r="P115" t="s">
        <v>34</v>
      </c>
      <c r="Q115" t="s">
        <v>51</v>
      </c>
      <c r="R115" t="s">
        <v>36</v>
      </c>
      <c r="S115" t="s">
        <v>151</v>
      </c>
      <c r="T115" t="s">
        <v>452</v>
      </c>
      <c r="U115" t="s">
        <v>54</v>
      </c>
      <c r="V115" t="s">
        <v>40</v>
      </c>
      <c r="W115">
        <v>4.7</v>
      </c>
      <c r="X115" t="s">
        <v>41</v>
      </c>
      <c r="Y115" t="s">
        <v>42</v>
      </c>
      <c r="Z115">
        <v>6</v>
      </c>
    </row>
    <row r="116" spans="1:26">
      <c r="A116" t="s">
        <v>453</v>
      </c>
      <c r="B116" t="s">
        <v>454</v>
      </c>
      <c r="C116" t="s">
        <v>45</v>
      </c>
      <c r="D116" t="s">
        <v>46</v>
      </c>
      <c r="E116" s="1">
        <v>43271</v>
      </c>
      <c r="F116" t="s">
        <v>86</v>
      </c>
      <c r="G116" t="s">
        <v>242</v>
      </c>
      <c r="H116" t="s">
        <v>32</v>
      </c>
      <c r="I116">
        <v>9</v>
      </c>
      <c r="J116" t="s">
        <v>98</v>
      </c>
      <c r="K116">
        <v>1</v>
      </c>
      <c r="L116" s="3">
        <v>6799</v>
      </c>
      <c r="M116">
        <v>30</v>
      </c>
      <c r="N116" s="3">
        <v>4760</v>
      </c>
      <c r="O116" s="3">
        <v>4760</v>
      </c>
      <c r="P116" t="s">
        <v>50</v>
      </c>
      <c r="Q116" t="s">
        <v>51</v>
      </c>
      <c r="R116" t="s">
        <v>36</v>
      </c>
      <c r="S116" t="s">
        <v>164</v>
      </c>
      <c r="T116" t="s">
        <v>409</v>
      </c>
      <c r="U116" t="s">
        <v>124</v>
      </c>
      <c r="V116" t="s">
        <v>40</v>
      </c>
      <c r="W116">
        <v>4.7</v>
      </c>
      <c r="X116" t="s">
        <v>41</v>
      </c>
      <c r="Y116" t="s">
        <v>55</v>
      </c>
      <c r="Z116">
        <v>3</v>
      </c>
    </row>
    <row r="117" spans="1:26">
      <c r="A117" t="s">
        <v>455</v>
      </c>
      <c r="B117" t="s">
        <v>408</v>
      </c>
      <c r="C117" t="s">
        <v>45</v>
      </c>
      <c r="D117" t="s">
        <v>29</v>
      </c>
      <c r="E117" s="1">
        <v>43272</v>
      </c>
      <c r="F117" t="s">
        <v>30</v>
      </c>
      <c r="G117" t="s">
        <v>347</v>
      </c>
      <c r="H117" t="s">
        <v>49</v>
      </c>
      <c r="I117">
        <v>9</v>
      </c>
      <c r="J117" t="s">
        <v>98</v>
      </c>
      <c r="K117">
        <v>1</v>
      </c>
      <c r="L117" s="3">
        <v>8399</v>
      </c>
      <c r="M117">
        <v>15</v>
      </c>
      <c r="N117" s="3">
        <v>7140</v>
      </c>
      <c r="O117" s="3">
        <v>7140</v>
      </c>
      <c r="P117" t="s">
        <v>81</v>
      </c>
      <c r="Q117" t="s">
        <v>51</v>
      </c>
      <c r="R117" t="s">
        <v>36</v>
      </c>
      <c r="S117" t="s">
        <v>200</v>
      </c>
      <c r="T117" t="s">
        <v>232</v>
      </c>
      <c r="U117" t="s">
        <v>124</v>
      </c>
      <c r="V117" t="s">
        <v>315</v>
      </c>
      <c r="W117">
        <v>4.4000000000000004</v>
      </c>
      <c r="X117" t="s">
        <v>41</v>
      </c>
      <c r="Y117" t="s">
        <v>42</v>
      </c>
      <c r="Z117">
        <v>3</v>
      </c>
    </row>
    <row r="118" spans="1:26">
      <c r="A118" t="s">
        <v>456</v>
      </c>
      <c r="B118" t="s">
        <v>457</v>
      </c>
      <c r="C118" t="s">
        <v>28</v>
      </c>
      <c r="D118" t="s">
        <v>29</v>
      </c>
      <c r="E118" s="1">
        <v>43273</v>
      </c>
      <c r="F118" t="s">
        <v>86</v>
      </c>
      <c r="G118" t="s">
        <v>116</v>
      </c>
      <c r="H118" t="s">
        <v>49</v>
      </c>
      <c r="I118">
        <v>11</v>
      </c>
      <c r="J118" t="s">
        <v>33</v>
      </c>
      <c r="K118">
        <v>2</v>
      </c>
      <c r="L118" s="3">
        <v>5299</v>
      </c>
      <c r="M118">
        <v>10</v>
      </c>
      <c r="N118" s="3">
        <v>4770</v>
      </c>
      <c r="O118" s="3">
        <v>9540</v>
      </c>
      <c r="P118" t="s">
        <v>81</v>
      </c>
      <c r="Q118" t="s">
        <v>82</v>
      </c>
      <c r="R118" t="s">
        <v>36</v>
      </c>
      <c r="S118" t="s">
        <v>338</v>
      </c>
      <c r="T118" t="s">
        <v>449</v>
      </c>
      <c r="U118" t="s">
        <v>39</v>
      </c>
      <c r="V118" t="s">
        <v>40</v>
      </c>
      <c r="W118">
        <v>2.5</v>
      </c>
      <c r="X118" t="s">
        <v>41</v>
      </c>
      <c r="Y118" t="s">
        <v>42</v>
      </c>
      <c r="Z118">
        <v>2</v>
      </c>
    </row>
    <row r="119" spans="1:26">
      <c r="A119" t="s">
        <v>458</v>
      </c>
      <c r="B119" t="s">
        <v>459</v>
      </c>
      <c r="C119" t="s">
        <v>45</v>
      </c>
      <c r="D119" t="s">
        <v>95</v>
      </c>
      <c r="E119" s="1">
        <v>43273</v>
      </c>
      <c r="F119" t="s">
        <v>86</v>
      </c>
      <c r="G119" t="s">
        <v>116</v>
      </c>
      <c r="H119" t="s">
        <v>49</v>
      </c>
      <c r="I119">
        <v>9</v>
      </c>
      <c r="J119" t="s">
        <v>67</v>
      </c>
      <c r="K119">
        <v>1</v>
      </c>
      <c r="L119" s="3">
        <v>5599</v>
      </c>
      <c r="M119">
        <v>5</v>
      </c>
      <c r="N119" s="3">
        <v>5320</v>
      </c>
      <c r="O119" s="3">
        <v>5320</v>
      </c>
      <c r="P119" t="s">
        <v>34</v>
      </c>
      <c r="Q119" t="s">
        <v>51</v>
      </c>
      <c r="R119" t="s">
        <v>36</v>
      </c>
      <c r="S119" t="s">
        <v>460</v>
      </c>
      <c r="T119" t="s">
        <v>461</v>
      </c>
      <c r="U119" t="s">
        <v>39</v>
      </c>
      <c r="V119" t="s">
        <v>40</v>
      </c>
      <c r="W119">
        <v>4.7</v>
      </c>
      <c r="X119" t="s">
        <v>106</v>
      </c>
      <c r="Y119" t="s">
        <v>42</v>
      </c>
      <c r="Z119">
        <v>4</v>
      </c>
    </row>
    <row r="120" spans="1:26">
      <c r="A120" t="s">
        <v>462</v>
      </c>
      <c r="B120" t="s">
        <v>463</v>
      </c>
      <c r="C120" t="s">
        <v>45</v>
      </c>
      <c r="D120" t="s">
        <v>46</v>
      </c>
      <c r="E120" s="1">
        <v>43274</v>
      </c>
      <c r="F120" t="s">
        <v>86</v>
      </c>
      <c r="G120" t="s">
        <v>87</v>
      </c>
      <c r="H120" t="s">
        <v>59</v>
      </c>
      <c r="I120">
        <v>9</v>
      </c>
      <c r="J120" t="s">
        <v>98</v>
      </c>
      <c r="K120">
        <v>1</v>
      </c>
      <c r="L120" s="3">
        <v>8899</v>
      </c>
      <c r="M120">
        <v>35</v>
      </c>
      <c r="N120" s="3">
        <v>5780</v>
      </c>
      <c r="O120" s="3">
        <v>5780</v>
      </c>
      <c r="P120" t="s">
        <v>74</v>
      </c>
      <c r="Q120" t="s">
        <v>51</v>
      </c>
      <c r="R120" t="s">
        <v>36</v>
      </c>
      <c r="S120" t="s">
        <v>358</v>
      </c>
      <c r="T120" t="s">
        <v>464</v>
      </c>
      <c r="U120" t="s">
        <v>54</v>
      </c>
      <c r="V120" t="s">
        <v>40</v>
      </c>
      <c r="W120">
        <v>4.5</v>
      </c>
      <c r="X120" t="s">
        <v>41</v>
      </c>
      <c r="Y120" t="s">
        <v>42</v>
      </c>
      <c r="Z120">
        <v>3</v>
      </c>
    </row>
    <row r="121" spans="1:26">
      <c r="A121" t="s">
        <v>465</v>
      </c>
      <c r="B121" t="s">
        <v>466</v>
      </c>
      <c r="C121" t="s">
        <v>28</v>
      </c>
      <c r="D121" t="s">
        <v>46</v>
      </c>
      <c r="E121" s="1">
        <v>43275</v>
      </c>
      <c r="F121" t="s">
        <v>96</v>
      </c>
      <c r="G121" t="s">
        <v>228</v>
      </c>
      <c r="H121" t="s">
        <v>59</v>
      </c>
      <c r="I121">
        <v>9</v>
      </c>
      <c r="J121" t="s">
        <v>150</v>
      </c>
      <c r="K121">
        <v>1</v>
      </c>
      <c r="L121" s="3">
        <v>7599</v>
      </c>
      <c r="M121">
        <v>5</v>
      </c>
      <c r="N121" s="3">
        <v>7220</v>
      </c>
      <c r="O121" s="3">
        <v>7220</v>
      </c>
      <c r="P121" t="s">
        <v>34</v>
      </c>
      <c r="Q121" t="s">
        <v>51</v>
      </c>
      <c r="R121" t="s">
        <v>36</v>
      </c>
      <c r="S121" t="s">
        <v>104</v>
      </c>
      <c r="T121" t="s">
        <v>179</v>
      </c>
      <c r="U121" t="s">
        <v>54</v>
      </c>
      <c r="V121" t="s">
        <v>40</v>
      </c>
      <c r="W121">
        <v>2.6</v>
      </c>
      <c r="X121" t="s">
        <v>106</v>
      </c>
      <c r="Y121" t="s">
        <v>55</v>
      </c>
      <c r="Z121">
        <v>3</v>
      </c>
    </row>
    <row r="122" spans="1:26">
      <c r="A122" t="s">
        <v>467</v>
      </c>
      <c r="B122" t="s">
        <v>468</v>
      </c>
      <c r="C122" t="s">
        <v>28</v>
      </c>
      <c r="D122" t="s">
        <v>109</v>
      </c>
      <c r="E122" s="1">
        <v>43276</v>
      </c>
      <c r="F122" t="s">
        <v>96</v>
      </c>
      <c r="G122" t="s">
        <v>323</v>
      </c>
      <c r="H122" t="s">
        <v>59</v>
      </c>
      <c r="I122">
        <v>7</v>
      </c>
      <c r="J122" t="s">
        <v>98</v>
      </c>
      <c r="K122">
        <v>1</v>
      </c>
      <c r="L122" s="3">
        <v>4799</v>
      </c>
      <c r="M122">
        <v>0</v>
      </c>
      <c r="N122" s="3">
        <v>4800</v>
      </c>
      <c r="O122" s="3">
        <v>4800</v>
      </c>
      <c r="P122" t="s">
        <v>74</v>
      </c>
      <c r="Q122" t="s">
        <v>82</v>
      </c>
      <c r="R122" t="s">
        <v>36</v>
      </c>
      <c r="S122" t="s">
        <v>160</v>
      </c>
      <c r="T122" t="s">
        <v>247</v>
      </c>
      <c r="U122" t="s">
        <v>124</v>
      </c>
      <c r="V122" t="s">
        <v>40</v>
      </c>
      <c r="W122">
        <v>3.7</v>
      </c>
      <c r="X122" t="s">
        <v>41</v>
      </c>
      <c r="Y122" t="s">
        <v>55</v>
      </c>
      <c r="Z122">
        <v>1</v>
      </c>
    </row>
    <row r="123" spans="1:26">
      <c r="A123" t="s">
        <v>469</v>
      </c>
      <c r="B123" t="s">
        <v>289</v>
      </c>
      <c r="C123" t="s">
        <v>94</v>
      </c>
      <c r="D123" t="s">
        <v>46</v>
      </c>
      <c r="E123" s="1">
        <v>43276</v>
      </c>
      <c r="F123" t="s">
        <v>79</v>
      </c>
      <c r="G123" t="s">
        <v>174</v>
      </c>
      <c r="H123" t="s">
        <v>32</v>
      </c>
      <c r="I123">
        <v>9</v>
      </c>
      <c r="J123" t="s">
        <v>33</v>
      </c>
      <c r="K123">
        <v>1</v>
      </c>
      <c r="L123" s="3">
        <v>3599</v>
      </c>
      <c r="M123">
        <v>20</v>
      </c>
      <c r="N123" s="3">
        <v>2880</v>
      </c>
      <c r="O123" s="3">
        <v>2880</v>
      </c>
      <c r="P123" t="s">
        <v>81</v>
      </c>
      <c r="Q123" t="s">
        <v>51</v>
      </c>
      <c r="R123" t="s">
        <v>36</v>
      </c>
      <c r="S123" t="s">
        <v>195</v>
      </c>
      <c r="T123" t="s">
        <v>196</v>
      </c>
      <c r="U123" t="s">
        <v>54</v>
      </c>
      <c r="V123" t="s">
        <v>315</v>
      </c>
      <c r="W123">
        <v>4.3</v>
      </c>
      <c r="X123" t="s">
        <v>41</v>
      </c>
      <c r="Y123" t="s">
        <v>55</v>
      </c>
      <c r="Z123">
        <v>3</v>
      </c>
    </row>
    <row r="124" spans="1:26">
      <c r="A124" t="s">
        <v>470</v>
      </c>
      <c r="B124" t="s">
        <v>471</v>
      </c>
      <c r="C124" t="s">
        <v>94</v>
      </c>
      <c r="D124" t="s">
        <v>46</v>
      </c>
      <c r="E124" s="1">
        <v>43277</v>
      </c>
      <c r="F124" t="s">
        <v>86</v>
      </c>
      <c r="G124" t="s">
        <v>312</v>
      </c>
      <c r="H124" t="s">
        <v>59</v>
      </c>
      <c r="I124">
        <v>8</v>
      </c>
      <c r="J124" t="s">
        <v>33</v>
      </c>
      <c r="K124">
        <v>4</v>
      </c>
      <c r="L124" s="3">
        <v>7499</v>
      </c>
      <c r="M124">
        <v>15</v>
      </c>
      <c r="N124" s="3">
        <v>6370</v>
      </c>
      <c r="O124" s="3">
        <v>25480</v>
      </c>
      <c r="P124" t="s">
        <v>34</v>
      </c>
      <c r="Q124" t="s">
        <v>82</v>
      </c>
      <c r="R124" t="s">
        <v>36</v>
      </c>
      <c r="S124" t="s">
        <v>354</v>
      </c>
      <c r="T124" t="s">
        <v>431</v>
      </c>
      <c r="U124" t="s">
        <v>91</v>
      </c>
      <c r="V124" t="s">
        <v>40</v>
      </c>
      <c r="W124">
        <v>4</v>
      </c>
      <c r="X124" t="s">
        <v>41</v>
      </c>
      <c r="Y124" t="s">
        <v>55</v>
      </c>
      <c r="Z124">
        <v>3</v>
      </c>
    </row>
    <row r="125" spans="1:26">
      <c r="A125" t="s">
        <v>472</v>
      </c>
      <c r="B125" t="s">
        <v>473</v>
      </c>
      <c r="C125" t="s">
        <v>45</v>
      </c>
      <c r="D125" t="s">
        <v>103</v>
      </c>
      <c r="E125" s="1">
        <v>43277</v>
      </c>
      <c r="F125" t="s">
        <v>30</v>
      </c>
      <c r="G125" t="s">
        <v>31</v>
      </c>
      <c r="H125" t="s">
        <v>32</v>
      </c>
      <c r="I125">
        <v>8</v>
      </c>
      <c r="J125" t="s">
        <v>88</v>
      </c>
      <c r="K125">
        <v>2</v>
      </c>
      <c r="L125" s="3">
        <v>9599</v>
      </c>
      <c r="M125">
        <v>5</v>
      </c>
      <c r="N125" s="3">
        <v>9120</v>
      </c>
      <c r="O125" s="3">
        <v>18240</v>
      </c>
      <c r="P125" t="s">
        <v>50</v>
      </c>
      <c r="Q125" t="s">
        <v>35</v>
      </c>
      <c r="R125" t="s">
        <v>36</v>
      </c>
      <c r="S125" t="s">
        <v>354</v>
      </c>
      <c r="T125" t="s">
        <v>431</v>
      </c>
      <c r="U125" t="s">
        <v>39</v>
      </c>
      <c r="V125" t="s">
        <v>40</v>
      </c>
      <c r="W125">
        <v>5</v>
      </c>
      <c r="X125" t="s">
        <v>41</v>
      </c>
      <c r="Y125" t="s">
        <v>55</v>
      </c>
      <c r="Z125">
        <v>2</v>
      </c>
    </row>
    <row r="126" spans="1:26">
      <c r="A126" t="s">
        <v>474</v>
      </c>
      <c r="B126" t="s">
        <v>475</v>
      </c>
      <c r="C126" t="s">
        <v>28</v>
      </c>
      <c r="D126" t="s">
        <v>29</v>
      </c>
      <c r="E126" s="1">
        <v>43278</v>
      </c>
      <c r="F126" t="s">
        <v>86</v>
      </c>
      <c r="G126" t="s">
        <v>312</v>
      </c>
      <c r="H126" t="s">
        <v>59</v>
      </c>
      <c r="I126">
        <v>11</v>
      </c>
      <c r="J126" t="s">
        <v>67</v>
      </c>
      <c r="K126">
        <v>1</v>
      </c>
      <c r="L126" s="3">
        <v>6599</v>
      </c>
      <c r="M126">
        <v>20</v>
      </c>
      <c r="N126" s="3">
        <v>5280</v>
      </c>
      <c r="O126" s="3">
        <v>5280</v>
      </c>
      <c r="P126" t="s">
        <v>34</v>
      </c>
      <c r="Q126" t="s">
        <v>82</v>
      </c>
      <c r="R126" t="s">
        <v>36</v>
      </c>
      <c r="S126" t="s">
        <v>210</v>
      </c>
      <c r="T126" t="s">
        <v>415</v>
      </c>
      <c r="U126" t="s">
        <v>91</v>
      </c>
      <c r="V126" t="s">
        <v>40</v>
      </c>
      <c r="W126">
        <v>3.8</v>
      </c>
      <c r="X126" t="s">
        <v>41</v>
      </c>
      <c r="Y126" t="s">
        <v>55</v>
      </c>
      <c r="Z126">
        <v>2</v>
      </c>
    </row>
    <row r="127" spans="1:26">
      <c r="A127" t="s">
        <v>476</v>
      </c>
      <c r="B127" t="s">
        <v>477</v>
      </c>
      <c r="C127" t="s">
        <v>45</v>
      </c>
      <c r="D127" t="s">
        <v>46</v>
      </c>
      <c r="E127" s="1">
        <v>43282</v>
      </c>
      <c r="F127" t="s">
        <v>86</v>
      </c>
      <c r="G127" t="s">
        <v>312</v>
      </c>
      <c r="H127" t="s">
        <v>59</v>
      </c>
      <c r="I127">
        <v>10</v>
      </c>
      <c r="J127" t="s">
        <v>98</v>
      </c>
      <c r="K127">
        <v>1</v>
      </c>
      <c r="L127" s="3">
        <v>9299</v>
      </c>
      <c r="M127">
        <v>15</v>
      </c>
      <c r="N127" s="3">
        <v>7900</v>
      </c>
      <c r="O127" s="3">
        <v>7900</v>
      </c>
      <c r="P127" t="s">
        <v>74</v>
      </c>
      <c r="Q127" t="s">
        <v>35</v>
      </c>
      <c r="R127" t="s">
        <v>36</v>
      </c>
      <c r="S127" t="s">
        <v>75</v>
      </c>
      <c r="T127" t="s">
        <v>215</v>
      </c>
      <c r="U127" t="s">
        <v>54</v>
      </c>
      <c r="V127" t="s">
        <v>40</v>
      </c>
      <c r="W127">
        <v>3.4</v>
      </c>
      <c r="X127" t="s">
        <v>41</v>
      </c>
      <c r="Y127" t="s">
        <v>55</v>
      </c>
      <c r="Z127">
        <v>3</v>
      </c>
    </row>
    <row r="128" spans="1:26">
      <c r="A128" t="s">
        <v>478</v>
      </c>
      <c r="B128" t="s">
        <v>479</v>
      </c>
      <c r="C128" t="s">
        <v>94</v>
      </c>
      <c r="D128" t="s">
        <v>29</v>
      </c>
      <c r="E128" s="1">
        <v>43284</v>
      </c>
      <c r="F128" t="s">
        <v>79</v>
      </c>
      <c r="G128" t="s">
        <v>480</v>
      </c>
      <c r="H128" t="s">
        <v>111</v>
      </c>
      <c r="I128">
        <v>9</v>
      </c>
      <c r="J128" t="s">
        <v>33</v>
      </c>
      <c r="K128">
        <v>1</v>
      </c>
      <c r="L128" s="3">
        <v>7699</v>
      </c>
      <c r="M128">
        <v>5</v>
      </c>
      <c r="N128" s="3">
        <v>7310</v>
      </c>
      <c r="O128" s="3">
        <v>7310</v>
      </c>
      <c r="P128" t="s">
        <v>81</v>
      </c>
      <c r="Q128" t="s">
        <v>51</v>
      </c>
      <c r="R128" t="s">
        <v>36</v>
      </c>
      <c r="S128" t="s">
        <v>384</v>
      </c>
      <c r="T128" t="s">
        <v>481</v>
      </c>
      <c r="U128" t="s">
        <v>91</v>
      </c>
      <c r="V128" t="s">
        <v>40</v>
      </c>
      <c r="W128">
        <v>5</v>
      </c>
      <c r="X128" t="s">
        <v>41</v>
      </c>
      <c r="Y128" t="s">
        <v>55</v>
      </c>
      <c r="Z128">
        <v>3</v>
      </c>
    </row>
    <row r="129" spans="1:26">
      <c r="A129" t="s">
        <v>482</v>
      </c>
      <c r="B129" t="s">
        <v>483</v>
      </c>
      <c r="C129" t="s">
        <v>28</v>
      </c>
      <c r="D129" t="s">
        <v>109</v>
      </c>
      <c r="E129" s="1">
        <v>43284</v>
      </c>
      <c r="F129" t="s">
        <v>47</v>
      </c>
      <c r="G129" t="s">
        <v>199</v>
      </c>
      <c r="H129" t="s">
        <v>59</v>
      </c>
      <c r="I129">
        <v>9</v>
      </c>
      <c r="J129" t="s">
        <v>150</v>
      </c>
      <c r="K129">
        <v>2</v>
      </c>
      <c r="L129" s="3">
        <v>8399</v>
      </c>
      <c r="M129">
        <v>20</v>
      </c>
      <c r="N129" s="3">
        <v>6720</v>
      </c>
      <c r="O129" s="3">
        <v>13440</v>
      </c>
      <c r="P129" t="s">
        <v>34</v>
      </c>
      <c r="Q129" t="s">
        <v>82</v>
      </c>
      <c r="R129" t="s">
        <v>36</v>
      </c>
      <c r="S129" t="s">
        <v>37</v>
      </c>
      <c r="T129" t="s">
        <v>484</v>
      </c>
      <c r="U129" t="s">
        <v>124</v>
      </c>
      <c r="V129" t="s">
        <v>40</v>
      </c>
      <c r="W129">
        <v>3.5</v>
      </c>
      <c r="X129" t="s">
        <v>41</v>
      </c>
      <c r="Y129" t="s">
        <v>42</v>
      </c>
      <c r="Z129">
        <v>5</v>
      </c>
    </row>
    <row r="130" spans="1:26">
      <c r="A130" t="s">
        <v>485</v>
      </c>
      <c r="B130" t="s">
        <v>486</v>
      </c>
      <c r="C130" t="s">
        <v>28</v>
      </c>
      <c r="D130" t="s">
        <v>103</v>
      </c>
      <c r="E130" s="1">
        <v>43284</v>
      </c>
      <c r="F130" t="s">
        <v>96</v>
      </c>
      <c r="G130" t="s">
        <v>171</v>
      </c>
      <c r="H130" t="s">
        <v>128</v>
      </c>
      <c r="I130">
        <v>8</v>
      </c>
      <c r="J130" t="s">
        <v>33</v>
      </c>
      <c r="K130">
        <v>1</v>
      </c>
      <c r="L130" s="3">
        <v>5699</v>
      </c>
      <c r="M130">
        <v>15</v>
      </c>
      <c r="N130" s="3">
        <v>4840</v>
      </c>
      <c r="O130" s="3">
        <v>4840</v>
      </c>
      <c r="P130" t="s">
        <v>74</v>
      </c>
      <c r="Q130" t="s">
        <v>35</v>
      </c>
      <c r="R130" t="s">
        <v>36</v>
      </c>
      <c r="S130" t="s">
        <v>200</v>
      </c>
      <c r="T130" t="s">
        <v>232</v>
      </c>
      <c r="U130" t="s">
        <v>91</v>
      </c>
      <c r="V130" t="s">
        <v>40</v>
      </c>
      <c r="W130">
        <v>2.6</v>
      </c>
      <c r="X130" t="s">
        <v>41</v>
      </c>
      <c r="Y130" t="s">
        <v>42</v>
      </c>
      <c r="Z130">
        <v>3</v>
      </c>
    </row>
    <row r="131" spans="1:26">
      <c r="A131" t="s">
        <v>487</v>
      </c>
      <c r="B131" t="s">
        <v>488</v>
      </c>
      <c r="C131" t="s">
        <v>45</v>
      </c>
      <c r="D131" t="s">
        <v>95</v>
      </c>
      <c r="E131" s="1">
        <v>43285</v>
      </c>
      <c r="F131" t="s">
        <v>96</v>
      </c>
      <c r="G131" t="s">
        <v>323</v>
      </c>
      <c r="H131" t="s">
        <v>59</v>
      </c>
      <c r="I131">
        <v>10</v>
      </c>
      <c r="J131" t="s">
        <v>67</v>
      </c>
      <c r="K131">
        <v>1</v>
      </c>
      <c r="L131" s="3">
        <v>6099</v>
      </c>
      <c r="M131">
        <v>10</v>
      </c>
      <c r="N131" s="3">
        <v>5490</v>
      </c>
      <c r="O131" s="3">
        <v>5490</v>
      </c>
      <c r="P131" t="s">
        <v>50</v>
      </c>
      <c r="Q131" t="s">
        <v>51</v>
      </c>
      <c r="R131" t="s">
        <v>36</v>
      </c>
      <c r="S131" t="s">
        <v>195</v>
      </c>
      <c r="T131" t="s">
        <v>215</v>
      </c>
      <c r="U131" t="s">
        <v>39</v>
      </c>
      <c r="V131" t="s">
        <v>40</v>
      </c>
      <c r="W131">
        <v>3.7</v>
      </c>
      <c r="X131" t="s">
        <v>41</v>
      </c>
      <c r="Y131" t="s">
        <v>55</v>
      </c>
      <c r="Z131">
        <v>3</v>
      </c>
    </row>
    <row r="132" spans="1:26">
      <c r="A132" t="s">
        <v>489</v>
      </c>
      <c r="B132" t="s">
        <v>490</v>
      </c>
      <c r="C132" t="s">
        <v>28</v>
      </c>
      <c r="D132" t="s">
        <v>103</v>
      </c>
      <c r="E132" s="1">
        <v>43285</v>
      </c>
      <c r="F132" t="s">
        <v>79</v>
      </c>
      <c r="G132" t="s">
        <v>174</v>
      </c>
      <c r="H132" t="s">
        <v>32</v>
      </c>
      <c r="I132">
        <v>8</v>
      </c>
      <c r="J132" t="s">
        <v>88</v>
      </c>
      <c r="K132">
        <v>2</v>
      </c>
      <c r="L132" s="3">
        <v>7999</v>
      </c>
      <c r="M132">
        <v>0</v>
      </c>
      <c r="N132" s="3">
        <v>8000</v>
      </c>
      <c r="O132" s="3">
        <v>16000</v>
      </c>
      <c r="P132" t="s">
        <v>81</v>
      </c>
      <c r="Q132" t="s">
        <v>51</v>
      </c>
      <c r="R132" t="s">
        <v>36</v>
      </c>
      <c r="S132" t="s">
        <v>210</v>
      </c>
      <c r="T132" t="s">
        <v>415</v>
      </c>
      <c r="U132" t="s">
        <v>54</v>
      </c>
      <c r="V132" t="s">
        <v>40</v>
      </c>
      <c r="W132">
        <v>4.5</v>
      </c>
      <c r="X132" t="s">
        <v>41</v>
      </c>
      <c r="Y132" t="s">
        <v>55</v>
      </c>
      <c r="Z132">
        <v>2</v>
      </c>
    </row>
    <row r="133" spans="1:26">
      <c r="A133" t="s">
        <v>491</v>
      </c>
      <c r="B133" t="s">
        <v>492</v>
      </c>
      <c r="C133" t="s">
        <v>45</v>
      </c>
      <c r="D133" t="s">
        <v>95</v>
      </c>
      <c r="E133" s="1">
        <v>43286</v>
      </c>
      <c r="F133" t="s">
        <v>96</v>
      </c>
      <c r="G133" t="s">
        <v>290</v>
      </c>
      <c r="H133" t="s">
        <v>32</v>
      </c>
      <c r="I133">
        <v>10</v>
      </c>
      <c r="J133" t="s">
        <v>67</v>
      </c>
      <c r="K133">
        <v>2</v>
      </c>
      <c r="L133" s="3">
        <v>8899</v>
      </c>
      <c r="M133">
        <v>10</v>
      </c>
      <c r="N133" s="3">
        <v>8010</v>
      </c>
      <c r="O133" s="3">
        <v>16020</v>
      </c>
      <c r="P133" t="s">
        <v>81</v>
      </c>
      <c r="Q133" t="s">
        <v>82</v>
      </c>
      <c r="R133" t="s">
        <v>36</v>
      </c>
      <c r="S133" t="s">
        <v>75</v>
      </c>
      <c r="T133" t="s">
        <v>215</v>
      </c>
      <c r="U133" t="s">
        <v>54</v>
      </c>
      <c r="V133" t="s">
        <v>40</v>
      </c>
      <c r="W133">
        <v>3.6</v>
      </c>
      <c r="X133" t="s">
        <v>41</v>
      </c>
      <c r="Y133" t="s">
        <v>42</v>
      </c>
      <c r="Z133">
        <v>7</v>
      </c>
    </row>
    <row r="134" spans="1:26">
      <c r="A134" t="s">
        <v>493</v>
      </c>
      <c r="B134" t="s">
        <v>494</v>
      </c>
      <c r="C134" t="s">
        <v>45</v>
      </c>
      <c r="D134" t="s">
        <v>46</v>
      </c>
      <c r="E134" s="1">
        <v>43290</v>
      </c>
      <c r="F134" t="s">
        <v>96</v>
      </c>
      <c r="G134" t="s">
        <v>155</v>
      </c>
      <c r="H134" t="s">
        <v>111</v>
      </c>
      <c r="I134">
        <v>9</v>
      </c>
      <c r="J134" t="s">
        <v>67</v>
      </c>
      <c r="K134">
        <v>1</v>
      </c>
      <c r="L134" s="3">
        <v>9199</v>
      </c>
      <c r="M134">
        <v>5</v>
      </c>
      <c r="N134" s="3">
        <v>8740</v>
      </c>
      <c r="O134" s="3">
        <v>8740</v>
      </c>
      <c r="P134" t="s">
        <v>34</v>
      </c>
      <c r="Q134" t="s">
        <v>51</v>
      </c>
      <c r="R134" t="s">
        <v>36</v>
      </c>
      <c r="S134" t="s">
        <v>175</v>
      </c>
      <c r="T134" t="s">
        <v>495</v>
      </c>
      <c r="U134" t="s">
        <v>61</v>
      </c>
      <c r="V134" t="s">
        <v>40</v>
      </c>
      <c r="W134">
        <v>4</v>
      </c>
      <c r="X134" t="s">
        <v>106</v>
      </c>
      <c r="Y134" t="s">
        <v>42</v>
      </c>
      <c r="Z134">
        <v>7</v>
      </c>
    </row>
    <row r="135" spans="1:26">
      <c r="A135" t="s">
        <v>496</v>
      </c>
      <c r="B135" t="s">
        <v>497</v>
      </c>
      <c r="C135" t="s">
        <v>28</v>
      </c>
      <c r="D135" t="s">
        <v>103</v>
      </c>
      <c r="E135" s="1">
        <v>43291</v>
      </c>
      <c r="F135" t="s">
        <v>30</v>
      </c>
      <c r="G135" t="s">
        <v>110</v>
      </c>
      <c r="H135" t="s">
        <v>111</v>
      </c>
      <c r="I135">
        <v>8</v>
      </c>
      <c r="J135" t="s">
        <v>73</v>
      </c>
      <c r="K135">
        <v>1</v>
      </c>
      <c r="L135" s="3">
        <v>8899</v>
      </c>
      <c r="M135">
        <v>15</v>
      </c>
      <c r="N135" s="3">
        <v>7560</v>
      </c>
      <c r="O135" s="3">
        <v>7560</v>
      </c>
      <c r="P135" t="s">
        <v>34</v>
      </c>
      <c r="Q135" t="s">
        <v>82</v>
      </c>
      <c r="R135" t="s">
        <v>36</v>
      </c>
      <c r="S135" t="s">
        <v>238</v>
      </c>
      <c r="T135" t="s">
        <v>498</v>
      </c>
      <c r="U135" t="s">
        <v>124</v>
      </c>
      <c r="V135" t="s">
        <v>40</v>
      </c>
      <c r="W135">
        <v>4.2</v>
      </c>
      <c r="X135" t="s">
        <v>106</v>
      </c>
      <c r="Y135" t="s">
        <v>42</v>
      </c>
      <c r="Z135">
        <v>2</v>
      </c>
    </row>
    <row r="136" spans="1:26">
      <c r="A136" t="s">
        <v>499</v>
      </c>
      <c r="B136" t="s">
        <v>500</v>
      </c>
      <c r="C136" t="s">
        <v>45</v>
      </c>
      <c r="D136" t="s">
        <v>46</v>
      </c>
      <c r="E136" s="1">
        <v>43291</v>
      </c>
      <c r="F136" t="s">
        <v>47</v>
      </c>
      <c r="G136" t="s">
        <v>121</v>
      </c>
      <c r="H136" t="s">
        <v>111</v>
      </c>
      <c r="I136">
        <v>8</v>
      </c>
      <c r="J136" t="s">
        <v>150</v>
      </c>
      <c r="K136">
        <v>1</v>
      </c>
      <c r="L136" s="3">
        <v>7199</v>
      </c>
      <c r="M136">
        <v>10</v>
      </c>
      <c r="N136" s="3">
        <v>6480</v>
      </c>
      <c r="O136" s="3">
        <v>6480</v>
      </c>
      <c r="P136" t="s">
        <v>74</v>
      </c>
      <c r="Q136" t="s">
        <v>82</v>
      </c>
      <c r="R136" t="s">
        <v>36</v>
      </c>
      <c r="S136" t="s">
        <v>384</v>
      </c>
      <c r="T136" t="s">
        <v>481</v>
      </c>
      <c r="U136" t="s">
        <v>39</v>
      </c>
      <c r="V136" t="s">
        <v>40</v>
      </c>
      <c r="W136">
        <v>4.5</v>
      </c>
      <c r="X136" t="s">
        <v>41</v>
      </c>
      <c r="Y136" t="s">
        <v>42</v>
      </c>
      <c r="Z136">
        <v>6</v>
      </c>
    </row>
    <row r="137" spans="1:26">
      <c r="A137" t="s">
        <v>501</v>
      </c>
      <c r="B137" t="s">
        <v>502</v>
      </c>
      <c r="C137" t="s">
        <v>28</v>
      </c>
      <c r="D137" t="s">
        <v>29</v>
      </c>
      <c r="E137" s="1">
        <v>43292</v>
      </c>
      <c r="F137" t="s">
        <v>65</v>
      </c>
      <c r="G137" t="s">
        <v>365</v>
      </c>
      <c r="H137" t="s">
        <v>49</v>
      </c>
      <c r="I137">
        <v>9</v>
      </c>
      <c r="J137" t="s">
        <v>73</v>
      </c>
      <c r="K137">
        <v>1</v>
      </c>
      <c r="L137" s="3">
        <v>5999</v>
      </c>
      <c r="M137">
        <v>15</v>
      </c>
      <c r="N137" s="3">
        <v>5100</v>
      </c>
      <c r="O137" s="3">
        <v>5100</v>
      </c>
      <c r="P137" t="s">
        <v>74</v>
      </c>
      <c r="Q137" t="s">
        <v>51</v>
      </c>
      <c r="R137" t="s">
        <v>36</v>
      </c>
      <c r="S137" t="s">
        <v>182</v>
      </c>
      <c r="T137" t="s">
        <v>503</v>
      </c>
      <c r="U137" t="s">
        <v>61</v>
      </c>
      <c r="V137" t="s">
        <v>40</v>
      </c>
      <c r="W137">
        <v>4.9000000000000004</v>
      </c>
      <c r="X137" t="s">
        <v>41</v>
      </c>
      <c r="Y137" t="s">
        <v>55</v>
      </c>
      <c r="Z137">
        <v>3</v>
      </c>
    </row>
    <row r="138" spans="1:26">
      <c r="A138" t="s">
        <v>504</v>
      </c>
      <c r="B138" t="s">
        <v>505</v>
      </c>
      <c r="C138" t="s">
        <v>94</v>
      </c>
      <c r="D138" t="s">
        <v>46</v>
      </c>
      <c r="E138" s="1">
        <v>43295</v>
      </c>
      <c r="F138" t="s">
        <v>65</v>
      </c>
      <c r="G138" t="s">
        <v>66</v>
      </c>
      <c r="H138" t="s">
        <v>59</v>
      </c>
      <c r="I138">
        <v>9</v>
      </c>
      <c r="J138" t="s">
        <v>73</v>
      </c>
      <c r="K138">
        <v>1</v>
      </c>
      <c r="L138" s="3">
        <v>5199</v>
      </c>
      <c r="M138">
        <v>15</v>
      </c>
      <c r="N138" s="3">
        <v>4420</v>
      </c>
      <c r="O138" s="3">
        <v>4420</v>
      </c>
      <c r="P138" t="s">
        <v>81</v>
      </c>
      <c r="Q138" t="s">
        <v>35</v>
      </c>
      <c r="R138" t="s">
        <v>36</v>
      </c>
      <c r="S138" t="s">
        <v>151</v>
      </c>
      <c r="T138" t="s">
        <v>506</v>
      </c>
      <c r="U138" t="s">
        <v>54</v>
      </c>
      <c r="V138" t="s">
        <v>40</v>
      </c>
      <c r="W138">
        <v>4.8</v>
      </c>
      <c r="X138" t="s">
        <v>41</v>
      </c>
      <c r="Y138" t="s">
        <v>55</v>
      </c>
      <c r="Z138">
        <v>3</v>
      </c>
    </row>
    <row r="139" spans="1:26">
      <c r="A139" t="s">
        <v>507</v>
      </c>
      <c r="B139" t="s">
        <v>508</v>
      </c>
      <c r="C139" t="s">
        <v>45</v>
      </c>
      <c r="D139" t="s">
        <v>29</v>
      </c>
      <c r="E139" s="1">
        <v>43297</v>
      </c>
      <c r="F139" t="s">
        <v>65</v>
      </c>
      <c r="G139" t="s">
        <v>279</v>
      </c>
      <c r="H139" t="s">
        <v>111</v>
      </c>
      <c r="I139">
        <v>10</v>
      </c>
      <c r="J139" t="s">
        <v>98</v>
      </c>
      <c r="K139">
        <v>2</v>
      </c>
      <c r="L139" s="3">
        <v>6999</v>
      </c>
      <c r="M139">
        <v>20</v>
      </c>
      <c r="N139" s="3">
        <v>5600</v>
      </c>
      <c r="O139" s="3">
        <v>11200</v>
      </c>
      <c r="P139" t="s">
        <v>34</v>
      </c>
      <c r="Q139" t="s">
        <v>51</v>
      </c>
      <c r="R139" t="s">
        <v>36</v>
      </c>
      <c r="S139" t="s">
        <v>37</v>
      </c>
      <c r="T139" t="s">
        <v>509</v>
      </c>
      <c r="U139" t="s">
        <v>61</v>
      </c>
      <c r="V139" t="s">
        <v>40</v>
      </c>
      <c r="W139">
        <v>4.4000000000000004</v>
      </c>
      <c r="X139" t="s">
        <v>41</v>
      </c>
      <c r="Y139" t="s">
        <v>55</v>
      </c>
      <c r="Z139">
        <v>2</v>
      </c>
    </row>
    <row r="140" spans="1:26">
      <c r="A140" t="s">
        <v>510</v>
      </c>
      <c r="B140" t="s">
        <v>511</v>
      </c>
      <c r="C140" t="s">
        <v>45</v>
      </c>
      <c r="D140" t="s">
        <v>46</v>
      </c>
      <c r="E140" s="1">
        <v>43297</v>
      </c>
      <c r="F140" t="s">
        <v>30</v>
      </c>
      <c r="G140" t="s">
        <v>214</v>
      </c>
      <c r="H140" t="s">
        <v>128</v>
      </c>
      <c r="I140">
        <v>8</v>
      </c>
      <c r="J140" t="s">
        <v>98</v>
      </c>
      <c r="K140">
        <v>1</v>
      </c>
      <c r="L140" s="3">
        <v>6899</v>
      </c>
      <c r="M140">
        <v>40</v>
      </c>
      <c r="N140" s="3">
        <v>4140</v>
      </c>
      <c r="O140" s="3">
        <v>4140</v>
      </c>
      <c r="P140" t="s">
        <v>34</v>
      </c>
      <c r="Q140" t="s">
        <v>51</v>
      </c>
      <c r="R140" t="s">
        <v>36</v>
      </c>
      <c r="S140" t="s">
        <v>200</v>
      </c>
      <c r="T140" t="s">
        <v>201</v>
      </c>
      <c r="U140" t="s">
        <v>91</v>
      </c>
      <c r="V140" t="s">
        <v>40</v>
      </c>
      <c r="W140">
        <v>3.9</v>
      </c>
      <c r="X140" t="s">
        <v>41</v>
      </c>
      <c r="Y140" t="s">
        <v>42</v>
      </c>
      <c r="Z140">
        <v>3</v>
      </c>
    </row>
    <row r="141" spans="1:26">
      <c r="A141" t="s">
        <v>512</v>
      </c>
      <c r="B141" t="s">
        <v>513</v>
      </c>
      <c r="C141" t="s">
        <v>45</v>
      </c>
      <c r="D141" t="s">
        <v>29</v>
      </c>
      <c r="E141" s="1">
        <v>43298</v>
      </c>
      <c r="F141" t="s">
        <v>47</v>
      </c>
      <c r="G141" t="s">
        <v>218</v>
      </c>
      <c r="H141" t="s">
        <v>59</v>
      </c>
      <c r="I141">
        <v>12</v>
      </c>
      <c r="J141" t="s">
        <v>150</v>
      </c>
      <c r="K141">
        <v>1</v>
      </c>
      <c r="L141" s="3">
        <v>5199</v>
      </c>
      <c r="M141">
        <v>5</v>
      </c>
      <c r="N141" s="3">
        <v>4940</v>
      </c>
      <c r="O141" s="3">
        <v>4940</v>
      </c>
      <c r="P141" t="s">
        <v>74</v>
      </c>
      <c r="Q141" t="s">
        <v>51</v>
      </c>
      <c r="R141" t="s">
        <v>36</v>
      </c>
      <c r="S141" t="s">
        <v>210</v>
      </c>
      <c r="T141" t="s">
        <v>415</v>
      </c>
      <c r="U141" t="s">
        <v>54</v>
      </c>
      <c r="V141" t="s">
        <v>40</v>
      </c>
      <c r="W141">
        <v>4.4000000000000004</v>
      </c>
      <c r="X141" t="s">
        <v>41</v>
      </c>
      <c r="Y141" t="s">
        <v>55</v>
      </c>
      <c r="Z141">
        <v>2</v>
      </c>
    </row>
    <row r="142" spans="1:26">
      <c r="A142" t="s">
        <v>514</v>
      </c>
      <c r="B142" t="s">
        <v>267</v>
      </c>
      <c r="C142" t="s">
        <v>28</v>
      </c>
      <c r="D142" t="s">
        <v>46</v>
      </c>
      <c r="E142" s="1">
        <v>43303</v>
      </c>
      <c r="F142" t="s">
        <v>47</v>
      </c>
      <c r="G142" t="s">
        <v>48</v>
      </c>
      <c r="H142" t="s">
        <v>49</v>
      </c>
      <c r="I142">
        <v>9</v>
      </c>
      <c r="J142" t="s">
        <v>88</v>
      </c>
      <c r="K142">
        <v>1</v>
      </c>
      <c r="L142" s="3">
        <v>7799</v>
      </c>
      <c r="M142">
        <v>5</v>
      </c>
      <c r="N142" s="3">
        <v>7410</v>
      </c>
      <c r="O142" s="3">
        <v>7410</v>
      </c>
      <c r="P142" t="s">
        <v>50</v>
      </c>
      <c r="Q142" t="s">
        <v>51</v>
      </c>
      <c r="R142" t="s">
        <v>36</v>
      </c>
      <c r="S142" t="s">
        <v>89</v>
      </c>
      <c r="T142" t="s">
        <v>515</v>
      </c>
      <c r="U142" t="s">
        <v>61</v>
      </c>
      <c r="V142" t="s">
        <v>315</v>
      </c>
      <c r="W142">
        <v>3.5</v>
      </c>
      <c r="X142" t="s">
        <v>41</v>
      </c>
      <c r="Y142" t="s">
        <v>42</v>
      </c>
      <c r="Z142">
        <v>4</v>
      </c>
    </row>
    <row r="143" spans="1:26">
      <c r="A143" t="s">
        <v>516</v>
      </c>
      <c r="B143" t="s">
        <v>433</v>
      </c>
      <c r="C143" t="s">
        <v>45</v>
      </c>
      <c r="D143" t="s">
        <v>29</v>
      </c>
      <c r="E143" s="1">
        <v>43303</v>
      </c>
      <c r="F143" t="s">
        <v>79</v>
      </c>
      <c r="G143" t="s">
        <v>517</v>
      </c>
      <c r="H143" t="s">
        <v>59</v>
      </c>
      <c r="I143">
        <v>7</v>
      </c>
      <c r="J143" t="s">
        <v>88</v>
      </c>
      <c r="K143">
        <v>4</v>
      </c>
      <c r="L143" s="3">
        <v>5399</v>
      </c>
      <c r="M143">
        <v>30</v>
      </c>
      <c r="N143" s="3">
        <v>3780</v>
      </c>
      <c r="O143" s="3">
        <v>15120</v>
      </c>
      <c r="P143" t="s">
        <v>34</v>
      </c>
      <c r="Q143" t="s">
        <v>35</v>
      </c>
      <c r="R143" t="s">
        <v>36</v>
      </c>
      <c r="S143" t="s">
        <v>354</v>
      </c>
      <c r="T143" t="s">
        <v>518</v>
      </c>
      <c r="U143" t="s">
        <v>61</v>
      </c>
      <c r="V143" t="s">
        <v>315</v>
      </c>
      <c r="W143">
        <v>3.6</v>
      </c>
      <c r="X143" t="s">
        <v>41</v>
      </c>
      <c r="Y143" t="s">
        <v>42</v>
      </c>
      <c r="Z143">
        <v>1</v>
      </c>
    </row>
    <row r="144" spans="1:26">
      <c r="A144" t="s">
        <v>519</v>
      </c>
      <c r="B144" t="s">
        <v>520</v>
      </c>
      <c r="C144" t="s">
        <v>45</v>
      </c>
      <c r="D144" t="s">
        <v>46</v>
      </c>
      <c r="E144" s="1">
        <v>43307</v>
      </c>
      <c r="F144" t="s">
        <v>47</v>
      </c>
      <c r="G144" t="s">
        <v>218</v>
      </c>
      <c r="H144" t="s">
        <v>59</v>
      </c>
      <c r="I144">
        <v>11</v>
      </c>
      <c r="J144" t="s">
        <v>98</v>
      </c>
      <c r="K144">
        <v>2</v>
      </c>
      <c r="L144" s="3">
        <v>7399</v>
      </c>
      <c r="M144">
        <v>15</v>
      </c>
      <c r="N144" s="3">
        <v>6290</v>
      </c>
      <c r="O144" s="3">
        <v>12580</v>
      </c>
      <c r="P144" t="s">
        <v>81</v>
      </c>
      <c r="Q144" t="s">
        <v>51</v>
      </c>
      <c r="R144" t="s">
        <v>36</v>
      </c>
      <c r="S144" t="s">
        <v>191</v>
      </c>
      <c r="T144" t="s">
        <v>521</v>
      </c>
      <c r="U144" t="s">
        <v>91</v>
      </c>
      <c r="V144" t="s">
        <v>40</v>
      </c>
      <c r="W144">
        <v>3.7</v>
      </c>
      <c r="X144" t="s">
        <v>62</v>
      </c>
      <c r="Y144" t="s">
        <v>42</v>
      </c>
      <c r="Z144">
        <v>4</v>
      </c>
    </row>
    <row r="145" spans="1:26">
      <c r="A145" t="s">
        <v>522</v>
      </c>
      <c r="B145" t="s">
        <v>523</v>
      </c>
      <c r="C145" t="s">
        <v>28</v>
      </c>
      <c r="D145" t="s">
        <v>46</v>
      </c>
      <c r="E145" s="1">
        <v>43309</v>
      </c>
      <c r="F145" t="s">
        <v>30</v>
      </c>
      <c r="G145" t="s">
        <v>110</v>
      </c>
      <c r="H145" t="s">
        <v>111</v>
      </c>
      <c r="I145">
        <v>12</v>
      </c>
      <c r="J145" t="s">
        <v>88</v>
      </c>
      <c r="K145">
        <v>1</v>
      </c>
      <c r="L145" s="3">
        <v>5799</v>
      </c>
      <c r="M145">
        <v>10</v>
      </c>
      <c r="N145" s="3">
        <v>5220</v>
      </c>
      <c r="O145" s="3">
        <v>5220</v>
      </c>
      <c r="P145" t="s">
        <v>34</v>
      </c>
      <c r="Q145" t="s">
        <v>82</v>
      </c>
      <c r="R145" t="s">
        <v>36</v>
      </c>
      <c r="S145" t="s">
        <v>354</v>
      </c>
      <c r="T145" t="s">
        <v>431</v>
      </c>
      <c r="U145" t="s">
        <v>124</v>
      </c>
      <c r="V145" t="s">
        <v>40</v>
      </c>
      <c r="W145">
        <v>4.0999999999999996</v>
      </c>
      <c r="X145" t="s">
        <v>41</v>
      </c>
      <c r="Y145" t="s">
        <v>42</v>
      </c>
      <c r="Z145">
        <v>5</v>
      </c>
    </row>
    <row r="146" spans="1:26">
      <c r="A146" t="s">
        <v>524</v>
      </c>
      <c r="B146" t="s">
        <v>376</v>
      </c>
      <c r="C146" t="s">
        <v>45</v>
      </c>
      <c r="D146" t="s">
        <v>29</v>
      </c>
      <c r="E146" s="1">
        <v>43313</v>
      </c>
      <c r="F146" t="s">
        <v>65</v>
      </c>
      <c r="G146" t="s">
        <v>279</v>
      </c>
      <c r="H146" t="s">
        <v>111</v>
      </c>
      <c r="I146">
        <v>9</v>
      </c>
      <c r="J146" t="s">
        <v>98</v>
      </c>
      <c r="K146">
        <v>1</v>
      </c>
      <c r="L146" s="3">
        <v>7499</v>
      </c>
      <c r="M146">
        <v>0</v>
      </c>
      <c r="N146" s="3">
        <v>7500</v>
      </c>
      <c r="O146" s="3">
        <v>7500</v>
      </c>
      <c r="P146" t="s">
        <v>34</v>
      </c>
      <c r="Q146" t="s">
        <v>35</v>
      </c>
      <c r="R146" t="s">
        <v>36</v>
      </c>
      <c r="S146" t="s">
        <v>460</v>
      </c>
      <c r="T146" t="s">
        <v>525</v>
      </c>
      <c r="U146" t="s">
        <v>91</v>
      </c>
      <c r="V146" t="s">
        <v>315</v>
      </c>
      <c r="W146">
        <v>4.2</v>
      </c>
      <c r="X146" t="s">
        <v>62</v>
      </c>
      <c r="Y146" t="s">
        <v>42</v>
      </c>
      <c r="Z146">
        <v>4</v>
      </c>
    </row>
    <row r="147" spans="1:26">
      <c r="A147" t="s">
        <v>526</v>
      </c>
      <c r="B147" t="s">
        <v>527</v>
      </c>
      <c r="C147" t="s">
        <v>94</v>
      </c>
      <c r="D147" t="s">
        <v>46</v>
      </c>
      <c r="E147" s="1">
        <v>43313</v>
      </c>
      <c r="F147" t="s">
        <v>65</v>
      </c>
      <c r="G147" t="s">
        <v>268</v>
      </c>
      <c r="H147" t="s">
        <v>128</v>
      </c>
      <c r="I147">
        <v>7</v>
      </c>
      <c r="J147" t="s">
        <v>73</v>
      </c>
      <c r="K147">
        <v>1</v>
      </c>
      <c r="L147" s="3">
        <v>3899</v>
      </c>
      <c r="M147">
        <v>10</v>
      </c>
      <c r="N147" s="3">
        <v>3510</v>
      </c>
      <c r="O147" s="3">
        <v>3510</v>
      </c>
      <c r="P147" t="s">
        <v>81</v>
      </c>
      <c r="Q147" t="s">
        <v>82</v>
      </c>
      <c r="R147" t="s">
        <v>36</v>
      </c>
      <c r="S147" t="s">
        <v>338</v>
      </c>
      <c r="T147" t="s">
        <v>449</v>
      </c>
      <c r="U147" t="s">
        <v>54</v>
      </c>
      <c r="V147" t="s">
        <v>40</v>
      </c>
      <c r="W147">
        <v>3.6</v>
      </c>
      <c r="X147" t="s">
        <v>41</v>
      </c>
      <c r="Y147" t="s">
        <v>55</v>
      </c>
      <c r="Z147">
        <v>2</v>
      </c>
    </row>
    <row r="148" spans="1:26">
      <c r="A148" t="s">
        <v>528</v>
      </c>
      <c r="B148" t="s">
        <v>529</v>
      </c>
      <c r="C148" t="s">
        <v>45</v>
      </c>
      <c r="D148" t="s">
        <v>95</v>
      </c>
      <c r="E148" s="1">
        <v>43314</v>
      </c>
      <c r="F148" t="s">
        <v>79</v>
      </c>
      <c r="G148" t="s">
        <v>127</v>
      </c>
      <c r="H148" t="s">
        <v>128</v>
      </c>
      <c r="I148">
        <v>9</v>
      </c>
      <c r="J148" t="s">
        <v>98</v>
      </c>
      <c r="K148">
        <v>2</v>
      </c>
      <c r="L148" s="3">
        <v>6199</v>
      </c>
      <c r="M148">
        <v>10</v>
      </c>
      <c r="N148" s="3">
        <v>5580</v>
      </c>
      <c r="O148" s="3">
        <v>11160</v>
      </c>
      <c r="P148" t="s">
        <v>81</v>
      </c>
      <c r="Q148" t="s">
        <v>51</v>
      </c>
      <c r="R148" t="s">
        <v>36</v>
      </c>
      <c r="S148" t="s">
        <v>210</v>
      </c>
      <c r="T148" t="s">
        <v>412</v>
      </c>
      <c r="U148" t="s">
        <v>124</v>
      </c>
      <c r="V148" t="s">
        <v>40</v>
      </c>
      <c r="W148">
        <v>4.2</v>
      </c>
      <c r="X148" t="s">
        <v>41</v>
      </c>
      <c r="Y148" t="s">
        <v>55</v>
      </c>
      <c r="Z148">
        <v>3</v>
      </c>
    </row>
    <row r="149" spans="1:26">
      <c r="A149" t="s">
        <v>530</v>
      </c>
      <c r="B149" t="s">
        <v>531</v>
      </c>
      <c r="C149" t="s">
        <v>45</v>
      </c>
      <c r="D149" t="s">
        <v>103</v>
      </c>
      <c r="E149" s="1">
        <v>43316</v>
      </c>
      <c r="F149" t="s">
        <v>86</v>
      </c>
      <c r="G149" t="s">
        <v>285</v>
      </c>
      <c r="H149" t="s">
        <v>111</v>
      </c>
      <c r="I149">
        <v>9</v>
      </c>
      <c r="J149" t="s">
        <v>67</v>
      </c>
      <c r="K149">
        <v>1</v>
      </c>
      <c r="L149" s="3">
        <v>4699</v>
      </c>
      <c r="M149">
        <v>0</v>
      </c>
      <c r="N149" s="3">
        <v>4700</v>
      </c>
      <c r="O149" s="3">
        <v>4700</v>
      </c>
      <c r="P149" t="s">
        <v>81</v>
      </c>
      <c r="Q149" t="s">
        <v>51</v>
      </c>
      <c r="R149" t="s">
        <v>36</v>
      </c>
      <c r="S149" t="s">
        <v>168</v>
      </c>
      <c r="T149" t="s">
        <v>532</v>
      </c>
      <c r="U149" t="s">
        <v>39</v>
      </c>
      <c r="V149" t="s">
        <v>40</v>
      </c>
      <c r="W149">
        <v>5</v>
      </c>
      <c r="X149" t="s">
        <v>41</v>
      </c>
      <c r="Y149" t="s">
        <v>42</v>
      </c>
      <c r="Z149">
        <v>2</v>
      </c>
    </row>
    <row r="150" spans="1:26">
      <c r="A150" t="s">
        <v>533</v>
      </c>
      <c r="B150" t="s">
        <v>534</v>
      </c>
      <c r="C150" t="s">
        <v>45</v>
      </c>
      <c r="D150" t="s">
        <v>29</v>
      </c>
      <c r="E150" s="1">
        <v>43317</v>
      </c>
      <c r="F150" t="s">
        <v>79</v>
      </c>
      <c r="G150" t="s">
        <v>127</v>
      </c>
      <c r="H150" t="s">
        <v>128</v>
      </c>
      <c r="I150">
        <v>8</v>
      </c>
      <c r="J150" t="s">
        <v>150</v>
      </c>
      <c r="K150">
        <v>2</v>
      </c>
      <c r="L150" s="3">
        <v>6499</v>
      </c>
      <c r="M150">
        <v>5</v>
      </c>
      <c r="N150" s="3">
        <v>6170</v>
      </c>
      <c r="O150" s="3">
        <v>12340</v>
      </c>
      <c r="P150" t="s">
        <v>74</v>
      </c>
      <c r="Q150" t="s">
        <v>82</v>
      </c>
      <c r="R150" t="s">
        <v>36</v>
      </c>
      <c r="S150" t="s">
        <v>68</v>
      </c>
      <c r="T150" t="s">
        <v>69</v>
      </c>
      <c r="U150" t="s">
        <v>54</v>
      </c>
      <c r="V150" t="s">
        <v>40</v>
      </c>
      <c r="W150">
        <v>4.5</v>
      </c>
      <c r="X150" t="s">
        <v>41</v>
      </c>
      <c r="Y150" t="s">
        <v>42</v>
      </c>
      <c r="Z150">
        <v>6</v>
      </c>
    </row>
    <row r="151" spans="1:26">
      <c r="A151" t="s">
        <v>535</v>
      </c>
      <c r="B151" t="s">
        <v>536</v>
      </c>
      <c r="C151" t="s">
        <v>45</v>
      </c>
      <c r="D151" t="s">
        <v>29</v>
      </c>
      <c r="E151" s="1">
        <v>43317</v>
      </c>
      <c r="F151" t="s">
        <v>65</v>
      </c>
      <c r="G151" t="s">
        <v>72</v>
      </c>
      <c r="H151" t="s">
        <v>59</v>
      </c>
      <c r="I151">
        <v>9</v>
      </c>
      <c r="J151" t="s">
        <v>73</v>
      </c>
      <c r="K151">
        <v>2</v>
      </c>
      <c r="L151" s="3">
        <v>8299</v>
      </c>
      <c r="M151">
        <v>20</v>
      </c>
      <c r="N151" s="3">
        <v>6640</v>
      </c>
      <c r="O151" s="3">
        <v>13280</v>
      </c>
      <c r="P151" t="s">
        <v>81</v>
      </c>
      <c r="Q151" t="s">
        <v>82</v>
      </c>
      <c r="R151" t="s">
        <v>36</v>
      </c>
      <c r="S151" t="s">
        <v>99</v>
      </c>
      <c r="T151" t="s">
        <v>100</v>
      </c>
      <c r="U151" t="s">
        <v>39</v>
      </c>
      <c r="V151" t="s">
        <v>40</v>
      </c>
      <c r="W151">
        <v>4.8</v>
      </c>
      <c r="X151" t="s">
        <v>41</v>
      </c>
      <c r="Y151" t="s">
        <v>55</v>
      </c>
      <c r="Z151">
        <v>2</v>
      </c>
    </row>
    <row r="152" spans="1:26">
      <c r="A152" t="s">
        <v>537</v>
      </c>
      <c r="B152" t="s">
        <v>527</v>
      </c>
      <c r="C152" t="s">
        <v>28</v>
      </c>
      <c r="D152" t="s">
        <v>95</v>
      </c>
      <c r="E152" s="1">
        <v>43317</v>
      </c>
      <c r="F152" t="s">
        <v>86</v>
      </c>
      <c r="G152" t="s">
        <v>87</v>
      </c>
      <c r="H152" t="s">
        <v>59</v>
      </c>
      <c r="I152">
        <v>11</v>
      </c>
      <c r="J152" t="s">
        <v>98</v>
      </c>
      <c r="K152">
        <v>2</v>
      </c>
      <c r="L152" s="3">
        <v>8599</v>
      </c>
      <c r="M152">
        <v>5</v>
      </c>
      <c r="N152" s="3">
        <v>8170</v>
      </c>
      <c r="O152" s="3">
        <v>16340</v>
      </c>
      <c r="P152" t="s">
        <v>50</v>
      </c>
      <c r="Q152" t="s">
        <v>51</v>
      </c>
      <c r="R152" t="s">
        <v>36</v>
      </c>
      <c r="S152" t="s">
        <v>195</v>
      </c>
      <c r="T152" t="s">
        <v>428</v>
      </c>
      <c r="U152" t="s">
        <v>124</v>
      </c>
      <c r="V152" t="s">
        <v>315</v>
      </c>
      <c r="W152">
        <v>4.3</v>
      </c>
      <c r="X152" t="s">
        <v>41</v>
      </c>
      <c r="Y152" t="s">
        <v>147</v>
      </c>
      <c r="Z152">
        <v>1</v>
      </c>
    </row>
    <row r="153" spans="1:26">
      <c r="A153" t="s">
        <v>538</v>
      </c>
      <c r="B153" t="s">
        <v>539</v>
      </c>
      <c r="C153" t="s">
        <v>45</v>
      </c>
      <c r="D153" t="s">
        <v>103</v>
      </c>
      <c r="E153" s="1">
        <v>43317</v>
      </c>
      <c r="F153" t="s">
        <v>30</v>
      </c>
      <c r="G153" t="s">
        <v>58</v>
      </c>
      <c r="H153" t="s">
        <v>59</v>
      </c>
      <c r="I153">
        <v>7</v>
      </c>
      <c r="J153" t="s">
        <v>150</v>
      </c>
      <c r="K153">
        <v>2</v>
      </c>
      <c r="L153" s="3">
        <v>6099</v>
      </c>
      <c r="M153">
        <v>15</v>
      </c>
      <c r="N153" s="3">
        <v>5180</v>
      </c>
      <c r="O153" s="3">
        <v>10360</v>
      </c>
      <c r="P153" t="s">
        <v>50</v>
      </c>
      <c r="Q153" t="s">
        <v>35</v>
      </c>
      <c r="R153" t="s">
        <v>36</v>
      </c>
      <c r="S153" t="s">
        <v>129</v>
      </c>
      <c r="T153" t="s">
        <v>146</v>
      </c>
      <c r="U153" t="s">
        <v>61</v>
      </c>
      <c r="V153" t="s">
        <v>40</v>
      </c>
      <c r="W153">
        <v>4.0999999999999996</v>
      </c>
      <c r="X153" t="s">
        <v>106</v>
      </c>
      <c r="Y153" t="s">
        <v>147</v>
      </c>
      <c r="Z153">
        <v>1</v>
      </c>
    </row>
    <row r="154" spans="1:26">
      <c r="A154" t="s">
        <v>540</v>
      </c>
      <c r="B154" t="s">
        <v>541</v>
      </c>
      <c r="C154" t="s">
        <v>45</v>
      </c>
      <c r="D154" t="s">
        <v>103</v>
      </c>
      <c r="E154" s="1">
        <v>43321</v>
      </c>
      <c r="F154" t="s">
        <v>30</v>
      </c>
      <c r="G154" t="s">
        <v>31</v>
      </c>
      <c r="H154" t="s">
        <v>32</v>
      </c>
      <c r="I154">
        <v>9</v>
      </c>
      <c r="J154" t="s">
        <v>150</v>
      </c>
      <c r="K154">
        <v>1</v>
      </c>
      <c r="L154" s="3">
        <v>7699</v>
      </c>
      <c r="M154">
        <v>10</v>
      </c>
      <c r="N154" s="3">
        <v>6930</v>
      </c>
      <c r="O154" s="3">
        <v>6930</v>
      </c>
      <c r="P154" t="s">
        <v>74</v>
      </c>
      <c r="Q154" t="s">
        <v>82</v>
      </c>
      <c r="R154" t="s">
        <v>36</v>
      </c>
      <c r="S154" t="s">
        <v>52</v>
      </c>
      <c r="T154" t="s">
        <v>53</v>
      </c>
      <c r="U154" t="s">
        <v>54</v>
      </c>
      <c r="V154" t="s">
        <v>40</v>
      </c>
      <c r="W154">
        <v>4.4000000000000004</v>
      </c>
      <c r="X154" t="s">
        <v>41</v>
      </c>
      <c r="Y154" t="s">
        <v>42</v>
      </c>
      <c r="Z154">
        <v>3</v>
      </c>
    </row>
    <row r="155" spans="1:26">
      <c r="A155" t="s">
        <v>542</v>
      </c>
      <c r="B155" t="s">
        <v>543</v>
      </c>
      <c r="C155" t="s">
        <v>28</v>
      </c>
      <c r="D155" t="s">
        <v>29</v>
      </c>
      <c r="E155" s="1">
        <v>43321</v>
      </c>
      <c r="F155" t="s">
        <v>65</v>
      </c>
      <c r="G155" t="s">
        <v>279</v>
      </c>
      <c r="H155" t="s">
        <v>111</v>
      </c>
      <c r="I155">
        <v>9</v>
      </c>
      <c r="J155" t="s">
        <v>98</v>
      </c>
      <c r="K155">
        <v>4</v>
      </c>
      <c r="L155" s="3">
        <v>7999</v>
      </c>
      <c r="M155">
        <v>25</v>
      </c>
      <c r="N155" s="3">
        <v>6000</v>
      </c>
      <c r="O155" s="3">
        <v>24000</v>
      </c>
      <c r="P155" t="s">
        <v>50</v>
      </c>
      <c r="Q155" t="s">
        <v>51</v>
      </c>
      <c r="R155" t="s">
        <v>36</v>
      </c>
      <c r="S155" t="s">
        <v>117</v>
      </c>
      <c r="T155" t="s">
        <v>544</v>
      </c>
      <c r="U155" t="s">
        <v>54</v>
      </c>
      <c r="V155" t="s">
        <v>40</v>
      </c>
      <c r="W155">
        <v>3.9</v>
      </c>
      <c r="X155" t="s">
        <v>41</v>
      </c>
      <c r="Y155" t="s">
        <v>42</v>
      </c>
      <c r="Z155">
        <v>3</v>
      </c>
    </row>
    <row r="156" spans="1:26">
      <c r="A156" t="s">
        <v>545</v>
      </c>
      <c r="B156" t="s">
        <v>546</v>
      </c>
      <c r="C156" t="s">
        <v>45</v>
      </c>
      <c r="D156" t="s">
        <v>103</v>
      </c>
      <c r="E156" s="1">
        <v>43321</v>
      </c>
      <c r="F156" t="s">
        <v>86</v>
      </c>
      <c r="G156" t="s">
        <v>242</v>
      </c>
      <c r="H156" t="s">
        <v>32</v>
      </c>
      <c r="I156">
        <v>9</v>
      </c>
      <c r="J156" t="s">
        <v>67</v>
      </c>
      <c r="K156">
        <v>1</v>
      </c>
      <c r="L156" s="3">
        <v>7399</v>
      </c>
      <c r="M156">
        <v>10</v>
      </c>
      <c r="N156" s="3">
        <v>6660</v>
      </c>
      <c r="O156" s="3">
        <v>6660</v>
      </c>
      <c r="P156" t="s">
        <v>50</v>
      </c>
      <c r="Q156" t="s">
        <v>82</v>
      </c>
      <c r="R156" t="s">
        <v>36</v>
      </c>
      <c r="S156" t="s">
        <v>117</v>
      </c>
      <c r="T156" t="s">
        <v>253</v>
      </c>
      <c r="U156" t="s">
        <v>54</v>
      </c>
      <c r="V156" t="s">
        <v>40</v>
      </c>
      <c r="W156">
        <v>4</v>
      </c>
      <c r="X156" t="s">
        <v>106</v>
      </c>
      <c r="Y156" t="s">
        <v>42</v>
      </c>
      <c r="Z156">
        <v>7</v>
      </c>
    </row>
    <row r="157" spans="1:26">
      <c r="A157" t="s">
        <v>547</v>
      </c>
      <c r="B157" t="s">
        <v>548</v>
      </c>
      <c r="C157" t="s">
        <v>28</v>
      </c>
      <c r="D157" t="s">
        <v>95</v>
      </c>
      <c r="E157" s="1">
        <v>43321</v>
      </c>
      <c r="F157" t="s">
        <v>96</v>
      </c>
      <c r="G157" t="s">
        <v>290</v>
      </c>
      <c r="H157" t="s">
        <v>32</v>
      </c>
      <c r="I157">
        <v>8</v>
      </c>
      <c r="J157" t="s">
        <v>88</v>
      </c>
      <c r="K157">
        <v>2</v>
      </c>
      <c r="L157" s="3">
        <v>6799</v>
      </c>
      <c r="M157">
        <v>15</v>
      </c>
      <c r="N157" s="3">
        <v>5780</v>
      </c>
      <c r="O157" s="3">
        <v>11560</v>
      </c>
      <c r="P157" t="s">
        <v>81</v>
      </c>
      <c r="Q157" t="s">
        <v>82</v>
      </c>
      <c r="R157" t="s">
        <v>36</v>
      </c>
      <c r="S157" t="s">
        <v>418</v>
      </c>
      <c r="T157" t="s">
        <v>549</v>
      </c>
      <c r="U157" t="s">
        <v>61</v>
      </c>
      <c r="V157" t="s">
        <v>40</v>
      </c>
      <c r="W157">
        <v>3.5</v>
      </c>
      <c r="X157" t="s">
        <v>41</v>
      </c>
      <c r="Y157" t="s">
        <v>42</v>
      </c>
      <c r="Z157">
        <v>3</v>
      </c>
    </row>
    <row r="158" spans="1:26">
      <c r="A158" t="s">
        <v>550</v>
      </c>
      <c r="B158" t="s">
        <v>221</v>
      </c>
      <c r="C158" t="s">
        <v>28</v>
      </c>
      <c r="D158" t="s">
        <v>109</v>
      </c>
      <c r="E158" s="1">
        <v>43322</v>
      </c>
      <c r="F158" t="s">
        <v>65</v>
      </c>
      <c r="G158" t="s">
        <v>279</v>
      </c>
      <c r="H158" t="s">
        <v>111</v>
      </c>
      <c r="I158">
        <v>9</v>
      </c>
      <c r="J158" t="s">
        <v>98</v>
      </c>
      <c r="K158">
        <v>1</v>
      </c>
      <c r="L158" s="3">
        <v>5799</v>
      </c>
      <c r="M158">
        <v>20</v>
      </c>
      <c r="N158" s="3">
        <v>4640</v>
      </c>
      <c r="O158" s="3">
        <v>4640</v>
      </c>
      <c r="P158" t="s">
        <v>50</v>
      </c>
      <c r="Q158" t="s">
        <v>51</v>
      </c>
      <c r="R158" t="s">
        <v>36</v>
      </c>
      <c r="S158" t="s">
        <v>156</v>
      </c>
      <c r="T158" t="s">
        <v>157</v>
      </c>
      <c r="U158" t="s">
        <v>124</v>
      </c>
      <c r="V158" t="s">
        <v>315</v>
      </c>
      <c r="W158">
        <v>3.3</v>
      </c>
      <c r="X158" t="s">
        <v>41</v>
      </c>
      <c r="Y158" t="s">
        <v>42</v>
      </c>
      <c r="Z158">
        <v>1</v>
      </c>
    </row>
    <row r="159" spans="1:26">
      <c r="A159" t="s">
        <v>551</v>
      </c>
      <c r="B159" t="s">
        <v>552</v>
      </c>
      <c r="C159" t="s">
        <v>45</v>
      </c>
      <c r="D159" t="s">
        <v>29</v>
      </c>
      <c r="E159" s="1">
        <v>43322</v>
      </c>
      <c r="F159" t="s">
        <v>79</v>
      </c>
      <c r="G159" t="s">
        <v>80</v>
      </c>
      <c r="H159" t="s">
        <v>59</v>
      </c>
      <c r="I159">
        <v>9</v>
      </c>
      <c r="J159" t="s">
        <v>67</v>
      </c>
      <c r="K159">
        <v>1</v>
      </c>
      <c r="L159" s="3">
        <v>6999</v>
      </c>
      <c r="M159">
        <v>30</v>
      </c>
      <c r="N159" s="3">
        <v>4900</v>
      </c>
      <c r="O159" s="3">
        <v>4900</v>
      </c>
      <c r="P159" t="s">
        <v>81</v>
      </c>
      <c r="Q159" t="s">
        <v>51</v>
      </c>
      <c r="R159" t="s">
        <v>36</v>
      </c>
      <c r="S159" t="s">
        <v>99</v>
      </c>
      <c r="T159" t="s">
        <v>229</v>
      </c>
      <c r="U159" t="s">
        <v>61</v>
      </c>
      <c r="V159" t="s">
        <v>40</v>
      </c>
      <c r="W159">
        <v>3.7</v>
      </c>
      <c r="X159" t="s">
        <v>62</v>
      </c>
      <c r="Y159" t="s">
        <v>42</v>
      </c>
      <c r="Z159">
        <v>6</v>
      </c>
    </row>
    <row r="160" spans="1:26">
      <c r="A160" t="s">
        <v>553</v>
      </c>
      <c r="B160" t="s">
        <v>554</v>
      </c>
      <c r="C160" t="s">
        <v>45</v>
      </c>
      <c r="D160" t="s">
        <v>95</v>
      </c>
      <c r="E160" s="1">
        <v>43323</v>
      </c>
      <c r="F160" t="s">
        <v>30</v>
      </c>
      <c r="G160" t="s">
        <v>214</v>
      </c>
      <c r="H160" t="s">
        <v>128</v>
      </c>
      <c r="I160">
        <v>9</v>
      </c>
      <c r="J160" t="s">
        <v>98</v>
      </c>
      <c r="K160">
        <v>2</v>
      </c>
      <c r="L160" s="3">
        <v>8799</v>
      </c>
      <c r="M160">
        <v>20</v>
      </c>
      <c r="N160" s="3">
        <v>7040</v>
      </c>
      <c r="O160" s="3">
        <v>14080</v>
      </c>
      <c r="P160" t="s">
        <v>74</v>
      </c>
      <c r="Q160" t="s">
        <v>51</v>
      </c>
      <c r="R160" t="s">
        <v>36</v>
      </c>
      <c r="S160" t="s">
        <v>297</v>
      </c>
      <c r="T160" t="s">
        <v>298</v>
      </c>
      <c r="U160" t="s">
        <v>91</v>
      </c>
      <c r="V160" t="s">
        <v>40</v>
      </c>
      <c r="W160">
        <v>4.3</v>
      </c>
      <c r="X160" t="s">
        <v>41</v>
      </c>
      <c r="Y160" t="s">
        <v>55</v>
      </c>
      <c r="Z160">
        <v>3</v>
      </c>
    </row>
    <row r="161" spans="1:26">
      <c r="A161" t="s">
        <v>555</v>
      </c>
      <c r="B161" t="s">
        <v>556</v>
      </c>
      <c r="C161" t="s">
        <v>28</v>
      </c>
      <c r="D161" t="s">
        <v>95</v>
      </c>
      <c r="E161" s="1">
        <v>43324</v>
      </c>
      <c r="F161" t="s">
        <v>86</v>
      </c>
      <c r="G161" t="s">
        <v>190</v>
      </c>
      <c r="H161" t="s">
        <v>128</v>
      </c>
      <c r="I161">
        <v>7</v>
      </c>
      <c r="J161" t="s">
        <v>67</v>
      </c>
      <c r="K161">
        <v>1</v>
      </c>
      <c r="L161" s="3">
        <v>6299</v>
      </c>
      <c r="M161">
        <v>25</v>
      </c>
      <c r="N161" s="3">
        <v>4720</v>
      </c>
      <c r="O161" s="3">
        <v>4720</v>
      </c>
      <c r="P161" t="s">
        <v>34</v>
      </c>
      <c r="Q161" t="s">
        <v>35</v>
      </c>
      <c r="R161" t="s">
        <v>36</v>
      </c>
      <c r="S161" t="s">
        <v>168</v>
      </c>
      <c r="T161" t="s">
        <v>557</v>
      </c>
      <c r="U161" t="s">
        <v>54</v>
      </c>
      <c r="V161" t="s">
        <v>40</v>
      </c>
      <c r="W161">
        <v>3</v>
      </c>
      <c r="X161" t="s">
        <v>41</v>
      </c>
      <c r="Y161" t="s">
        <v>55</v>
      </c>
      <c r="Z161">
        <v>2</v>
      </c>
    </row>
    <row r="162" spans="1:26">
      <c r="A162" t="s">
        <v>558</v>
      </c>
      <c r="B162" t="s">
        <v>559</v>
      </c>
      <c r="C162" t="s">
        <v>45</v>
      </c>
      <c r="D162" t="s">
        <v>29</v>
      </c>
      <c r="E162" s="1">
        <v>43328</v>
      </c>
      <c r="F162" t="s">
        <v>30</v>
      </c>
      <c r="G162" t="s">
        <v>145</v>
      </c>
      <c r="H162" t="s">
        <v>59</v>
      </c>
      <c r="I162">
        <v>11</v>
      </c>
      <c r="J162" t="s">
        <v>33</v>
      </c>
      <c r="K162">
        <v>1</v>
      </c>
      <c r="L162" s="3">
        <v>7599</v>
      </c>
      <c r="M162">
        <v>10</v>
      </c>
      <c r="N162" s="3">
        <v>6840</v>
      </c>
      <c r="O162" s="3">
        <v>6840</v>
      </c>
      <c r="P162" t="s">
        <v>34</v>
      </c>
      <c r="Q162" t="s">
        <v>51</v>
      </c>
      <c r="R162" t="s">
        <v>36</v>
      </c>
      <c r="S162" t="s">
        <v>338</v>
      </c>
      <c r="T162" t="s">
        <v>394</v>
      </c>
      <c r="U162" t="s">
        <v>91</v>
      </c>
      <c r="V162" t="s">
        <v>40</v>
      </c>
      <c r="W162">
        <v>4.0999999999999996</v>
      </c>
      <c r="X162" t="s">
        <v>41</v>
      </c>
      <c r="Y162" t="s">
        <v>55</v>
      </c>
      <c r="Z162">
        <v>3</v>
      </c>
    </row>
    <row r="163" spans="1:26">
      <c r="A163" t="s">
        <v>560</v>
      </c>
      <c r="B163" t="s">
        <v>561</v>
      </c>
      <c r="C163" t="s">
        <v>28</v>
      </c>
      <c r="D163" t="s">
        <v>46</v>
      </c>
      <c r="E163" s="1">
        <v>43328</v>
      </c>
      <c r="F163" t="s">
        <v>65</v>
      </c>
      <c r="G163" t="s">
        <v>256</v>
      </c>
      <c r="H163" t="s">
        <v>32</v>
      </c>
      <c r="I163">
        <v>10</v>
      </c>
      <c r="J163" t="s">
        <v>33</v>
      </c>
      <c r="K163">
        <v>1</v>
      </c>
      <c r="L163" s="3">
        <v>8199</v>
      </c>
      <c r="M163">
        <v>40</v>
      </c>
      <c r="N163" s="3">
        <v>4920</v>
      </c>
      <c r="O163" s="3">
        <v>4920</v>
      </c>
      <c r="P163" t="s">
        <v>34</v>
      </c>
      <c r="Q163" t="s">
        <v>35</v>
      </c>
      <c r="R163" t="s">
        <v>36</v>
      </c>
      <c r="S163" t="s">
        <v>354</v>
      </c>
      <c r="T163" t="s">
        <v>518</v>
      </c>
      <c r="U163" t="s">
        <v>54</v>
      </c>
      <c r="V163" t="s">
        <v>40</v>
      </c>
      <c r="W163">
        <v>4.3</v>
      </c>
      <c r="X163" t="s">
        <v>62</v>
      </c>
      <c r="Y163" t="s">
        <v>147</v>
      </c>
      <c r="Z163">
        <v>2</v>
      </c>
    </row>
    <row r="164" spans="1:26">
      <c r="A164" t="s">
        <v>562</v>
      </c>
      <c r="B164" t="s">
        <v>563</v>
      </c>
      <c r="C164" t="s">
        <v>28</v>
      </c>
      <c r="D164" t="s">
        <v>46</v>
      </c>
      <c r="E164" s="1">
        <v>43330</v>
      </c>
      <c r="F164" t="s">
        <v>86</v>
      </c>
      <c r="G164" t="s">
        <v>116</v>
      </c>
      <c r="H164" t="s">
        <v>49</v>
      </c>
      <c r="I164">
        <v>10</v>
      </c>
      <c r="J164" t="s">
        <v>73</v>
      </c>
      <c r="K164">
        <v>2</v>
      </c>
      <c r="L164" s="3">
        <v>4899</v>
      </c>
      <c r="M164">
        <v>20</v>
      </c>
      <c r="N164" s="3">
        <v>3920</v>
      </c>
      <c r="O164" s="3">
        <v>7840</v>
      </c>
      <c r="P164" t="s">
        <v>81</v>
      </c>
      <c r="Q164" t="s">
        <v>51</v>
      </c>
      <c r="R164" t="s">
        <v>36</v>
      </c>
      <c r="S164" t="s">
        <v>243</v>
      </c>
      <c r="T164" t="s">
        <v>273</v>
      </c>
      <c r="U164" t="s">
        <v>91</v>
      </c>
      <c r="V164" t="s">
        <v>40</v>
      </c>
      <c r="W164">
        <v>3.6</v>
      </c>
      <c r="X164" t="s">
        <v>106</v>
      </c>
      <c r="Y164" t="s">
        <v>55</v>
      </c>
      <c r="Z164">
        <v>2</v>
      </c>
    </row>
    <row r="165" spans="1:26">
      <c r="A165" t="s">
        <v>564</v>
      </c>
      <c r="B165" t="s">
        <v>565</v>
      </c>
      <c r="C165" t="s">
        <v>28</v>
      </c>
      <c r="D165" t="s">
        <v>103</v>
      </c>
      <c r="E165" s="1">
        <v>43331</v>
      </c>
      <c r="F165" t="s">
        <v>79</v>
      </c>
      <c r="G165" t="s">
        <v>174</v>
      </c>
      <c r="H165" t="s">
        <v>32</v>
      </c>
      <c r="I165">
        <v>11</v>
      </c>
      <c r="J165" t="s">
        <v>73</v>
      </c>
      <c r="K165">
        <v>3</v>
      </c>
      <c r="L165" s="3">
        <v>4399</v>
      </c>
      <c r="M165">
        <v>25</v>
      </c>
      <c r="N165" s="3">
        <v>3300</v>
      </c>
      <c r="O165" s="3">
        <v>9900</v>
      </c>
      <c r="P165" t="s">
        <v>74</v>
      </c>
      <c r="Q165" t="s">
        <v>51</v>
      </c>
      <c r="R165" t="s">
        <v>36</v>
      </c>
      <c r="S165" t="s">
        <v>297</v>
      </c>
      <c r="T165" t="s">
        <v>566</v>
      </c>
      <c r="U165" t="s">
        <v>54</v>
      </c>
      <c r="V165" t="s">
        <v>40</v>
      </c>
      <c r="W165">
        <v>3.6</v>
      </c>
      <c r="X165" t="s">
        <v>41</v>
      </c>
      <c r="Y165" t="s">
        <v>42</v>
      </c>
      <c r="Z165">
        <v>4</v>
      </c>
    </row>
    <row r="166" spans="1:26">
      <c r="A166" t="s">
        <v>567</v>
      </c>
      <c r="B166" t="s">
        <v>568</v>
      </c>
      <c r="C166" t="s">
        <v>28</v>
      </c>
      <c r="D166" t="s">
        <v>46</v>
      </c>
      <c r="E166" s="1">
        <v>43333</v>
      </c>
      <c r="F166" t="s">
        <v>65</v>
      </c>
      <c r="G166" t="s">
        <v>268</v>
      </c>
      <c r="H166" t="s">
        <v>128</v>
      </c>
      <c r="I166">
        <v>12</v>
      </c>
      <c r="J166" t="s">
        <v>67</v>
      </c>
      <c r="K166">
        <v>1</v>
      </c>
      <c r="L166" s="3">
        <v>3799</v>
      </c>
      <c r="M166">
        <v>30</v>
      </c>
      <c r="N166" s="3">
        <v>2660</v>
      </c>
      <c r="O166" s="3">
        <v>2660</v>
      </c>
      <c r="P166" t="s">
        <v>34</v>
      </c>
      <c r="Q166" t="s">
        <v>35</v>
      </c>
      <c r="R166" t="s">
        <v>36</v>
      </c>
      <c r="S166" t="s">
        <v>238</v>
      </c>
      <c r="T166" t="s">
        <v>498</v>
      </c>
      <c r="U166" t="s">
        <v>124</v>
      </c>
      <c r="V166" t="s">
        <v>40</v>
      </c>
      <c r="W166">
        <v>3.2</v>
      </c>
      <c r="X166" t="s">
        <v>41</v>
      </c>
      <c r="Y166" t="s">
        <v>42</v>
      </c>
      <c r="Z166">
        <v>6</v>
      </c>
    </row>
    <row r="167" spans="1:26">
      <c r="A167" t="s">
        <v>569</v>
      </c>
      <c r="B167" t="s">
        <v>322</v>
      </c>
      <c r="C167" t="s">
        <v>45</v>
      </c>
      <c r="D167" t="s">
        <v>95</v>
      </c>
      <c r="E167" s="1">
        <v>43333</v>
      </c>
      <c r="F167" t="s">
        <v>79</v>
      </c>
      <c r="G167" t="s">
        <v>480</v>
      </c>
      <c r="H167" t="s">
        <v>111</v>
      </c>
      <c r="I167">
        <v>7</v>
      </c>
      <c r="J167" t="s">
        <v>73</v>
      </c>
      <c r="K167">
        <v>1</v>
      </c>
      <c r="L167" s="3">
        <v>8799</v>
      </c>
      <c r="M167">
        <v>25</v>
      </c>
      <c r="N167" s="3">
        <v>6600</v>
      </c>
      <c r="O167" s="3">
        <v>6600</v>
      </c>
      <c r="P167" t="s">
        <v>81</v>
      </c>
      <c r="Q167" t="s">
        <v>51</v>
      </c>
      <c r="R167" t="s">
        <v>36</v>
      </c>
      <c r="S167" t="s">
        <v>297</v>
      </c>
      <c r="T167" t="s">
        <v>566</v>
      </c>
      <c r="U167" t="s">
        <v>124</v>
      </c>
      <c r="V167" t="s">
        <v>315</v>
      </c>
      <c r="W167">
        <v>4.7</v>
      </c>
      <c r="X167" t="s">
        <v>41</v>
      </c>
      <c r="Y167" t="s">
        <v>55</v>
      </c>
      <c r="Z167">
        <v>2</v>
      </c>
    </row>
    <row r="168" spans="1:26">
      <c r="A168" t="s">
        <v>570</v>
      </c>
      <c r="B168" t="s">
        <v>571</v>
      </c>
      <c r="C168" t="s">
        <v>28</v>
      </c>
      <c r="D168" t="s">
        <v>29</v>
      </c>
      <c r="E168" s="1">
        <v>43333</v>
      </c>
      <c r="F168" t="s">
        <v>86</v>
      </c>
      <c r="G168" t="s">
        <v>116</v>
      </c>
      <c r="H168" t="s">
        <v>49</v>
      </c>
      <c r="I168">
        <v>6</v>
      </c>
      <c r="J168" t="s">
        <v>98</v>
      </c>
      <c r="K168">
        <v>1</v>
      </c>
      <c r="L168" s="3">
        <v>7199</v>
      </c>
      <c r="M168">
        <v>5</v>
      </c>
      <c r="N168" s="3">
        <v>6840</v>
      </c>
      <c r="O168" s="3">
        <v>6840</v>
      </c>
      <c r="P168" t="s">
        <v>34</v>
      </c>
      <c r="Q168" t="s">
        <v>82</v>
      </c>
      <c r="R168" t="s">
        <v>36</v>
      </c>
      <c r="S168" t="s">
        <v>191</v>
      </c>
      <c r="T168" t="s">
        <v>572</v>
      </c>
      <c r="U168" t="s">
        <v>54</v>
      </c>
      <c r="V168" t="s">
        <v>40</v>
      </c>
      <c r="W168">
        <v>4.7</v>
      </c>
      <c r="X168" t="s">
        <v>41</v>
      </c>
      <c r="Y168" t="s">
        <v>42</v>
      </c>
      <c r="Z168">
        <v>3</v>
      </c>
    </row>
    <row r="169" spans="1:26">
      <c r="A169" t="s">
        <v>573</v>
      </c>
      <c r="B169" t="s">
        <v>574</v>
      </c>
      <c r="C169" t="s">
        <v>28</v>
      </c>
      <c r="D169" t="s">
        <v>46</v>
      </c>
      <c r="E169" s="1">
        <v>43334</v>
      </c>
      <c r="F169" t="s">
        <v>79</v>
      </c>
      <c r="G169" t="s">
        <v>174</v>
      </c>
      <c r="H169" t="s">
        <v>32</v>
      </c>
      <c r="I169">
        <v>11</v>
      </c>
      <c r="J169" t="s">
        <v>73</v>
      </c>
      <c r="K169">
        <v>1</v>
      </c>
      <c r="L169" s="3">
        <v>4199</v>
      </c>
      <c r="M169">
        <v>20</v>
      </c>
      <c r="N169" s="3">
        <v>3360</v>
      </c>
      <c r="O169" s="3">
        <v>3360</v>
      </c>
      <c r="P169" t="s">
        <v>34</v>
      </c>
      <c r="Q169" t="s">
        <v>82</v>
      </c>
      <c r="R169" t="s">
        <v>36</v>
      </c>
      <c r="S169" t="s">
        <v>269</v>
      </c>
      <c r="T169" t="s">
        <v>575</v>
      </c>
      <c r="U169" t="s">
        <v>61</v>
      </c>
      <c r="V169" t="s">
        <v>40</v>
      </c>
      <c r="W169">
        <v>3.8</v>
      </c>
      <c r="X169" t="s">
        <v>62</v>
      </c>
      <c r="Y169" t="s">
        <v>42</v>
      </c>
      <c r="Z169">
        <v>4</v>
      </c>
    </row>
    <row r="170" spans="1:26">
      <c r="A170" t="s">
        <v>576</v>
      </c>
      <c r="B170" t="s">
        <v>577</v>
      </c>
      <c r="C170" t="s">
        <v>28</v>
      </c>
      <c r="D170" t="s">
        <v>29</v>
      </c>
      <c r="E170" s="1">
        <v>43334</v>
      </c>
      <c r="F170" t="s">
        <v>86</v>
      </c>
      <c r="G170" t="s">
        <v>87</v>
      </c>
      <c r="H170" t="s">
        <v>59</v>
      </c>
      <c r="I170">
        <v>9</v>
      </c>
      <c r="J170" t="s">
        <v>67</v>
      </c>
      <c r="K170">
        <v>1</v>
      </c>
      <c r="L170" s="3">
        <v>7199</v>
      </c>
      <c r="M170">
        <v>10</v>
      </c>
      <c r="N170" s="3">
        <v>6480</v>
      </c>
      <c r="O170" s="3">
        <v>6480</v>
      </c>
      <c r="P170" t="s">
        <v>34</v>
      </c>
      <c r="Q170" t="s">
        <v>82</v>
      </c>
      <c r="R170" t="s">
        <v>36</v>
      </c>
      <c r="S170" t="s">
        <v>175</v>
      </c>
      <c r="T170" t="s">
        <v>176</v>
      </c>
      <c r="U170" t="s">
        <v>91</v>
      </c>
      <c r="V170" t="s">
        <v>40</v>
      </c>
      <c r="W170">
        <v>3.6</v>
      </c>
      <c r="X170" t="s">
        <v>41</v>
      </c>
      <c r="Y170" t="s">
        <v>42</v>
      </c>
      <c r="Z170">
        <v>4</v>
      </c>
    </row>
    <row r="171" spans="1:26">
      <c r="A171" t="s">
        <v>578</v>
      </c>
      <c r="B171" t="s">
        <v>579</v>
      </c>
      <c r="C171" t="s">
        <v>28</v>
      </c>
      <c r="D171" t="s">
        <v>29</v>
      </c>
      <c r="E171" s="1">
        <v>43336</v>
      </c>
      <c r="F171" t="s">
        <v>79</v>
      </c>
      <c r="G171" t="s">
        <v>80</v>
      </c>
      <c r="H171" t="s">
        <v>59</v>
      </c>
      <c r="I171">
        <v>9</v>
      </c>
      <c r="J171" t="s">
        <v>73</v>
      </c>
      <c r="K171">
        <v>1</v>
      </c>
      <c r="L171" s="3">
        <v>3599</v>
      </c>
      <c r="M171">
        <v>20</v>
      </c>
      <c r="N171" s="3">
        <v>2880</v>
      </c>
      <c r="O171" s="3">
        <v>2880</v>
      </c>
      <c r="P171" t="s">
        <v>81</v>
      </c>
      <c r="Q171" t="s">
        <v>51</v>
      </c>
      <c r="R171" t="s">
        <v>36</v>
      </c>
      <c r="S171" t="s">
        <v>460</v>
      </c>
      <c r="T171" t="s">
        <v>580</v>
      </c>
      <c r="U171" t="s">
        <v>39</v>
      </c>
      <c r="V171" t="s">
        <v>40</v>
      </c>
      <c r="W171">
        <v>3.9</v>
      </c>
      <c r="X171" t="s">
        <v>106</v>
      </c>
      <c r="Y171" t="s">
        <v>55</v>
      </c>
      <c r="Z171">
        <v>2</v>
      </c>
    </row>
    <row r="172" spans="1:26">
      <c r="A172" t="s">
        <v>581</v>
      </c>
      <c r="B172" t="s">
        <v>582</v>
      </c>
      <c r="C172" t="s">
        <v>28</v>
      </c>
      <c r="D172" t="s">
        <v>29</v>
      </c>
      <c r="E172" s="1">
        <v>43336</v>
      </c>
      <c r="F172" t="s">
        <v>96</v>
      </c>
      <c r="G172" t="s">
        <v>171</v>
      </c>
      <c r="H172" t="s">
        <v>128</v>
      </c>
      <c r="I172">
        <v>8</v>
      </c>
      <c r="J172" t="s">
        <v>98</v>
      </c>
      <c r="K172">
        <v>3</v>
      </c>
      <c r="L172" s="3">
        <v>9399</v>
      </c>
      <c r="M172">
        <v>10</v>
      </c>
      <c r="N172" s="3">
        <v>8460</v>
      </c>
      <c r="O172" s="3">
        <v>25380</v>
      </c>
      <c r="P172" t="s">
        <v>74</v>
      </c>
      <c r="Q172" t="s">
        <v>82</v>
      </c>
      <c r="R172" t="s">
        <v>36</v>
      </c>
      <c r="S172" t="s">
        <v>99</v>
      </c>
      <c r="T172" t="s">
        <v>335</v>
      </c>
      <c r="U172" t="s">
        <v>39</v>
      </c>
      <c r="V172" t="s">
        <v>40</v>
      </c>
      <c r="W172">
        <v>4.0999999999999996</v>
      </c>
      <c r="X172" t="s">
        <v>41</v>
      </c>
      <c r="Y172" t="s">
        <v>55</v>
      </c>
      <c r="Z172">
        <v>2</v>
      </c>
    </row>
    <row r="173" spans="1:26">
      <c r="A173" t="s">
        <v>583</v>
      </c>
      <c r="B173" t="s">
        <v>584</v>
      </c>
      <c r="C173" t="s">
        <v>45</v>
      </c>
      <c r="D173" t="s">
        <v>95</v>
      </c>
      <c r="E173" s="1">
        <v>43337</v>
      </c>
      <c r="F173" t="s">
        <v>30</v>
      </c>
      <c r="G173" t="s">
        <v>214</v>
      </c>
      <c r="H173" t="s">
        <v>128</v>
      </c>
      <c r="I173">
        <v>10</v>
      </c>
      <c r="J173" t="s">
        <v>73</v>
      </c>
      <c r="K173">
        <v>1</v>
      </c>
      <c r="L173" s="3">
        <v>8299</v>
      </c>
      <c r="M173">
        <v>35</v>
      </c>
      <c r="N173" s="3">
        <v>5390</v>
      </c>
      <c r="O173" s="3">
        <v>5390</v>
      </c>
      <c r="P173" t="s">
        <v>81</v>
      </c>
      <c r="Q173" t="s">
        <v>51</v>
      </c>
      <c r="R173" t="s">
        <v>36</v>
      </c>
      <c r="S173" t="s">
        <v>151</v>
      </c>
      <c r="T173" t="s">
        <v>152</v>
      </c>
      <c r="U173" t="s">
        <v>124</v>
      </c>
      <c r="V173" t="s">
        <v>40</v>
      </c>
      <c r="W173">
        <v>3.7</v>
      </c>
      <c r="X173" t="s">
        <v>62</v>
      </c>
      <c r="Y173" t="s">
        <v>55</v>
      </c>
      <c r="Z173">
        <v>2</v>
      </c>
    </row>
    <row r="174" spans="1:26">
      <c r="A174" t="s">
        <v>585</v>
      </c>
      <c r="B174" t="s">
        <v>586</v>
      </c>
      <c r="C174" t="s">
        <v>45</v>
      </c>
      <c r="D174" t="s">
        <v>29</v>
      </c>
      <c r="E174" s="1">
        <v>43338</v>
      </c>
      <c r="F174" t="s">
        <v>79</v>
      </c>
      <c r="G174" t="s">
        <v>301</v>
      </c>
      <c r="H174" t="s">
        <v>49</v>
      </c>
      <c r="I174">
        <v>9</v>
      </c>
      <c r="J174" t="s">
        <v>73</v>
      </c>
      <c r="K174">
        <v>1</v>
      </c>
      <c r="L174" s="3">
        <v>4499</v>
      </c>
      <c r="M174">
        <v>10</v>
      </c>
      <c r="N174" s="3">
        <v>4050</v>
      </c>
      <c r="O174" s="3">
        <v>4050</v>
      </c>
      <c r="P174" t="s">
        <v>34</v>
      </c>
      <c r="Q174" t="s">
        <v>82</v>
      </c>
      <c r="R174" t="s">
        <v>36</v>
      </c>
      <c r="S174" t="s">
        <v>52</v>
      </c>
      <c r="T174" t="s">
        <v>235</v>
      </c>
      <c r="U174" t="s">
        <v>39</v>
      </c>
      <c r="V174" t="s">
        <v>40</v>
      </c>
      <c r="W174">
        <v>5</v>
      </c>
      <c r="X174" t="s">
        <v>41</v>
      </c>
      <c r="Y174" t="s">
        <v>42</v>
      </c>
      <c r="Z174">
        <v>3</v>
      </c>
    </row>
    <row r="175" spans="1:26">
      <c r="A175" t="s">
        <v>587</v>
      </c>
      <c r="B175" t="s">
        <v>588</v>
      </c>
      <c r="C175" t="s">
        <v>28</v>
      </c>
      <c r="D175" t="s">
        <v>109</v>
      </c>
      <c r="E175" s="1">
        <v>43338</v>
      </c>
      <c r="F175" t="s">
        <v>47</v>
      </c>
      <c r="G175" t="s">
        <v>218</v>
      </c>
      <c r="H175" t="s">
        <v>59</v>
      </c>
      <c r="I175">
        <v>8</v>
      </c>
      <c r="J175" t="s">
        <v>150</v>
      </c>
      <c r="K175">
        <v>1</v>
      </c>
      <c r="L175" s="3">
        <v>6799</v>
      </c>
      <c r="M175">
        <v>5</v>
      </c>
      <c r="N175" s="3">
        <v>6460</v>
      </c>
      <c r="O175" s="3">
        <v>6460</v>
      </c>
      <c r="P175" t="s">
        <v>74</v>
      </c>
      <c r="Q175" t="s">
        <v>82</v>
      </c>
      <c r="R175" t="s">
        <v>36</v>
      </c>
      <c r="S175" t="s">
        <v>297</v>
      </c>
      <c r="T175" t="s">
        <v>351</v>
      </c>
      <c r="U175" t="s">
        <v>54</v>
      </c>
      <c r="V175" t="s">
        <v>40</v>
      </c>
      <c r="W175">
        <v>3.6</v>
      </c>
      <c r="X175" t="s">
        <v>41</v>
      </c>
      <c r="Y175" t="s">
        <v>42</v>
      </c>
      <c r="Z175">
        <v>4</v>
      </c>
    </row>
    <row r="176" spans="1:26">
      <c r="A176" t="s">
        <v>589</v>
      </c>
      <c r="B176" t="s">
        <v>590</v>
      </c>
      <c r="C176" t="s">
        <v>28</v>
      </c>
      <c r="D176" t="s">
        <v>29</v>
      </c>
      <c r="E176" s="1">
        <v>43345</v>
      </c>
      <c r="F176" t="s">
        <v>47</v>
      </c>
      <c r="G176" t="s">
        <v>121</v>
      </c>
      <c r="H176" t="s">
        <v>111</v>
      </c>
      <c r="I176">
        <v>10</v>
      </c>
      <c r="J176" t="s">
        <v>98</v>
      </c>
      <c r="K176">
        <v>2</v>
      </c>
      <c r="L176" s="3">
        <v>7699</v>
      </c>
      <c r="M176">
        <v>5</v>
      </c>
      <c r="N176" s="3">
        <v>7310</v>
      </c>
      <c r="O176" s="3">
        <v>14620</v>
      </c>
      <c r="P176" t="s">
        <v>34</v>
      </c>
      <c r="Q176" t="s">
        <v>35</v>
      </c>
      <c r="R176" t="s">
        <v>36</v>
      </c>
      <c r="S176" t="s">
        <v>89</v>
      </c>
      <c r="T176" t="s">
        <v>90</v>
      </c>
      <c r="U176" t="s">
        <v>54</v>
      </c>
      <c r="V176" t="s">
        <v>40</v>
      </c>
      <c r="W176">
        <v>4.4000000000000004</v>
      </c>
      <c r="X176" t="s">
        <v>41</v>
      </c>
      <c r="Y176" t="s">
        <v>55</v>
      </c>
      <c r="Z176">
        <v>2</v>
      </c>
    </row>
    <row r="177" spans="1:26">
      <c r="A177" t="s">
        <v>591</v>
      </c>
      <c r="B177" t="s">
        <v>592</v>
      </c>
      <c r="C177" t="s">
        <v>28</v>
      </c>
      <c r="D177" t="s">
        <v>46</v>
      </c>
      <c r="E177" s="1">
        <v>43345</v>
      </c>
      <c r="F177" t="s">
        <v>30</v>
      </c>
      <c r="G177" t="s">
        <v>110</v>
      </c>
      <c r="H177" t="s">
        <v>111</v>
      </c>
      <c r="I177">
        <v>7</v>
      </c>
      <c r="J177" t="s">
        <v>33</v>
      </c>
      <c r="K177">
        <v>1</v>
      </c>
      <c r="L177" s="3">
        <v>8599</v>
      </c>
      <c r="M177">
        <v>0</v>
      </c>
      <c r="N177" s="3">
        <v>8600</v>
      </c>
      <c r="O177" s="3">
        <v>8600</v>
      </c>
      <c r="P177" t="s">
        <v>34</v>
      </c>
      <c r="Q177" t="s">
        <v>51</v>
      </c>
      <c r="R177" t="s">
        <v>36</v>
      </c>
      <c r="S177" t="s">
        <v>89</v>
      </c>
      <c r="T177" t="s">
        <v>515</v>
      </c>
      <c r="U177" t="s">
        <v>54</v>
      </c>
      <c r="V177" t="s">
        <v>40</v>
      </c>
      <c r="W177">
        <v>4</v>
      </c>
      <c r="X177" t="s">
        <v>41</v>
      </c>
      <c r="Y177" t="s">
        <v>55</v>
      </c>
      <c r="Z177">
        <v>3</v>
      </c>
    </row>
    <row r="178" spans="1:26">
      <c r="A178" t="s">
        <v>593</v>
      </c>
      <c r="B178" t="s">
        <v>594</v>
      </c>
      <c r="C178" t="s">
        <v>28</v>
      </c>
      <c r="D178" t="s">
        <v>103</v>
      </c>
      <c r="E178" s="1">
        <v>43346</v>
      </c>
      <c r="F178" t="s">
        <v>65</v>
      </c>
      <c r="G178" t="s">
        <v>72</v>
      </c>
      <c r="H178" t="s">
        <v>59</v>
      </c>
      <c r="I178">
        <v>12</v>
      </c>
      <c r="J178" t="s">
        <v>67</v>
      </c>
      <c r="K178">
        <v>2</v>
      </c>
      <c r="L178" s="3">
        <v>6399</v>
      </c>
      <c r="M178">
        <v>0</v>
      </c>
      <c r="N178" s="3">
        <v>6400</v>
      </c>
      <c r="O178" s="3">
        <v>12800</v>
      </c>
      <c r="P178" t="s">
        <v>34</v>
      </c>
      <c r="Q178" t="s">
        <v>51</v>
      </c>
      <c r="R178" t="s">
        <v>36</v>
      </c>
      <c r="S178" t="s">
        <v>99</v>
      </c>
      <c r="T178" t="s">
        <v>100</v>
      </c>
      <c r="U178" t="s">
        <v>61</v>
      </c>
      <c r="V178" t="s">
        <v>40</v>
      </c>
      <c r="W178">
        <v>4.8</v>
      </c>
      <c r="X178" t="s">
        <v>41</v>
      </c>
      <c r="Y178" t="s">
        <v>55</v>
      </c>
      <c r="Z178">
        <v>3</v>
      </c>
    </row>
    <row r="179" spans="1:26">
      <c r="A179" t="s">
        <v>595</v>
      </c>
      <c r="B179" t="s">
        <v>596</v>
      </c>
      <c r="C179" t="s">
        <v>45</v>
      </c>
      <c r="D179" t="s">
        <v>109</v>
      </c>
      <c r="E179" s="1">
        <v>43346</v>
      </c>
      <c r="F179" t="s">
        <v>47</v>
      </c>
      <c r="G179" t="s">
        <v>402</v>
      </c>
      <c r="H179" t="s">
        <v>32</v>
      </c>
      <c r="I179">
        <v>9</v>
      </c>
      <c r="J179" t="s">
        <v>98</v>
      </c>
      <c r="K179">
        <v>1</v>
      </c>
      <c r="L179" s="3">
        <v>4899</v>
      </c>
      <c r="M179">
        <v>5</v>
      </c>
      <c r="N179" s="3">
        <v>4650</v>
      </c>
      <c r="O179" s="3">
        <v>4650</v>
      </c>
      <c r="P179" t="s">
        <v>34</v>
      </c>
      <c r="Q179" t="s">
        <v>51</v>
      </c>
      <c r="R179" t="s">
        <v>36</v>
      </c>
      <c r="S179" t="s">
        <v>358</v>
      </c>
      <c r="T179" t="s">
        <v>597</v>
      </c>
      <c r="U179" t="s">
        <v>124</v>
      </c>
      <c r="V179" t="s">
        <v>40</v>
      </c>
      <c r="W179">
        <v>3.7</v>
      </c>
      <c r="X179" t="s">
        <v>41</v>
      </c>
      <c r="Y179" t="s">
        <v>42</v>
      </c>
      <c r="Z179">
        <v>2</v>
      </c>
    </row>
    <row r="180" spans="1:26">
      <c r="A180" t="s">
        <v>598</v>
      </c>
      <c r="B180" t="s">
        <v>599</v>
      </c>
      <c r="C180" t="s">
        <v>94</v>
      </c>
      <c r="D180" t="s">
        <v>29</v>
      </c>
      <c r="E180" s="1">
        <v>43346</v>
      </c>
      <c r="F180" t="s">
        <v>47</v>
      </c>
      <c r="G180" t="s">
        <v>48</v>
      </c>
      <c r="H180" t="s">
        <v>49</v>
      </c>
      <c r="I180">
        <v>11</v>
      </c>
      <c r="J180" t="s">
        <v>88</v>
      </c>
      <c r="K180">
        <v>2</v>
      </c>
      <c r="L180" s="3">
        <v>7199</v>
      </c>
      <c r="M180">
        <v>10</v>
      </c>
      <c r="N180" s="3">
        <v>6480</v>
      </c>
      <c r="O180" s="3">
        <v>12960</v>
      </c>
      <c r="P180" t="s">
        <v>81</v>
      </c>
      <c r="Q180" t="s">
        <v>82</v>
      </c>
      <c r="R180" t="s">
        <v>36</v>
      </c>
      <c r="S180" t="s">
        <v>358</v>
      </c>
      <c r="T180" t="s">
        <v>464</v>
      </c>
      <c r="U180" t="s">
        <v>61</v>
      </c>
      <c r="V180" t="s">
        <v>40</v>
      </c>
      <c r="W180">
        <v>4.8</v>
      </c>
      <c r="X180" t="s">
        <v>41</v>
      </c>
      <c r="Y180" t="s">
        <v>42</v>
      </c>
      <c r="Z180">
        <v>3</v>
      </c>
    </row>
    <row r="181" spans="1:26">
      <c r="A181" t="s">
        <v>600</v>
      </c>
      <c r="B181" t="s">
        <v>601</v>
      </c>
      <c r="C181" t="s">
        <v>28</v>
      </c>
      <c r="D181" t="s">
        <v>103</v>
      </c>
      <c r="E181" s="1">
        <v>43346</v>
      </c>
      <c r="F181" t="s">
        <v>86</v>
      </c>
      <c r="G181" t="s">
        <v>242</v>
      </c>
      <c r="H181" t="s">
        <v>32</v>
      </c>
      <c r="I181">
        <v>7</v>
      </c>
      <c r="J181" t="s">
        <v>73</v>
      </c>
      <c r="K181">
        <v>1</v>
      </c>
      <c r="L181" s="3">
        <v>5699</v>
      </c>
      <c r="M181">
        <v>30</v>
      </c>
      <c r="N181" s="3">
        <v>3990</v>
      </c>
      <c r="O181" s="3">
        <v>3990</v>
      </c>
      <c r="P181" t="s">
        <v>74</v>
      </c>
      <c r="Q181" t="s">
        <v>82</v>
      </c>
      <c r="R181" t="s">
        <v>36</v>
      </c>
      <c r="S181" t="s">
        <v>99</v>
      </c>
      <c r="T181" t="s">
        <v>100</v>
      </c>
      <c r="U181" t="s">
        <v>54</v>
      </c>
      <c r="V181" t="s">
        <v>40</v>
      </c>
      <c r="W181">
        <v>4.3</v>
      </c>
      <c r="X181" t="s">
        <v>62</v>
      </c>
      <c r="Y181" t="s">
        <v>42</v>
      </c>
      <c r="Z181">
        <v>3</v>
      </c>
    </row>
    <row r="182" spans="1:26">
      <c r="A182" t="s">
        <v>602</v>
      </c>
      <c r="B182" t="s">
        <v>603</v>
      </c>
      <c r="C182" t="s">
        <v>45</v>
      </c>
      <c r="D182" t="s">
        <v>46</v>
      </c>
      <c r="E182" s="1">
        <v>43347</v>
      </c>
      <c r="F182" t="s">
        <v>65</v>
      </c>
      <c r="G182" t="s">
        <v>279</v>
      </c>
      <c r="H182" t="s">
        <v>111</v>
      </c>
      <c r="I182">
        <v>9</v>
      </c>
      <c r="J182" t="s">
        <v>150</v>
      </c>
      <c r="K182">
        <v>1</v>
      </c>
      <c r="L182" s="3">
        <v>3599</v>
      </c>
      <c r="M182">
        <v>30</v>
      </c>
      <c r="N182" s="3">
        <v>2520</v>
      </c>
      <c r="O182" s="3">
        <v>2520</v>
      </c>
      <c r="P182" t="s">
        <v>50</v>
      </c>
      <c r="Q182" t="s">
        <v>51</v>
      </c>
      <c r="R182" t="s">
        <v>36</v>
      </c>
      <c r="S182" t="s">
        <v>182</v>
      </c>
      <c r="T182" t="s">
        <v>604</v>
      </c>
      <c r="U182" t="s">
        <v>39</v>
      </c>
      <c r="V182" t="s">
        <v>40</v>
      </c>
      <c r="W182">
        <v>4.4000000000000004</v>
      </c>
      <c r="X182" t="s">
        <v>41</v>
      </c>
      <c r="Y182" t="s">
        <v>55</v>
      </c>
      <c r="Z182">
        <v>3</v>
      </c>
    </row>
    <row r="183" spans="1:26">
      <c r="A183" t="s">
        <v>605</v>
      </c>
      <c r="B183" t="s">
        <v>606</v>
      </c>
      <c r="C183" t="s">
        <v>28</v>
      </c>
      <c r="D183" t="s">
        <v>109</v>
      </c>
      <c r="E183" s="1">
        <v>43347</v>
      </c>
      <c r="F183" t="s">
        <v>79</v>
      </c>
      <c r="G183" t="s">
        <v>480</v>
      </c>
      <c r="H183" t="s">
        <v>111</v>
      </c>
      <c r="I183">
        <v>8</v>
      </c>
      <c r="J183" t="s">
        <v>150</v>
      </c>
      <c r="K183">
        <v>1</v>
      </c>
      <c r="L183" s="3">
        <v>7399</v>
      </c>
      <c r="M183">
        <v>15</v>
      </c>
      <c r="N183" s="3">
        <v>6290</v>
      </c>
      <c r="O183" s="3">
        <v>6290</v>
      </c>
      <c r="P183" t="s">
        <v>81</v>
      </c>
      <c r="Q183" t="s">
        <v>51</v>
      </c>
      <c r="R183" t="s">
        <v>36</v>
      </c>
      <c r="S183" t="s">
        <v>200</v>
      </c>
      <c r="T183" t="s">
        <v>201</v>
      </c>
      <c r="U183" t="s">
        <v>91</v>
      </c>
      <c r="V183" t="s">
        <v>40</v>
      </c>
      <c r="W183">
        <v>5</v>
      </c>
      <c r="X183" t="s">
        <v>106</v>
      </c>
      <c r="Y183" t="s">
        <v>42</v>
      </c>
      <c r="Z183">
        <v>4</v>
      </c>
    </row>
    <row r="184" spans="1:26">
      <c r="A184" t="s">
        <v>607</v>
      </c>
      <c r="B184" t="s">
        <v>608</v>
      </c>
      <c r="C184" t="s">
        <v>28</v>
      </c>
      <c r="D184" t="s">
        <v>46</v>
      </c>
      <c r="E184" s="1">
        <v>43348</v>
      </c>
      <c r="F184" t="s">
        <v>79</v>
      </c>
      <c r="G184" t="s">
        <v>80</v>
      </c>
      <c r="H184" t="s">
        <v>59</v>
      </c>
      <c r="I184">
        <v>11</v>
      </c>
      <c r="J184" t="s">
        <v>67</v>
      </c>
      <c r="K184">
        <v>1</v>
      </c>
      <c r="L184" s="3">
        <v>5499</v>
      </c>
      <c r="M184">
        <v>20</v>
      </c>
      <c r="N184" s="3">
        <v>4400</v>
      </c>
      <c r="O184" s="3">
        <v>4400</v>
      </c>
      <c r="P184" t="s">
        <v>34</v>
      </c>
      <c r="Q184" t="s">
        <v>82</v>
      </c>
      <c r="R184" t="s">
        <v>36</v>
      </c>
      <c r="S184" t="s">
        <v>354</v>
      </c>
      <c r="T184" t="s">
        <v>431</v>
      </c>
      <c r="U184" t="s">
        <v>61</v>
      </c>
      <c r="V184" t="s">
        <v>40</v>
      </c>
      <c r="W184">
        <v>4.5</v>
      </c>
      <c r="X184" t="s">
        <v>41</v>
      </c>
      <c r="Y184" t="s">
        <v>55</v>
      </c>
      <c r="Z184">
        <v>2</v>
      </c>
    </row>
    <row r="185" spans="1:26">
      <c r="A185" t="s">
        <v>609</v>
      </c>
      <c r="B185" t="s">
        <v>610</v>
      </c>
      <c r="C185" t="s">
        <v>28</v>
      </c>
      <c r="D185" t="s">
        <v>95</v>
      </c>
      <c r="E185" s="1">
        <v>43350</v>
      </c>
      <c r="F185" t="s">
        <v>79</v>
      </c>
      <c r="G185" t="s">
        <v>127</v>
      </c>
      <c r="H185" t="s">
        <v>128</v>
      </c>
      <c r="I185">
        <v>9</v>
      </c>
      <c r="J185" t="s">
        <v>67</v>
      </c>
      <c r="K185">
        <v>1</v>
      </c>
      <c r="L185" s="3">
        <v>3499</v>
      </c>
      <c r="M185">
        <v>5</v>
      </c>
      <c r="N185" s="3">
        <v>3320</v>
      </c>
      <c r="O185" s="3">
        <v>3320</v>
      </c>
      <c r="P185" t="s">
        <v>34</v>
      </c>
      <c r="Q185" t="s">
        <v>82</v>
      </c>
      <c r="R185" t="s">
        <v>36</v>
      </c>
      <c r="S185" t="s">
        <v>68</v>
      </c>
      <c r="T185" t="s">
        <v>400</v>
      </c>
      <c r="U185" t="s">
        <v>39</v>
      </c>
      <c r="V185" t="s">
        <v>40</v>
      </c>
      <c r="W185">
        <v>4.2</v>
      </c>
      <c r="X185" t="s">
        <v>41</v>
      </c>
      <c r="Y185" t="s">
        <v>42</v>
      </c>
      <c r="Z185">
        <v>5</v>
      </c>
    </row>
    <row r="186" spans="1:26">
      <c r="A186" t="s">
        <v>611</v>
      </c>
      <c r="B186" t="s">
        <v>612</v>
      </c>
      <c r="C186" t="s">
        <v>45</v>
      </c>
      <c r="D186" t="s">
        <v>46</v>
      </c>
      <c r="E186" s="1">
        <v>43351</v>
      </c>
      <c r="F186" t="s">
        <v>47</v>
      </c>
      <c r="G186" t="s">
        <v>218</v>
      </c>
      <c r="H186" t="s">
        <v>59</v>
      </c>
      <c r="I186">
        <v>6</v>
      </c>
      <c r="J186" t="s">
        <v>33</v>
      </c>
      <c r="K186">
        <v>1</v>
      </c>
      <c r="L186" s="3">
        <v>9099</v>
      </c>
      <c r="M186">
        <v>15</v>
      </c>
      <c r="N186" s="3">
        <v>7730</v>
      </c>
      <c r="O186" s="3">
        <v>7730</v>
      </c>
      <c r="P186" t="s">
        <v>81</v>
      </c>
      <c r="Q186" t="s">
        <v>51</v>
      </c>
      <c r="R186" t="s">
        <v>36</v>
      </c>
      <c r="S186" t="s">
        <v>418</v>
      </c>
      <c r="T186" t="s">
        <v>613</v>
      </c>
      <c r="U186" t="s">
        <v>39</v>
      </c>
      <c r="V186" t="s">
        <v>40</v>
      </c>
      <c r="W186">
        <v>3.9</v>
      </c>
      <c r="X186" t="s">
        <v>41</v>
      </c>
      <c r="Y186" t="s">
        <v>42</v>
      </c>
      <c r="Z186">
        <v>5</v>
      </c>
    </row>
    <row r="187" spans="1:26">
      <c r="A187" t="s">
        <v>614</v>
      </c>
      <c r="B187" t="s">
        <v>615</v>
      </c>
      <c r="C187" t="s">
        <v>28</v>
      </c>
      <c r="D187" t="s">
        <v>29</v>
      </c>
      <c r="E187" s="1">
        <v>43351</v>
      </c>
      <c r="F187" t="s">
        <v>47</v>
      </c>
      <c r="G187" t="s">
        <v>402</v>
      </c>
      <c r="H187" t="s">
        <v>32</v>
      </c>
      <c r="I187">
        <v>10</v>
      </c>
      <c r="J187" t="s">
        <v>73</v>
      </c>
      <c r="K187">
        <v>2</v>
      </c>
      <c r="L187" s="3">
        <v>6699</v>
      </c>
      <c r="M187">
        <v>10</v>
      </c>
      <c r="N187" s="3">
        <v>6030</v>
      </c>
      <c r="O187" s="3">
        <v>12060</v>
      </c>
      <c r="P187" t="s">
        <v>81</v>
      </c>
      <c r="Q187" t="s">
        <v>82</v>
      </c>
      <c r="R187" t="s">
        <v>36</v>
      </c>
      <c r="S187" t="s">
        <v>89</v>
      </c>
      <c r="T187" t="s">
        <v>90</v>
      </c>
      <c r="U187" t="s">
        <v>54</v>
      </c>
      <c r="V187" t="s">
        <v>40</v>
      </c>
      <c r="W187">
        <v>4.3</v>
      </c>
      <c r="X187" t="s">
        <v>41</v>
      </c>
      <c r="Y187" t="s">
        <v>42</v>
      </c>
      <c r="Z187">
        <v>7</v>
      </c>
    </row>
    <row r="188" spans="1:26">
      <c r="A188" t="s">
        <v>616</v>
      </c>
      <c r="B188" t="s">
        <v>477</v>
      </c>
      <c r="C188" t="s">
        <v>45</v>
      </c>
      <c r="D188" t="s">
        <v>95</v>
      </c>
      <c r="E188" s="1">
        <v>43352</v>
      </c>
      <c r="F188" t="s">
        <v>96</v>
      </c>
      <c r="G188" t="s">
        <v>155</v>
      </c>
      <c r="H188" t="s">
        <v>111</v>
      </c>
      <c r="I188">
        <v>7</v>
      </c>
      <c r="J188" t="s">
        <v>33</v>
      </c>
      <c r="K188">
        <v>3</v>
      </c>
      <c r="L188" s="3">
        <v>8299</v>
      </c>
      <c r="M188">
        <v>15</v>
      </c>
      <c r="N188" s="3">
        <v>7050</v>
      </c>
      <c r="O188" s="3">
        <v>21150</v>
      </c>
      <c r="P188" t="s">
        <v>74</v>
      </c>
      <c r="Q188" t="s">
        <v>35</v>
      </c>
      <c r="R188" t="s">
        <v>36</v>
      </c>
      <c r="S188" t="s">
        <v>68</v>
      </c>
      <c r="T188" t="s">
        <v>207</v>
      </c>
      <c r="U188" t="s">
        <v>39</v>
      </c>
      <c r="V188" t="s">
        <v>315</v>
      </c>
      <c r="W188">
        <v>4.7</v>
      </c>
      <c r="X188" t="s">
        <v>41</v>
      </c>
      <c r="Y188" t="s">
        <v>42</v>
      </c>
      <c r="Z188">
        <v>5</v>
      </c>
    </row>
    <row r="189" spans="1:26">
      <c r="A189" t="s">
        <v>617</v>
      </c>
      <c r="B189" t="s">
        <v>281</v>
      </c>
      <c r="C189" t="s">
        <v>45</v>
      </c>
      <c r="D189" t="s">
        <v>109</v>
      </c>
      <c r="E189" s="1">
        <v>43353</v>
      </c>
      <c r="F189" t="s">
        <v>79</v>
      </c>
      <c r="G189" t="s">
        <v>127</v>
      </c>
      <c r="H189" t="s">
        <v>128</v>
      </c>
      <c r="I189">
        <v>10</v>
      </c>
      <c r="J189" t="s">
        <v>67</v>
      </c>
      <c r="K189">
        <v>2</v>
      </c>
      <c r="L189" s="3">
        <v>3899</v>
      </c>
      <c r="M189">
        <v>15</v>
      </c>
      <c r="N189" s="3">
        <v>3310</v>
      </c>
      <c r="O189" s="3">
        <v>6620</v>
      </c>
      <c r="P189" t="s">
        <v>81</v>
      </c>
      <c r="Q189" t="s">
        <v>51</v>
      </c>
      <c r="R189" t="s">
        <v>36</v>
      </c>
      <c r="S189" t="s">
        <v>354</v>
      </c>
      <c r="T189" t="s">
        <v>355</v>
      </c>
      <c r="U189" t="s">
        <v>39</v>
      </c>
      <c r="V189" t="s">
        <v>315</v>
      </c>
      <c r="W189">
        <v>3.3</v>
      </c>
      <c r="X189" t="s">
        <v>41</v>
      </c>
      <c r="Y189" t="s">
        <v>42</v>
      </c>
      <c r="Z189">
        <v>5</v>
      </c>
    </row>
    <row r="190" spans="1:26">
      <c r="A190" t="s">
        <v>618</v>
      </c>
      <c r="B190" t="s">
        <v>619</v>
      </c>
      <c r="C190" t="s">
        <v>45</v>
      </c>
      <c r="D190" t="s">
        <v>109</v>
      </c>
      <c r="E190" s="1">
        <v>43353</v>
      </c>
      <c r="F190" t="s">
        <v>79</v>
      </c>
      <c r="G190" t="s">
        <v>80</v>
      </c>
      <c r="H190" t="s">
        <v>59</v>
      </c>
      <c r="I190">
        <v>7</v>
      </c>
      <c r="J190" t="s">
        <v>98</v>
      </c>
      <c r="K190">
        <v>1</v>
      </c>
      <c r="L190" s="3">
        <v>6499</v>
      </c>
      <c r="M190">
        <v>25</v>
      </c>
      <c r="N190" s="3">
        <v>4870</v>
      </c>
      <c r="O190" s="3">
        <v>4870</v>
      </c>
      <c r="P190" t="s">
        <v>34</v>
      </c>
      <c r="Q190" t="s">
        <v>35</v>
      </c>
      <c r="R190" t="s">
        <v>36</v>
      </c>
      <c r="S190" t="s">
        <v>243</v>
      </c>
      <c r="T190" t="s">
        <v>276</v>
      </c>
      <c r="U190" t="s">
        <v>124</v>
      </c>
      <c r="V190" t="s">
        <v>40</v>
      </c>
      <c r="W190">
        <v>3.6</v>
      </c>
      <c r="X190" t="s">
        <v>41</v>
      </c>
      <c r="Y190" t="s">
        <v>42</v>
      </c>
      <c r="Z190">
        <v>6</v>
      </c>
    </row>
    <row r="191" spans="1:26">
      <c r="A191" t="s">
        <v>620</v>
      </c>
      <c r="B191" t="s">
        <v>621</v>
      </c>
      <c r="C191" t="s">
        <v>45</v>
      </c>
      <c r="D191" t="s">
        <v>103</v>
      </c>
      <c r="E191" s="1">
        <v>43354</v>
      </c>
      <c r="F191" t="s">
        <v>30</v>
      </c>
      <c r="G191" t="s">
        <v>214</v>
      </c>
      <c r="H191" t="s">
        <v>128</v>
      </c>
      <c r="I191">
        <v>9</v>
      </c>
      <c r="J191" t="s">
        <v>88</v>
      </c>
      <c r="K191">
        <v>1</v>
      </c>
      <c r="L191" s="3">
        <v>6799</v>
      </c>
      <c r="M191">
        <v>10</v>
      </c>
      <c r="N191" s="3">
        <v>6120</v>
      </c>
      <c r="O191" s="3">
        <v>6120</v>
      </c>
      <c r="P191" t="s">
        <v>50</v>
      </c>
      <c r="Q191" t="s">
        <v>35</v>
      </c>
      <c r="R191" t="s">
        <v>36</v>
      </c>
      <c r="S191" t="s">
        <v>243</v>
      </c>
      <c r="T191" t="s">
        <v>244</v>
      </c>
      <c r="U191" t="s">
        <v>39</v>
      </c>
      <c r="V191" t="s">
        <v>40</v>
      </c>
      <c r="W191">
        <v>4.9000000000000004</v>
      </c>
      <c r="X191" t="s">
        <v>41</v>
      </c>
      <c r="Y191" t="s">
        <v>42</v>
      </c>
      <c r="Z191">
        <v>1</v>
      </c>
    </row>
    <row r="192" spans="1:26">
      <c r="A192" t="s">
        <v>622</v>
      </c>
      <c r="B192" t="s">
        <v>623</v>
      </c>
      <c r="C192" t="s">
        <v>28</v>
      </c>
      <c r="D192" t="s">
        <v>95</v>
      </c>
      <c r="E192" s="1">
        <v>43354</v>
      </c>
      <c r="F192" t="s">
        <v>79</v>
      </c>
      <c r="G192" t="s">
        <v>174</v>
      </c>
      <c r="H192" t="s">
        <v>32</v>
      </c>
      <c r="I192">
        <v>8</v>
      </c>
      <c r="J192" t="s">
        <v>150</v>
      </c>
      <c r="K192">
        <v>1</v>
      </c>
      <c r="L192" s="3">
        <v>6399</v>
      </c>
      <c r="M192">
        <v>20</v>
      </c>
      <c r="N192" s="3">
        <v>5120</v>
      </c>
      <c r="O192" s="3">
        <v>5120</v>
      </c>
      <c r="P192" t="s">
        <v>50</v>
      </c>
      <c r="Q192" t="s">
        <v>35</v>
      </c>
      <c r="R192" t="s">
        <v>36</v>
      </c>
      <c r="S192" t="s">
        <v>238</v>
      </c>
      <c r="T192" t="s">
        <v>377</v>
      </c>
      <c r="U192" t="s">
        <v>91</v>
      </c>
      <c r="V192" t="s">
        <v>40</v>
      </c>
      <c r="W192">
        <v>4.0999999999999996</v>
      </c>
      <c r="X192" t="s">
        <v>41</v>
      </c>
      <c r="Y192" t="s">
        <v>42</v>
      </c>
      <c r="Z192">
        <v>5</v>
      </c>
    </row>
    <row r="193" spans="1:26">
      <c r="A193" t="s">
        <v>624</v>
      </c>
      <c r="B193" t="s">
        <v>427</v>
      </c>
      <c r="C193" t="s">
        <v>28</v>
      </c>
      <c r="D193" t="s">
        <v>95</v>
      </c>
      <c r="E193" s="1">
        <v>43355</v>
      </c>
      <c r="F193" t="s">
        <v>65</v>
      </c>
      <c r="G193" t="s">
        <v>66</v>
      </c>
      <c r="H193" t="s">
        <v>59</v>
      </c>
      <c r="I193">
        <v>10</v>
      </c>
      <c r="J193" t="s">
        <v>73</v>
      </c>
      <c r="K193">
        <v>1</v>
      </c>
      <c r="L193" s="3">
        <v>7599</v>
      </c>
      <c r="M193">
        <v>10</v>
      </c>
      <c r="N193" s="3">
        <v>6840</v>
      </c>
      <c r="O193" s="3">
        <v>6840</v>
      </c>
      <c r="P193" t="s">
        <v>74</v>
      </c>
      <c r="Q193" t="s">
        <v>51</v>
      </c>
      <c r="R193" t="s">
        <v>36</v>
      </c>
      <c r="S193" t="s">
        <v>297</v>
      </c>
      <c r="T193" t="s">
        <v>351</v>
      </c>
      <c r="U193" t="s">
        <v>91</v>
      </c>
      <c r="V193" t="s">
        <v>315</v>
      </c>
      <c r="W193">
        <v>4.0999999999999996</v>
      </c>
      <c r="X193" t="s">
        <v>41</v>
      </c>
      <c r="Y193" t="s">
        <v>55</v>
      </c>
      <c r="Z193">
        <v>2</v>
      </c>
    </row>
    <row r="194" spans="1:26">
      <c r="A194" t="s">
        <v>625</v>
      </c>
      <c r="B194" t="s">
        <v>626</v>
      </c>
      <c r="C194" t="s">
        <v>28</v>
      </c>
      <c r="D194" t="s">
        <v>46</v>
      </c>
      <c r="E194" s="1">
        <v>43358</v>
      </c>
      <c r="F194" t="s">
        <v>86</v>
      </c>
      <c r="G194" t="s">
        <v>190</v>
      </c>
      <c r="H194" t="s">
        <v>128</v>
      </c>
      <c r="I194">
        <v>9</v>
      </c>
      <c r="J194" t="s">
        <v>88</v>
      </c>
      <c r="K194">
        <v>2</v>
      </c>
      <c r="L194" s="3">
        <v>3799</v>
      </c>
      <c r="M194">
        <v>25</v>
      </c>
      <c r="N194" s="3">
        <v>2850</v>
      </c>
      <c r="O194" s="3">
        <v>5700</v>
      </c>
      <c r="P194" t="s">
        <v>74</v>
      </c>
      <c r="Q194" t="s">
        <v>82</v>
      </c>
      <c r="R194" t="s">
        <v>36</v>
      </c>
      <c r="S194" t="s">
        <v>160</v>
      </c>
      <c r="T194" t="s">
        <v>344</v>
      </c>
      <c r="U194" t="s">
        <v>91</v>
      </c>
      <c r="V194" t="s">
        <v>40</v>
      </c>
      <c r="W194">
        <v>4.5999999999999996</v>
      </c>
      <c r="X194" t="s">
        <v>41</v>
      </c>
      <c r="Y194" t="s">
        <v>42</v>
      </c>
      <c r="Z194">
        <v>3</v>
      </c>
    </row>
    <row r="195" spans="1:26">
      <c r="A195" t="s">
        <v>627</v>
      </c>
      <c r="B195" t="s">
        <v>628</v>
      </c>
      <c r="C195" t="s">
        <v>28</v>
      </c>
      <c r="D195" t="s">
        <v>29</v>
      </c>
      <c r="E195" s="1">
        <v>43359</v>
      </c>
      <c r="F195" t="s">
        <v>30</v>
      </c>
      <c r="G195" t="s">
        <v>347</v>
      </c>
      <c r="H195" t="s">
        <v>49</v>
      </c>
      <c r="I195">
        <v>10</v>
      </c>
      <c r="J195" t="s">
        <v>73</v>
      </c>
      <c r="K195">
        <v>2</v>
      </c>
      <c r="L195" s="3">
        <v>7699</v>
      </c>
      <c r="M195">
        <v>30</v>
      </c>
      <c r="N195" s="3">
        <v>5390</v>
      </c>
      <c r="O195" s="3">
        <v>10780</v>
      </c>
      <c r="P195" t="s">
        <v>34</v>
      </c>
      <c r="Q195" t="s">
        <v>51</v>
      </c>
      <c r="R195" t="s">
        <v>36</v>
      </c>
      <c r="S195" t="s">
        <v>112</v>
      </c>
      <c r="T195" t="s">
        <v>133</v>
      </c>
      <c r="U195" t="s">
        <v>54</v>
      </c>
      <c r="V195" t="s">
        <v>40</v>
      </c>
      <c r="W195">
        <v>3.4</v>
      </c>
      <c r="X195" t="s">
        <v>106</v>
      </c>
      <c r="Y195" t="s">
        <v>42</v>
      </c>
      <c r="Z195">
        <v>5</v>
      </c>
    </row>
    <row r="196" spans="1:26">
      <c r="A196" t="s">
        <v>629</v>
      </c>
      <c r="B196" t="s">
        <v>630</v>
      </c>
      <c r="C196" t="s">
        <v>45</v>
      </c>
      <c r="D196" t="s">
        <v>29</v>
      </c>
      <c r="E196" s="1">
        <v>43361</v>
      </c>
      <c r="F196" t="s">
        <v>47</v>
      </c>
      <c r="G196" t="s">
        <v>48</v>
      </c>
      <c r="H196" t="s">
        <v>49</v>
      </c>
      <c r="I196">
        <v>9</v>
      </c>
      <c r="J196" t="s">
        <v>33</v>
      </c>
      <c r="K196">
        <v>2</v>
      </c>
      <c r="L196" s="3">
        <v>6299</v>
      </c>
      <c r="M196">
        <v>25</v>
      </c>
      <c r="N196" s="3">
        <v>4720</v>
      </c>
      <c r="O196" s="3">
        <v>9440</v>
      </c>
      <c r="P196" t="s">
        <v>81</v>
      </c>
      <c r="Q196" t="s">
        <v>82</v>
      </c>
      <c r="R196" t="s">
        <v>36</v>
      </c>
      <c r="S196" t="s">
        <v>156</v>
      </c>
      <c r="T196" t="s">
        <v>257</v>
      </c>
      <c r="U196" t="s">
        <v>54</v>
      </c>
      <c r="V196" t="s">
        <v>40</v>
      </c>
      <c r="W196">
        <v>3.5</v>
      </c>
      <c r="X196" t="s">
        <v>41</v>
      </c>
      <c r="Y196" t="s">
        <v>42</v>
      </c>
      <c r="Z196">
        <v>4</v>
      </c>
    </row>
    <row r="197" spans="1:26">
      <c r="A197" t="s">
        <v>631</v>
      </c>
      <c r="B197" t="s">
        <v>479</v>
      </c>
      <c r="C197" t="s">
        <v>45</v>
      </c>
      <c r="D197" t="s">
        <v>95</v>
      </c>
      <c r="E197" s="1">
        <v>43361</v>
      </c>
      <c r="F197" t="s">
        <v>86</v>
      </c>
      <c r="G197" t="s">
        <v>116</v>
      </c>
      <c r="H197" t="s">
        <v>49</v>
      </c>
      <c r="I197">
        <v>9</v>
      </c>
      <c r="J197" t="s">
        <v>33</v>
      </c>
      <c r="K197">
        <v>1</v>
      </c>
      <c r="L197" s="3">
        <v>5699</v>
      </c>
      <c r="M197">
        <v>20</v>
      </c>
      <c r="N197" s="3">
        <v>4560</v>
      </c>
      <c r="O197" s="3">
        <v>4560</v>
      </c>
      <c r="P197" t="s">
        <v>81</v>
      </c>
      <c r="Q197" t="s">
        <v>51</v>
      </c>
      <c r="R197" t="s">
        <v>36</v>
      </c>
      <c r="S197" t="s">
        <v>384</v>
      </c>
      <c r="T197" t="s">
        <v>481</v>
      </c>
      <c r="U197" t="s">
        <v>124</v>
      </c>
      <c r="V197" t="s">
        <v>315</v>
      </c>
      <c r="W197">
        <v>4.9000000000000004</v>
      </c>
      <c r="X197" t="s">
        <v>41</v>
      </c>
      <c r="Y197" t="s">
        <v>42</v>
      </c>
      <c r="Z197">
        <v>4</v>
      </c>
    </row>
    <row r="198" spans="1:26">
      <c r="A198" t="s">
        <v>632</v>
      </c>
      <c r="B198" t="s">
        <v>633</v>
      </c>
      <c r="C198" t="s">
        <v>45</v>
      </c>
      <c r="D198" t="s">
        <v>29</v>
      </c>
      <c r="E198" s="1">
        <v>43362</v>
      </c>
      <c r="F198" t="s">
        <v>47</v>
      </c>
      <c r="G198" t="s">
        <v>140</v>
      </c>
      <c r="H198" t="s">
        <v>128</v>
      </c>
      <c r="I198">
        <v>8</v>
      </c>
      <c r="J198" t="s">
        <v>88</v>
      </c>
      <c r="K198">
        <v>3</v>
      </c>
      <c r="L198" s="3">
        <v>6299</v>
      </c>
      <c r="M198">
        <v>15</v>
      </c>
      <c r="N198" s="3">
        <v>5350</v>
      </c>
      <c r="O198" s="3">
        <v>16050</v>
      </c>
      <c r="P198" t="s">
        <v>81</v>
      </c>
      <c r="Q198" t="s">
        <v>51</v>
      </c>
      <c r="R198" t="s">
        <v>36</v>
      </c>
      <c r="S198" t="s">
        <v>164</v>
      </c>
      <c r="T198" t="s">
        <v>409</v>
      </c>
      <c r="U198" t="s">
        <v>91</v>
      </c>
      <c r="V198" t="s">
        <v>40</v>
      </c>
      <c r="W198">
        <v>3.1</v>
      </c>
      <c r="X198" t="s">
        <v>41</v>
      </c>
      <c r="Y198" t="s">
        <v>42</v>
      </c>
      <c r="Z198">
        <v>5</v>
      </c>
    </row>
    <row r="199" spans="1:26">
      <c r="A199" t="s">
        <v>634</v>
      </c>
      <c r="B199" t="s">
        <v>635</v>
      </c>
      <c r="C199" t="s">
        <v>45</v>
      </c>
      <c r="D199" t="s">
        <v>46</v>
      </c>
      <c r="E199" s="1">
        <v>43362</v>
      </c>
      <c r="F199" t="s">
        <v>86</v>
      </c>
      <c r="G199" t="s">
        <v>116</v>
      </c>
      <c r="H199" t="s">
        <v>49</v>
      </c>
      <c r="I199">
        <v>8</v>
      </c>
      <c r="J199" t="s">
        <v>88</v>
      </c>
      <c r="K199">
        <v>1</v>
      </c>
      <c r="L199" s="3">
        <v>7399</v>
      </c>
      <c r="M199">
        <v>30</v>
      </c>
      <c r="N199" s="3">
        <v>5180</v>
      </c>
      <c r="O199" s="3">
        <v>5180</v>
      </c>
      <c r="P199" t="s">
        <v>50</v>
      </c>
      <c r="Q199" t="s">
        <v>35</v>
      </c>
      <c r="R199" t="s">
        <v>36</v>
      </c>
      <c r="S199" t="s">
        <v>243</v>
      </c>
      <c r="T199" t="s">
        <v>273</v>
      </c>
      <c r="U199" t="s">
        <v>54</v>
      </c>
      <c r="V199" t="s">
        <v>40</v>
      </c>
      <c r="W199">
        <v>4.5</v>
      </c>
      <c r="X199" t="s">
        <v>106</v>
      </c>
      <c r="Y199" t="s">
        <v>55</v>
      </c>
      <c r="Z199">
        <v>3</v>
      </c>
    </row>
    <row r="200" spans="1:26">
      <c r="A200" t="s">
        <v>636</v>
      </c>
      <c r="B200" t="s">
        <v>637</v>
      </c>
      <c r="C200" t="s">
        <v>28</v>
      </c>
      <c r="D200" t="s">
        <v>29</v>
      </c>
      <c r="E200" s="1">
        <v>43363</v>
      </c>
      <c r="F200" t="s">
        <v>86</v>
      </c>
      <c r="G200" t="s">
        <v>242</v>
      </c>
      <c r="H200" t="s">
        <v>32</v>
      </c>
      <c r="I200">
        <v>10</v>
      </c>
      <c r="J200" t="s">
        <v>73</v>
      </c>
      <c r="K200">
        <v>1</v>
      </c>
      <c r="L200" s="3">
        <v>7899</v>
      </c>
      <c r="M200">
        <v>30</v>
      </c>
      <c r="N200" s="3">
        <v>5530</v>
      </c>
      <c r="O200" s="3">
        <v>5530</v>
      </c>
      <c r="P200" t="s">
        <v>74</v>
      </c>
      <c r="Q200" t="s">
        <v>51</v>
      </c>
      <c r="R200" t="s">
        <v>36</v>
      </c>
      <c r="S200" t="s">
        <v>136</v>
      </c>
      <c r="T200" t="s">
        <v>638</v>
      </c>
      <c r="U200" t="s">
        <v>54</v>
      </c>
      <c r="V200" t="s">
        <v>40</v>
      </c>
      <c r="W200">
        <v>3.2</v>
      </c>
      <c r="X200" t="s">
        <v>41</v>
      </c>
      <c r="Y200" t="s">
        <v>55</v>
      </c>
      <c r="Z200">
        <v>3</v>
      </c>
    </row>
    <row r="201" spans="1:26">
      <c r="A201" t="s">
        <v>639</v>
      </c>
      <c r="B201" t="s">
        <v>640</v>
      </c>
      <c r="C201" t="s">
        <v>45</v>
      </c>
      <c r="D201" t="s">
        <v>109</v>
      </c>
      <c r="E201" s="1">
        <v>43365</v>
      </c>
      <c r="F201" t="s">
        <v>86</v>
      </c>
      <c r="G201" t="s">
        <v>116</v>
      </c>
      <c r="H201" t="s">
        <v>49</v>
      </c>
      <c r="I201">
        <v>10</v>
      </c>
      <c r="J201" t="s">
        <v>33</v>
      </c>
      <c r="K201">
        <v>1</v>
      </c>
      <c r="L201" s="3">
        <v>6699</v>
      </c>
      <c r="M201">
        <v>10</v>
      </c>
      <c r="N201" s="3">
        <v>6030</v>
      </c>
      <c r="O201" s="3">
        <v>6030</v>
      </c>
      <c r="P201" t="s">
        <v>50</v>
      </c>
      <c r="Q201" t="s">
        <v>82</v>
      </c>
      <c r="R201" t="s">
        <v>36</v>
      </c>
      <c r="S201" t="s">
        <v>175</v>
      </c>
      <c r="T201" t="s">
        <v>495</v>
      </c>
      <c r="U201" t="s">
        <v>54</v>
      </c>
      <c r="V201" t="s">
        <v>40</v>
      </c>
      <c r="W201">
        <v>3.7</v>
      </c>
      <c r="X201" t="s">
        <v>41</v>
      </c>
      <c r="Y201" t="s">
        <v>42</v>
      </c>
      <c r="Z201">
        <v>4</v>
      </c>
    </row>
    <row r="202" spans="1:26">
      <c r="A202" t="s">
        <v>641</v>
      </c>
      <c r="B202" t="s">
        <v>642</v>
      </c>
      <c r="C202" t="s">
        <v>45</v>
      </c>
      <c r="D202" t="s">
        <v>29</v>
      </c>
      <c r="E202" s="1">
        <v>43365</v>
      </c>
      <c r="F202" t="s">
        <v>30</v>
      </c>
      <c r="G202" t="s">
        <v>110</v>
      </c>
      <c r="H202" t="s">
        <v>111</v>
      </c>
      <c r="I202">
        <v>8</v>
      </c>
      <c r="J202" t="s">
        <v>33</v>
      </c>
      <c r="K202">
        <v>2</v>
      </c>
      <c r="L202" s="3">
        <v>5999</v>
      </c>
      <c r="M202">
        <v>5</v>
      </c>
      <c r="N202" s="3">
        <v>5700</v>
      </c>
      <c r="O202" s="3">
        <v>11400</v>
      </c>
      <c r="P202" t="s">
        <v>74</v>
      </c>
      <c r="Q202" t="s">
        <v>82</v>
      </c>
      <c r="R202" t="s">
        <v>36</v>
      </c>
      <c r="S202" t="s">
        <v>160</v>
      </c>
      <c r="T202" t="s">
        <v>160</v>
      </c>
      <c r="U202" t="s">
        <v>61</v>
      </c>
      <c r="V202" t="s">
        <v>40</v>
      </c>
      <c r="W202">
        <v>4.8</v>
      </c>
      <c r="X202" t="s">
        <v>41</v>
      </c>
      <c r="Y202" t="s">
        <v>42</v>
      </c>
      <c r="Z202">
        <v>4</v>
      </c>
    </row>
    <row r="203" spans="1:26">
      <c r="A203" t="s">
        <v>643</v>
      </c>
      <c r="B203" t="s">
        <v>644</v>
      </c>
      <c r="C203" t="s">
        <v>28</v>
      </c>
      <c r="D203" t="s">
        <v>103</v>
      </c>
      <c r="E203" s="1">
        <v>43365</v>
      </c>
      <c r="F203" t="s">
        <v>96</v>
      </c>
      <c r="G203" t="s">
        <v>171</v>
      </c>
      <c r="H203" t="s">
        <v>128</v>
      </c>
      <c r="I203">
        <v>8</v>
      </c>
      <c r="J203" t="s">
        <v>73</v>
      </c>
      <c r="K203">
        <v>1</v>
      </c>
      <c r="L203" s="3">
        <v>6499</v>
      </c>
      <c r="M203">
        <v>0</v>
      </c>
      <c r="N203" s="3">
        <v>6500</v>
      </c>
      <c r="O203" s="3">
        <v>6500</v>
      </c>
      <c r="P203" t="s">
        <v>50</v>
      </c>
      <c r="Q203" t="s">
        <v>51</v>
      </c>
      <c r="R203" t="s">
        <v>36</v>
      </c>
      <c r="S203" t="s">
        <v>112</v>
      </c>
      <c r="T203" t="s">
        <v>250</v>
      </c>
      <c r="U203" t="s">
        <v>91</v>
      </c>
      <c r="V203" t="s">
        <v>40</v>
      </c>
      <c r="W203">
        <v>4.0999999999999996</v>
      </c>
      <c r="X203" t="s">
        <v>41</v>
      </c>
      <c r="Y203" t="s">
        <v>42</v>
      </c>
      <c r="Z203">
        <v>2</v>
      </c>
    </row>
    <row r="204" spans="1:26">
      <c r="A204" t="s">
        <v>645</v>
      </c>
      <c r="B204" t="s">
        <v>646</v>
      </c>
      <c r="C204" t="s">
        <v>28</v>
      </c>
      <c r="D204" t="s">
        <v>95</v>
      </c>
      <c r="E204" s="1">
        <v>43365</v>
      </c>
      <c r="F204" t="s">
        <v>47</v>
      </c>
      <c r="G204" t="s">
        <v>199</v>
      </c>
      <c r="H204" t="s">
        <v>59</v>
      </c>
      <c r="I204">
        <v>11</v>
      </c>
      <c r="J204" t="s">
        <v>73</v>
      </c>
      <c r="K204">
        <v>1</v>
      </c>
      <c r="L204" s="3">
        <v>4199</v>
      </c>
      <c r="M204">
        <v>20</v>
      </c>
      <c r="N204" s="3">
        <v>3360</v>
      </c>
      <c r="O204" s="3">
        <v>3360</v>
      </c>
      <c r="P204" t="s">
        <v>74</v>
      </c>
      <c r="Q204" t="s">
        <v>35</v>
      </c>
      <c r="R204" t="s">
        <v>36</v>
      </c>
      <c r="S204" t="s">
        <v>129</v>
      </c>
      <c r="T204" t="s">
        <v>282</v>
      </c>
      <c r="U204" t="s">
        <v>61</v>
      </c>
      <c r="V204" t="s">
        <v>40</v>
      </c>
      <c r="W204">
        <v>4.2</v>
      </c>
      <c r="X204" t="s">
        <v>41</v>
      </c>
      <c r="Y204" t="s">
        <v>42</v>
      </c>
      <c r="Z204">
        <v>4</v>
      </c>
    </row>
    <row r="205" spans="1:26">
      <c r="A205" t="s">
        <v>647</v>
      </c>
      <c r="B205" t="s">
        <v>275</v>
      </c>
      <c r="C205" t="s">
        <v>28</v>
      </c>
      <c r="D205" t="s">
        <v>29</v>
      </c>
      <c r="E205" s="1">
        <v>43368</v>
      </c>
      <c r="F205" t="s">
        <v>30</v>
      </c>
      <c r="G205" t="s">
        <v>110</v>
      </c>
      <c r="H205" t="s">
        <v>111</v>
      </c>
      <c r="I205">
        <v>8</v>
      </c>
      <c r="J205" t="s">
        <v>73</v>
      </c>
      <c r="K205">
        <v>2</v>
      </c>
      <c r="L205" s="3">
        <v>4099</v>
      </c>
      <c r="M205">
        <v>10</v>
      </c>
      <c r="N205" s="3">
        <v>3690</v>
      </c>
      <c r="O205" s="3">
        <v>7380</v>
      </c>
      <c r="P205" t="s">
        <v>50</v>
      </c>
      <c r="Q205" t="s">
        <v>82</v>
      </c>
      <c r="R205" t="s">
        <v>36</v>
      </c>
      <c r="S205" t="s">
        <v>156</v>
      </c>
      <c r="T205" t="s">
        <v>369</v>
      </c>
      <c r="U205" t="s">
        <v>61</v>
      </c>
      <c r="V205" t="s">
        <v>315</v>
      </c>
      <c r="W205">
        <v>5</v>
      </c>
      <c r="X205" t="s">
        <v>41</v>
      </c>
      <c r="Y205" t="s">
        <v>42</v>
      </c>
      <c r="Z205">
        <v>3</v>
      </c>
    </row>
    <row r="206" spans="1:26">
      <c r="A206" t="s">
        <v>648</v>
      </c>
      <c r="B206" t="s">
        <v>649</v>
      </c>
      <c r="C206" t="s">
        <v>45</v>
      </c>
      <c r="D206" t="s">
        <v>109</v>
      </c>
      <c r="E206" s="1">
        <v>43368</v>
      </c>
      <c r="F206" t="s">
        <v>79</v>
      </c>
      <c r="G206" t="s">
        <v>174</v>
      </c>
      <c r="H206" t="s">
        <v>32</v>
      </c>
      <c r="I206">
        <v>8</v>
      </c>
      <c r="J206" t="s">
        <v>98</v>
      </c>
      <c r="K206">
        <v>2</v>
      </c>
      <c r="L206" s="3">
        <v>5799</v>
      </c>
      <c r="M206">
        <v>0</v>
      </c>
      <c r="N206" s="3">
        <v>5800</v>
      </c>
      <c r="O206" s="3">
        <v>11600</v>
      </c>
      <c r="P206" t="s">
        <v>34</v>
      </c>
      <c r="Q206" t="s">
        <v>51</v>
      </c>
      <c r="R206" t="s">
        <v>36</v>
      </c>
      <c r="S206" t="s">
        <v>75</v>
      </c>
      <c r="T206" t="s">
        <v>215</v>
      </c>
      <c r="U206" t="s">
        <v>61</v>
      </c>
      <c r="V206" t="s">
        <v>40</v>
      </c>
      <c r="W206">
        <v>4.4000000000000004</v>
      </c>
      <c r="X206" t="s">
        <v>62</v>
      </c>
      <c r="Y206" t="s">
        <v>42</v>
      </c>
      <c r="Z206">
        <v>4</v>
      </c>
    </row>
    <row r="207" spans="1:26">
      <c r="A207" t="s">
        <v>650</v>
      </c>
      <c r="B207" t="s">
        <v>651</v>
      </c>
      <c r="C207" t="s">
        <v>94</v>
      </c>
      <c r="D207" t="s">
        <v>103</v>
      </c>
      <c r="E207" s="1">
        <v>43370</v>
      </c>
      <c r="F207" t="s">
        <v>79</v>
      </c>
      <c r="G207" t="s">
        <v>301</v>
      </c>
      <c r="H207" t="s">
        <v>49</v>
      </c>
      <c r="I207">
        <v>9</v>
      </c>
      <c r="J207" t="s">
        <v>150</v>
      </c>
      <c r="K207">
        <v>1</v>
      </c>
      <c r="L207" s="3">
        <v>7699</v>
      </c>
      <c r="M207">
        <v>20</v>
      </c>
      <c r="N207" s="3">
        <v>6160</v>
      </c>
      <c r="O207" s="3">
        <v>6160</v>
      </c>
      <c r="P207" t="s">
        <v>74</v>
      </c>
      <c r="Q207" t="s">
        <v>51</v>
      </c>
      <c r="R207" t="s">
        <v>36</v>
      </c>
      <c r="S207" t="s">
        <v>269</v>
      </c>
      <c r="T207" t="s">
        <v>652</v>
      </c>
      <c r="U207" t="s">
        <v>124</v>
      </c>
      <c r="V207" t="s">
        <v>40</v>
      </c>
      <c r="W207">
        <v>4.5999999999999996</v>
      </c>
      <c r="X207" t="s">
        <v>106</v>
      </c>
      <c r="Y207" t="s">
        <v>42</v>
      </c>
      <c r="Z207">
        <v>5</v>
      </c>
    </row>
    <row r="208" spans="1:26">
      <c r="A208" t="s">
        <v>653</v>
      </c>
      <c r="B208" t="s">
        <v>654</v>
      </c>
      <c r="C208" t="s">
        <v>45</v>
      </c>
      <c r="D208" t="s">
        <v>29</v>
      </c>
      <c r="E208" s="1">
        <v>43374</v>
      </c>
      <c r="F208" t="s">
        <v>96</v>
      </c>
      <c r="G208" t="s">
        <v>290</v>
      </c>
      <c r="H208" t="s">
        <v>32</v>
      </c>
      <c r="I208">
        <v>10</v>
      </c>
      <c r="J208" t="s">
        <v>73</v>
      </c>
      <c r="K208">
        <v>1</v>
      </c>
      <c r="L208" s="3">
        <v>6999</v>
      </c>
      <c r="M208">
        <v>25</v>
      </c>
      <c r="N208" s="3">
        <v>5250</v>
      </c>
      <c r="O208" s="3">
        <v>5250</v>
      </c>
      <c r="P208" t="s">
        <v>81</v>
      </c>
      <c r="Q208" t="s">
        <v>82</v>
      </c>
      <c r="R208" t="s">
        <v>36</v>
      </c>
      <c r="S208" t="s">
        <v>129</v>
      </c>
      <c r="T208" t="s">
        <v>655</v>
      </c>
      <c r="U208" t="s">
        <v>39</v>
      </c>
      <c r="V208" t="s">
        <v>40</v>
      </c>
      <c r="W208">
        <v>3.9</v>
      </c>
      <c r="X208" t="s">
        <v>41</v>
      </c>
      <c r="Y208" t="s">
        <v>42</v>
      </c>
      <c r="Z208">
        <v>1</v>
      </c>
    </row>
    <row r="209" spans="1:26">
      <c r="A209" t="s">
        <v>656</v>
      </c>
      <c r="B209" t="s">
        <v>657</v>
      </c>
      <c r="C209" t="s">
        <v>28</v>
      </c>
      <c r="D209" t="s">
        <v>95</v>
      </c>
      <c r="E209" s="1">
        <v>43374</v>
      </c>
      <c r="F209" t="s">
        <v>30</v>
      </c>
      <c r="G209" t="s">
        <v>347</v>
      </c>
      <c r="H209" t="s">
        <v>49</v>
      </c>
      <c r="I209">
        <v>10</v>
      </c>
      <c r="J209" t="s">
        <v>98</v>
      </c>
      <c r="K209">
        <v>1</v>
      </c>
      <c r="L209" s="3">
        <v>5999</v>
      </c>
      <c r="M209">
        <v>5</v>
      </c>
      <c r="N209" s="3">
        <v>5700</v>
      </c>
      <c r="O209" s="3">
        <v>5700</v>
      </c>
      <c r="P209" t="s">
        <v>74</v>
      </c>
      <c r="Q209" t="s">
        <v>51</v>
      </c>
      <c r="R209" t="s">
        <v>36</v>
      </c>
      <c r="S209" t="s">
        <v>384</v>
      </c>
      <c r="T209" t="s">
        <v>481</v>
      </c>
      <c r="U209" t="s">
        <v>61</v>
      </c>
      <c r="V209" t="s">
        <v>40</v>
      </c>
      <c r="W209">
        <v>4.8</v>
      </c>
      <c r="X209" t="s">
        <v>106</v>
      </c>
      <c r="Y209" t="s">
        <v>42</v>
      </c>
      <c r="Z209">
        <v>3</v>
      </c>
    </row>
    <row r="210" spans="1:26">
      <c r="A210" t="s">
        <v>658</v>
      </c>
      <c r="B210" t="s">
        <v>490</v>
      </c>
      <c r="C210" t="s">
        <v>28</v>
      </c>
      <c r="D210" t="s">
        <v>46</v>
      </c>
      <c r="E210" s="1">
        <v>43375</v>
      </c>
      <c r="F210" t="s">
        <v>79</v>
      </c>
      <c r="G210" t="s">
        <v>127</v>
      </c>
      <c r="H210" t="s">
        <v>128</v>
      </c>
      <c r="I210">
        <v>9</v>
      </c>
      <c r="J210" t="s">
        <v>98</v>
      </c>
      <c r="K210">
        <v>1</v>
      </c>
      <c r="L210" s="3">
        <v>6499</v>
      </c>
      <c r="M210">
        <v>0</v>
      </c>
      <c r="N210" s="3">
        <v>6500</v>
      </c>
      <c r="O210" s="3">
        <v>6500</v>
      </c>
      <c r="P210" t="s">
        <v>34</v>
      </c>
      <c r="Q210" t="s">
        <v>82</v>
      </c>
      <c r="R210" t="s">
        <v>36</v>
      </c>
      <c r="S210" t="s">
        <v>52</v>
      </c>
      <c r="T210" t="s">
        <v>60</v>
      </c>
      <c r="U210" t="s">
        <v>91</v>
      </c>
      <c r="V210" t="s">
        <v>315</v>
      </c>
      <c r="W210">
        <v>4.9000000000000004</v>
      </c>
      <c r="X210" t="s">
        <v>41</v>
      </c>
      <c r="Y210" t="s">
        <v>42</v>
      </c>
      <c r="Z210">
        <v>3</v>
      </c>
    </row>
    <row r="211" spans="1:26">
      <c r="A211" t="s">
        <v>659</v>
      </c>
      <c r="B211" t="s">
        <v>660</v>
      </c>
      <c r="C211" t="s">
        <v>28</v>
      </c>
      <c r="D211" t="s">
        <v>95</v>
      </c>
      <c r="E211" s="1">
        <v>43377</v>
      </c>
      <c r="F211" t="s">
        <v>47</v>
      </c>
      <c r="G211" t="s">
        <v>218</v>
      </c>
      <c r="H211" t="s">
        <v>59</v>
      </c>
      <c r="I211">
        <v>9</v>
      </c>
      <c r="J211" t="s">
        <v>98</v>
      </c>
      <c r="K211">
        <v>1</v>
      </c>
      <c r="L211" s="3">
        <v>4099</v>
      </c>
      <c r="M211">
        <v>20</v>
      </c>
      <c r="N211" s="3">
        <v>3280</v>
      </c>
      <c r="O211" s="3">
        <v>3280</v>
      </c>
      <c r="P211" t="s">
        <v>81</v>
      </c>
      <c r="Q211" t="s">
        <v>35</v>
      </c>
      <c r="R211" t="s">
        <v>36</v>
      </c>
      <c r="S211" t="s">
        <v>89</v>
      </c>
      <c r="T211" t="s">
        <v>90</v>
      </c>
      <c r="U211" t="s">
        <v>61</v>
      </c>
      <c r="V211" t="s">
        <v>40</v>
      </c>
      <c r="W211">
        <v>4.4000000000000004</v>
      </c>
      <c r="X211" t="s">
        <v>41</v>
      </c>
      <c r="Y211" t="s">
        <v>55</v>
      </c>
      <c r="Z211">
        <v>3</v>
      </c>
    </row>
    <row r="212" spans="1:26">
      <c r="A212" t="s">
        <v>661</v>
      </c>
      <c r="B212" t="s">
        <v>662</v>
      </c>
      <c r="C212" t="s">
        <v>28</v>
      </c>
      <c r="D212" t="s">
        <v>103</v>
      </c>
      <c r="E212" s="1">
        <v>43378</v>
      </c>
      <c r="F212" t="s">
        <v>30</v>
      </c>
      <c r="G212" t="s">
        <v>145</v>
      </c>
      <c r="H212" t="s">
        <v>59</v>
      </c>
      <c r="I212">
        <v>7</v>
      </c>
      <c r="J212" t="s">
        <v>88</v>
      </c>
      <c r="K212">
        <v>1</v>
      </c>
      <c r="L212" s="3">
        <v>5099</v>
      </c>
      <c r="M212">
        <v>20</v>
      </c>
      <c r="N212" s="3">
        <v>4080</v>
      </c>
      <c r="O212" s="3">
        <v>4080</v>
      </c>
      <c r="P212" t="s">
        <v>81</v>
      </c>
      <c r="Q212" t="s">
        <v>51</v>
      </c>
      <c r="R212" t="s">
        <v>36</v>
      </c>
      <c r="S212" t="s">
        <v>200</v>
      </c>
      <c r="T212" t="s">
        <v>219</v>
      </c>
      <c r="U212" t="s">
        <v>61</v>
      </c>
      <c r="V212" t="s">
        <v>40</v>
      </c>
      <c r="W212">
        <v>4.3</v>
      </c>
      <c r="X212" t="s">
        <v>106</v>
      </c>
      <c r="Y212" t="s">
        <v>42</v>
      </c>
      <c r="Z212">
        <v>3</v>
      </c>
    </row>
    <row r="213" spans="1:26">
      <c r="A213" t="s">
        <v>663</v>
      </c>
      <c r="B213" t="s">
        <v>664</v>
      </c>
      <c r="C213" t="s">
        <v>45</v>
      </c>
      <c r="D213" t="s">
        <v>103</v>
      </c>
      <c r="E213" s="1">
        <v>43378</v>
      </c>
      <c r="F213" t="s">
        <v>96</v>
      </c>
      <c r="G213" t="s">
        <v>290</v>
      </c>
      <c r="H213" t="s">
        <v>32</v>
      </c>
      <c r="I213">
        <v>10</v>
      </c>
      <c r="J213" t="s">
        <v>98</v>
      </c>
      <c r="K213">
        <v>1</v>
      </c>
      <c r="L213" s="3">
        <v>9199</v>
      </c>
      <c r="M213">
        <v>10</v>
      </c>
      <c r="N213" s="3">
        <v>8280</v>
      </c>
      <c r="O213" s="3">
        <v>8280</v>
      </c>
      <c r="P213" t="s">
        <v>74</v>
      </c>
      <c r="Q213" t="s">
        <v>82</v>
      </c>
      <c r="R213" t="s">
        <v>36</v>
      </c>
      <c r="S213" t="s">
        <v>195</v>
      </c>
      <c r="T213" t="s">
        <v>665</v>
      </c>
      <c r="U213" t="s">
        <v>61</v>
      </c>
      <c r="V213" t="s">
        <v>40</v>
      </c>
      <c r="W213">
        <v>3.9</v>
      </c>
      <c r="X213" t="s">
        <v>62</v>
      </c>
      <c r="Y213" t="s">
        <v>42</v>
      </c>
      <c r="Z213">
        <v>2</v>
      </c>
    </row>
    <row r="214" spans="1:26">
      <c r="A214" t="s">
        <v>666</v>
      </c>
      <c r="B214" t="s">
        <v>667</v>
      </c>
      <c r="C214" t="s">
        <v>45</v>
      </c>
      <c r="D214" t="s">
        <v>29</v>
      </c>
      <c r="E214" s="1">
        <v>43378</v>
      </c>
      <c r="F214" t="s">
        <v>96</v>
      </c>
      <c r="G214" t="s">
        <v>323</v>
      </c>
      <c r="H214" t="s">
        <v>59</v>
      </c>
      <c r="I214">
        <v>7</v>
      </c>
      <c r="J214" t="s">
        <v>98</v>
      </c>
      <c r="K214">
        <v>2</v>
      </c>
      <c r="L214" s="3">
        <v>4499</v>
      </c>
      <c r="M214">
        <v>15</v>
      </c>
      <c r="N214" s="3">
        <v>3820</v>
      </c>
      <c r="O214" s="3">
        <v>7640</v>
      </c>
      <c r="P214" t="s">
        <v>34</v>
      </c>
      <c r="Q214" t="s">
        <v>82</v>
      </c>
      <c r="R214" t="s">
        <v>36</v>
      </c>
      <c r="S214" t="s">
        <v>129</v>
      </c>
      <c r="T214" t="s">
        <v>655</v>
      </c>
      <c r="U214" t="s">
        <v>91</v>
      </c>
      <c r="V214" t="s">
        <v>40</v>
      </c>
      <c r="W214">
        <v>5</v>
      </c>
      <c r="X214" t="s">
        <v>41</v>
      </c>
      <c r="Y214" t="s">
        <v>42</v>
      </c>
      <c r="Z214">
        <v>3</v>
      </c>
    </row>
    <row r="215" spans="1:26">
      <c r="A215" t="s">
        <v>668</v>
      </c>
      <c r="B215" t="s">
        <v>669</v>
      </c>
      <c r="C215" t="s">
        <v>28</v>
      </c>
      <c r="D215" t="s">
        <v>109</v>
      </c>
      <c r="E215" s="1">
        <v>43378</v>
      </c>
      <c r="F215" t="s">
        <v>65</v>
      </c>
      <c r="G215" t="s">
        <v>66</v>
      </c>
      <c r="H215" t="s">
        <v>59</v>
      </c>
      <c r="I215">
        <v>8</v>
      </c>
      <c r="J215" t="s">
        <v>98</v>
      </c>
      <c r="K215">
        <v>1</v>
      </c>
      <c r="L215" s="3">
        <v>4399</v>
      </c>
      <c r="M215">
        <v>15</v>
      </c>
      <c r="N215" s="3">
        <v>3740</v>
      </c>
      <c r="O215" s="3">
        <v>3740</v>
      </c>
      <c r="P215" t="s">
        <v>34</v>
      </c>
      <c r="Q215" t="s">
        <v>35</v>
      </c>
      <c r="R215" t="s">
        <v>36</v>
      </c>
      <c r="S215" t="s">
        <v>384</v>
      </c>
      <c r="T215" t="s">
        <v>444</v>
      </c>
      <c r="U215" t="s">
        <v>54</v>
      </c>
      <c r="V215" t="s">
        <v>40</v>
      </c>
      <c r="W215">
        <v>3.7</v>
      </c>
      <c r="X215" t="s">
        <v>41</v>
      </c>
      <c r="Y215" t="s">
        <v>55</v>
      </c>
      <c r="Z215">
        <v>2</v>
      </c>
    </row>
    <row r="216" spans="1:26">
      <c r="A216" t="s">
        <v>670</v>
      </c>
      <c r="B216" t="s">
        <v>671</v>
      </c>
      <c r="C216" t="s">
        <v>28</v>
      </c>
      <c r="D216" t="s">
        <v>95</v>
      </c>
      <c r="E216" s="1">
        <v>43380</v>
      </c>
      <c r="F216" t="s">
        <v>86</v>
      </c>
      <c r="G216" t="s">
        <v>242</v>
      </c>
      <c r="H216" t="s">
        <v>32</v>
      </c>
      <c r="I216">
        <v>7</v>
      </c>
      <c r="J216" t="s">
        <v>33</v>
      </c>
      <c r="K216">
        <v>1</v>
      </c>
      <c r="L216" s="3">
        <v>5299</v>
      </c>
      <c r="M216">
        <v>5</v>
      </c>
      <c r="N216" s="3">
        <v>5030</v>
      </c>
      <c r="O216" s="3">
        <v>5030</v>
      </c>
      <c r="P216" t="s">
        <v>74</v>
      </c>
      <c r="Q216" t="s">
        <v>35</v>
      </c>
      <c r="R216" t="s">
        <v>36</v>
      </c>
      <c r="S216" t="s">
        <v>117</v>
      </c>
      <c r="T216" t="s">
        <v>253</v>
      </c>
      <c r="U216" t="s">
        <v>124</v>
      </c>
      <c r="V216" t="s">
        <v>40</v>
      </c>
      <c r="W216">
        <v>3.1</v>
      </c>
      <c r="X216" t="s">
        <v>41</v>
      </c>
      <c r="Y216" t="s">
        <v>42</v>
      </c>
      <c r="Z216">
        <v>3</v>
      </c>
    </row>
    <row r="217" spans="1:26">
      <c r="A217" t="s">
        <v>672</v>
      </c>
      <c r="B217" t="s">
        <v>673</v>
      </c>
      <c r="C217" t="s">
        <v>28</v>
      </c>
      <c r="D217" t="s">
        <v>103</v>
      </c>
      <c r="E217" s="1">
        <v>43380</v>
      </c>
      <c r="F217" t="s">
        <v>96</v>
      </c>
      <c r="G217" t="s">
        <v>323</v>
      </c>
      <c r="H217" t="s">
        <v>59</v>
      </c>
      <c r="I217">
        <v>11</v>
      </c>
      <c r="J217" t="s">
        <v>98</v>
      </c>
      <c r="K217">
        <v>1</v>
      </c>
      <c r="L217" s="3">
        <v>7899</v>
      </c>
      <c r="M217">
        <v>0</v>
      </c>
      <c r="N217" s="3">
        <v>7900</v>
      </c>
      <c r="O217" s="3">
        <v>7900</v>
      </c>
      <c r="P217" t="s">
        <v>81</v>
      </c>
      <c r="Q217" t="s">
        <v>51</v>
      </c>
      <c r="R217" t="s">
        <v>36</v>
      </c>
      <c r="S217" t="s">
        <v>186</v>
      </c>
      <c r="T217" t="s">
        <v>222</v>
      </c>
      <c r="U217" t="s">
        <v>39</v>
      </c>
      <c r="V217" t="s">
        <v>40</v>
      </c>
      <c r="W217">
        <v>3.4</v>
      </c>
      <c r="X217" t="s">
        <v>41</v>
      </c>
      <c r="Y217" t="s">
        <v>55</v>
      </c>
      <c r="Z217">
        <v>2</v>
      </c>
    </row>
    <row r="218" spans="1:26">
      <c r="A218" t="s">
        <v>674</v>
      </c>
      <c r="B218" t="s">
        <v>675</v>
      </c>
      <c r="C218" t="s">
        <v>45</v>
      </c>
      <c r="D218" t="s">
        <v>95</v>
      </c>
      <c r="E218" s="1">
        <v>43382</v>
      </c>
      <c r="F218" t="s">
        <v>96</v>
      </c>
      <c r="G218" t="s">
        <v>323</v>
      </c>
      <c r="H218" t="s">
        <v>59</v>
      </c>
      <c r="I218">
        <v>10</v>
      </c>
      <c r="J218" t="s">
        <v>150</v>
      </c>
      <c r="K218">
        <v>1</v>
      </c>
      <c r="L218" s="3">
        <v>7999</v>
      </c>
      <c r="M218">
        <v>20</v>
      </c>
      <c r="N218" s="3">
        <v>6400</v>
      </c>
      <c r="O218" s="3">
        <v>6400</v>
      </c>
      <c r="P218" t="s">
        <v>74</v>
      </c>
      <c r="Q218" t="s">
        <v>82</v>
      </c>
      <c r="R218" t="s">
        <v>36</v>
      </c>
      <c r="S218" t="s">
        <v>37</v>
      </c>
      <c r="T218" t="s">
        <v>509</v>
      </c>
      <c r="U218" t="s">
        <v>61</v>
      </c>
      <c r="V218" t="s">
        <v>40</v>
      </c>
      <c r="W218">
        <v>4.0999999999999996</v>
      </c>
      <c r="X218" t="s">
        <v>41</v>
      </c>
      <c r="Y218" t="s">
        <v>42</v>
      </c>
      <c r="Z218">
        <v>5</v>
      </c>
    </row>
    <row r="219" spans="1:26">
      <c r="A219" t="s">
        <v>676</v>
      </c>
      <c r="B219" t="s">
        <v>677</v>
      </c>
      <c r="C219" t="s">
        <v>45</v>
      </c>
      <c r="D219" t="s">
        <v>46</v>
      </c>
      <c r="E219" s="1">
        <v>43382</v>
      </c>
      <c r="F219" t="s">
        <v>79</v>
      </c>
      <c r="G219" t="s">
        <v>517</v>
      </c>
      <c r="H219" t="s">
        <v>59</v>
      </c>
      <c r="I219">
        <v>7</v>
      </c>
      <c r="J219" t="s">
        <v>150</v>
      </c>
      <c r="K219">
        <v>1</v>
      </c>
      <c r="L219" s="3">
        <v>5699</v>
      </c>
      <c r="M219">
        <v>20</v>
      </c>
      <c r="N219" s="3">
        <v>4560</v>
      </c>
      <c r="O219" s="3">
        <v>4560</v>
      </c>
      <c r="P219" t="s">
        <v>34</v>
      </c>
      <c r="Q219" t="s">
        <v>51</v>
      </c>
      <c r="R219" t="s">
        <v>36</v>
      </c>
      <c r="S219" t="s">
        <v>460</v>
      </c>
      <c r="T219" t="s">
        <v>461</v>
      </c>
      <c r="U219" t="s">
        <v>39</v>
      </c>
      <c r="V219" t="s">
        <v>40</v>
      </c>
      <c r="W219">
        <v>4.3</v>
      </c>
      <c r="X219" t="s">
        <v>41</v>
      </c>
      <c r="Y219" t="s">
        <v>42</v>
      </c>
      <c r="Z219">
        <v>4</v>
      </c>
    </row>
    <row r="220" spans="1:26">
      <c r="A220" t="s">
        <v>678</v>
      </c>
      <c r="B220" t="s">
        <v>679</v>
      </c>
      <c r="C220" t="s">
        <v>94</v>
      </c>
      <c r="D220" t="s">
        <v>95</v>
      </c>
      <c r="E220" s="1">
        <v>43382</v>
      </c>
      <c r="F220" t="s">
        <v>65</v>
      </c>
      <c r="G220" t="s">
        <v>72</v>
      </c>
      <c r="H220" t="s">
        <v>59</v>
      </c>
      <c r="I220">
        <v>6</v>
      </c>
      <c r="J220" t="s">
        <v>73</v>
      </c>
      <c r="K220">
        <v>1</v>
      </c>
      <c r="L220" s="3">
        <v>5299</v>
      </c>
      <c r="M220">
        <v>10</v>
      </c>
      <c r="N220" s="3">
        <v>4770</v>
      </c>
      <c r="O220" s="3">
        <v>4770</v>
      </c>
      <c r="P220" t="s">
        <v>81</v>
      </c>
      <c r="Q220" t="s">
        <v>35</v>
      </c>
      <c r="R220" t="s">
        <v>36</v>
      </c>
      <c r="S220" t="s">
        <v>210</v>
      </c>
      <c r="T220" t="s">
        <v>680</v>
      </c>
      <c r="U220" t="s">
        <v>124</v>
      </c>
      <c r="V220" t="s">
        <v>40</v>
      </c>
      <c r="W220">
        <v>4.8</v>
      </c>
      <c r="X220" t="s">
        <v>41</v>
      </c>
      <c r="Y220" t="s">
        <v>42</v>
      </c>
      <c r="Z220">
        <v>5</v>
      </c>
    </row>
    <row r="221" spans="1:26">
      <c r="A221" t="s">
        <v>681</v>
      </c>
      <c r="B221" t="s">
        <v>601</v>
      </c>
      <c r="C221" t="s">
        <v>45</v>
      </c>
      <c r="D221" t="s">
        <v>46</v>
      </c>
      <c r="E221" s="1">
        <v>43386</v>
      </c>
      <c r="F221" t="s">
        <v>47</v>
      </c>
      <c r="G221" t="s">
        <v>218</v>
      </c>
      <c r="H221" t="s">
        <v>59</v>
      </c>
      <c r="I221">
        <v>7</v>
      </c>
      <c r="J221" t="s">
        <v>98</v>
      </c>
      <c r="K221">
        <v>1</v>
      </c>
      <c r="L221" s="3">
        <v>8699</v>
      </c>
      <c r="M221">
        <v>20</v>
      </c>
      <c r="N221" s="3">
        <v>6960</v>
      </c>
      <c r="O221" s="3">
        <v>6960</v>
      </c>
      <c r="P221" t="s">
        <v>74</v>
      </c>
      <c r="Q221" t="s">
        <v>82</v>
      </c>
      <c r="R221" t="s">
        <v>36</v>
      </c>
      <c r="S221" t="s">
        <v>104</v>
      </c>
      <c r="T221" t="s">
        <v>105</v>
      </c>
      <c r="U221" t="s">
        <v>39</v>
      </c>
      <c r="V221" t="s">
        <v>315</v>
      </c>
      <c r="W221">
        <v>3.3</v>
      </c>
      <c r="X221" t="s">
        <v>41</v>
      </c>
      <c r="Y221" t="s">
        <v>42</v>
      </c>
      <c r="Z221">
        <v>5</v>
      </c>
    </row>
    <row r="222" spans="1:26">
      <c r="A222" t="s">
        <v>682</v>
      </c>
      <c r="B222" t="s">
        <v>209</v>
      </c>
      <c r="C222" t="s">
        <v>45</v>
      </c>
      <c r="D222" t="s">
        <v>103</v>
      </c>
      <c r="E222" s="1">
        <v>43386</v>
      </c>
      <c r="F222" t="s">
        <v>79</v>
      </c>
      <c r="G222" t="s">
        <v>517</v>
      </c>
      <c r="H222" t="s">
        <v>59</v>
      </c>
      <c r="I222">
        <v>8</v>
      </c>
      <c r="J222" t="s">
        <v>73</v>
      </c>
      <c r="K222">
        <v>1</v>
      </c>
      <c r="L222" s="3">
        <v>6799</v>
      </c>
      <c r="M222">
        <v>20</v>
      </c>
      <c r="N222" s="3">
        <v>5440</v>
      </c>
      <c r="O222" s="3">
        <v>5440</v>
      </c>
      <c r="P222" t="s">
        <v>81</v>
      </c>
      <c r="Q222" t="s">
        <v>35</v>
      </c>
      <c r="R222" t="s">
        <v>36</v>
      </c>
      <c r="S222" t="s">
        <v>68</v>
      </c>
      <c r="T222" t="s">
        <v>69</v>
      </c>
      <c r="U222" t="s">
        <v>124</v>
      </c>
      <c r="V222" t="s">
        <v>315</v>
      </c>
      <c r="W222">
        <v>4.0999999999999996</v>
      </c>
      <c r="X222" t="s">
        <v>41</v>
      </c>
      <c r="Y222" t="s">
        <v>42</v>
      </c>
      <c r="Z222">
        <v>2</v>
      </c>
    </row>
    <row r="223" spans="1:26">
      <c r="A223" t="s">
        <v>683</v>
      </c>
      <c r="B223" t="s">
        <v>684</v>
      </c>
      <c r="C223" t="s">
        <v>94</v>
      </c>
      <c r="D223" t="s">
        <v>103</v>
      </c>
      <c r="E223" s="1">
        <v>43388</v>
      </c>
      <c r="F223" t="s">
        <v>30</v>
      </c>
      <c r="G223" t="s">
        <v>347</v>
      </c>
      <c r="H223" t="s">
        <v>49</v>
      </c>
      <c r="I223">
        <v>7</v>
      </c>
      <c r="J223" t="s">
        <v>150</v>
      </c>
      <c r="K223">
        <v>1</v>
      </c>
      <c r="L223" s="3">
        <v>4299</v>
      </c>
      <c r="M223">
        <v>35</v>
      </c>
      <c r="N223" s="3">
        <v>2790</v>
      </c>
      <c r="O223" s="3">
        <v>2790</v>
      </c>
      <c r="P223" t="s">
        <v>34</v>
      </c>
      <c r="Q223" t="s">
        <v>51</v>
      </c>
      <c r="R223" t="s">
        <v>36</v>
      </c>
      <c r="S223" t="s">
        <v>151</v>
      </c>
      <c r="T223" t="s">
        <v>506</v>
      </c>
      <c r="U223" t="s">
        <v>61</v>
      </c>
      <c r="V223" t="s">
        <v>40</v>
      </c>
      <c r="W223">
        <v>4.2</v>
      </c>
      <c r="X223" t="s">
        <v>41</v>
      </c>
      <c r="Y223" t="s">
        <v>55</v>
      </c>
      <c r="Z223">
        <v>1</v>
      </c>
    </row>
    <row r="224" spans="1:26">
      <c r="A224" t="s">
        <v>685</v>
      </c>
      <c r="B224" t="s">
        <v>686</v>
      </c>
      <c r="C224" t="s">
        <v>45</v>
      </c>
      <c r="D224" t="s">
        <v>46</v>
      </c>
      <c r="E224" s="1">
        <v>43389</v>
      </c>
      <c r="F224" t="s">
        <v>65</v>
      </c>
      <c r="G224" t="s">
        <v>72</v>
      </c>
      <c r="H224" t="s">
        <v>59</v>
      </c>
      <c r="I224">
        <v>6</v>
      </c>
      <c r="J224" t="s">
        <v>33</v>
      </c>
      <c r="K224">
        <v>2</v>
      </c>
      <c r="L224" s="3">
        <v>7199</v>
      </c>
      <c r="M224">
        <v>15</v>
      </c>
      <c r="N224" s="3">
        <v>6120</v>
      </c>
      <c r="O224" s="3">
        <v>12240</v>
      </c>
      <c r="P224" t="s">
        <v>34</v>
      </c>
      <c r="Q224" t="s">
        <v>51</v>
      </c>
      <c r="R224" t="s">
        <v>36</v>
      </c>
      <c r="S224" t="s">
        <v>151</v>
      </c>
      <c r="T224" t="s">
        <v>152</v>
      </c>
      <c r="U224" t="s">
        <v>124</v>
      </c>
      <c r="V224" t="s">
        <v>40</v>
      </c>
      <c r="W224">
        <v>4.4000000000000004</v>
      </c>
      <c r="X224" t="s">
        <v>41</v>
      </c>
      <c r="Y224" t="s">
        <v>42</v>
      </c>
      <c r="Z224">
        <v>3</v>
      </c>
    </row>
    <row r="225" spans="1:26">
      <c r="A225" t="s">
        <v>687</v>
      </c>
      <c r="B225" t="s">
        <v>688</v>
      </c>
      <c r="C225" t="s">
        <v>28</v>
      </c>
      <c r="D225" t="s">
        <v>95</v>
      </c>
      <c r="E225" s="1">
        <v>43390</v>
      </c>
      <c r="F225" t="s">
        <v>65</v>
      </c>
      <c r="G225" t="s">
        <v>365</v>
      </c>
      <c r="H225" t="s">
        <v>49</v>
      </c>
      <c r="I225">
        <v>11</v>
      </c>
      <c r="J225" t="s">
        <v>98</v>
      </c>
      <c r="K225">
        <v>1</v>
      </c>
      <c r="L225" s="3">
        <v>3499</v>
      </c>
      <c r="M225">
        <v>15</v>
      </c>
      <c r="N225" s="3">
        <v>2970</v>
      </c>
      <c r="O225" s="3">
        <v>2970</v>
      </c>
      <c r="P225" t="s">
        <v>81</v>
      </c>
      <c r="Q225" t="s">
        <v>35</v>
      </c>
      <c r="R225" t="s">
        <v>36</v>
      </c>
      <c r="S225" t="s">
        <v>112</v>
      </c>
      <c r="T225" t="s">
        <v>113</v>
      </c>
      <c r="U225" t="s">
        <v>124</v>
      </c>
      <c r="V225" t="s">
        <v>40</v>
      </c>
      <c r="W225">
        <v>4.8</v>
      </c>
      <c r="X225" t="s">
        <v>41</v>
      </c>
      <c r="Y225" t="s">
        <v>55</v>
      </c>
      <c r="Z225">
        <v>1</v>
      </c>
    </row>
    <row r="226" spans="1:26">
      <c r="A226" t="s">
        <v>689</v>
      </c>
      <c r="B226" t="s">
        <v>371</v>
      </c>
      <c r="C226" t="s">
        <v>28</v>
      </c>
      <c r="D226" t="s">
        <v>46</v>
      </c>
      <c r="E226" s="1">
        <v>43392</v>
      </c>
      <c r="F226" t="s">
        <v>65</v>
      </c>
      <c r="G226" t="s">
        <v>365</v>
      </c>
      <c r="H226" t="s">
        <v>49</v>
      </c>
      <c r="I226">
        <v>11</v>
      </c>
      <c r="J226" t="s">
        <v>73</v>
      </c>
      <c r="K226">
        <v>1</v>
      </c>
      <c r="L226" s="3">
        <v>7199</v>
      </c>
      <c r="M226">
        <v>15</v>
      </c>
      <c r="N226" s="3">
        <v>6120</v>
      </c>
      <c r="O226" s="3">
        <v>6120</v>
      </c>
      <c r="P226" t="s">
        <v>50</v>
      </c>
      <c r="Q226" t="s">
        <v>51</v>
      </c>
      <c r="R226" t="s">
        <v>36</v>
      </c>
      <c r="S226" t="s">
        <v>195</v>
      </c>
      <c r="T226" t="s">
        <v>215</v>
      </c>
      <c r="U226" t="s">
        <v>39</v>
      </c>
      <c r="V226" t="s">
        <v>315</v>
      </c>
      <c r="W226">
        <v>2.8</v>
      </c>
      <c r="X226" t="s">
        <v>41</v>
      </c>
      <c r="Y226" t="s">
        <v>42</v>
      </c>
      <c r="Z226">
        <v>3</v>
      </c>
    </row>
    <row r="227" spans="1:26">
      <c r="A227" t="s">
        <v>690</v>
      </c>
      <c r="B227" t="s">
        <v>691</v>
      </c>
      <c r="C227" t="s">
        <v>94</v>
      </c>
      <c r="D227" t="s">
        <v>46</v>
      </c>
      <c r="E227" s="1">
        <v>43392</v>
      </c>
      <c r="F227" t="s">
        <v>30</v>
      </c>
      <c r="G227" t="s">
        <v>31</v>
      </c>
      <c r="H227" t="s">
        <v>32</v>
      </c>
      <c r="I227">
        <v>6</v>
      </c>
      <c r="J227" t="s">
        <v>67</v>
      </c>
      <c r="K227">
        <v>3</v>
      </c>
      <c r="L227" s="3">
        <v>4999</v>
      </c>
      <c r="M227">
        <v>5</v>
      </c>
      <c r="N227" s="3">
        <v>4750</v>
      </c>
      <c r="O227" s="3">
        <v>14250</v>
      </c>
      <c r="P227" t="s">
        <v>81</v>
      </c>
      <c r="Q227" t="s">
        <v>82</v>
      </c>
      <c r="R227" t="s">
        <v>36</v>
      </c>
      <c r="S227" t="s">
        <v>354</v>
      </c>
      <c r="T227" t="s">
        <v>355</v>
      </c>
      <c r="U227" t="s">
        <v>54</v>
      </c>
      <c r="V227" t="s">
        <v>40</v>
      </c>
      <c r="W227">
        <v>3.6</v>
      </c>
      <c r="X227" t="s">
        <v>106</v>
      </c>
      <c r="Y227" t="s">
        <v>42</v>
      </c>
      <c r="Z227">
        <v>4</v>
      </c>
    </row>
    <row r="228" spans="1:26">
      <c r="A228" t="s">
        <v>692</v>
      </c>
      <c r="B228" t="s">
        <v>693</v>
      </c>
      <c r="C228" t="s">
        <v>45</v>
      </c>
      <c r="D228" t="s">
        <v>103</v>
      </c>
      <c r="E228" s="1">
        <v>43392</v>
      </c>
      <c r="F228" t="s">
        <v>96</v>
      </c>
      <c r="G228" t="s">
        <v>171</v>
      </c>
      <c r="H228" t="s">
        <v>128</v>
      </c>
      <c r="I228">
        <v>8</v>
      </c>
      <c r="J228" t="s">
        <v>67</v>
      </c>
      <c r="K228">
        <v>3</v>
      </c>
      <c r="L228" s="3">
        <v>6499</v>
      </c>
      <c r="M228">
        <v>5</v>
      </c>
      <c r="N228" s="3">
        <v>6170</v>
      </c>
      <c r="O228" s="3">
        <v>18510</v>
      </c>
      <c r="P228" t="s">
        <v>50</v>
      </c>
      <c r="Q228" t="s">
        <v>51</v>
      </c>
      <c r="R228" t="s">
        <v>36</v>
      </c>
      <c r="S228" t="s">
        <v>354</v>
      </c>
      <c r="T228" t="s">
        <v>518</v>
      </c>
      <c r="U228" t="s">
        <v>39</v>
      </c>
      <c r="V228" t="s">
        <v>40</v>
      </c>
      <c r="W228">
        <v>4.9000000000000004</v>
      </c>
      <c r="X228" t="s">
        <v>41</v>
      </c>
      <c r="Y228" t="s">
        <v>42</v>
      </c>
      <c r="Z228">
        <v>1</v>
      </c>
    </row>
    <row r="229" spans="1:26">
      <c r="A229" t="s">
        <v>694</v>
      </c>
      <c r="B229" t="s">
        <v>695</v>
      </c>
      <c r="C229" t="s">
        <v>28</v>
      </c>
      <c r="D229" t="s">
        <v>103</v>
      </c>
      <c r="E229" s="1">
        <v>43393</v>
      </c>
      <c r="F229" t="s">
        <v>30</v>
      </c>
      <c r="G229" t="s">
        <v>58</v>
      </c>
      <c r="H229" t="s">
        <v>59</v>
      </c>
      <c r="I229">
        <v>11</v>
      </c>
      <c r="J229" t="s">
        <v>98</v>
      </c>
      <c r="K229">
        <v>1</v>
      </c>
      <c r="L229" s="3">
        <v>5899</v>
      </c>
      <c r="M229">
        <v>15</v>
      </c>
      <c r="N229" s="3">
        <v>5010</v>
      </c>
      <c r="O229" s="3">
        <v>5010</v>
      </c>
      <c r="P229" t="s">
        <v>81</v>
      </c>
      <c r="Q229" t="s">
        <v>51</v>
      </c>
      <c r="R229" t="s">
        <v>36</v>
      </c>
      <c r="S229" t="s">
        <v>358</v>
      </c>
      <c r="T229" t="s">
        <v>464</v>
      </c>
      <c r="U229" t="s">
        <v>61</v>
      </c>
      <c r="V229" t="s">
        <v>40</v>
      </c>
      <c r="W229">
        <v>4</v>
      </c>
      <c r="X229" t="s">
        <v>106</v>
      </c>
      <c r="Y229" t="s">
        <v>42</v>
      </c>
      <c r="Z229">
        <v>3</v>
      </c>
    </row>
    <row r="230" spans="1:26">
      <c r="A230" t="s">
        <v>696</v>
      </c>
      <c r="B230" t="s">
        <v>697</v>
      </c>
      <c r="C230" t="s">
        <v>45</v>
      </c>
      <c r="D230" t="s">
        <v>103</v>
      </c>
      <c r="E230" s="1">
        <v>43393</v>
      </c>
      <c r="F230" t="s">
        <v>30</v>
      </c>
      <c r="G230" t="s">
        <v>214</v>
      </c>
      <c r="H230" t="s">
        <v>128</v>
      </c>
      <c r="I230">
        <v>7</v>
      </c>
      <c r="J230" t="s">
        <v>150</v>
      </c>
      <c r="K230">
        <v>1</v>
      </c>
      <c r="L230" s="3">
        <v>5699</v>
      </c>
      <c r="M230">
        <v>10</v>
      </c>
      <c r="N230" s="3">
        <v>5130</v>
      </c>
      <c r="O230" s="3">
        <v>5130</v>
      </c>
      <c r="P230" t="s">
        <v>34</v>
      </c>
      <c r="Q230" t="s">
        <v>35</v>
      </c>
      <c r="R230" t="s">
        <v>36</v>
      </c>
      <c r="S230" t="s">
        <v>136</v>
      </c>
      <c r="T230" t="s">
        <v>137</v>
      </c>
      <c r="U230" t="s">
        <v>54</v>
      </c>
      <c r="V230" t="s">
        <v>40</v>
      </c>
      <c r="W230">
        <v>5</v>
      </c>
      <c r="X230" t="s">
        <v>62</v>
      </c>
      <c r="Y230" t="s">
        <v>55</v>
      </c>
      <c r="Z230">
        <v>2</v>
      </c>
    </row>
    <row r="231" spans="1:26">
      <c r="A231" t="s">
        <v>698</v>
      </c>
      <c r="B231" t="s">
        <v>699</v>
      </c>
      <c r="C231" t="s">
        <v>28</v>
      </c>
      <c r="D231" t="s">
        <v>46</v>
      </c>
      <c r="E231" s="1">
        <v>43393</v>
      </c>
      <c r="F231" t="s">
        <v>65</v>
      </c>
      <c r="G231" t="s">
        <v>365</v>
      </c>
      <c r="H231" t="s">
        <v>49</v>
      </c>
      <c r="I231">
        <v>7</v>
      </c>
      <c r="J231" t="s">
        <v>73</v>
      </c>
      <c r="K231">
        <v>1</v>
      </c>
      <c r="L231" s="3">
        <v>7899</v>
      </c>
      <c r="M231">
        <v>35</v>
      </c>
      <c r="N231" s="3">
        <v>5130</v>
      </c>
      <c r="O231" s="3">
        <v>5130</v>
      </c>
      <c r="P231" t="s">
        <v>50</v>
      </c>
      <c r="Q231" t="s">
        <v>51</v>
      </c>
      <c r="R231" t="s">
        <v>36</v>
      </c>
      <c r="S231" t="s">
        <v>129</v>
      </c>
      <c r="T231" t="s">
        <v>130</v>
      </c>
      <c r="U231" t="s">
        <v>39</v>
      </c>
      <c r="V231" t="s">
        <v>40</v>
      </c>
      <c r="W231">
        <v>3.7</v>
      </c>
      <c r="X231" t="s">
        <v>41</v>
      </c>
      <c r="Y231" t="s">
        <v>55</v>
      </c>
      <c r="Z231">
        <v>2</v>
      </c>
    </row>
    <row r="232" spans="1:26">
      <c r="A232" t="s">
        <v>700</v>
      </c>
      <c r="B232" t="s">
        <v>701</v>
      </c>
      <c r="C232" t="s">
        <v>28</v>
      </c>
      <c r="D232" t="s">
        <v>46</v>
      </c>
      <c r="E232" s="1">
        <v>43395</v>
      </c>
      <c r="F232" t="s">
        <v>96</v>
      </c>
      <c r="G232" t="s">
        <v>323</v>
      </c>
      <c r="H232" t="s">
        <v>59</v>
      </c>
      <c r="I232">
        <v>8</v>
      </c>
      <c r="J232" t="s">
        <v>73</v>
      </c>
      <c r="K232">
        <v>1</v>
      </c>
      <c r="L232" s="3">
        <v>9099</v>
      </c>
      <c r="M232">
        <v>15</v>
      </c>
      <c r="N232" s="3">
        <v>7730</v>
      </c>
      <c r="O232" s="3">
        <v>7730</v>
      </c>
      <c r="P232" t="s">
        <v>34</v>
      </c>
      <c r="Q232" t="s">
        <v>51</v>
      </c>
      <c r="R232" t="s">
        <v>36</v>
      </c>
      <c r="S232" t="s">
        <v>52</v>
      </c>
      <c r="T232" t="s">
        <v>83</v>
      </c>
      <c r="U232" t="s">
        <v>91</v>
      </c>
      <c r="V232" t="s">
        <v>40</v>
      </c>
      <c r="W232">
        <v>3.4</v>
      </c>
      <c r="X232" t="s">
        <v>41</v>
      </c>
      <c r="Y232" t="s">
        <v>42</v>
      </c>
      <c r="Z232">
        <v>4</v>
      </c>
    </row>
    <row r="233" spans="1:26">
      <c r="A233" t="s">
        <v>702</v>
      </c>
      <c r="B233" t="s">
        <v>703</v>
      </c>
      <c r="C233" t="s">
        <v>28</v>
      </c>
      <c r="D233" t="s">
        <v>46</v>
      </c>
      <c r="E233" s="1">
        <v>43395</v>
      </c>
      <c r="F233" t="s">
        <v>86</v>
      </c>
      <c r="G233" t="s">
        <v>87</v>
      </c>
      <c r="H233" t="s">
        <v>59</v>
      </c>
      <c r="I233">
        <v>9</v>
      </c>
      <c r="J233" t="s">
        <v>88</v>
      </c>
      <c r="K233">
        <v>2</v>
      </c>
      <c r="L233" s="3">
        <v>4299</v>
      </c>
      <c r="M233">
        <v>0</v>
      </c>
      <c r="N233" s="3">
        <v>4300</v>
      </c>
      <c r="O233" s="3">
        <v>8600</v>
      </c>
      <c r="P233" t="s">
        <v>74</v>
      </c>
      <c r="Q233" t="s">
        <v>35</v>
      </c>
      <c r="R233" t="s">
        <v>36</v>
      </c>
      <c r="S233" t="s">
        <v>358</v>
      </c>
      <c r="T233" t="s">
        <v>359</v>
      </c>
      <c r="U233" t="s">
        <v>39</v>
      </c>
      <c r="V233" t="s">
        <v>40</v>
      </c>
      <c r="W233">
        <v>4.0999999999999996</v>
      </c>
      <c r="X233" t="s">
        <v>41</v>
      </c>
      <c r="Y233" t="s">
        <v>42</v>
      </c>
      <c r="Z233">
        <v>5</v>
      </c>
    </row>
    <row r="234" spans="1:26">
      <c r="A234" t="s">
        <v>704</v>
      </c>
      <c r="B234" t="s">
        <v>705</v>
      </c>
      <c r="C234" t="s">
        <v>94</v>
      </c>
      <c r="D234" t="s">
        <v>46</v>
      </c>
      <c r="E234" s="1">
        <v>43396</v>
      </c>
      <c r="F234" t="s">
        <v>47</v>
      </c>
      <c r="G234" t="s">
        <v>199</v>
      </c>
      <c r="H234" t="s">
        <v>59</v>
      </c>
      <c r="I234">
        <v>8</v>
      </c>
      <c r="J234" t="s">
        <v>98</v>
      </c>
      <c r="K234">
        <v>1</v>
      </c>
      <c r="L234" s="3">
        <v>9599</v>
      </c>
      <c r="M234">
        <v>15</v>
      </c>
      <c r="N234" s="3">
        <v>8160</v>
      </c>
      <c r="O234" s="3">
        <v>8160</v>
      </c>
      <c r="P234" t="s">
        <v>50</v>
      </c>
      <c r="Q234" t="s">
        <v>35</v>
      </c>
      <c r="R234" t="s">
        <v>36</v>
      </c>
      <c r="S234" t="s">
        <v>52</v>
      </c>
      <c r="T234" t="s">
        <v>53</v>
      </c>
      <c r="U234" t="s">
        <v>91</v>
      </c>
      <c r="V234" t="s">
        <v>40</v>
      </c>
      <c r="W234">
        <v>4.2</v>
      </c>
      <c r="X234" t="s">
        <v>41</v>
      </c>
      <c r="Y234" t="s">
        <v>55</v>
      </c>
      <c r="Z234">
        <v>2</v>
      </c>
    </row>
    <row r="235" spans="1:26">
      <c r="A235" t="s">
        <v>706</v>
      </c>
      <c r="B235" t="s">
        <v>707</v>
      </c>
      <c r="C235" t="s">
        <v>28</v>
      </c>
      <c r="D235" t="s">
        <v>95</v>
      </c>
      <c r="E235" s="1">
        <v>43397</v>
      </c>
      <c r="F235" t="s">
        <v>86</v>
      </c>
      <c r="G235" t="s">
        <v>87</v>
      </c>
      <c r="H235" t="s">
        <v>59</v>
      </c>
      <c r="I235">
        <v>9</v>
      </c>
      <c r="J235" t="s">
        <v>150</v>
      </c>
      <c r="K235">
        <v>1</v>
      </c>
      <c r="L235" s="3">
        <v>8899</v>
      </c>
      <c r="M235">
        <v>20</v>
      </c>
      <c r="N235" s="3">
        <v>7120</v>
      </c>
      <c r="O235" s="3">
        <v>7120</v>
      </c>
      <c r="P235" t="s">
        <v>50</v>
      </c>
      <c r="Q235" t="s">
        <v>82</v>
      </c>
      <c r="R235" t="s">
        <v>36</v>
      </c>
      <c r="S235" t="s">
        <v>200</v>
      </c>
      <c r="T235" t="s">
        <v>204</v>
      </c>
      <c r="U235" t="s">
        <v>54</v>
      </c>
      <c r="V235" t="s">
        <v>40</v>
      </c>
      <c r="W235">
        <v>5</v>
      </c>
      <c r="X235" t="s">
        <v>106</v>
      </c>
      <c r="Y235" t="s">
        <v>42</v>
      </c>
      <c r="Z235">
        <v>3</v>
      </c>
    </row>
    <row r="236" spans="1:26">
      <c r="A236" t="s">
        <v>708</v>
      </c>
      <c r="B236" t="s">
        <v>709</v>
      </c>
      <c r="C236" t="s">
        <v>45</v>
      </c>
      <c r="D236" t="s">
        <v>46</v>
      </c>
      <c r="E236" s="1">
        <v>43398</v>
      </c>
      <c r="F236" t="s">
        <v>47</v>
      </c>
      <c r="G236" t="s">
        <v>121</v>
      </c>
      <c r="H236" t="s">
        <v>111</v>
      </c>
      <c r="I236">
        <v>10</v>
      </c>
      <c r="J236" t="s">
        <v>98</v>
      </c>
      <c r="K236">
        <v>1</v>
      </c>
      <c r="L236" s="3">
        <v>7999</v>
      </c>
      <c r="M236">
        <v>15</v>
      </c>
      <c r="N236" s="3">
        <v>6800</v>
      </c>
      <c r="O236" s="3">
        <v>6800</v>
      </c>
      <c r="P236" t="s">
        <v>50</v>
      </c>
      <c r="Q236" t="s">
        <v>51</v>
      </c>
      <c r="R236" t="s">
        <v>36</v>
      </c>
      <c r="S236" t="s">
        <v>141</v>
      </c>
      <c r="T236" t="s">
        <v>142</v>
      </c>
      <c r="U236" t="s">
        <v>124</v>
      </c>
      <c r="V236" t="s">
        <v>40</v>
      </c>
      <c r="W236">
        <v>3</v>
      </c>
      <c r="X236" t="s">
        <v>41</v>
      </c>
      <c r="Y236" t="s">
        <v>42</v>
      </c>
      <c r="Z236">
        <v>5</v>
      </c>
    </row>
    <row r="237" spans="1:26">
      <c r="A237" t="s">
        <v>710</v>
      </c>
      <c r="B237" t="s">
        <v>711</v>
      </c>
      <c r="C237" t="s">
        <v>45</v>
      </c>
      <c r="D237" t="s">
        <v>103</v>
      </c>
      <c r="E237" s="1">
        <v>43398</v>
      </c>
      <c r="F237" t="s">
        <v>65</v>
      </c>
      <c r="G237" t="s">
        <v>268</v>
      </c>
      <c r="H237" t="s">
        <v>128</v>
      </c>
      <c r="I237">
        <v>7</v>
      </c>
      <c r="J237" t="s">
        <v>73</v>
      </c>
      <c r="K237">
        <v>2</v>
      </c>
      <c r="L237" s="3">
        <v>6799</v>
      </c>
      <c r="M237">
        <v>15</v>
      </c>
      <c r="N237" s="3">
        <v>5780</v>
      </c>
      <c r="O237" s="3">
        <v>11560</v>
      </c>
      <c r="P237" t="s">
        <v>34</v>
      </c>
      <c r="Q237" t="s">
        <v>51</v>
      </c>
      <c r="R237" t="s">
        <v>36</v>
      </c>
      <c r="S237" t="s">
        <v>112</v>
      </c>
      <c r="T237" t="s">
        <v>113</v>
      </c>
      <c r="U237" t="s">
        <v>61</v>
      </c>
      <c r="V237" t="s">
        <v>40</v>
      </c>
      <c r="W237">
        <v>4</v>
      </c>
      <c r="X237" t="s">
        <v>106</v>
      </c>
      <c r="Y237" t="s">
        <v>42</v>
      </c>
      <c r="Z237">
        <v>7</v>
      </c>
    </row>
    <row r="238" spans="1:26">
      <c r="A238" t="s">
        <v>712</v>
      </c>
      <c r="B238" t="s">
        <v>713</v>
      </c>
      <c r="C238" t="s">
        <v>28</v>
      </c>
      <c r="D238" t="s">
        <v>29</v>
      </c>
      <c r="E238" s="1">
        <v>43400</v>
      </c>
      <c r="F238" t="s">
        <v>96</v>
      </c>
      <c r="G238" t="s">
        <v>155</v>
      </c>
      <c r="H238" t="s">
        <v>111</v>
      </c>
      <c r="I238">
        <v>7</v>
      </c>
      <c r="J238" t="s">
        <v>98</v>
      </c>
      <c r="K238">
        <v>2</v>
      </c>
      <c r="L238" s="3">
        <v>8099</v>
      </c>
      <c r="M238">
        <v>20</v>
      </c>
      <c r="N238" s="3">
        <v>6480</v>
      </c>
      <c r="O238" s="3">
        <v>12960</v>
      </c>
      <c r="P238" t="s">
        <v>34</v>
      </c>
      <c r="Q238" t="s">
        <v>51</v>
      </c>
      <c r="R238" t="s">
        <v>36</v>
      </c>
      <c r="S238" t="s">
        <v>168</v>
      </c>
      <c r="T238" t="s">
        <v>714</v>
      </c>
      <c r="U238" t="s">
        <v>54</v>
      </c>
      <c r="V238" t="s">
        <v>40</v>
      </c>
      <c r="W238">
        <v>4.5</v>
      </c>
      <c r="X238" t="s">
        <v>62</v>
      </c>
      <c r="Y238" t="s">
        <v>42</v>
      </c>
      <c r="Z238">
        <v>6</v>
      </c>
    </row>
    <row r="239" spans="1:26">
      <c r="A239" t="s">
        <v>715</v>
      </c>
      <c r="B239" t="s">
        <v>716</v>
      </c>
      <c r="C239" t="s">
        <v>45</v>
      </c>
      <c r="D239" t="s">
        <v>46</v>
      </c>
      <c r="E239" s="1">
        <v>43400</v>
      </c>
      <c r="F239" t="s">
        <v>86</v>
      </c>
      <c r="G239" t="s">
        <v>285</v>
      </c>
      <c r="H239" t="s">
        <v>111</v>
      </c>
      <c r="I239">
        <v>10</v>
      </c>
      <c r="J239" t="s">
        <v>150</v>
      </c>
      <c r="K239">
        <v>1</v>
      </c>
      <c r="L239" s="3">
        <v>6899</v>
      </c>
      <c r="M239">
        <v>30</v>
      </c>
      <c r="N239" s="3">
        <v>4830</v>
      </c>
      <c r="O239" s="3">
        <v>4830</v>
      </c>
      <c r="P239" t="s">
        <v>34</v>
      </c>
      <c r="Q239" t="s">
        <v>35</v>
      </c>
      <c r="R239" t="s">
        <v>36</v>
      </c>
      <c r="S239" t="s">
        <v>297</v>
      </c>
      <c r="T239" t="s">
        <v>298</v>
      </c>
      <c r="U239" t="s">
        <v>54</v>
      </c>
      <c r="V239" t="s">
        <v>40</v>
      </c>
      <c r="W239">
        <v>4.4000000000000004</v>
      </c>
      <c r="X239" t="s">
        <v>62</v>
      </c>
      <c r="Y239" t="s">
        <v>42</v>
      </c>
      <c r="Z239">
        <v>3</v>
      </c>
    </row>
    <row r="240" spans="1:26">
      <c r="A240" t="s">
        <v>717</v>
      </c>
      <c r="B240" t="s">
        <v>646</v>
      </c>
      <c r="C240" t="s">
        <v>28</v>
      </c>
      <c r="D240" t="s">
        <v>103</v>
      </c>
      <c r="E240" s="1">
        <v>43401</v>
      </c>
      <c r="F240" t="s">
        <v>65</v>
      </c>
      <c r="G240" t="s">
        <v>256</v>
      </c>
      <c r="H240" t="s">
        <v>32</v>
      </c>
      <c r="I240">
        <v>8</v>
      </c>
      <c r="J240" t="s">
        <v>150</v>
      </c>
      <c r="K240">
        <v>1</v>
      </c>
      <c r="L240" s="3">
        <v>8399</v>
      </c>
      <c r="M240">
        <v>15</v>
      </c>
      <c r="N240" s="3">
        <v>7140</v>
      </c>
      <c r="O240" s="3">
        <v>7140</v>
      </c>
      <c r="P240" t="s">
        <v>81</v>
      </c>
      <c r="Q240" t="s">
        <v>82</v>
      </c>
      <c r="R240" t="s">
        <v>36</v>
      </c>
      <c r="S240" t="s">
        <v>168</v>
      </c>
      <c r="T240" t="s">
        <v>557</v>
      </c>
      <c r="U240" t="s">
        <v>39</v>
      </c>
      <c r="V240" t="s">
        <v>315</v>
      </c>
      <c r="W240">
        <v>3.7</v>
      </c>
      <c r="X240" t="s">
        <v>41</v>
      </c>
      <c r="Y240" t="s">
        <v>42</v>
      </c>
      <c r="Z240">
        <v>2</v>
      </c>
    </row>
    <row r="241" spans="1:26">
      <c r="A241" t="s">
        <v>718</v>
      </c>
      <c r="B241" t="s">
        <v>719</v>
      </c>
      <c r="C241" t="s">
        <v>28</v>
      </c>
      <c r="D241" t="s">
        <v>95</v>
      </c>
      <c r="E241" s="1">
        <v>43405</v>
      </c>
      <c r="F241" t="s">
        <v>47</v>
      </c>
      <c r="G241" t="s">
        <v>218</v>
      </c>
      <c r="H241" t="s">
        <v>59</v>
      </c>
      <c r="I241">
        <v>9</v>
      </c>
      <c r="J241" t="s">
        <v>33</v>
      </c>
      <c r="K241">
        <v>1</v>
      </c>
      <c r="L241" s="3">
        <v>8899</v>
      </c>
      <c r="M241">
        <v>15</v>
      </c>
      <c r="N241" s="3">
        <v>7560</v>
      </c>
      <c r="O241" s="3">
        <v>7560</v>
      </c>
      <c r="P241" t="s">
        <v>74</v>
      </c>
      <c r="Q241" t="s">
        <v>82</v>
      </c>
      <c r="R241" t="s">
        <v>36</v>
      </c>
      <c r="S241" t="s">
        <v>269</v>
      </c>
      <c r="T241" t="s">
        <v>270</v>
      </c>
      <c r="U241" t="s">
        <v>61</v>
      </c>
      <c r="V241" t="s">
        <v>40</v>
      </c>
      <c r="W241">
        <v>3.5</v>
      </c>
      <c r="X241" t="s">
        <v>41</v>
      </c>
      <c r="Y241" t="s">
        <v>42</v>
      </c>
      <c r="Z241">
        <v>1</v>
      </c>
    </row>
    <row r="242" spans="1:26">
      <c r="A242" t="s">
        <v>720</v>
      </c>
      <c r="B242" t="s">
        <v>441</v>
      </c>
      <c r="C242" t="s">
        <v>45</v>
      </c>
      <c r="D242" t="s">
        <v>29</v>
      </c>
      <c r="E242" s="1">
        <v>43405</v>
      </c>
      <c r="F242" t="s">
        <v>96</v>
      </c>
      <c r="G242" t="s">
        <v>323</v>
      </c>
      <c r="H242" t="s">
        <v>59</v>
      </c>
      <c r="I242">
        <v>8</v>
      </c>
      <c r="J242" t="s">
        <v>73</v>
      </c>
      <c r="K242">
        <v>2</v>
      </c>
      <c r="L242" s="3">
        <v>4999</v>
      </c>
      <c r="M242">
        <v>0</v>
      </c>
      <c r="N242" s="3">
        <v>5000</v>
      </c>
      <c r="O242" s="3">
        <v>10000</v>
      </c>
      <c r="P242" t="s">
        <v>50</v>
      </c>
      <c r="Q242" t="s">
        <v>51</v>
      </c>
      <c r="R242" t="s">
        <v>36</v>
      </c>
      <c r="S242" t="s">
        <v>75</v>
      </c>
      <c r="T242" t="s">
        <v>215</v>
      </c>
      <c r="U242" t="s">
        <v>54</v>
      </c>
      <c r="V242" t="s">
        <v>315</v>
      </c>
      <c r="W242">
        <v>4.0999999999999996</v>
      </c>
      <c r="X242" t="s">
        <v>106</v>
      </c>
      <c r="Y242" t="s">
        <v>55</v>
      </c>
      <c r="Z242">
        <v>3</v>
      </c>
    </row>
    <row r="243" spans="1:26">
      <c r="A243" t="s">
        <v>721</v>
      </c>
      <c r="B243" t="s">
        <v>722</v>
      </c>
      <c r="C243" t="s">
        <v>28</v>
      </c>
      <c r="D243" t="s">
        <v>29</v>
      </c>
      <c r="E243" s="1">
        <v>43406</v>
      </c>
      <c r="F243" t="s">
        <v>47</v>
      </c>
      <c r="G243" t="s">
        <v>199</v>
      </c>
      <c r="H243" t="s">
        <v>59</v>
      </c>
      <c r="I243">
        <v>6</v>
      </c>
      <c r="J243" t="s">
        <v>33</v>
      </c>
      <c r="K243">
        <v>2</v>
      </c>
      <c r="L243" s="3">
        <v>4499</v>
      </c>
      <c r="M243">
        <v>10</v>
      </c>
      <c r="N243" s="3">
        <v>4050</v>
      </c>
      <c r="O243" s="3">
        <v>8100</v>
      </c>
      <c r="P243" t="s">
        <v>81</v>
      </c>
      <c r="Q243" t="s">
        <v>35</v>
      </c>
      <c r="R243" t="s">
        <v>36</v>
      </c>
      <c r="S243" t="s">
        <v>243</v>
      </c>
      <c r="T243" t="s">
        <v>328</v>
      </c>
      <c r="U243" t="s">
        <v>124</v>
      </c>
      <c r="V243" t="s">
        <v>40</v>
      </c>
      <c r="W243">
        <v>4.2</v>
      </c>
      <c r="X243" t="s">
        <v>41</v>
      </c>
      <c r="Y243" t="s">
        <v>42</v>
      </c>
      <c r="Z243">
        <v>3</v>
      </c>
    </row>
    <row r="244" spans="1:26">
      <c r="A244" t="s">
        <v>723</v>
      </c>
      <c r="B244" t="s">
        <v>724</v>
      </c>
      <c r="C244" t="s">
        <v>45</v>
      </c>
      <c r="D244" t="s">
        <v>103</v>
      </c>
      <c r="E244" s="1">
        <v>43406</v>
      </c>
      <c r="F244" t="s">
        <v>30</v>
      </c>
      <c r="G244" t="s">
        <v>31</v>
      </c>
      <c r="H244" t="s">
        <v>32</v>
      </c>
      <c r="I244">
        <v>7</v>
      </c>
      <c r="J244" t="s">
        <v>67</v>
      </c>
      <c r="K244">
        <v>2</v>
      </c>
      <c r="L244" s="3">
        <v>3999</v>
      </c>
      <c r="M244">
        <v>10</v>
      </c>
      <c r="N244" s="3">
        <v>3600</v>
      </c>
      <c r="O244" s="3">
        <v>7200</v>
      </c>
      <c r="P244" t="s">
        <v>81</v>
      </c>
      <c r="Q244" t="s">
        <v>35</v>
      </c>
      <c r="R244" t="s">
        <v>36</v>
      </c>
      <c r="S244" t="s">
        <v>186</v>
      </c>
      <c r="T244" t="s">
        <v>341</v>
      </c>
      <c r="U244" t="s">
        <v>91</v>
      </c>
      <c r="V244" t="s">
        <v>40</v>
      </c>
      <c r="W244">
        <v>4.2</v>
      </c>
      <c r="X244" t="s">
        <v>41</v>
      </c>
      <c r="Y244" t="s">
        <v>55</v>
      </c>
      <c r="Z244">
        <v>1</v>
      </c>
    </row>
    <row r="245" spans="1:26">
      <c r="A245" t="s">
        <v>725</v>
      </c>
      <c r="B245" t="s">
        <v>249</v>
      </c>
      <c r="C245" t="s">
        <v>28</v>
      </c>
      <c r="D245" t="s">
        <v>103</v>
      </c>
      <c r="E245" s="1">
        <v>43407</v>
      </c>
      <c r="F245" t="s">
        <v>79</v>
      </c>
      <c r="G245" t="s">
        <v>517</v>
      </c>
      <c r="H245" t="s">
        <v>59</v>
      </c>
      <c r="I245">
        <v>9</v>
      </c>
      <c r="J245" t="s">
        <v>98</v>
      </c>
      <c r="K245">
        <v>1</v>
      </c>
      <c r="L245" s="3">
        <v>4599</v>
      </c>
      <c r="M245">
        <v>10</v>
      </c>
      <c r="N245" s="3">
        <v>4140</v>
      </c>
      <c r="O245" s="3">
        <v>4140</v>
      </c>
      <c r="P245" t="s">
        <v>34</v>
      </c>
      <c r="Q245" t="s">
        <v>82</v>
      </c>
      <c r="R245" t="s">
        <v>36</v>
      </c>
      <c r="S245" t="s">
        <v>104</v>
      </c>
      <c r="T245" t="s">
        <v>291</v>
      </c>
      <c r="U245" t="s">
        <v>54</v>
      </c>
      <c r="V245" t="s">
        <v>315</v>
      </c>
      <c r="W245">
        <v>4.7</v>
      </c>
      <c r="X245" t="s">
        <v>41</v>
      </c>
      <c r="Y245" t="s">
        <v>42</v>
      </c>
      <c r="Z245">
        <v>6</v>
      </c>
    </row>
    <row r="246" spans="1:26">
      <c r="A246" t="s">
        <v>726</v>
      </c>
      <c r="B246" t="s">
        <v>727</v>
      </c>
      <c r="C246" t="s">
        <v>45</v>
      </c>
      <c r="D246" t="s">
        <v>46</v>
      </c>
      <c r="E246" s="1">
        <v>43407</v>
      </c>
      <c r="F246" t="s">
        <v>86</v>
      </c>
      <c r="G246" t="s">
        <v>190</v>
      </c>
      <c r="H246" t="s">
        <v>128</v>
      </c>
      <c r="I246">
        <v>8</v>
      </c>
      <c r="J246" t="s">
        <v>98</v>
      </c>
      <c r="K246">
        <v>1</v>
      </c>
      <c r="L246" s="3">
        <v>5799</v>
      </c>
      <c r="M246">
        <v>10</v>
      </c>
      <c r="N246" s="3">
        <v>5220</v>
      </c>
      <c r="O246" s="3">
        <v>5220</v>
      </c>
      <c r="P246" t="s">
        <v>34</v>
      </c>
      <c r="Q246" t="s">
        <v>35</v>
      </c>
      <c r="R246" t="s">
        <v>36</v>
      </c>
      <c r="S246" t="s">
        <v>141</v>
      </c>
      <c r="T246" t="s">
        <v>728</v>
      </c>
      <c r="U246" t="s">
        <v>61</v>
      </c>
      <c r="V246" t="s">
        <v>40</v>
      </c>
      <c r="W246">
        <v>4</v>
      </c>
      <c r="X246" t="s">
        <v>41</v>
      </c>
      <c r="Y246" t="s">
        <v>55</v>
      </c>
      <c r="Z246">
        <v>2</v>
      </c>
    </row>
    <row r="247" spans="1:26">
      <c r="A247" t="s">
        <v>729</v>
      </c>
      <c r="B247" t="s">
        <v>730</v>
      </c>
      <c r="C247" t="s">
        <v>28</v>
      </c>
      <c r="D247" t="s">
        <v>103</v>
      </c>
      <c r="E247" s="1">
        <v>43409</v>
      </c>
      <c r="F247" t="s">
        <v>30</v>
      </c>
      <c r="G247" t="s">
        <v>145</v>
      </c>
      <c r="H247" t="s">
        <v>59</v>
      </c>
      <c r="I247">
        <v>10</v>
      </c>
      <c r="J247" t="s">
        <v>67</v>
      </c>
      <c r="K247">
        <v>1</v>
      </c>
      <c r="L247" s="3">
        <v>4599</v>
      </c>
      <c r="M247">
        <v>20</v>
      </c>
      <c r="N247" s="3">
        <v>3680</v>
      </c>
      <c r="O247" s="3">
        <v>3680</v>
      </c>
      <c r="P247" t="s">
        <v>34</v>
      </c>
      <c r="Q247" t="s">
        <v>51</v>
      </c>
      <c r="R247" t="s">
        <v>36</v>
      </c>
      <c r="S247" t="s">
        <v>141</v>
      </c>
      <c r="T247" t="s">
        <v>362</v>
      </c>
      <c r="U247" t="s">
        <v>124</v>
      </c>
      <c r="V247" t="s">
        <v>40</v>
      </c>
      <c r="W247">
        <v>3.8</v>
      </c>
      <c r="X247" t="s">
        <v>41</v>
      </c>
      <c r="Y247" t="s">
        <v>42</v>
      </c>
      <c r="Z247">
        <v>4</v>
      </c>
    </row>
    <row r="248" spans="1:26">
      <c r="A248" t="s">
        <v>731</v>
      </c>
      <c r="B248" t="s">
        <v>732</v>
      </c>
      <c r="C248" t="s">
        <v>45</v>
      </c>
      <c r="D248" t="s">
        <v>103</v>
      </c>
      <c r="E248" s="1">
        <v>43410</v>
      </c>
      <c r="F248" t="s">
        <v>96</v>
      </c>
      <c r="G248" t="s">
        <v>97</v>
      </c>
      <c r="H248" t="s">
        <v>49</v>
      </c>
      <c r="I248">
        <v>10</v>
      </c>
      <c r="J248" t="s">
        <v>88</v>
      </c>
      <c r="K248">
        <v>1</v>
      </c>
      <c r="L248" s="3">
        <v>8999</v>
      </c>
      <c r="M248">
        <v>10</v>
      </c>
      <c r="N248" s="3">
        <v>8100</v>
      </c>
      <c r="O248" s="3">
        <v>8100</v>
      </c>
      <c r="P248" t="s">
        <v>34</v>
      </c>
      <c r="Q248" t="s">
        <v>51</v>
      </c>
      <c r="R248" t="s">
        <v>36</v>
      </c>
      <c r="S248" t="s">
        <v>269</v>
      </c>
      <c r="T248" t="s">
        <v>652</v>
      </c>
      <c r="U248" t="s">
        <v>61</v>
      </c>
      <c r="V248" t="s">
        <v>40</v>
      </c>
      <c r="W248">
        <v>4.5</v>
      </c>
      <c r="X248" t="s">
        <v>62</v>
      </c>
      <c r="Y248" t="s">
        <v>42</v>
      </c>
      <c r="Z248">
        <v>3</v>
      </c>
    </row>
    <row r="249" spans="1:26">
      <c r="A249" t="s">
        <v>733</v>
      </c>
      <c r="B249" t="s">
        <v>734</v>
      </c>
      <c r="C249" t="s">
        <v>94</v>
      </c>
      <c r="D249" t="s">
        <v>46</v>
      </c>
      <c r="E249" s="1">
        <v>43412</v>
      </c>
      <c r="F249" t="s">
        <v>65</v>
      </c>
      <c r="G249" t="s">
        <v>72</v>
      </c>
      <c r="H249" t="s">
        <v>59</v>
      </c>
      <c r="I249">
        <v>10</v>
      </c>
      <c r="J249" t="s">
        <v>88</v>
      </c>
      <c r="K249">
        <v>1</v>
      </c>
      <c r="L249" s="3">
        <v>6699</v>
      </c>
      <c r="M249">
        <v>20</v>
      </c>
      <c r="N249" s="3">
        <v>5360</v>
      </c>
      <c r="O249" s="3">
        <v>5360</v>
      </c>
      <c r="P249" t="s">
        <v>50</v>
      </c>
      <c r="Q249" t="s">
        <v>51</v>
      </c>
      <c r="R249" t="s">
        <v>36</v>
      </c>
      <c r="S249" t="s">
        <v>168</v>
      </c>
      <c r="T249" t="s">
        <v>168</v>
      </c>
      <c r="U249" t="s">
        <v>124</v>
      </c>
      <c r="V249" t="s">
        <v>40</v>
      </c>
      <c r="W249">
        <v>3.3</v>
      </c>
      <c r="X249" t="s">
        <v>41</v>
      </c>
      <c r="Y249" t="s">
        <v>42</v>
      </c>
      <c r="Z249">
        <v>4</v>
      </c>
    </row>
    <row r="250" spans="1:26">
      <c r="A250" t="s">
        <v>735</v>
      </c>
      <c r="B250" t="s">
        <v>736</v>
      </c>
      <c r="C250" t="s">
        <v>94</v>
      </c>
      <c r="D250" t="s">
        <v>95</v>
      </c>
      <c r="E250" s="1">
        <v>43412</v>
      </c>
      <c r="F250" t="s">
        <v>96</v>
      </c>
      <c r="G250" t="s">
        <v>290</v>
      </c>
      <c r="H250" t="s">
        <v>32</v>
      </c>
      <c r="I250">
        <v>10</v>
      </c>
      <c r="J250" t="s">
        <v>73</v>
      </c>
      <c r="K250">
        <v>1</v>
      </c>
      <c r="L250" s="3">
        <v>5699</v>
      </c>
      <c r="M250">
        <v>15</v>
      </c>
      <c r="N250" s="3">
        <v>4840</v>
      </c>
      <c r="O250" s="3">
        <v>4840</v>
      </c>
      <c r="P250" t="s">
        <v>74</v>
      </c>
      <c r="Q250" t="s">
        <v>82</v>
      </c>
      <c r="R250" t="s">
        <v>36</v>
      </c>
      <c r="S250" t="s">
        <v>286</v>
      </c>
      <c r="T250" t="s">
        <v>737</v>
      </c>
      <c r="U250" t="s">
        <v>91</v>
      </c>
      <c r="V250" t="s">
        <v>40</v>
      </c>
      <c r="W250">
        <v>4.3</v>
      </c>
      <c r="X250" t="s">
        <v>41</v>
      </c>
      <c r="Y250" t="s">
        <v>42</v>
      </c>
      <c r="Z250">
        <v>4</v>
      </c>
    </row>
    <row r="251" spans="1:26">
      <c r="A251" t="s">
        <v>738</v>
      </c>
      <c r="B251" t="s">
        <v>739</v>
      </c>
      <c r="C251" t="s">
        <v>28</v>
      </c>
      <c r="D251" t="s">
        <v>46</v>
      </c>
      <c r="E251" s="1">
        <v>43413</v>
      </c>
      <c r="F251" t="s">
        <v>86</v>
      </c>
      <c r="G251" t="s">
        <v>312</v>
      </c>
      <c r="H251" t="s">
        <v>59</v>
      </c>
      <c r="I251">
        <v>7</v>
      </c>
      <c r="J251" t="s">
        <v>150</v>
      </c>
      <c r="K251">
        <v>1</v>
      </c>
      <c r="L251" s="3">
        <v>6899</v>
      </c>
      <c r="M251">
        <v>20</v>
      </c>
      <c r="N251" s="3">
        <v>5520</v>
      </c>
      <c r="O251" s="3">
        <v>5520</v>
      </c>
      <c r="P251" t="s">
        <v>50</v>
      </c>
      <c r="Q251" t="s">
        <v>51</v>
      </c>
      <c r="R251" t="s">
        <v>36</v>
      </c>
      <c r="S251" t="s">
        <v>151</v>
      </c>
      <c r="T251" t="s">
        <v>452</v>
      </c>
      <c r="U251" t="s">
        <v>39</v>
      </c>
      <c r="V251" t="s">
        <v>40</v>
      </c>
      <c r="W251">
        <v>3</v>
      </c>
      <c r="X251" t="s">
        <v>41</v>
      </c>
      <c r="Y251" t="s">
        <v>55</v>
      </c>
      <c r="Z251">
        <v>2</v>
      </c>
    </row>
    <row r="252" spans="1:26">
      <c r="A252" t="s">
        <v>740</v>
      </c>
      <c r="B252" t="s">
        <v>741</v>
      </c>
      <c r="C252" t="s">
        <v>45</v>
      </c>
      <c r="D252" t="s">
        <v>46</v>
      </c>
      <c r="E252" s="1">
        <v>43413</v>
      </c>
      <c r="F252" t="s">
        <v>79</v>
      </c>
      <c r="G252" t="s">
        <v>174</v>
      </c>
      <c r="H252" t="s">
        <v>32</v>
      </c>
      <c r="I252">
        <v>9</v>
      </c>
      <c r="J252" t="s">
        <v>67</v>
      </c>
      <c r="K252">
        <v>1</v>
      </c>
      <c r="L252" s="3">
        <v>3399</v>
      </c>
      <c r="M252">
        <v>5</v>
      </c>
      <c r="N252" s="3">
        <v>3230</v>
      </c>
      <c r="O252" s="3">
        <v>3230</v>
      </c>
      <c r="P252" t="s">
        <v>50</v>
      </c>
      <c r="Q252" t="s">
        <v>82</v>
      </c>
      <c r="R252" t="s">
        <v>36</v>
      </c>
      <c r="S252" t="s">
        <v>52</v>
      </c>
      <c r="T252" t="s">
        <v>235</v>
      </c>
      <c r="U252" t="s">
        <v>91</v>
      </c>
      <c r="V252" t="s">
        <v>40</v>
      </c>
      <c r="W252">
        <v>4.7</v>
      </c>
      <c r="X252" t="s">
        <v>106</v>
      </c>
      <c r="Y252" t="s">
        <v>42</v>
      </c>
      <c r="Z252">
        <v>3</v>
      </c>
    </row>
    <row r="253" spans="1:26">
      <c r="A253" t="s">
        <v>742</v>
      </c>
      <c r="B253" t="s">
        <v>471</v>
      </c>
      <c r="C253" t="s">
        <v>94</v>
      </c>
      <c r="D253" t="s">
        <v>29</v>
      </c>
      <c r="E253" s="1">
        <v>43414</v>
      </c>
      <c r="F253" t="s">
        <v>30</v>
      </c>
      <c r="G253" t="s">
        <v>347</v>
      </c>
      <c r="H253" t="s">
        <v>49</v>
      </c>
      <c r="I253">
        <v>8</v>
      </c>
      <c r="J253" t="s">
        <v>67</v>
      </c>
      <c r="K253">
        <v>1</v>
      </c>
      <c r="L253" s="3">
        <v>5499</v>
      </c>
      <c r="M253">
        <v>5</v>
      </c>
      <c r="N253" s="3">
        <v>5220</v>
      </c>
      <c r="O253" s="3">
        <v>5220</v>
      </c>
      <c r="P253" t="s">
        <v>50</v>
      </c>
      <c r="Q253" t="s">
        <v>35</v>
      </c>
      <c r="R253" t="s">
        <v>36</v>
      </c>
      <c r="S253" t="s">
        <v>238</v>
      </c>
      <c r="T253" t="s">
        <v>498</v>
      </c>
      <c r="U253" t="s">
        <v>61</v>
      </c>
      <c r="V253" t="s">
        <v>315</v>
      </c>
      <c r="W253">
        <v>4.0999999999999996</v>
      </c>
      <c r="X253" t="s">
        <v>62</v>
      </c>
      <c r="Y253" t="s">
        <v>42</v>
      </c>
      <c r="Z253">
        <v>4</v>
      </c>
    </row>
    <row r="254" spans="1:26">
      <c r="A254" t="s">
        <v>743</v>
      </c>
      <c r="B254" t="s">
        <v>744</v>
      </c>
      <c r="C254" t="s">
        <v>28</v>
      </c>
      <c r="D254" t="s">
        <v>46</v>
      </c>
      <c r="E254" s="1">
        <v>43416</v>
      </c>
      <c r="F254" t="s">
        <v>86</v>
      </c>
      <c r="G254" t="s">
        <v>312</v>
      </c>
      <c r="H254" t="s">
        <v>59</v>
      </c>
      <c r="I254">
        <v>9</v>
      </c>
      <c r="J254" t="s">
        <v>67</v>
      </c>
      <c r="K254">
        <v>2</v>
      </c>
      <c r="L254" s="3">
        <v>5599</v>
      </c>
      <c r="M254">
        <v>0</v>
      </c>
      <c r="N254" s="3">
        <v>5600</v>
      </c>
      <c r="O254" s="3">
        <v>11200</v>
      </c>
      <c r="P254" t="s">
        <v>50</v>
      </c>
      <c r="Q254" t="s">
        <v>35</v>
      </c>
      <c r="R254" t="s">
        <v>36</v>
      </c>
      <c r="S254" t="s">
        <v>195</v>
      </c>
      <c r="T254" t="s">
        <v>196</v>
      </c>
      <c r="U254" t="s">
        <v>54</v>
      </c>
      <c r="V254" t="s">
        <v>40</v>
      </c>
      <c r="W254">
        <v>3.7</v>
      </c>
      <c r="X254" t="s">
        <v>41</v>
      </c>
      <c r="Y254" t="s">
        <v>42</v>
      </c>
      <c r="Z254">
        <v>2</v>
      </c>
    </row>
    <row r="255" spans="1:26">
      <c r="A255" t="s">
        <v>745</v>
      </c>
      <c r="B255" t="s">
        <v>746</v>
      </c>
      <c r="C255" t="s">
        <v>94</v>
      </c>
      <c r="D255" t="s">
        <v>103</v>
      </c>
      <c r="E255" s="1">
        <v>43416</v>
      </c>
      <c r="F255" t="s">
        <v>86</v>
      </c>
      <c r="G255" t="s">
        <v>285</v>
      </c>
      <c r="H255" t="s">
        <v>111</v>
      </c>
      <c r="I255">
        <v>7</v>
      </c>
      <c r="J255" t="s">
        <v>73</v>
      </c>
      <c r="K255">
        <v>1</v>
      </c>
      <c r="L255" s="3">
        <v>5599</v>
      </c>
      <c r="M255">
        <v>10</v>
      </c>
      <c r="N255" s="3">
        <v>5040</v>
      </c>
      <c r="O255" s="3">
        <v>5040</v>
      </c>
      <c r="P255" t="s">
        <v>74</v>
      </c>
      <c r="Q255" t="s">
        <v>82</v>
      </c>
      <c r="R255" t="s">
        <v>36</v>
      </c>
      <c r="S255" t="s">
        <v>460</v>
      </c>
      <c r="T255" t="s">
        <v>525</v>
      </c>
      <c r="U255" t="s">
        <v>39</v>
      </c>
      <c r="V255" t="s">
        <v>40</v>
      </c>
      <c r="W255">
        <v>3.3</v>
      </c>
      <c r="X255" t="s">
        <v>41</v>
      </c>
      <c r="Y255" t="s">
        <v>42</v>
      </c>
      <c r="Z255">
        <v>2</v>
      </c>
    </row>
    <row r="256" spans="1:26">
      <c r="A256" t="s">
        <v>747</v>
      </c>
      <c r="B256" t="s">
        <v>748</v>
      </c>
      <c r="C256" t="s">
        <v>28</v>
      </c>
      <c r="D256" t="s">
        <v>46</v>
      </c>
      <c r="E256" s="1">
        <v>43416</v>
      </c>
      <c r="F256" t="s">
        <v>79</v>
      </c>
      <c r="G256" t="s">
        <v>174</v>
      </c>
      <c r="H256" t="s">
        <v>32</v>
      </c>
      <c r="I256">
        <v>8</v>
      </c>
      <c r="J256" t="s">
        <v>88</v>
      </c>
      <c r="K256">
        <v>2</v>
      </c>
      <c r="L256" s="3">
        <v>7799</v>
      </c>
      <c r="M256">
        <v>35</v>
      </c>
      <c r="N256" s="3">
        <v>5070</v>
      </c>
      <c r="O256" s="3">
        <v>10140</v>
      </c>
      <c r="P256" t="s">
        <v>50</v>
      </c>
      <c r="Q256" t="s">
        <v>51</v>
      </c>
      <c r="R256" t="s">
        <v>36</v>
      </c>
      <c r="S256" t="s">
        <v>354</v>
      </c>
      <c r="T256" t="s">
        <v>355</v>
      </c>
      <c r="U256" t="s">
        <v>61</v>
      </c>
      <c r="V256" t="s">
        <v>40</v>
      </c>
      <c r="W256">
        <v>4.7</v>
      </c>
      <c r="X256" t="s">
        <v>41</v>
      </c>
      <c r="Y256" t="s">
        <v>55</v>
      </c>
      <c r="Z256">
        <v>3</v>
      </c>
    </row>
    <row r="257" spans="1:26">
      <c r="A257" t="s">
        <v>749</v>
      </c>
      <c r="B257" t="s">
        <v>750</v>
      </c>
      <c r="C257" t="s">
        <v>28</v>
      </c>
      <c r="D257" t="s">
        <v>46</v>
      </c>
      <c r="E257" s="1">
        <v>43417</v>
      </c>
      <c r="F257" t="s">
        <v>86</v>
      </c>
      <c r="G257" t="s">
        <v>285</v>
      </c>
      <c r="H257" t="s">
        <v>111</v>
      </c>
      <c r="I257">
        <v>12</v>
      </c>
      <c r="J257" t="s">
        <v>98</v>
      </c>
      <c r="K257">
        <v>1</v>
      </c>
      <c r="L257" s="3">
        <v>5799</v>
      </c>
      <c r="M257">
        <v>15</v>
      </c>
      <c r="N257" s="3">
        <v>4930</v>
      </c>
      <c r="O257" s="3">
        <v>4930</v>
      </c>
      <c r="P257" t="s">
        <v>34</v>
      </c>
      <c r="Q257" t="s">
        <v>35</v>
      </c>
      <c r="R257" t="s">
        <v>36</v>
      </c>
      <c r="S257" t="s">
        <v>117</v>
      </c>
      <c r="T257" t="s">
        <v>751</v>
      </c>
      <c r="U257" t="s">
        <v>54</v>
      </c>
      <c r="V257" t="s">
        <v>40</v>
      </c>
      <c r="W257">
        <v>4.7</v>
      </c>
      <c r="X257" t="s">
        <v>41</v>
      </c>
      <c r="Y257" t="s">
        <v>42</v>
      </c>
      <c r="Z257">
        <v>3</v>
      </c>
    </row>
    <row r="258" spans="1:26">
      <c r="A258" t="s">
        <v>752</v>
      </c>
      <c r="B258" t="s">
        <v>753</v>
      </c>
      <c r="C258" t="s">
        <v>45</v>
      </c>
      <c r="D258" t="s">
        <v>103</v>
      </c>
      <c r="E258" s="1">
        <v>43418</v>
      </c>
      <c r="F258" t="s">
        <v>47</v>
      </c>
      <c r="G258" t="s">
        <v>218</v>
      </c>
      <c r="H258" t="s">
        <v>59</v>
      </c>
      <c r="I258">
        <v>7</v>
      </c>
      <c r="J258" t="s">
        <v>73</v>
      </c>
      <c r="K258">
        <v>1</v>
      </c>
      <c r="L258" s="3">
        <v>8499</v>
      </c>
      <c r="M258">
        <v>0</v>
      </c>
      <c r="N258" s="3">
        <v>8500</v>
      </c>
      <c r="O258" s="3">
        <v>8500</v>
      </c>
      <c r="P258" t="s">
        <v>34</v>
      </c>
      <c r="Q258" t="s">
        <v>51</v>
      </c>
      <c r="R258" t="s">
        <v>36</v>
      </c>
      <c r="S258" t="s">
        <v>160</v>
      </c>
      <c r="T258" t="s">
        <v>160</v>
      </c>
      <c r="U258" t="s">
        <v>61</v>
      </c>
      <c r="V258" t="s">
        <v>40</v>
      </c>
      <c r="W258">
        <v>4</v>
      </c>
      <c r="X258" t="s">
        <v>41</v>
      </c>
      <c r="Y258" t="s">
        <v>42</v>
      </c>
      <c r="Z258">
        <v>2</v>
      </c>
    </row>
    <row r="259" spans="1:26">
      <c r="A259" t="s">
        <v>754</v>
      </c>
      <c r="B259" t="s">
        <v>163</v>
      </c>
      <c r="C259" t="s">
        <v>28</v>
      </c>
      <c r="D259" t="s">
        <v>46</v>
      </c>
      <c r="E259" s="1">
        <v>43418</v>
      </c>
      <c r="F259" t="s">
        <v>86</v>
      </c>
      <c r="G259" t="s">
        <v>87</v>
      </c>
      <c r="H259" t="s">
        <v>59</v>
      </c>
      <c r="I259">
        <v>8</v>
      </c>
      <c r="J259" t="s">
        <v>33</v>
      </c>
      <c r="K259">
        <v>1</v>
      </c>
      <c r="L259" s="3">
        <v>9599</v>
      </c>
      <c r="M259">
        <v>25</v>
      </c>
      <c r="N259" s="3">
        <v>7200</v>
      </c>
      <c r="O259" s="3">
        <v>7200</v>
      </c>
      <c r="P259" t="s">
        <v>74</v>
      </c>
      <c r="Q259" t="s">
        <v>35</v>
      </c>
      <c r="R259" t="s">
        <v>36</v>
      </c>
      <c r="S259" t="s">
        <v>238</v>
      </c>
      <c r="T259" t="s">
        <v>498</v>
      </c>
      <c r="U259" t="s">
        <v>91</v>
      </c>
      <c r="V259" t="s">
        <v>315</v>
      </c>
      <c r="W259">
        <v>3.5</v>
      </c>
      <c r="X259" t="s">
        <v>41</v>
      </c>
      <c r="Y259" t="s">
        <v>55</v>
      </c>
      <c r="Z259">
        <v>2</v>
      </c>
    </row>
    <row r="260" spans="1:26">
      <c r="A260" t="s">
        <v>755</v>
      </c>
      <c r="B260" t="s">
        <v>756</v>
      </c>
      <c r="C260" t="s">
        <v>45</v>
      </c>
      <c r="D260" t="s">
        <v>46</v>
      </c>
      <c r="E260" s="1">
        <v>43419</v>
      </c>
      <c r="F260" t="s">
        <v>86</v>
      </c>
      <c r="G260" t="s">
        <v>242</v>
      </c>
      <c r="H260" t="s">
        <v>32</v>
      </c>
      <c r="I260">
        <v>9</v>
      </c>
      <c r="J260" t="s">
        <v>98</v>
      </c>
      <c r="K260">
        <v>1</v>
      </c>
      <c r="L260" s="3">
        <v>9399</v>
      </c>
      <c r="M260">
        <v>5</v>
      </c>
      <c r="N260" s="3">
        <v>8930</v>
      </c>
      <c r="O260" s="3">
        <v>8930</v>
      </c>
      <c r="P260" t="s">
        <v>81</v>
      </c>
      <c r="Q260" t="s">
        <v>51</v>
      </c>
      <c r="R260" t="s">
        <v>36</v>
      </c>
      <c r="S260" t="s">
        <v>195</v>
      </c>
      <c r="T260" t="s">
        <v>196</v>
      </c>
      <c r="U260" t="s">
        <v>61</v>
      </c>
      <c r="V260" t="s">
        <v>40</v>
      </c>
      <c r="W260">
        <v>3.8</v>
      </c>
      <c r="X260" t="s">
        <v>41</v>
      </c>
      <c r="Y260" t="s">
        <v>42</v>
      </c>
      <c r="Z260">
        <v>3</v>
      </c>
    </row>
    <row r="261" spans="1:26">
      <c r="A261" t="s">
        <v>757</v>
      </c>
      <c r="B261" t="s">
        <v>758</v>
      </c>
      <c r="C261" t="s">
        <v>28</v>
      </c>
      <c r="D261" t="s">
        <v>103</v>
      </c>
      <c r="E261" s="1">
        <v>43419</v>
      </c>
      <c r="F261" t="s">
        <v>86</v>
      </c>
      <c r="G261" t="s">
        <v>312</v>
      </c>
      <c r="H261" t="s">
        <v>59</v>
      </c>
      <c r="I261">
        <v>7</v>
      </c>
      <c r="J261" t="s">
        <v>88</v>
      </c>
      <c r="K261">
        <v>1</v>
      </c>
      <c r="L261" s="3">
        <v>9699</v>
      </c>
      <c r="M261">
        <v>20</v>
      </c>
      <c r="N261" s="3">
        <v>7760</v>
      </c>
      <c r="O261" s="3">
        <v>7760</v>
      </c>
      <c r="P261" t="s">
        <v>81</v>
      </c>
      <c r="Q261" t="s">
        <v>51</v>
      </c>
      <c r="R261" t="s">
        <v>36</v>
      </c>
      <c r="S261" t="s">
        <v>99</v>
      </c>
      <c r="T261" t="s">
        <v>759</v>
      </c>
      <c r="U261" t="s">
        <v>54</v>
      </c>
      <c r="V261" t="s">
        <v>40</v>
      </c>
      <c r="W261">
        <v>4</v>
      </c>
      <c r="X261" t="s">
        <v>41</v>
      </c>
      <c r="Y261" t="s">
        <v>42</v>
      </c>
      <c r="Z261">
        <v>4</v>
      </c>
    </row>
    <row r="262" spans="1:26">
      <c r="A262" t="s">
        <v>760</v>
      </c>
      <c r="B262" t="s">
        <v>761</v>
      </c>
      <c r="C262" t="s">
        <v>45</v>
      </c>
      <c r="D262" t="s">
        <v>103</v>
      </c>
      <c r="E262" s="1">
        <v>43420</v>
      </c>
      <c r="F262" t="s">
        <v>96</v>
      </c>
      <c r="G262" t="s">
        <v>171</v>
      </c>
      <c r="H262" t="s">
        <v>128</v>
      </c>
      <c r="I262">
        <v>9</v>
      </c>
      <c r="J262" t="s">
        <v>88</v>
      </c>
      <c r="K262">
        <v>1</v>
      </c>
      <c r="L262" s="3">
        <v>8699</v>
      </c>
      <c r="M262">
        <v>25</v>
      </c>
      <c r="N262" s="3">
        <v>6520</v>
      </c>
      <c r="O262" s="3">
        <v>6520</v>
      </c>
      <c r="P262" t="s">
        <v>50</v>
      </c>
      <c r="Q262" t="s">
        <v>82</v>
      </c>
      <c r="R262" t="s">
        <v>36</v>
      </c>
      <c r="S262" t="s">
        <v>136</v>
      </c>
      <c r="T262" t="s">
        <v>638</v>
      </c>
      <c r="U262" t="s">
        <v>91</v>
      </c>
      <c r="V262" t="s">
        <v>40</v>
      </c>
      <c r="W262">
        <v>4</v>
      </c>
      <c r="X262" t="s">
        <v>41</v>
      </c>
      <c r="Y262" t="s">
        <v>42</v>
      </c>
      <c r="Z262">
        <v>5</v>
      </c>
    </row>
    <row r="263" spans="1:26">
      <c r="A263" t="s">
        <v>762</v>
      </c>
      <c r="B263" t="s">
        <v>763</v>
      </c>
      <c r="C263" t="s">
        <v>45</v>
      </c>
      <c r="D263" t="s">
        <v>103</v>
      </c>
      <c r="E263" s="1">
        <v>43421</v>
      </c>
      <c r="F263" t="s">
        <v>86</v>
      </c>
      <c r="G263" t="s">
        <v>87</v>
      </c>
      <c r="H263" t="s">
        <v>59</v>
      </c>
      <c r="I263">
        <v>10</v>
      </c>
      <c r="J263" t="s">
        <v>98</v>
      </c>
      <c r="K263">
        <v>2</v>
      </c>
      <c r="L263" s="3">
        <v>5499</v>
      </c>
      <c r="M263">
        <v>5</v>
      </c>
      <c r="N263" s="3">
        <v>5220</v>
      </c>
      <c r="O263" s="3">
        <v>10440</v>
      </c>
      <c r="P263" t="s">
        <v>74</v>
      </c>
      <c r="Q263" t="s">
        <v>51</v>
      </c>
      <c r="R263" t="s">
        <v>36</v>
      </c>
      <c r="S263" t="s">
        <v>112</v>
      </c>
      <c r="T263" t="s">
        <v>265</v>
      </c>
      <c r="U263" t="s">
        <v>61</v>
      </c>
      <c r="V263" t="s">
        <v>40</v>
      </c>
      <c r="W263">
        <v>5</v>
      </c>
      <c r="X263" t="s">
        <v>41</v>
      </c>
      <c r="Y263" t="s">
        <v>42</v>
      </c>
      <c r="Z263">
        <v>2</v>
      </c>
    </row>
    <row r="264" spans="1:26">
      <c r="A264" t="s">
        <v>764</v>
      </c>
      <c r="B264" t="s">
        <v>765</v>
      </c>
      <c r="C264" t="s">
        <v>45</v>
      </c>
      <c r="D264" t="s">
        <v>46</v>
      </c>
      <c r="E264" s="1">
        <v>43421</v>
      </c>
      <c r="F264" t="s">
        <v>86</v>
      </c>
      <c r="G264" t="s">
        <v>87</v>
      </c>
      <c r="H264" t="s">
        <v>59</v>
      </c>
      <c r="I264">
        <v>9</v>
      </c>
      <c r="J264" t="s">
        <v>98</v>
      </c>
      <c r="K264">
        <v>1</v>
      </c>
      <c r="L264" s="3">
        <v>4599</v>
      </c>
      <c r="M264">
        <v>30</v>
      </c>
      <c r="N264" s="3">
        <v>3220</v>
      </c>
      <c r="O264" s="3">
        <v>3220</v>
      </c>
      <c r="P264" t="s">
        <v>50</v>
      </c>
      <c r="Q264" t="s">
        <v>51</v>
      </c>
      <c r="R264" t="s">
        <v>36</v>
      </c>
      <c r="S264" t="s">
        <v>68</v>
      </c>
      <c r="T264" t="s">
        <v>400</v>
      </c>
      <c r="U264" t="s">
        <v>54</v>
      </c>
      <c r="V264" t="s">
        <v>40</v>
      </c>
      <c r="W264">
        <v>4.9000000000000004</v>
      </c>
      <c r="X264" t="s">
        <v>41</v>
      </c>
      <c r="Y264" t="s">
        <v>42</v>
      </c>
      <c r="Z264">
        <v>5</v>
      </c>
    </row>
    <row r="265" spans="1:26">
      <c r="A265" t="s">
        <v>766</v>
      </c>
      <c r="B265" t="s">
        <v>767</v>
      </c>
      <c r="C265" t="s">
        <v>28</v>
      </c>
      <c r="D265" t="s">
        <v>46</v>
      </c>
      <c r="E265" s="1">
        <v>43421</v>
      </c>
      <c r="F265" t="s">
        <v>96</v>
      </c>
      <c r="G265" t="s">
        <v>155</v>
      </c>
      <c r="H265" t="s">
        <v>111</v>
      </c>
      <c r="I265">
        <v>6</v>
      </c>
      <c r="J265" t="s">
        <v>150</v>
      </c>
      <c r="K265">
        <v>2</v>
      </c>
      <c r="L265" s="3">
        <v>9599</v>
      </c>
      <c r="M265">
        <v>5</v>
      </c>
      <c r="N265" s="3">
        <v>9120</v>
      </c>
      <c r="O265" s="3">
        <v>18240</v>
      </c>
      <c r="P265" t="s">
        <v>74</v>
      </c>
      <c r="Q265" t="s">
        <v>82</v>
      </c>
      <c r="R265" t="s">
        <v>36</v>
      </c>
      <c r="S265" t="s">
        <v>286</v>
      </c>
      <c r="T265" t="s">
        <v>768</v>
      </c>
      <c r="U265" t="s">
        <v>39</v>
      </c>
      <c r="V265" t="s">
        <v>40</v>
      </c>
      <c r="W265">
        <v>4.7</v>
      </c>
      <c r="X265" t="s">
        <v>41</v>
      </c>
      <c r="Y265" t="s">
        <v>55</v>
      </c>
      <c r="Z265">
        <v>2</v>
      </c>
    </row>
    <row r="266" spans="1:26">
      <c r="A266" t="s">
        <v>769</v>
      </c>
      <c r="B266" t="s">
        <v>770</v>
      </c>
      <c r="C266" t="s">
        <v>45</v>
      </c>
      <c r="D266" t="s">
        <v>109</v>
      </c>
      <c r="E266" s="1">
        <v>43421</v>
      </c>
      <c r="F266" t="s">
        <v>79</v>
      </c>
      <c r="G266" t="s">
        <v>517</v>
      </c>
      <c r="H266" t="s">
        <v>59</v>
      </c>
      <c r="I266">
        <v>7</v>
      </c>
      <c r="J266" t="s">
        <v>150</v>
      </c>
      <c r="K266">
        <v>1</v>
      </c>
      <c r="L266" s="3">
        <v>3599</v>
      </c>
      <c r="M266">
        <v>15</v>
      </c>
      <c r="N266" s="3">
        <v>3060</v>
      </c>
      <c r="O266" s="3">
        <v>3060</v>
      </c>
      <c r="P266" t="s">
        <v>34</v>
      </c>
      <c r="Q266" t="s">
        <v>51</v>
      </c>
      <c r="R266" t="s">
        <v>36</v>
      </c>
      <c r="S266" t="s">
        <v>175</v>
      </c>
      <c r="T266" t="s">
        <v>495</v>
      </c>
      <c r="U266" t="s">
        <v>91</v>
      </c>
      <c r="V266" t="s">
        <v>40</v>
      </c>
      <c r="W266">
        <v>4.2</v>
      </c>
      <c r="X266" t="s">
        <v>41</v>
      </c>
      <c r="Y266" t="s">
        <v>42</v>
      </c>
      <c r="Z266">
        <v>2</v>
      </c>
    </row>
    <row r="267" spans="1:26">
      <c r="A267" t="s">
        <v>771</v>
      </c>
      <c r="B267" t="s">
        <v>772</v>
      </c>
      <c r="C267" t="s">
        <v>45</v>
      </c>
      <c r="D267" t="s">
        <v>103</v>
      </c>
      <c r="E267" s="1">
        <v>43422</v>
      </c>
      <c r="F267" t="s">
        <v>79</v>
      </c>
      <c r="G267" t="s">
        <v>174</v>
      </c>
      <c r="H267" t="s">
        <v>32</v>
      </c>
      <c r="I267">
        <v>8</v>
      </c>
      <c r="J267" t="s">
        <v>73</v>
      </c>
      <c r="K267">
        <v>1</v>
      </c>
      <c r="L267" s="3">
        <v>8399</v>
      </c>
      <c r="M267">
        <v>10</v>
      </c>
      <c r="N267" s="3">
        <v>7560</v>
      </c>
      <c r="O267" s="3">
        <v>7560</v>
      </c>
      <c r="P267" t="s">
        <v>50</v>
      </c>
      <c r="Q267" t="s">
        <v>51</v>
      </c>
      <c r="R267" t="s">
        <v>36</v>
      </c>
      <c r="S267" t="s">
        <v>99</v>
      </c>
      <c r="T267" t="s">
        <v>229</v>
      </c>
      <c r="U267" t="s">
        <v>39</v>
      </c>
      <c r="V267" t="s">
        <v>40</v>
      </c>
      <c r="W267">
        <v>3.3</v>
      </c>
      <c r="X267" t="s">
        <v>41</v>
      </c>
      <c r="Y267" t="s">
        <v>42</v>
      </c>
      <c r="Z267">
        <v>5</v>
      </c>
    </row>
    <row r="268" spans="1:26">
      <c r="A268" t="s">
        <v>773</v>
      </c>
      <c r="B268" t="s">
        <v>774</v>
      </c>
      <c r="C268" t="s">
        <v>28</v>
      </c>
      <c r="D268" t="s">
        <v>29</v>
      </c>
      <c r="E268" s="1">
        <v>43423</v>
      </c>
      <c r="F268" t="s">
        <v>30</v>
      </c>
      <c r="G268" t="s">
        <v>145</v>
      </c>
      <c r="H268" t="s">
        <v>59</v>
      </c>
      <c r="I268">
        <v>8</v>
      </c>
      <c r="J268" t="s">
        <v>67</v>
      </c>
      <c r="K268">
        <v>2</v>
      </c>
      <c r="L268" s="3">
        <v>6899</v>
      </c>
      <c r="M268">
        <v>30</v>
      </c>
      <c r="N268" s="3">
        <v>4830</v>
      </c>
      <c r="O268" s="3">
        <v>9660</v>
      </c>
      <c r="P268" t="s">
        <v>81</v>
      </c>
      <c r="Q268" t="s">
        <v>51</v>
      </c>
      <c r="R268" t="s">
        <v>36</v>
      </c>
      <c r="S268" t="s">
        <v>297</v>
      </c>
      <c r="T268" t="s">
        <v>351</v>
      </c>
      <c r="U268" t="s">
        <v>124</v>
      </c>
      <c r="V268" t="s">
        <v>40</v>
      </c>
      <c r="W268">
        <v>4.7</v>
      </c>
      <c r="X268" t="s">
        <v>41</v>
      </c>
      <c r="Y268" t="s">
        <v>42</v>
      </c>
      <c r="Z268">
        <v>2</v>
      </c>
    </row>
    <row r="269" spans="1:26">
      <c r="A269" t="s">
        <v>775</v>
      </c>
      <c r="B269" t="s">
        <v>776</v>
      </c>
      <c r="C269" t="s">
        <v>45</v>
      </c>
      <c r="D269" t="s">
        <v>95</v>
      </c>
      <c r="E269" s="1">
        <v>43423</v>
      </c>
      <c r="F269" t="s">
        <v>86</v>
      </c>
      <c r="G269" t="s">
        <v>190</v>
      </c>
      <c r="H269" t="s">
        <v>128</v>
      </c>
      <c r="I269">
        <v>7</v>
      </c>
      <c r="J269" t="s">
        <v>98</v>
      </c>
      <c r="K269">
        <v>1</v>
      </c>
      <c r="L269" s="3">
        <v>6799</v>
      </c>
      <c r="M269">
        <v>0</v>
      </c>
      <c r="N269" s="3">
        <v>6800</v>
      </c>
      <c r="O269" s="3">
        <v>6800</v>
      </c>
      <c r="P269" t="s">
        <v>81</v>
      </c>
      <c r="Q269" t="s">
        <v>35</v>
      </c>
      <c r="R269" t="s">
        <v>36</v>
      </c>
      <c r="S269" t="s">
        <v>338</v>
      </c>
      <c r="T269" t="s">
        <v>394</v>
      </c>
      <c r="U269" t="s">
        <v>39</v>
      </c>
      <c r="V269" t="s">
        <v>40</v>
      </c>
      <c r="W269">
        <v>4.3</v>
      </c>
      <c r="X269" t="s">
        <v>41</v>
      </c>
      <c r="Y269" t="s">
        <v>42</v>
      </c>
      <c r="Z269">
        <v>7</v>
      </c>
    </row>
    <row r="270" spans="1:26">
      <c r="A270" t="s">
        <v>777</v>
      </c>
      <c r="B270" t="s">
        <v>778</v>
      </c>
      <c r="C270" t="s">
        <v>94</v>
      </c>
      <c r="D270" t="s">
        <v>103</v>
      </c>
      <c r="E270" s="1">
        <v>43424</v>
      </c>
      <c r="F270" t="s">
        <v>79</v>
      </c>
      <c r="G270" t="s">
        <v>480</v>
      </c>
      <c r="H270" t="s">
        <v>111</v>
      </c>
      <c r="I270">
        <v>10</v>
      </c>
      <c r="J270" t="s">
        <v>150</v>
      </c>
      <c r="K270">
        <v>1</v>
      </c>
      <c r="L270" s="3">
        <v>5799</v>
      </c>
      <c r="M270">
        <v>25</v>
      </c>
      <c r="N270" s="3">
        <v>4350</v>
      </c>
      <c r="O270" s="3">
        <v>4350</v>
      </c>
      <c r="P270" t="s">
        <v>74</v>
      </c>
      <c r="Q270" t="s">
        <v>82</v>
      </c>
      <c r="R270" t="s">
        <v>36</v>
      </c>
      <c r="S270" t="s">
        <v>338</v>
      </c>
      <c r="T270" t="s">
        <v>779</v>
      </c>
      <c r="U270" t="s">
        <v>61</v>
      </c>
      <c r="V270" t="s">
        <v>40</v>
      </c>
      <c r="W270">
        <v>4.8</v>
      </c>
      <c r="X270" t="s">
        <v>41</v>
      </c>
      <c r="Y270" t="s">
        <v>147</v>
      </c>
      <c r="Z270">
        <v>1</v>
      </c>
    </row>
    <row r="271" spans="1:26">
      <c r="A271" t="s">
        <v>780</v>
      </c>
      <c r="B271" t="s">
        <v>781</v>
      </c>
      <c r="C271" t="s">
        <v>94</v>
      </c>
      <c r="D271" t="s">
        <v>46</v>
      </c>
      <c r="E271" s="1">
        <v>43424</v>
      </c>
      <c r="F271" t="s">
        <v>65</v>
      </c>
      <c r="G271" t="s">
        <v>268</v>
      </c>
      <c r="H271" t="s">
        <v>128</v>
      </c>
      <c r="I271">
        <v>12</v>
      </c>
      <c r="J271" t="s">
        <v>88</v>
      </c>
      <c r="K271">
        <v>2</v>
      </c>
      <c r="L271" s="3">
        <v>3199</v>
      </c>
      <c r="M271">
        <v>25</v>
      </c>
      <c r="N271" s="3">
        <v>2400</v>
      </c>
      <c r="O271" s="3">
        <v>4800</v>
      </c>
      <c r="P271" t="s">
        <v>74</v>
      </c>
      <c r="Q271" t="s">
        <v>82</v>
      </c>
      <c r="R271" t="s">
        <v>36</v>
      </c>
      <c r="S271" t="s">
        <v>297</v>
      </c>
      <c r="T271" t="s">
        <v>566</v>
      </c>
      <c r="U271" t="s">
        <v>54</v>
      </c>
      <c r="V271" t="s">
        <v>40</v>
      </c>
      <c r="W271">
        <v>5</v>
      </c>
      <c r="X271" t="s">
        <v>62</v>
      </c>
      <c r="Y271" t="s">
        <v>55</v>
      </c>
      <c r="Z271">
        <v>1</v>
      </c>
    </row>
    <row r="272" spans="1:26">
      <c r="A272" t="s">
        <v>782</v>
      </c>
      <c r="B272" t="s">
        <v>783</v>
      </c>
      <c r="C272" t="s">
        <v>45</v>
      </c>
      <c r="D272" t="s">
        <v>95</v>
      </c>
      <c r="E272" s="1">
        <v>43425</v>
      </c>
      <c r="F272" t="s">
        <v>30</v>
      </c>
      <c r="G272" t="s">
        <v>110</v>
      </c>
      <c r="H272" t="s">
        <v>111</v>
      </c>
      <c r="I272">
        <v>11</v>
      </c>
      <c r="J272" t="s">
        <v>73</v>
      </c>
      <c r="K272">
        <v>1</v>
      </c>
      <c r="L272" s="3">
        <v>4499</v>
      </c>
      <c r="M272">
        <v>15</v>
      </c>
      <c r="N272" s="3">
        <v>3820</v>
      </c>
      <c r="O272" s="3">
        <v>3820</v>
      </c>
      <c r="P272" t="s">
        <v>74</v>
      </c>
      <c r="Q272" t="s">
        <v>51</v>
      </c>
      <c r="R272" t="s">
        <v>36</v>
      </c>
      <c r="S272" t="s">
        <v>164</v>
      </c>
      <c r="T272" t="s">
        <v>348</v>
      </c>
      <c r="U272" t="s">
        <v>91</v>
      </c>
      <c r="V272" t="s">
        <v>40</v>
      </c>
      <c r="W272">
        <v>4.3</v>
      </c>
      <c r="X272" t="s">
        <v>41</v>
      </c>
      <c r="Y272" t="s">
        <v>42</v>
      </c>
      <c r="Z272">
        <v>4</v>
      </c>
    </row>
    <row r="273" spans="1:26">
      <c r="A273" t="s">
        <v>784</v>
      </c>
      <c r="B273" t="s">
        <v>783</v>
      </c>
      <c r="C273" t="s">
        <v>28</v>
      </c>
      <c r="D273" t="s">
        <v>95</v>
      </c>
      <c r="E273" s="1">
        <v>43427</v>
      </c>
      <c r="F273" t="s">
        <v>96</v>
      </c>
      <c r="G273" t="s">
        <v>228</v>
      </c>
      <c r="H273" t="s">
        <v>59</v>
      </c>
      <c r="I273">
        <v>6</v>
      </c>
      <c r="J273" t="s">
        <v>33</v>
      </c>
      <c r="K273">
        <v>2</v>
      </c>
      <c r="L273" s="3">
        <v>4499</v>
      </c>
      <c r="M273">
        <v>20</v>
      </c>
      <c r="N273" s="3">
        <v>3600</v>
      </c>
      <c r="O273" s="3">
        <v>7200</v>
      </c>
      <c r="P273" t="s">
        <v>50</v>
      </c>
      <c r="Q273" t="s">
        <v>51</v>
      </c>
      <c r="R273" t="s">
        <v>36</v>
      </c>
      <c r="S273" t="s">
        <v>354</v>
      </c>
      <c r="T273" t="s">
        <v>518</v>
      </c>
      <c r="U273" t="s">
        <v>91</v>
      </c>
      <c r="V273" t="s">
        <v>315</v>
      </c>
      <c r="W273">
        <v>4.0999999999999996</v>
      </c>
      <c r="X273" t="s">
        <v>106</v>
      </c>
      <c r="Y273" t="s">
        <v>147</v>
      </c>
      <c r="Z273">
        <v>1</v>
      </c>
    </row>
    <row r="274" spans="1:26">
      <c r="A274" t="s">
        <v>785</v>
      </c>
      <c r="B274" t="s">
        <v>154</v>
      </c>
      <c r="C274" t="s">
        <v>28</v>
      </c>
      <c r="D274" t="s">
        <v>29</v>
      </c>
      <c r="E274" s="1">
        <v>43428</v>
      </c>
      <c r="F274" t="s">
        <v>79</v>
      </c>
      <c r="G274" t="s">
        <v>480</v>
      </c>
      <c r="H274" t="s">
        <v>111</v>
      </c>
      <c r="I274">
        <v>6</v>
      </c>
      <c r="J274" t="s">
        <v>67</v>
      </c>
      <c r="K274">
        <v>1</v>
      </c>
      <c r="L274" s="3">
        <v>5599</v>
      </c>
      <c r="M274">
        <v>25</v>
      </c>
      <c r="N274" s="3">
        <v>4200</v>
      </c>
      <c r="O274" s="3">
        <v>4200</v>
      </c>
      <c r="P274" t="s">
        <v>34</v>
      </c>
      <c r="Q274" t="s">
        <v>35</v>
      </c>
      <c r="R274" t="s">
        <v>36</v>
      </c>
      <c r="S274" t="s">
        <v>243</v>
      </c>
      <c r="T274" t="s">
        <v>276</v>
      </c>
      <c r="U274" t="s">
        <v>91</v>
      </c>
      <c r="V274" t="s">
        <v>315</v>
      </c>
      <c r="W274">
        <v>3.8</v>
      </c>
      <c r="X274" t="s">
        <v>41</v>
      </c>
      <c r="Y274" t="s">
        <v>42</v>
      </c>
      <c r="Z274">
        <v>2</v>
      </c>
    </row>
    <row r="275" spans="1:26">
      <c r="A275" t="s">
        <v>786</v>
      </c>
      <c r="B275" t="s">
        <v>758</v>
      </c>
      <c r="C275" t="s">
        <v>94</v>
      </c>
      <c r="D275" t="s">
        <v>46</v>
      </c>
      <c r="E275" s="1">
        <v>43429</v>
      </c>
      <c r="F275" t="s">
        <v>47</v>
      </c>
      <c r="G275" t="s">
        <v>121</v>
      </c>
      <c r="H275" t="s">
        <v>111</v>
      </c>
      <c r="I275">
        <v>7</v>
      </c>
      <c r="J275" t="s">
        <v>67</v>
      </c>
      <c r="K275">
        <v>1</v>
      </c>
      <c r="L275" s="3">
        <v>8599</v>
      </c>
      <c r="M275">
        <v>15</v>
      </c>
      <c r="N275" s="3">
        <v>7310</v>
      </c>
      <c r="O275" s="3">
        <v>7310</v>
      </c>
      <c r="P275" t="s">
        <v>81</v>
      </c>
      <c r="Q275" t="s">
        <v>51</v>
      </c>
      <c r="R275" t="s">
        <v>36</v>
      </c>
      <c r="S275" t="s">
        <v>175</v>
      </c>
      <c r="T275" t="s">
        <v>176</v>
      </c>
      <c r="U275" t="s">
        <v>54</v>
      </c>
      <c r="V275" t="s">
        <v>315</v>
      </c>
      <c r="W275">
        <v>3.9</v>
      </c>
      <c r="X275" t="s">
        <v>41</v>
      </c>
      <c r="Y275" t="s">
        <v>42</v>
      </c>
      <c r="Z275">
        <v>3</v>
      </c>
    </row>
    <row r="276" spans="1:26">
      <c r="A276" t="s">
        <v>787</v>
      </c>
      <c r="B276" t="s">
        <v>788</v>
      </c>
      <c r="C276" t="s">
        <v>45</v>
      </c>
      <c r="D276" t="s">
        <v>109</v>
      </c>
      <c r="E276" s="1">
        <v>43430</v>
      </c>
      <c r="F276" t="s">
        <v>79</v>
      </c>
      <c r="G276" t="s">
        <v>127</v>
      </c>
      <c r="H276" t="s">
        <v>128</v>
      </c>
      <c r="I276">
        <v>9</v>
      </c>
      <c r="J276" t="s">
        <v>98</v>
      </c>
      <c r="K276">
        <v>1</v>
      </c>
      <c r="L276" s="3">
        <v>6299</v>
      </c>
      <c r="M276">
        <v>25</v>
      </c>
      <c r="N276" s="3">
        <v>4720</v>
      </c>
      <c r="O276" s="3">
        <v>4720</v>
      </c>
      <c r="P276" t="s">
        <v>34</v>
      </c>
      <c r="Q276" t="s">
        <v>82</v>
      </c>
      <c r="R276" t="s">
        <v>36</v>
      </c>
      <c r="S276" t="s">
        <v>418</v>
      </c>
      <c r="T276" t="s">
        <v>613</v>
      </c>
      <c r="U276" t="s">
        <v>61</v>
      </c>
      <c r="V276" t="s">
        <v>40</v>
      </c>
      <c r="W276">
        <v>3.4</v>
      </c>
      <c r="X276" t="s">
        <v>106</v>
      </c>
      <c r="Y276" t="s">
        <v>55</v>
      </c>
      <c r="Z276">
        <v>4</v>
      </c>
    </row>
    <row r="277" spans="1:26">
      <c r="A277" t="s">
        <v>789</v>
      </c>
      <c r="B277" t="s">
        <v>381</v>
      </c>
      <c r="C277" t="s">
        <v>45</v>
      </c>
      <c r="D277" t="s">
        <v>103</v>
      </c>
      <c r="E277" s="1">
        <v>43431</v>
      </c>
      <c r="F277" t="s">
        <v>47</v>
      </c>
      <c r="G277" t="s">
        <v>140</v>
      </c>
      <c r="H277" t="s">
        <v>128</v>
      </c>
      <c r="I277">
        <v>9</v>
      </c>
      <c r="J277" t="s">
        <v>88</v>
      </c>
      <c r="K277">
        <v>2</v>
      </c>
      <c r="L277" s="3">
        <v>4499</v>
      </c>
      <c r="M277">
        <v>35</v>
      </c>
      <c r="N277" s="3">
        <v>2920</v>
      </c>
      <c r="O277" s="3">
        <v>5840</v>
      </c>
      <c r="P277" t="s">
        <v>34</v>
      </c>
      <c r="Q277" t="s">
        <v>51</v>
      </c>
      <c r="R277" t="s">
        <v>36</v>
      </c>
      <c r="S277" t="s">
        <v>182</v>
      </c>
      <c r="T277" t="s">
        <v>309</v>
      </c>
      <c r="U277" t="s">
        <v>124</v>
      </c>
      <c r="V277" t="s">
        <v>315</v>
      </c>
      <c r="W277">
        <v>3.8</v>
      </c>
      <c r="X277" t="s">
        <v>41</v>
      </c>
      <c r="Y277" t="s">
        <v>55</v>
      </c>
      <c r="Z277">
        <v>2</v>
      </c>
    </row>
    <row r="278" spans="1:26">
      <c r="A278" t="s">
        <v>790</v>
      </c>
      <c r="B278" t="s">
        <v>791</v>
      </c>
      <c r="C278" t="s">
        <v>45</v>
      </c>
      <c r="D278" t="s">
        <v>95</v>
      </c>
      <c r="E278" s="1">
        <v>43431</v>
      </c>
      <c r="F278" t="s">
        <v>30</v>
      </c>
      <c r="G278" t="s">
        <v>58</v>
      </c>
      <c r="H278" t="s">
        <v>59</v>
      </c>
      <c r="I278">
        <v>7</v>
      </c>
      <c r="J278" t="s">
        <v>98</v>
      </c>
      <c r="K278">
        <v>1</v>
      </c>
      <c r="L278" s="3">
        <v>6799</v>
      </c>
      <c r="M278">
        <v>20</v>
      </c>
      <c r="N278" s="3">
        <v>5440</v>
      </c>
      <c r="O278" s="3">
        <v>5440</v>
      </c>
      <c r="P278" t="s">
        <v>34</v>
      </c>
      <c r="Q278" t="s">
        <v>82</v>
      </c>
      <c r="R278" t="s">
        <v>36</v>
      </c>
      <c r="S278" t="s">
        <v>52</v>
      </c>
      <c r="T278" t="s">
        <v>60</v>
      </c>
      <c r="U278" t="s">
        <v>39</v>
      </c>
      <c r="V278" t="s">
        <v>40</v>
      </c>
      <c r="W278">
        <v>4.9000000000000004</v>
      </c>
      <c r="X278" t="s">
        <v>41</v>
      </c>
      <c r="Y278" t="s">
        <v>42</v>
      </c>
      <c r="Z278">
        <v>1</v>
      </c>
    </row>
    <row r="279" spans="1:26">
      <c r="A279" t="s">
        <v>792</v>
      </c>
      <c r="B279" t="s">
        <v>793</v>
      </c>
      <c r="C279" t="s">
        <v>94</v>
      </c>
      <c r="D279" t="s">
        <v>46</v>
      </c>
      <c r="E279" s="1">
        <v>43431</v>
      </c>
      <c r="F279" t="s">
        <v>79</v>
      </c>
      <c r="G279" t="s">
        <v>174</v>
      </c>
      <c r="H279" t="s">
        <v>32</v>
      </c>
      <c r="I279">
        <v>12</v>
      </c>
      <c r="J279" t="s">
        <v>67</v>
      </c>
      <c r="K279">
        <v>1</v>
      </c>
      <c r="L279" s="3">
        <v>4099</v>
      </c>
      <c r="M279">
        <v>30</v>
      </c>
      <c r="N279" s="3">
        <v>2870</v>
      </c>
      <c r="O279" s="3">
        <v>2870</v>
      </c>
      <c r="P279" t="s">
        <v>50</v>
      </c>
      <c r="Q279" t="s">
        <v>35</v>
      </c>
      <c r="R279" t="s">
        <v>36</v>
      </c>
      <c r="S279" t="s">
        <v>129</v>
      </c>
      <c r="T279" t="s">
        <v>282</v>
      </c>
      <c r="U279" t="s">
        <v>124</v>
      </c>
      <c r="V279" t="s">
        <v>40</v>
      </c>
      <c r="W279">
        <v>4.0999999999999996</v>
      </c>
      <c r="X279" t="s">
        <v>62</v>
      </c>
      <c r="Y279" t="s">
        <v>55</v>
      </c>
      <c r="Z279">
        <v>3</v>
      </c>
    </row>
    <row r="280" spans="1:26">
      <c r="A280" t="s">
        <v>794</v>
      </c>
      <c r="B280" t="s">
        <v>582</v>
      </c>
      <c r="C280" t="s">
        <v>94</v>
      </c>
      <c r="D280" t="s">
        <v>109</v>
      </c>
      <c r="E280" s="1">
        <v>43431</v>
      </c>
      <c r="F280" t="s">
        <v>79</v>
      </c>
      <c r="G280" t="s">
        <v>301</v>
      </c>
      <c r="H280" t="s">
        <v>49</v>
      </c>
      <c r="I280">
        <v>10</v>
      </c>
      <c r="J280" t="s">
        <v>73</v>
      </c>
      <c r="K280">
        <v>1</v>
      </c>
      <c r="L280" s="3">
        <v>3999</v>
      </c>
      <c r="M280">
        <v>15</v>
      </c>
      <c r="N280" s="3">
        <v>3400</v>
      </c>
      <c r="O280" s="3">
        <v>3400</v>
      </c>
      <c r="P280" t="s">
        <v>74</v>
      </c>
      <c r="Q280" t="s">
        <v>51</v>
      </c>
      <c r="R280" t="s">
        <v>36</v>
      </c>
      <c r="S280" t="s">
        <v>354</v>
      </c>
      <c r="T280" t="s">
        <v>355</v>
      </c>
      <c r="U280" t="s">
        <v>124</v>
      </c>
      <c r="V280" t="s">
        <v>315</v>
      </c>
      <c r="W280">
        <v>4.0999999999999996</v>
      </c>
      <c r="X280" t="s">
        <v>62</v>
      </c>
      <c r="Y280" t="s">
        <v>42</v>
      </c>
      <c r="Z280">
        <v>3</v>
      </c>
    </row>
    <row r="281" spans="1:26">
      <c r="A281" t="s">
        <v>795</v>
      </c>
      <c r="B281" t="s">
        <v>417</v>
      </c>
      <c r="C281" t="s">
        <v>28</v>
      </c>
      <c r="D281" t="s">
        <v>103</v>
      </c>
      <c r="E281" s="1">
        <v>43431</v>
      </c>
      <c r="F281" t="s">
        <v>79</v>
      </c>
      <c r="G281" t="s">
        <v>301</v>
      </c>
      <c r="H281" t="s">
        <v>49</v>
      </c>
      <c r="I281">
        <v>9</v>
      </c>
      <c r="J281" t="s">
        <v>67</v>
      </c>
      <c r="K281">
        <v>2</v>
      </c>
      <c r="L281" s="3">
        <v>6499</v>
      </c>
      <c r="M281">
        <v>20</v>
      </c>
      <c r="N281" s="3">
        <v>5200</v>
      </c>
      <c r="O281" s="3">
        <v>10400</v>
      </c>
      <c r="P281" t="s">
        <v>34</v>
      </c>
      <c r="Q281" t="s">
        <v>35</v>
      </c>
      <c r="R281" t="s">
        <v>36</v>
      </c>
      <c r="S281" t="s">
        <v>75</v>
      </c>
      <c r="T281" t="s">
        <v>796</v>
      </c>
      <c r="U281" t="s">
        <v>91</v>
      </c>
      <c r="V281" t="s">
        <v>315</v>
      </c>
      <c r="W281">
        <v>3.2</v>
      </c>
      <c r="X281" t="s">
        <v>41</v>
      </c>
      <c r="Y281" t="s">
        <v>55</v>
      </c>
      <c r="Z281">
        <v>3</v>
      </c>
    </row>
    <row r="282" spans="1:26">
      <c r="A282" t="s">
        <v>797</v>
      </c>
      <c r="B282" t="s">
        <v>798</v>
      </c>
      <c r="C282" t="s">
        <v>28</v>
      </c>
      <c r="D282" t="s">
        <v>29</v>
      </c>
      <c r="E282" s="1">
        <v>43432</v>
      </c>
      <c r="F282" t="s">
        <v>79</v>
      </c>
      <c r="G282" t="s">
        <v>301</v>
      </c>
      <c r="H282" t="s">
        <v>49</v>
      </c>
      <c r="I282">
        <v>8</v>
      </c>
      <c r="J282" t="s">
        <v>67</v>
      </c>
      <c r="K282">
        <v>3</v>
      </c>
      <c r="L282" s="3">
        <v>5899</v>
      </c>
      <c r="M282">
        <v>5</v>
      </c>
      <c r="N282" s="3">
        <v>5600</v>
      </c>
      <c r="O282" s="3">
        <v>16800</v>
      </c>
      <c r="P282" t="s">
        <v>34</v>
      </c>
      <c r="Q282" t="s">
        <v>82</v>
      </c>
      <c r="R282" t="s">
        <v>36</v>
      </c>
      <c r="S282" t="s">
        <v>384</v>
      </c>
      <c r="T282" t="s">
        <v>385</v>
      </c>
      <c r="U282" t="s">
        <v>54</v>
      </c>
      <c r="V282" t="s">
        <v>40</v>
      </c>
      <c r="W282">
        <v>4</v>
      </c>
      <c r="X282" t="s">
        <v>41</v>
      </c>
      <c r="Y282" t="s">
        <v>42</v>
      </c>
      <c r="Z282">
        <v>3</v>
      </c>
    </row>
    <row r="283" spans="1:26">
      <c r="A283" t="s">
        <v>799</v>
      </c>
      <c r="B283" t="s">
        <v>800</v>
      </c>
      <c r="C283" t="s">
        <v>28</v>
      </c>
      <c r="D283" t="s">
        <v>46</v>
      </c>
      <c r="E283" s="1">
        <v>43432</v>
      </c>
      <c r="F283" t="s">
        <v>30</v>
      </c>
      <c r="G283" t="s">
        <v>347</v>
      </c>
      <c r="H283" t="s">
        <v>49</v>
      </c>
      <c r="I283">
        <v>10</v>
      </c>
      <c r="J283" t="s">
        <v>88</v>
      </c>
      <c r="K283">
        <v>1</v>
      </c>
      <c r="L283" s="3">
        <v>8199</v>
      </c>
      <c r="M283">
        <v>15</v>
      </c>
      <c r="N283" s="3">
        <v>6970</v>
      </c>
      <c r="O283" s="3">
        <v>6970</v>
      </c>
      <c r="P283" t="s">
        <v>34</v>
      </c>
      <c r="Q283" t="s">
        <v>51</v>
      </c>
      <c r="R283" t="s">
        <v>36</v>
      </c>
      <c r="S283" t="s">
        <v>269</v>
      </c>
      <c r="T283" t="s">
        <v>652</v>
      </c>
      <c r="U283" t="s">
        <v>61</v>
      </c>
      <c r="V283" t="s">
        <v>40</v>
      </c>
      <c r="W283">
        <v>4.3</v>
      </c>
      <c r="X283" t="s">
        <v>41</v>
      </c>
      <c r="Y283" t="s">
        <v>55</v>
      </c>
      <c r="Z283">
        <v>2</v>
      </c>
    </row>
    <row r="284" spans="1:26">
      <c r="A284" t="s">
        <v>801</v>
      </c>
      <c r="B284" t="s">
        <v>802</v>
      </c>
      <c r="C284" t="s">
        <v>94</v>
      </c>
      <c r="D284" t="s">
        <v>95</v>
      </c>
      <c r="E284" s="1">
        <v>43432</v>
      </c>
      <c r="F284" t="s">
        <v>79</v>
      </c>
      <c r="G284" t="s">
        <v>80</v>
      </c>
      <c r="H284" t="s">
        <v>59</v>
      </c>
      <c r="I284">
        <v>9</v>
      </c>
      <c r="J284" t="s">
        <v>98</v>
      </c>
      <c r="K284">
        <v>1</v>
      </c>
      <c r="L284" s="3">
        <v>5399</v>
      </c>
      <c r="M284">
        <v>0</v>
      </c>
      <c r="N284" s="3">
        <v>5400</v>
      </c>
      <c r="O284" s="3">
        <v>5400</v>
      </c>
      <c r="P284" t="s">
        <v>81</v>
      </c>
      <c r="Q284" t="s">
        <v>35</v>
      </c>
      <c r="R284" t="s">
        <v>36</v>
      </c>
      <c r="S284" t="s">
        <v>238</v>
      </c>
      <c r="T284" t="s">
        <v>498</v>
      </c>
      <c r="U284" t="s">
        <v>124</v>
      </c>
      <c r="V284" t="s">
        <v>40</v>
      </c>
      <c r="W284">
        <v>3.5</v>
      </c>
      <c r="X284" t="s">
        <v>106</v>
      </c>
      <c r="Y284" t="s">
        <v>42</v>
      </c>
      <c r="Z284">
        <v>4</v>
      </c>
    </row>
    <row r="285" spans="1:26">
      <c r="A285" t="s">
        <v>803</v>
      </c>
      <c r="B285" t="s">
        <v>804</v>
      </c>
      <c r="C285" t="s">
        <v>28</v>
      </c>
      <c r="D285" t="s">
        <v>109</v>
      </c>
      <c r="E285" s="1">
        <v>43435</v>
      </c>
      <c r="F285" t="s">
        <v>79</v>
      </c>
      <c r="G285" t="s">
        <v>480</v>
      </c>
      <c r="H285" t="s">
        <v>111</v>
      </c>
      <c r="I285">
        <v>9</v>
      </c>
      <c r="J285" t="s">
        <v>33</v>
      </c>
      <c r="K285">
        <v>1</v>
      </c>
      <c r="L285" s="3">
        <v>6399</v>
      </c>
      <c r="M285">
        <v>15</v>
      </c>
      <c r="N285" s="3">
        <v>5440</v>
      </c>
      <c r="O285" s="3">
        <v>5440</v>
      </c>
      <c r="P285" t="s">
        <v>34</v>
      </c>
      <c r="Q285" t="s">
        <v>51</v>
      </c>
      <c r="R285" t="s">
        <v>36</v>
      </c>
      <c r="S285" t="s">
        <v>358</v>
      </c>
      <c r="T285" t="s">
        <v>805</v>
      </c>
      <c r="U285" t="s">
        <v>39</v>
      </c>
      <c r="V285" t="s">
        <v>40</v>
      </c>
      <c r="W285">
        <v>4.4000000000000004</v>
      </c>
      <c r="X285" t="s">
        <v>62</v>
      </c>
      <c r="Y285" t="s">
        <v>42</v>
      </c>
      <c r="Z285">
        <v>3</v>
      </c>
    </row>
    <row r="286" spans="1:26">
      <c r="A286" t="s">
        <v>806</v>
      </c>
      <c r="B286" t="s">
        <v>802</v>
      </c>
      <c r="C286" t="s">
        <v>28</v>
      </c>
      <c r="D286" t="s">
        <v>46</v>
      </c>
      <c r="E286" s="1">
        <v>43436</v>
      </c>
      <c r="F286" t="s">
        <v>86</v>
      </c>
      <c r="G286" t="s">
        <v>242</v>
      </c>
      <c r="H286" t="s">
        <v>32</v>
      </c>
      <c r="I286">
        <v>6</v>
      </c>
      <c r="J286" t="s">
        <v>33</v>
      </c>
      <c r="K286">
        <v>1</v>
      </c>
      <c r="L286" s="3">
        <v>7499</v>
      </c>
      <c r="M286">
        <v>35</v>
      </c>
      <c r="N286" s="3">
        <v>4870</v>
      </c>
      <c r="O286" s="3">
        <v>4870</v>
      </c>
      <c r="P286" t="s">
        <v>81</v>
      </c>
      <c r="Q286" t="s">
        <v>35</v>
      </c>
      <c r="R286" t="s">
        <v>36</v>
      </c>
      <c r="S286" t="s">
        <v>200</v>
      </c>
      <c r="T286" t="s">
        <v>232</v>
      </c>
      <c r="U286" t="s">
        <v>54</v>
      </c>
      <c r="V286" t="s">
        <v>315</v>
      </c>
      <c r="W286">
        <v>4.7</v>
      </c>
      <c r="X286" t="s">
        <v>41</v>
      </c>
      <c r="Y286" t="s">
        <v>55</v>
      </c>
      <c r="Z286">
        <v>2</v>
      </c>
    </row>
    <row r="287" spans="1:26">
      <c r="A287" t="s">
        <v>807</v>
      </c>
      <c r="B287" t="s">
        <v>808</v>
      </c>
      <c r="C287" t="s">
        <v>28</v>
      </c>
      <c r="D287" t="s">
        <v>46</v>
      </c>
      <c r="E287" s="1">
        <v>43436</v>
      </c>
      <c r="F287" t="s">
        <v>96</v>
      </c>
      <c r="G287" t="s">
        <v>155</v>
      </c>
      <c r="H287" t="s">
        <v>111</v>
      </c>
      <c r="I287">
        <v>8</v>
      </c>
      <c r="J287" t="s">
        <v>150</v>
      </c>
      <c r="K287">
        <v>2</v>
      </c>
      <c r="L287" s="3">
        <v>7699</v>
      </c>
      <c r="M287">
        <v>5</v>
      </c>
      <c r="N287" s="3">
        <v>7310</v>
      </c>
      <c r="O287" s="3">
        <v>14620</v>
      </c>
      <c r="P287" t="s">
        <v>74</v>
      </c>
      <c r="Q287" t="s">
        <v>35</v>
      </c>
      <c r="R287" t="s">
        <v>36</v>
      </c>
      <c r="S287" t="s">
        <v>117</v>
      </c>
      <c r="T287" t="s">
        <v>253</v>
      </c>
      <c r="U287" t="s">
        <v>39</v>
      </c>
      <c r="V287" t="s">
        <v>40</v>
      </c>
      <c r="W287">
        <v>3.9</v>
      </c>
      <c r="X287" t="s">
        <v>41</v>
      </c>
      <c r="Y287" t="s">
        <v>42</v>
      </c>
      <c r="Z287">
        <v>3</v>
      </c>
    </row>
    <row r="288" spans="1:26">
      <c r="A288" t="s">
        <v>809</v>
      </c>
      <c r="B288" t="s">
        <v>810</v>
      </c>
      <c r="C288" t="s">
        <v>45</v>
      </c>
      <c r="D288" t="s">
        <v>103</v>
      </c>
      <c r="E288" s="1">
        <v>43436</v>
      </c>
      <c r="F288" t="s">
        <v>86</v>
      </c>
      <c r="G288" t="s">
        <v>242</v>
      </c>
      <c r="H288" t="s">
        <v>32</v>
      </c>
      <c r="I288">
        <v>10</v>
      </c>
      <c r="J288" t="s">
        <v>88</v>
      </c>
      <c r="K288">
        <v>2</v>
      </c>
      <c r="L288" s="3">
        <v>8099</v>
      </c>
      <c r="M288">
        <v>15</v>
      </c>
      <c r="N288" s="3">
        <v>6880</v>
      </c>
      <c r="O288" s="3">
        <v>13760</v>
      </c>
      <c r="P288" t="s">
        <v>74</v>
      </c>
      <c r="Q288" t="s">
        <v>82</v>
      </c>
      <c r="R288" t="s">
        <v>36</v>
      </c>
      <c r="S288" t="s">
        <v>68</v>
      </c>
      <c r="T288" t="s">
        <v>811</v>
      </c>
      <c r="U288" t="s">
        <v>39</v>
      </c>
      <c r="V288" t="s">
        <v>40</v>
      </c>
      <c r="W288">
        <v>3.4</v>
      </c>
      <c r="X288" t="s">
        <v>41</v>
      </c>
      <c r="Y288" t="s">
        <v>55</v>
      </c>
      <c r="Z288">
        <v>2</v>
      </c>
    </row>
    <row r="289" spans="1:26">
      <c r="A289" t="s">
        <v>812</v>
      </c>
      <c r="B289" t="s">
        <v>744</v>
      </c>
      <c r="C289" t="s">
        <v>45</v>
      </c>
      <c r="D289" t="s">
        <v>103</v>
      </c>
      <c r="E289" s="1">
        <v>43436</v>
      </c>
      <c r="F289" t="s">
        <v>96</v>
      </c>
      <c r="G289" t="s">
        <v>228</v>
      </c>
      <c r="H289" t="s">
        <v>59</v>
      </c>
      <c r="I289">
        <v>10</v>
      </c>
      <c r="J289" t="s">
        <v>33</v>
      </c>
      <c r="K289">
        <v>1</v>
      </c>
      <c r="L289" s="3">
        <v>8199</v>
      </c>
      <c r="M289">
        <v>15</v>
      </c>
      <c r="N289" s="3">
        <v>6970</v>
      </c>
      <c r="O289" s="3">
        <v>6970</v>
      </c>
      <c r="P289" t="s">
        <v>74</v>
      </c>
      <c r="Q289" t="s">
        <v>51</v>
      </c>
      <c r="R289" t="s">
        <v>36</v>
      </c>
      <c r="S289" t="s">
        <v>182</v>
      </c>
      <c r="T289" t="s">
        <v>503</v>
      </c>
      <c r="U289" t="s">
        <v>54</v>
      </c>
      <c r="V289" t="s">
        <v>315</v>
      </c>
      <c r="W289">
        <v>4.5</v>
      </c>
      <c r="X289" t="s">
        <v>62</v>
      </c>
      <c r="Y289" t="s">
        <v>55</v>
      </c>
      <c r="Z289">
        <v>3</v>
      </c>
    </row>
    <row r="290" spans="1:26">
      <c r="A290" t="s">
        <v>813</v>
      </c>
      <c r="B290" t="s">
        <v>814</v>
      </c>
      <c r="C290" t="s">
        <v>28</v>
      </c>
      <c r="D290" t="s">
        <v>29</v>
      </c>
      <c r="E290" s="1">
        <v>43436</v>
      </c>
      <c r="F290" t="s">
        <v>47</v>
      </c>
      <c r="G290" t="s">
        <v>402</v>
      </c>
      <c r="H290" t="s">
        <v>32</v>
      </c>
      <c r="I290">
        <v>6</v>
      </c>
      <c r="J290" t="s">
        <v>150</v>
      </c>
      <c r="K290">
        <v>1</v>
      </c>
      <c r="L290" s="3">
        <v>5699</v>
      </c>
      <c r="M290">
        <v>15</v>
      </c>
      <c r="N290" s="3">
        <v>4840</v>
      </c>
      <c r="O290" s="3">
        <v>4840</v>
      </c>
      <c r="P290" t="s">
        <v>34</v>
      </c>
      <c r="Q290" t="s">
        <v>35</v>
      </c>
      <c r="R290" t="s">
        <v>36</v>
      </c>
      <c r="S290" t="s">
        <v>117</v>
      </c>
      <c r="T290" t="s">
        <v>118</v>
      </c>
      <c r="U290" t="s">
        <v>39</v>
      </c>
      <c r="V290" t="s">
        <v>40</v>
      </c>
      <c r="W290">
        <v>4.3</v>
      </c>
      <c r="X290" t="s">
        <v>41</v>
      </c>
      <c r="Y290" t="s">
        <v>55</v>
      </c>
      <c r="Z290">
        <v>2</v>
      </c>
    </row>
    <row r="291" spans="1:26">
      <c r="A291" t="s">
        <v>815</v>
      </c>
      <c r="B291" t="s">
        <v>816</v>
      </c>
      <c r="C291" t="s">
        <v>28</v>
      </c>
      <c r="D291" t="s">
        <v>46</v>
      </c>
      <c r="E291" s="1">
        <v>43437</v>
      </c>
      <c r="F291" t="s">
        <v>96</v>
      </c>
      <c r="G291" t="s">
        <v>228</v>
      </c>
      <c r="H291" t="s">
        <v>59</v>
      </c>
      <c r="I291">
        <v>8</v>
      </c>
      <c r="J291" t="s">
        <v>67</v>
      </c>
      <c r="K291">
        <v>3</v>
      </c>
      <c r="L291" s="3">
        <v>6399</v>
      </c>
      <c r="M291">
        <v>15</v>
      </c>
      <c r="N291" s="3">
        <v>5440</v>
      </c>
      <c r="O291" s="3">
        <v>16320</v>
      </c>
      <c r="P291" t="s">
        <v>81</v>
      </c>
      <c r="Q291" t="s">
        <v>82</v>
      </c>
      <c r="R291" t="s">
        <v>36</v>
      </c>
      <c r="S291" t="s">
        <v>68</v>
      </c>
      <c r="T291" t="s">
        <v>207</v>
      </c>
      <c r="U291" t="s">
        <v>61</v>
      </c>
      <c r="V291" t="s">
        <v>40</v>
      </c>
      <c r="W291">
        <v>4</v>
      </c>
      <c r="X291" t="s">
        <v>41</v>
      </c>
      <c r="Y291" t="s">
        <v>42</v>
      </c>
      <c r="Z291">
        <v>4</v>
      </c>
    </row>
    <row r="292" spans="1:26">
      <c r="A292" t="s">
        <v>817</v>
      </c>
      <c r="B292" t="s">
        <v>417</v>
      </c>
      <c r="C292" t="s">
        <v>28</v>
      </c>
      <c r="D292" t="s">
        <v>29</v>
      </c>
      <c r="E292" s="1">
        <v>43437</v>
      </c>
      <c r="F292" t="s">
        <v>96</v>
      </c>
      <c r="G292" t="s">
        <v>290</v>
      </c>
      <c r="H292" t="s">
        <v>32</v>
      </c>
      <c r="I292">
        <v>6</v>
      </c>
      <c r="J292" t="s">
        <v>67</v>
      </c>
      <c r="K292">
        <v>1</v>
      </c>
      <c r="L292" s="3">
        <v>9199</v>
      </c>
      <c r="M292">
        <v>15</v>
      </c>
      <c r="N292" s="3">
        <v>7820</v>
      </c>
      <c r="O292" s="3">
        <v>7820</v>
      </c>
      <c r="P292" t="s">
        <v>34</v>
      </c>
      <c r="Q292" t="s">
        <v>51</v>
      </c>
      <c r="R292" t="s">
        <v>36</v>
      </c>
      <c r="S292" t="s">
        <v>129</v>
      </c>
      <c r="T292" t="s">
        <v>130</v>
      </c>
      <c r="U292" t="s">
        <v>61</v>
      </c>
      <c r="V292" t="s">
        <v>315</v>
      </c>
      <c r="W292">
        <v>4.7</v>
      </c>
      <c r="X292" t="s">
        <v>41</v>
      </c>
      <c r="Y292" t="s">
        <v>42</v>
      </c>
      <c r="Z292">
        <v>1</v>
      </c>
    </row>
    <row r="293" spans="1:26">
      <c r="A293" t="s">
        <v>818</v>
      </c>
      <c r="B293" t="s">
        <v>819</v>
      </c>
      <c r="C293" t="s">
        <v>28</v>
      </c>
      <c r="D293" t="s">
        <v>103</v>
      </c>
      <c r="E293" s="1">
        <v>43437</v>
      </c>
      <c r="F293" t="s">
        <v>65</v>
      </c>
      <c r="G293" t="s">
        <v>279</v>
      </c>
      <c r="H293" t="s">
        <v>111</v>
      </c>
      <c r="I293">
        <v>10</v>
      </c>
      <c r="J293" t="s">
        <v>33</v>
      </c>
      <c r="K293">
        <v>1</v>
      </c>
      <c r="L293" s="3">
        <v>4299</v>
      </c>
      <c r="M293">
        <v>10</v>
      </c>
      <c r="N293" s="3">
        <v>3870</v>
      </c>
      <c r="O293" s="3">
        <v>3870</v>
      </c>
      <c r="P293" t="s">
        <v>50</v>
      </c>
      <c r="Q293" t="s">
        <v>51</v>
      </c>
      <c r="R293" t="s">
        <v>36</v>
      </c>
      <c r="S293" t="s">
        <v>156</v>
      </c>
      <c r="T293" t="s">
        <v>257</v>
      </c>
      <c r="U293" t="s">
        <v>61</v>
      </c>
      <c r="V293" t="s">
        <v>40</v>
      </c>
      <c r="W293">
        <v>3.9</v>
      </c>
      <c r="X293" t="s">
        <v>106</v>
      </c>
      <c r="Y293" t="s">
        <v>42</v>
      </c>
      <c r="Z293">
        <v>4</v>
      </c>
    </row>
    <row r="294" spans="1:26">
      <c r="A294" t="s">
        <v>820</v>
      </c>
      <c r="B294" t="s">
        <v>821</v>
      </c>
      <c r="C294" t="s">
        <v>94</v>
      </c>
      <c r="D294" t="s">
        <v>103</v>
      </c>
      <c r="E294" s="1">
        <v>43438</v>
      </c>
      <c r="F294" t="s">
        <v>47</v>
      </c>
      <c r="G294" t="s">
        <v>218</v>
      </c>
      <c r="H294" t="s">
        <v>59</v>
      </c>
      <c r="I294">
        <v>8</v>
      </c>
      <c r="J294" t="s">
        <v>33</v>
      </c>
      <c r="K294">
        <v>2</v>
      </c>
      <c r="L294" s="3">
        <v>4099</v>
      </c>
      <c r="M294">
        <v>15</v>
      </c>
      <c r="N294" s="3">
        <v>3480</v>
      </c>
      <c r="O294" s="3">
        <v>6960</v>
      </c>
      <c r="P294" t="s">
        <v>34</v>
      </c>
      <c r="Q294" t="s">
        <v>51</v>
      </c>
      <c r="R294" t="s">
        <v>36</v>
      </c>
      <c r="S294" t="s">
        <v>358</v>
      </c>
      <c r="T294" t="s">
        <v>597</v>
      </c>
      <c r="U294" t="s">
        <v>124</v>
      </c>
      <c r="V294" t="s">
        <v>40</v>
      </c>
      <c r="W294">
        <v>3.1</v>
      </c>
      <c r="X294" t="s">
        <v>62</v>
      </c>
      <c r="Y294" t="s">
        <v>42</v>
      </c>
      <c r="Z294">
        <v>4</v>
      </c>
    </row>
    <row r="295" spans="1:26">
      <c r="A295" t="s">
        <v>822</v>
      </c>
      <c r="B295" t="s">
        <v>823</v>
      </c>
      <c r="C295" t="s">
        <v>45</v>
      </c>
      <c r="D295" t="s">
        <v>46</v>
      </c>
      <c r="E295" s="1">
        <v>43439</v>
      </c>
      <c r="F295" t="s">
        <v>30</v>
      </c>
      <c r="G295" t="s">
        <v>58</v>
      </c>
      <c r="H295" t="s">
        <v>59</v>
      </c>
      <c r="I295">
        <v>7</v>
      </c>
      <c r="J295" t="s">
        <v>67</v>
      </c>
      <c r="K295">
        <v>1</v>
      </c>
      <c r="L295" s="3">
        <v>5999</v>
      </c>
      <c r="M295">
        <v>10</v>
      </c>
      <c r="N295" s="3">
        <v>5400</v>
      </c>
      <c r="O295" s="3">
        <v>5400</v>
      </c>
      <c r="P295" t="s">
        <v>81</v>
      </c>
      <c r="Q295" t="s">
        <v>82</v>
      </c>
      <c r="R295" t="s">
        <v>36</v>
      </c>
      <c r="S295" t="s">
        <v>243</v>
      </c>
      <c r="T295" t="s">
        <v>328</v>
      </c>
      <c r="U295" t="s">
        <v>91</v>
      </c>
      <c r="V295" t="s">
        <v>40</v>
      </c>
      <c r="W295">
        <v>3.7</v>
      </c>
      <c r="X295" t="s">
        <v>41</v>
      </c>
      <c r="Y295" t="s">
        <v>42</v>
      </c>
      <c r="Z295">
        <v>4</v>
      </c>
    </row>
    <row r="296" spans="1:26">
      <c r="A296" t="s">
        <v>824</v>
      </c>
      <c r="B296" t="s">
        <v>825</v>
      </c>
      <c r="C296" t="s">
        <v>28</v>
      </c>
      <c r="D296" t="s">
        <v>46</v>
      </c>
      <c r="E296" s="1">
        <v>43441</v>
      </c>
      <c r="F296" t="s">
        <v>47</v>
      </c>
      <c r="G296" t="s">
        <v>121</v>
      </c>
      <c r="H296" t="s">
        <v>111</v>
      </c>
      <c r="I296">
        <v>10</v>
      </c>
      <c r="J296" t="s">
        <v>98</v>
      </c>
      <c r="K296">
        <v>1</v>
      </c>
      <c r="L296" s="3">
        <v>6099</v>
      </c>
      <c r="M296">
        <v>20</v>
      </c>
      <c r="N296" s="3">
        <v>4880</v>
      </c>
      <c r="O296" s="3">
        <v>4880</v>
      </c>
      <c r="P296" t="s">
        <v>81</v>
      </c>
      <c r="Q296" t="s">
        <v>82</v>
      </c>
      <c r="R296" t="s">
        <v>36</v>
      </c>
      <c r="S296" t="s">
        <v>238</v>
      </c>
      <c r="T296" t="s">
        <v>377</v>
      </c>
      <c r="U296" t="s">
        <v>124</v>
      </c>
      <c r="V296" t="s">
        <v>40</v>
      </c>
      <c r="W296">
        <v>3.7</v>
      </c>
      <c r="X296" t="s">
        <v>41</v>
      </c>
      <c r="Y296" t="s">
        <v>55</v>
      </c>
      <c r="Z296">
        <v>2</v>
      </c>
    </row>
    <row r="297" spans="1:26">
      <c r="A297" t="s">
        <v>826</v>
      </c>
      <c r="B297" t="s">
        <v>827</v>
      </c>
      <c r="C297" t="s">
        <v>45</v>
      </c>
      <c r="D297" t="s">
        <v>95</v>
      </c>
      <c r="E297" s="1">
        <v>43441</v>
      </c>
      <c r="F297" t="s">
        <v>65</v>
      </c>
      <c r="G297" t="s">
        <v>66</v>
      </c>
      <c r="H297" t="s">
        <v>59</v>
      </c>
      <c r="I297">
        <v>10</v>
      </c>
      <c r="J297" t="s">
        <v>150</v>
      </c>
      <c r="K297">
        <v>1</v>
      </c>
      <c r="L297" s="3">
        <v>3699</v>
      </c>
      <c r="M297">
        <v>5</v>
      </c>
      <c r="N297" s="3">
        <v>3510</v>
      </c>
      <c r="O297" s="3">
        <v>3510</v>
      </c>
      <c r="P297" t="s">
        <v>81</v>
      </c>
      <c r="Q297" t="s">
        <v>82</v>
      </c>
      <c r="R297" t="s">
        <v>36</v>
      </c>
      <c r="S297" t="s">
        <v>238</v>
      </c>
      <c r="T297" t="s">
        <v>498</v>
      </c>
      <c r="U297" t="s">
        <v>61</v>
      </c>
      <c r="V297" t="s">
        <v>40</v>
      </c>
      <c r="W297">
        <v>4.4000000000000004</v>
      </c>
      <c r="X297" t="s">
        <v>41</v>
      </c>
      <c r="Y297" t="s">
        <v>55</v>
      </c>
      <c r="Z297">
        <v>4</v>
      </c>
    </row>
    <row r="298" spans="1:26">
      <c r="A298" t="s">
        <v>828</v>
      </c>
      <c r="B298" t="s">
        <v>829</v>
      </c>
      <c r="C298" t="s">
        <v>28</v>
      </c>
      <c r="D298" t="s">
        <v>46</v>
      </c>
      <c r="E298" s="1">
        <v>43441</v>
      </c>
      <c r="F298" t="s">
        <v>47</v>
      </c>
      <c r="G298" t="s">
        <v>121</v>
      </c>
      <c r="H298" t="s">
        <v>111</v>
      </c>
      <c r="I298">
        <v>6</v>
      </c>
      <c r="J298" t="s">
        <v>88</v>
      </c>
      <c r="K298">
        <v>1</v>
      </c>
      <c r="L298" s="3">
        <v>7799</v>
      </c>
      <c r="M298">
        <v>15</v>
      </c>
      <c r="N298" s="3">
        <v>6630</v>
      </c>
      <c r="O298" s="3">
        <v>6630</v>
      </c>
      <c r="P298" t="s">
        <v>34</v>
      </c>
      <c r="Q298" t="s">
        <v>35</v>
      </c>
      <c r="R298" t="s">
        <v>36</v>
      </c>
      <c r="S298" t="s">
        <v>160</v>
      </c>
      <c r="T298" t="s">
        <v>161</v>
      </c>
      <c r="U298" t="s">
        <v>91</v>
      </c>
      <c r="V298" t="s">
        <v>40</v>
      </c>
      <c r="W298">
        <v>3.6</v>
      </c>
      <c r="X298" t="s">
        <v>41</v>
      </c>
      <c r="Y298" t="s">
        <v>55</v>
      </c>
      <c r="Z298">
        <v>2</v>
      </c>
    </row>
    <row r="299" spans="1:26">
      <c r="A299" t="s">
        <v>830</v>
      </c>
      <c r="B299" t="s">
        <v>831</v>
      </c>
      <c r="C299" t="s">
        <v>28</v>
      </c>
      <c r="D299" t="s">
        <v>46</v>
      </c>
      <c r="E299" s="1">
        <v>43441</v>
      </c>
      <c r="F299" t="s">
        <v>86</v>
      </c>
      <c r="G299" t="s">
        <v>285</v>
      </c>
      <c r="H299" t="s">
        <v>111</v>
      </c>
      <c r="I299">
        <v>6</v>
      </c>
      <c r="J299" t="s">
        <v>33</v>
      </c>
      <c r="K299">
        <v>1</v>
      </c>
      <c r="L299" s="3">
        <v>4199</v>
      </c>
      <c r="M299">
        <v>5</v>
      </c>
      <c r="N299" s="3">
        <v>3990</v>
      </c>
      <c r="O299" s="3">
        <v>3990</v>
      </c>
      <c r="P299" t="s">
        <v>81</v>
      </c>
      <c r="Q299" t="s">
        <v>51</v>
      </c>
      <c r="R299" t="s">
        <v>36</v>
      </c>
      <c r="S299" t="s">
        <v>286</v>
      </c>
      <c r="T299" t="s">
        <v>768</v>
      </c>
      <c r="U299" t="s">
        <v>39</v>
      </c>
      <c r="V299" t="s">
        <v>40</v>
      </c>
      <c r="W299">
        <v>4.2</v>
      </c>
      <c r="X299" t="s">
        <v>106</v>
      </c>
      <c r="Y299" t="s">
        <v>42</v>
      </c>
      <c r="Z299">
        <v>5</v>
      </c>
    </row>
    <row r="300" spans="1:26">
      <c r="A300" t="s">
        <v>832</v>
      </c>
      <c r="B300" t="s">
        <v>833</v>
      </c>
      <c r="C300" t="s">
        <v>45</v>
      </c>
      <c r="D300" t="s">
        <v>29</v>
      </c>
      <c r="E300" s="1">
        <v>43442</v>
      </c>
      <c r="F300" t="s">
        <v>47</v>
      </c>
      <c r="G300" t="s">
        <v>121</v>
      </c>
      <c r="H300" t="s">
        <v>111</v>
      </c>
      <c r="I300">
        <v>11</v>
      </c>
      <c r="J300" t="s">
        <v>150</v>
      </c>
      <c r="K300">
        <v>4</v>
      </c>
      <c r="L300" s="3">
        <v>9499</v>
      </c>
      <c r="M300">
        <v>5</v>
      </c>
      <c r="N300" s="3">
        <v>9020</v>
      </c>
      <c r="O300" s="3">
        <v>36080</v>
      </c>
      <c r="P300" t="s">
        <v>34</v>
      </c>
      <c r="Q300" t="s">
        <v>35</v>
      </c>
      <c r="R300" t="s">
        <v>36</v>
      </c>
      <c r="S300" t="s">
        <v>156</v>
      </c>
      <c r="T300" t="s">
        <v>324</v>
      </c>
      <c r="U300" t="s">
        <v>91</v>
      </c>
      <c r="V300" t="s">
        <v>40</v>
      </c>
      <c r="W300">
        <v>4.0999999999999996</v>
      </c>
      <c r="X300" t="s">
        <v>41</v>
      </c>
      <c r="Y300" t="s">
        <v>55</v>
      </c>
      <c r="Z300">
        <v>3</v>
      </c>
    </row>
    <row r="301" spans="1:26">
      <c r="A301" t="s">
        <v>834</v>
      </c>
      <c r="B301" t="s">
        <v>835</v>
      </c>
      <c r="C301" t="s">
        <v>28</v>
      </c>
      <c r="D301" t="s">
        <v>103</v>
      </c>
      <c r="E301" s="1">
        <v>43442</v>
      </c>
      <c r="F301" t="s">
        <v>79</v>
      </c>
      <c r="G301" t="s">
        <v>517</v>
      </c>
      <c r="H301" t="s">
        <v>59</v>
      </c>
      <c r="I301">
        <v>8</v>
      </c>
      <c r="J301" t="s">
        <v>33</v>
      </c>
      <c r="K301">
        <v>1</v>
      </c>
      <c r="L301" s="3">
        <v>5899</v>
      </c>
      <c r="M301">
        <v>5</v>
      </c>
      <c r="N301" s="3">
        <v>5600</v>
      </c>
      <c r="O301" s="3">
        <v>5600</v>
      </c>
      <c r="P301" t="s">
        <v>74</v>
      </c>
      <c r="Q301" t="s">
        <v>82</v>
      </c>
      <c r="R301" t="s">
        <v>36</v>
      </c>
      <c r="S301" t="s">
        <v>210</v>
      </c>
      <c r="T301" t="s">
        <v>412</v>
      </c>
      <c r="U301" t="s">
        <v>91</v>
      </c>
      <c r="V301" t="s">
        <v>40</v>
      </c>
      <c r="W301">
        <v>3.3</v>
      </c>
      <c r="X301" t="s">
        <v>41</v>
      </c>
      <c r="Y301" t="s">
        <v>42</v>
      </c>
      <c r="Z301">
        <v>5</v>
      </c>
    </row>
    <row r="302" spans="1:26">
      <c r="A302" t="s">
        <v>836</v>
      </c>
      <c r="B302" t="s">
        <v>837</v>
      </c>
      <c r="C302" t="s">
        <v>28</v>
      </c>
      <c r="D302" t="s">
        <v>29</v>
      </c>
      <c r="E302" s="1">
        <v>43442</v>
      </c>
      <c r="F302" t="s">
        <v>96</v>
      </c>
      <c r="G302" t="s">
        <v>171</v>
      </c>
      <c r="H302" t="s">
        <v>128</v>
      </c>
      <c r="I302">
        <v>11</v>
      </c>
      <c r="J302" t="s">
        <v>67</v>
      </c>
      <c r="K302">
        <v>1</v>
      </c>
      <c r="L302" s="3">
        <v>7299</v>
      </c>
      <c r="M302">
        <v>20</v>
      </c>
      <c r="N302" s="3">
        <v>5840</v>
      </c>
      <c r="O302" s="3">
        <v>5840</v>
      </c>
      <c r="P302" t="s">
        <v>81</v>
      </c>
      <c r="Q302" t="s">
        <v>51</v>
      </c>
      <c r="R302" t="s">
        <v>36</v>
      </c>
      <c r="S302" t="s">
        <v>99</v>
      </c>
      <c r="T302" t="s">
        <v>759</v>
      </c>
      <c r="U302" t="s">
        <v>91</v>
      </c>
      <c r="V302" t="s">
        <v>40</v>
      </c>
      <c r="W302">
        <v>4.5999999999999996</v>
      </c>
      <c r="X302" t="s">
        <v>41</v>
      </c>
      <c r="Y302" t="s">
        <v>55</v>
      </c>
      <c r="Z302">
        <v>3</v>
      </c>
    </row>
    <row r="303" spans="1:26">
      <c r="A303" t="s">
        <v>838</v>
      </c>
      <c r="B303" t="s">
        <v>839</v>
      </c>
      <c r="C303" t="s">
        <v>28</v>
      </c>
      <c r="D303" t="s">
        <v>103</v>
      </c>
      <c r="E303" s="1">
        <v>43444</v>
      </c>
      <c r="F303" t="s">
        <v>30</v>
      </c>
      <c r="G303" t="s">
        <v>214</v>
      </c>
      <c r="H303" t="s">
        <v>128</v>
      </c>
      <c r="I303">
        <v>9</v>
      </c>
      <c r="J303" t="s">
        <v>33</v>
      </c>
      <c r="K303">
        <v>1</v>
      </c>
      <c r="L303" s="3">
        <v>8599</v>
      </c>
      <c r="M303">
        <v>5</v>
      </c>
      <c r="N303" s="3">
        <v>8170</v>
      </c>
      <c r="O303" s="3">
        <v>8170</v>
      </c>
      <c r="P303" t="s">
        <v>34</v>
      </c>
      <c r="Q303" t="s">
        <v>82</v>
      </c>
      <c r="R303" t="s">
        <v>36</v>
      </c>
      <c r="S303" t="s">
        <v>160</v>
      </c>
      <c r="T303" t="s">
        <v>247</v>
      </c>
      <c r="U303" t="s">
        <v>54</v>
      </c>
      <c r="V303" t="s">
        <v>40</v>
      </c>
      <c r="W303">
        <v>3.6</v>
      </c>
      <c r="X303" t="s">
        <v>106</v>
      </c>
      <c r="Y303" t="s">
        <v>42</v>
      </c>
      <c r="Z303">
        <v>4</v>
      </c>
    </row>
    <row r="304" spans="1:26">
      <c r="A304" t="s">
        <v>840</v>
      </c>
      <c r="B304" t="s">
        <v>841</v>
      </c>
      <c r="C304" t="s">
        <v>28</v>
      </c>
      <c r="D304" t="s">
        <v>103</v>
      </c>
      <c r="E304" s="1">
        <v>43444</v>
      </c>
      <c r="F304" t="s">
        <v>96</v>
      </c>
      <c r="G304" t="s">
        <v>228</v>
      </c>
      <c r="H304" t="s">
        <v>59</v>
      </c>
      <c r="I304">
        <v>8</v>
      </c>
      <c r="J304" t="s">
        <v>73</v>
      </c>
      <c r="K304">
        <v>4</v>
      </c>
      <c r="L304" s="3">
        <v>9299</v>
      </c>
      <c r="M304">
        <v>5</v>
      </c>
      <c r="N304" s="3">
        <v>8830</v>
      </c>
      <c r="O304" s="3">
        <v>35320</v>
      </c>
      <c r="P304" t="s">
        <v>34</v>
      </c>
      <c r="Q304" t="s">
        <v>51</v>
      </c>
      <c r="R304" t="s">
        <v>36</v>
      </c>
      <c r="S304" t="s">
        <v>210</v>
      </c>
      <c r="T304" t="s">
        <v>412</v>
      </c>
      <c r="U304" t="s">
        <v>91</v>
      </c>
      <c r="V304" t="s">
        <v>40</v>
      </c>
      <c r="W304">
        <v>5</v>
      </c>
      <c r="X304" t="s">
        <v>41</v>
      </c>
      <c r="Y304" t="s">
        <v>42</v>
      </c>
      <c r="Z304">
        <v>3</v>
      </c>
    </row>
    <row r="305" spans="1:26">
      <c r="A305" t="s">
        <v>842</v>
      </c>
      <c r="B305" t="s">
        <v>843</v>
      </c>
      <c r="C305" t="s">
        <v>45</v>
      </c>
      <c r="D305" t="s">
        <v>46</v>
      </c>
      <c r="E305" s="1">
        <v>43445</v>
      </c>
      <c r="F305" t="s">
        <v>65</v>
      </c>
      <c r="G305" t="s">
        <v>268</v>
      </c>
      <c r="H305" t="s">
        <v>128</v>
      </c>
      <c r="I305">
        <v>7</v>
      </c>
      <c r="J305" t="s">
        <v>150</v>
      </c>
      <c r="K305">
        <v>4</v>
      </c>
      <c r="L305" s="3">
        <v>4699</v>
      </c>
      <c r="M305">
        <v>15</v>
      </c>
      <c r="N305" s="3">
        <v>3990</v>
      </c>
      <c r="O305" s="3">
        <v>15960</v>
      </c>
      <c r="P305" t="s">
        <v>50</v>
      </c>
      <c r="Q305" t="s">
        <v>82</v>
      </c>
      <c r="R305" t="s">
        <v>36</v>
      </c>
      <c r="S305" t="s">
        <v>129</v>
      </c>
      <c r="T305" t="s">
        <v>655</v>
      </c>
      <c r="U305" t="s">
        <v>54</v>
      </c>
      <c r="V305" t="s">
        <v>40</v>
      </c>
      <c r="W305">
        <v>3.9</v>
      </c>
      <c r="X305" t="s">
        <v>41</v>
      </c>
      <c r="Y305" t="s">
        <v>42</v>
      </c>
      <c r="Z305">
        <v>6</v>
      </c>
    </row>
    <row r="306" spans="1:26">
      <c r="A306" t="s">
        <v>844</v>
      </c>
      <c r="B306" t="s">
        <v>845</v>
      </c>
      <c r="C306" t="s">
        <v>28</v>
      </c>
      <c r="D306" t="s">
        <v>95</v>
      </c>
      <c r="E306" s="1">
        <v>43445</v>
      </c>
      <c r="F306" t="s">
        <v>65</v>
      </c>
      <c r="G306" t="s">
        <v>72</v>
      </c>
      <c r="H306" t="s">
        <v>59</v>
      </c>
      <c r="I306">
        <v>8</v>
      </c>
      <c r="J306" t="s">
        <v>98</v>
      </c>
      <c r="K306">
        <v>1</v>
      </c>
      <c r="L306" s="3">
        <v>7899</v>
      </c>
      <c r="M306">
        <v>25</v>
      </c>
      <c r="N306" s="3">
        <v>5920</v>
      </c>
      <c r="O306" s="3">
        <v>5920</v>
      </c>
      <c r="P306" t="s">
        <v>34</v>
      </c>
      <c r="Q306" t="s">
        <v>51</v>
      </c>
      <c r="R306" t="s">
        <v>36</v>
      </c>
      <c r="S306" t="s">
        <v>112</v>
      </c>
      <c r="T306" t="s">
        <v>133</v>
      </c>
      <c r="U306" t="s">
        <v>39</v>
      </c>
      <c r="V306" t="s">
        <v>40</v>
      </c>
      <c r="W306">
        <v>4.0999999999999996</v>
      </c>
      <c r="X306" t="s">
        <v>41</v>
      </c>
      <c r="Y306" t="s">
        <v>42</v>
      </c>
      <c r="Z306">
        <v>4</v>
      </c>
    </row>
    <row r="307" spans="1:26">
      <c r="A307" t="s">
        <v>846</v>
      </c>
      <c r="B307" t="s">
        <v>847</v>
      </c>
      <c r="C307" t="s">
        <v>28</v>
      </c>
      <c r="D307" t="s">
        <v>95</v>
      </c>
      <c r="E307" s="1">
        <v>43446</v>
      </c>
      <c r="F307" t="s">
        <v>30</v>
      </c>
      <c r="G307" t="s">
        <v>347</v>
      </c>
      <c r="H307" t="s">
        <v>49</v>
      </c>
      <c r="I307">
        <v>11</v>
      </c>
      <c r="J307" t="s">
        <v>98</v>
      </c>
      <c r="K307">
        <v>3</v>
      </c>
      <c r="L307" s="3">
        <v>8499</v>
      </c>
      <c r="M307">
        <v>20</v>
      </c>
      <c r="N307" s="3">
        <v>6800</v>
      </c>
      <c r="O307" s="3">
        <v>20400</v>
      </c>
      <c r="P307" t="s">
        <v>81</v>
      </c>
      <c r="Q307" t="s">
        <v>51</v>
      </c>
      <c r="R307" t="s">
        <v>36</v>
      </c>
      <c r="S307" t="s">
        <v>286</v>
      </c>
      <c r="T307" t="s">
        <v>287</v>
      </c>
      <c r="U307" t="s">
        <v>91</v>
      </c>
      <c r="V307" t="s">
        <v>40</v>
      </c>
      <c r="W307">
        <v>3.9</v>
      </c>
      <c r="X307" t="s">
        <v>41</v>
      </c>
      <c r="Y307" t="s">
        <v>55</v>
      </c>
      <c r="Z307">
        <v>2</v>
      </c>
    </row>
    <row r="308" spans="1:26">
      <c r="A308" t="s">
        <v>848</v>
      </c>
      <c r="B308" t="s">
        <v>849</v>
      </c>
      <c r="C308" t="s">
        <v>94</v>
      </c>
      <c r="D308" t="s">
        <v>95</v>
      </c>
      <c r="E308" s="1">
        <v>43446</v>
      </c>
      <c r="F308" t="s">
        <v>30</v>
      </c>
      <c r="G308" t="s">
        <v>58</v>
      </c>
      <c r="H308" t="s">
        <v>59</v>
      </c>
      <c r="I308">
        <v>7</v>
      </c>
      <c r="J308" t="s">
        <v>33</v>
      </c>
      <c r="K308">
        <v>1</v>
      </c>
      <c r="L308" s="3">
        <v>8899</v>
      </c>
      <c r="M308">
        <v>10</v>
      </c>
      <c r="N308" s="3">
        <v>8010</v>
      </c>
      <c r="O308" s="3">
        <v>8010</v>
      </c>
      <c r="P308" t="s">
        <v>34</v>
      </c>
      <c r="Q308" t="s">
        <v>82</v>
      </c>
      <c r="R308" t="s">
        <v>36</v>
      </c>
      <c r="S308" t="s">
        <v>99</v>
      </c>
      <c r="T308" t="s">
        <v>335</v>
      </c>
      <c r="U308" t="s">
        <v>54</v>
      </c>
      <c r="V308" t="s">
        <v>40</v>
      </c>
      <c r="W308">
        <v>3.4</v>
      </c>
      <c r="X308" t="s">
        <v>41</v>
      </c>
      <c r="Y308" t="s">
        <v>55</v>
      </c>
      <c r="Z308">
        <v>2</v>
      </c>
    </row>
    <row r="309" spans="1:26">
      <c r="A309" t="s">
        <v>850</v>
      </c>
      <c r="B309" t="s">
        <v>814</v>
      </c>
      <c r="C309" t="s">
        <v>28</v>
      </c>
      <c r="D309" t="s">
        <v>103</v>
      </c>
      <c r="E309" s="1">
        <v>43448</v>
      </c>
      <c r="F309" t="s">
        <v>79</v>
      </c>
      <c r="G309" t="s">
        <v>301</v>
      </c>
      <c r="H309" t="s">
        <v>49</v>
      </c>
      <c r="I309">
        <v>9</v>
      </c>
      <c r="J309" t="s">
        <v>67</v>
      </c>
      <c r="K309">
        <v>1</v>
      </c>
      <c r="L309" s="3">
        <v>4899</v>
      </c>
      <c r="M309">
        <v>15</v>
      </c>
      <c r="N309" s="3">
        <v>4160</v>
      </c>
      <c r="O309" s="3">
        <v>4160</v>
      </c>
      <c r="P309" t="s">
        <v>50</v>
      </c>
      <c r="Q309" t="s">
        <v>51</v>
      </c>
      <c r="R309" t="s">
        <v>36</v>
      </c>
      <c r="S309" t="s">
        <v>297</v>
      </c>
      <c r="T309" t="s">
        <v>298</v>
      </c>
      <c r="U309" t="s">
        <v>61</v>
      </c>
      <c r="V309" t="s">
        <v>315</v>
      </c>
      <c r="W309">
        <v>3.6</v>
      </c>
      <c r="X309" t="s">
        <v>41</v>
      </c>
      <c r="Y309" t="s">
        <v>42</v>
      </c>
      <c r="Z309">
        <v>4</v>
      </c>
    </row>
    <row r="310" spans="1:26">
      <c r="A310" t="s">
        <v>851</v>
      </c>
      <c r="B310" t="s">
        <v>852</v>
      </c>
      <c r="C310" t="s">
        <v>28</v>
      </c>
      <c r="D310" t="s">
        <v>109</v>
      </c>
      <c r="E310" s="1">
        <v>43448</v>
      </c>
      <c r="F310" t="s">
        <v>96</v>
      </c>
      <c r="G310" t="s">
        <v>155</v>
      </c>
      <c r="H310" t="s">
        <v>111</v>
      </c>
      <c r="I310">
        <v>7</v>
      </c>
      <c r="J310" t="s">
        <v>73</v>
      </c>
      <c r="K310">
        <v>1</v>
      </c>
      <c r="L310" s="3">
        <v>7199</v>
      </c>
      <c r="M310">
        <v>15</v>
      </c>
      <c r="N310" s="3">
        <v>6120</v>
      </c>
      <c r="O310" s="3">
        <v>6120</v>
      </c>
      <c r="P310" t="s">
        <v>81</v>
      </c>
      <c r="Q310" t="s">
        <v>82</v>
      </c>
      <c r="R310" t="s">
        <v>36</v>
      </c>
      <c r="S310" t="s">
        <v>112</v>
      </c>
      <c r="T310" t="s">
        <v>265</v>
      </c>
      <c r="U310" t="s">
        <v>39</v>
      </c>
      <c r="V310" t="s">
        <v>40</v>
      </c>
      <c r="W310">
        <v>4.5</v>
      </c>
      <c r="X310" t="s">
        <v>41</v>
      </c>
      <c r="Y310" t="s">
        <v>42</v>
      </c>
      <c r="Z310">
        <v>4</v>
      </c>
    </row>
    <row r="311" spans="1:26">
      <c r="A311" t="s">
        <v>853</v>
      </c>
      <c r="B311" t="s">
        <v>854</v>
      </c>
      <c r="C311" t="s">
        <v>28</v>
      </c>
      <c r="D311" t="s">
        <v>46</v>
      </c>
      <c r="E311" s="1">
        <v>43449</v>
      </c>
      <c r="F311" t="s">
        <v>65</v>
      </c>
      <c r="G311" t="s">
        <v>72</v>
      </c>
      <c r="H311" t="s">
        <v>59</v>
      </c>
      <c r="I311">
        <v>7</v>
      </c>
      <c r="J311" t="s">
        <v>33</v>
      </c>
      <c r="K311">
        <v>1</v>
      </c>
      <c r="L311" s="3">
        <v>4799</v>
      </c>
      <c r="M311">
        <v>25</v>
      </c>
      <c r="N311" s="3">
        <v>3600</v>
      </c>
      <c r="O311" s="3">
        <v>3600</v>
      </c>
      <c r="P311" t="s">
        <v>81</v>
      </c>
      <c r="Q311" t="s">
        <v>35</v>
      </c>
      <c r="R311" t="s">
        <v>36</v>
      </c>
      <c r="S311" t="s">
        <v>117</v>
      </c>
      <c r="T311" t="s">
        <v>544</v>
      </c>
      <c r="U311" t="s">
        <v>54</v>
      </c>
      <c r="V311" t="s">
        <v>40</v>
      </c>
      <c r="W311">
        <v>4.4000000000000004</v>
      </c>
      <c r="X311" t="s">
        <v>62</v>
      </c>
      <c r="Y311" t="s">
        <v>42</v>
      </c>
      <c r="Z311">
        <v>5</v>
      </c>
    </row>
    <row r="312" spans="1:26">
      <c r="A312" t="s">
        <v>855</v>
      </c>
      <c r="B312" t="s">
        <v>856</v>
      </c>
      <c r="C312" t="s">
        <v>28</v>
      </c>
      <c r="D312" t="s">
        <v>29</v>
      </c>
      <c r="E312" s="1">
        <v>43451</v>
      </c>
      <c r="F312" t="s">
        <v>30</v>
      </c>
      <c r="G312" t="s">
        <v>214</v>
      </c>
      <c r="H312" t="s">
        <v>128</v>
      </c>
      <c r="I312">
        <v>8</v>
      </c>
      <c r="J312" t="s">
        <v>98</v>
      </c>
      <c r="K312">
        <v>1</v>
      </c>
      <c r="L312" s="3">
        <v>7699</v>
      </c>
      <c r="M312">
        <v>15</v>
      </c>
      <c r="N312" s="3">
        <v>6540</v>
      </c>
      <c r="O312" s="3">
        <v>6540</v>
      </c>
      <c r="P312" t="s">
        <v>74</v>
      </c>
      <c r="Q312" t="s">
        <v>51</v>
      </c>
      <c r="R312" t="s">
        <v>36</v>
      </c>
      <c r="S312" t="s">
        <v>117</v>
      </c>
      <c r="T312" t="s">
        <v>118</v>
      </c>
      <c r="U312" t="s">
        <v>54</v>
      </c>
      <c r="V312" t="s">
        <v>40</v>
      </c>
      <c r="W312">
        <v>4.0999999999999996</v>
      </c>
      <c r="X312" t="s">
        <v>41</v>
      </c>
      <c r="Y312" t="s">
        <v>42</v>
      </c>
      <c r="Z312">
        <v>4</v>
      </c>
    </row>
    <row r="313" spans="1:26">
      <c r="A313" t="s">
        <v>857</v>
      </c>
      <c r="B313" t="s">
        <v>858</v>
      </c>
      <c r="C313" t="s">
        <v>45</v>
      </c>
      <c r="D313" t="s">
        <v>103</v>
      </c>
      <c r="E313" s="1">
        <v>43453</v>
      </c>
      <c r="F313" t="s">
        <v>96</v>
      </c>
      <c r="G313" t="s">
        <v>290</v>
      </c>
      <c r="H313" t="s">
        <v>32</v>
      </c>
      <c r="I313">
        <v>7</v>
      </c>
      <c r="J313" t="s">
        <v>98</v>
      </c>
      <c r="K313">
        <v>1</v>
      </c>
      <c r="L313" s="3">
        <v>8499</v>
      </c>
      <c r="M313">
        <v>20</v>
      </c>
      <c r="N313" s="3">
        <v>6800</v>
      </c>
      <c r="O313" s="3">
        <v>6800</v>
      </c>
      <c r="P313" t="s">
        <v>74</v>
      </c>
      <c r="Q313" t="s">
        <v>35</v>
      </c>
      <c r="R313" t="s">
        <v>36</v>
      </c>
      <c r="S313" t="s">
        <v>191</v>
      </c>
      <c r="T313" t="s">
        <v>192</v>
      </c>
      <c r="U313" t="s">
        <v>54</v>
      </c>
      <c r="V313" t="s">
        <v>40</v>
      </c>
      <c r="W313">
        <v>4.8</v>
      </c>
      <c r="X313" t="s">
        <v>41</v>
      </c>
      <c r="Y313" t="s">
        <v>42</v>
      </c>
      <c r="Z313">
        <v>5</v>
      </c>
    </row>
    <row r="314" spans="1:26">
      <c r="A314" t="s">
        <v>859</v>
      </c>
      <c r="B314" t="s">
        <v>860</v>
      </c>
      <c r="C314" t="s">
        <v>28</v>
      </c>
      <c r="D314" t="s">
        <v>29</v>
      </c>
      <c r="E314" s="1">
        <v>43454</v>
      </c>
      <c r="F314" t="s">
        <v>96</v>
      </c>
      <c r="G314" t="s">
        <v>155</v>
      </c>
      <c r="H314" t="s">
        <v>111</v>
      </c>
      <c r="I314">
        <v>10</v>
      </c>
      <c r="J314" t="s">
        <v>150</v>
      </c>
      <c r="K314">
        <v>3</v>
      </c>
      <c r="L314" s="3">
        <v>7599</v>
      </c>
      <c r="M314">
        <v>15</v>
      </c>
      <c r="N314" s="3">
        <v>6460</v>
      </c>
      <c r="O314" s="3">
        <v>19380</v>
      </c>
      <c r="P314" t="s">
        <v>50</v>
      </c>
      <c r="Q314" t="s">
        <v>51</v>
      </c>
      <c r="R314" t="s">
        <v>36</v>
      </c>
      <c r="S314" t="s">
        <v>243</v>
      </c>
      <c r="T314" t="s">
        <v>328</v>
      </c>
      <c r="U314" t="s">
        <v>54</v>
      </c>
      <c r="V314" t="s">
        <v>40</v>
      </c>
      <c r="W314">
        <v>5</v>
      </c>
      <c r="X314" t="s">
        <v>62</v>
      </c>
      <c r="Y314" t="s">
        <v>42</v>
      </c>
      <c r="Z314">
        <v>2</v>
      </c>
    </row>
    <row r="315" spans="1:26">
      <c r="A315" t="s">
        <v>861</v>
      </c>
      <c r="B315" t="s">
        <v>862</v>
      </c>
      <c r="C315" t="s">
        <v>28</v>
      </c>
      <c r="D315" t="s">
        <v>46</v>
      </c>
      <c r="E315" s="1">
        <v>43455</v>
      </c>
      <c r="F315" t="s">
        <v>96</v>
      </c>
      <c r="G315" t="s">
        <v>97</v>
      </c>
      <c r="H315" t="s">
        <v>49</v>
      </c>
      <c r="I315">
        <v>10</v>
      </c>
      <c r="J315" t="s">
        <v>98</v>
      </c>
      <c r="K315">
        <v>1</v>
      </c>
      <c r="L315" s="3">
        <v>7699</v>
      </c>
      <c r="M315">
        <v>15</v>
      </c>
      <c r="N315" s="3">
        <v>6540</v>
      </c>
      <c r="O315" s="3">
        <v>6540</v>
      </c>
      <c r="P315" t="s">
        <v>34</v>
      </c>
      <c r="Q315" t="s">
        <v>51</v>
      </c>
      <c r="R315" t="s">
        <v>36</v>
      </c>
      <c r="S315" t="s">
        <v>238</v>
      </c>
      <c r="T315" t="s">
        <v>377</v>
      </c>
      <c r="U315" t="s">
        <v>54</v>
      </c>
      <c r="V315" t="s">
        <v>40</v>
      </c>
      <c r="W315">
        <v>4.5</v>
      </c>
      <c r="X315" t="s">
        <v>106</v>
      </c>
      <c r="Y315" t="s">
        <v>42</v>
      </c>
      <c r="Z315">
        <v>7</v>
      </c>
    </row>
    <row r="316" spans="1:26">
      <c r="A316" t="s">
        <v>863</v>
      </c>
      <c r="B316" t="s">
        <v>727</v>
      </c>
      <c r="C316" t="s">
        <v>28</v>
      </c>
      <c r="D316" t="s">
        <v>46</v>
      </c>
      <c r="E316" s="1">
        <v>43457</v>
      </c>
      <c r="F316" t="s">
        <v>96</v>
      </c>
      <c r="G316" t="s">
        <v>155</v>
      </c>
      <c r="H316" t="s">
        <v>111</v>
      </c>
      <c r="I316">
        <v>10</v>
      </c>
      <c r="J316" t="s">
        <v>67</v>
      </c>
      <c r="K316">
        <v>2</v>
      </c>
      <c r="L316" s="3">
        <v>9499</v>
      </c>
      <c r="M316">
        <v>25</v>
      </c>
      <c r="N316" s="3">
        <v>7120</v>
      </c>
      <c r="O316" s="3">
        <v>14240</v>
      </c>
      <c r="P316" t="s">
        <v>50</v>
      </c>
      <c r="Q316" t="s">
        <v>82</v>
      </c>
      <c r="R316" t="s">
        <v>36</v>
      </c>
      <c r="S316" t="s">
        <v>104</v>
      </c>
      <c r="T316" t="s">
        <v>105</v>
      </c>
      <c r="U316" t="s">
        <v>61</v>
      </c>
      <c r="V316" t="s">
        <v>315</v>
      </c>
      <c r="W316">
        <v>3.8</v>
      </c>
      <c r="X316" t="s">
        <v>41</v>
      </c>
      <c r="Y316" t="s">
        <v>42</v>
      </c>
      <c r="Z316">
        <v>4</v>
      </c>
    </row>
    <row r="317" spans="1:26">
      <c r="A317" t="s">
        <v>864</v>
      </c>
      <c r="B317" t="s">
        <v>471</v>
      </c>
      <c r="C317" t="s">
        <v>28</v>
      </c>
      <c r="D317" t="s">
        <v>46</v>
      </c>
      <c r="E317" s="1">
        <v>43457</v>
      </c>
      <c r="F317" t="s">
        <v>30</v>
      </c>
      <c r="G317" t="s">
        <v>214</v>
      </c>
      <c r="H317" t="s">
        <v>128</v>
      </c>
      <c r="I317">
        <v>8</v>
      </c>
      <c r="J317" t="s">
        <v>88</v>
      </c>
      <c r="K317">
        <v>1</v>
      </c>
      <c r="L317" s="3">
        <v>4699</v>
      </c>
      <c r="M317">
        <v>20</v>
      </c>
      <c r="N317" s="3">
        <v>3760</v>
      </c>
      <c r="O317" s="3">
        <v>3760</v>
      </c>
      <c r="P317" t="s">
        <v>74</v>
      </c>
      <c r="Q317" t="s">
        <v>51</v>
      </c>
      <c r="R317" t="s">
        <v>36</v>
      </c>
      <c r="S317" t="s">
        <v>175</v>
      </c>
      <c r="T317" t="s">
        <v>865</v>
      </c>
      <c r="U317" t="s">
        <v>54</v>
      </c>
      <c r="V317" t="s">
        <v>315</v>
      </c>
      <c r="W317">
        <v>4.3</v>
      </c>
      <c r="X317" t="s">
        <v>62</v>
      </c>
      <c r="Y317" t="s">
        <v>42</v>
      </c>
      <c r="Z317">
        <v>2</v>
      </c>
    </row>
    <row r="318" spans="1:26">
      <c r="A318" t="s">
        <v>866</v>
      </c>
      <c r="B318" t="s">
        <v>586</v>
      </c>
      <c r="C318" t="s">
        <v>28</v>
      </c>
      <c r="D318" t="s">
        <v>95</v>
      </c>
      <c r="E318" s="1">
        <v>43459</v>
      </c>
      <c r="F318" t="s">
        <v>30</v>
      </c>
      <c r="G318" t="s">
        <v>347</v>
      </c>
      <c r="H318" t="s">
        <v>49</v>
      </c>
      <c r="I318">
        <v>9</v>
      </c>
      <c r="J318" t="s">
        <v>98</v>
      </c>
      <c r="K318">
        <v>1</v>
      </c>
      <c r="L318" s="3">
        <v>5799</v>
      </c>
      <c r="M318">
        <v>5</v>
      </c>
      <c r="N318" s="3">
        <v>5510</v>
      </c>
      <c r="O318" s="3">
        <v>5510</v>
      </c>
      <c r="P318" t="s">
        <v>74</v>
      </c>
      <c r="Q318" t="s">
        <v>51</v>
      </c>
      <c r="R318" t="s">
        <v>36</v>
      </c>
      <c r="S318" t="s">
        <v>200</v>
      </c>
      <c r="T318" t="s">
        <v>219</v>
      </c>
      <c r="U318" t="s">
        <v>39</v>
      </c>
      <c r="V318" t="s">
        <v>315</v>
      </c>
      <c r="W318">
        <v>5</v>
      </c>
      <c r="X318" t="s">
        <v>62</v>
      </c>
      <c r="Y318" t="s">
        <v>42</v>
      </c>
      <c r="Z318">
        <v>4</v>
      </c>
    </row>
    <row r="319" spans="1:26">
      <c r="A319" t="s">
        <v>867</v>
      </c>
      <c r="B319" t="s">
        <v>868</v>
      </c>
      <c r="C319" t="s">
        <v>28</v>
      </c>
      <c r="D319" t="s">
        <v>109</v>
      </c>
      <c r="E319" s="1">
        <v>43460</v>
      </c>
      <c r="F319" t="s">
        <v>30</v>
      </c>
      <c r="G319" t="s">
        <v>110</v>
      </c>
      <c r="H319" t="s">
        <v>111</v>
      </c>
      <c r="I319">
        <v>6</v>
      </c>
      <c r="J319" t="s">
        <v>73</v>
      </c>
      <c r="K319">
        <v>1</v>
      </c>
      <c r="L319" s="3">
        <v>8999</v>
      </c>
      <c r="M319">
        <v>0</v>
      </c>
      <c r="N319" s="3">
        <v>9000</v>
      </c>
      <c r="O319" s="3">
        <v>9000</v>
      </c>
      <c r="P319" t="s">
        <v>50</v>
      </c>
      <c r="Q319" t="s">
        <v>35</v>
      </c>
      <c r="R319" t="s">
        <v>36</v>
      </c>
      <c r="S319" t="s">
        <v>164</v>
      </c>
      <c r="T319" t="s">
        <v>348</v>
      </c>
      <c r="U319" t="s">
        <v>54</v>
      </c>
      <c r="V319" t="s">
        <v>40</v>
      </c>
      <c r="W319">
        <v>4.4000000000000004</v>
      </c>
      <c r="X319" t="s">
        <v>106</v>
      </c>
      <c r="Y319" t="s">
        <v>42</v>
      </c>
      <c r="Z319">
        <v>4</v>
      </c>
    </row>
    <row r="320" spans="1:26">
      <c r="A320" t="s">
        <v>869</v>
      </c>
      <c r="B320" t="s">
        <v>870</v>
      </c>
      <c r="C320" t="s">
        <v>45</v>
      </c>
      <c r="D320" t="s">
        <v>103</v>
      </c>
      <c r="E320" s="1">
        <v>43462</v>
      </c>
      <c r="F320" t="s">
        <v>86</v>
      </c>
      <c r="G320" t="s">
        <v>285</v>
      </c>
      <c r="H320" t="s">
        <v>111</v>
      </c>
      <c r="I320">
        <v>9</v>
      </c>
      <c r="J320" t="s">
        <v>73</v>
      </c>
      <c r="K320">
        <v>1</v>
      </c>
      <c r="L320" s="3">
        <v>5899</v>
      </c>
      <c r="M320">
        <v>10</v>
      </c>
      <c r="N320" s="3">
        <v>5310</v>
      </c>
      <c r="O320" s="3">
        <v>5310</v>
      </c>
      <c r="P320" t="s">
        <v>50</v>
      </c>
      <c r="Q320" t="s">
        <v>82</v>
      </c>
      <c r="R320" t="s">
        <v>36</v>
      </c>
      <c r="S320" t="s">
        <v>129</v>
      </c>
      <c r="T320" t="s">
        <v>130</v>
      </c>
      <c r="U320" t="s">
        <v>39</v>
      </c>
      <c r="V320" t="s">
        <v>40</v>
      </c>
      <c r="W320">
        <v>4.3</v>
      </c>
      <c r="X320" t="s">
        <v>62</v>
      </c>
      <c r="Y320" t="s">
        <v>42</v>
      </c>
      <c r="Z320">
        <v>5</v>
      </c>
    </row>
    <row r="321" spans="1:26">
      <c r="A321" t="s">
        <v>871</v>
      </c>
      <c r="B321" t="s">
        <v>872</v>
      </c>
      <c r="C321" t="s">
        <v>28</v>
      </c>
      <c r="D321" t="s">
        <v>29</v>
      </c>
      <c r="E321" s="1">
        <v>43462</v>
      </c>
      <c r="F321" t="s">
        <v>79</v>
      </c>
      <c r="G321" t="s">
        <v>80</v>
      </c>
      <c r="H321" t="s">
        <v>59</v>
      </c>
      <c r="I321">
        <v>8</v>
      </c>
      <c r="J321" t="s">
        <v>73</v>
      </c>
      <c r="K321">
        <v>4</v>
      </c>
      <c r="L321" s="3">
        <v>7099</v>
      </c>
      <c r="M321">
        <v>15</v>
      </c>
      <c r="N321" s="3">
        <v>6030</v>
      </c>
      <c r="O321" s="3">
        <v>24120</v>
      </c>
      <c r="P321" t="s">
        <v>74</v>
      </c>
      <c r="Q321" t="s">
        <v>51</v>
      </c>
      <c r="R321" t="s">
        <v>36</v>
      </c>
      <c r="S321" t="s">
        <v>99</v>
      </c>
      <c r="T321" t="s">
        <v>759</v>
      </c>
      <c r="U321" t="s">
        <v>124</v>
      </c>
      <c r="V321" t="s">
        <v>40</v>
      </c>
      <c r="W321">
        <v>4.4000000000000004</v>
      </c>
      <c r="X321" t="s">
        <v>106</v>
      </c>
      <c r="Y321" t="s">
        <v>55</v>
      </c>
      <c r="Z321">
        <v>3</v>
      </c>
    </row>
    <row r="322" spans="1:26">
      <c r="A322" t="s">
        <v>873</v>
      </c>
      <c r="B322" t="s">
        <v>874</v>
      </c>
      <c r="C322" t="s">
        <v>45</v>
      </c>
      <c r="D322" t="s">
        <v>46</v>
      </c>
      <c r="E322" s="1">
        <v>43467</v>
      </c>
      <c r="F322" t="s">
        <v>86</v>
      </c>
      <c r="G322" t="s">
        <v>242</v>
      </c>
      <c r="H322" t="s">
        <v>32</v>
      </c>
      <c r="I322">
        <v>8</v>
      </c>
      <c r="J322" t="s">
        <v>98</v>
      </c>
      <c r="K322">
        <v>1</v>
      </c>
      <c r="L322" s="3">
        <v>4799</v>
      </c>
      <c r="M322">
        <v>30</v>
      </c>
      <c r="N322" s="3">
        <v>3360</v>
      </c>
      <c r="O322" s="3">
        <v>3360</v>
      </c>
      <c r="P322" t="s">
        <v>34</v>
      </c>
      <c r="Q322" t="s">
        <v>51</v>
      </c>
      <c r="R322" t="s">
        <v>36</v>
      </c>
      <c r="S322" t="s">
        <v>238</v>
      </c>
      <c r="T322" t="s">
        <v>498</v>
      </c>
      <c r="U322" t="s">
        <v>39</v>
      </c>
      <c r="V322" t="s">
        <v>40</v>
      </c>
      <c r="W322">
        <v>5</v>
      </c>
      <c r="X322" t="s">
        <v>41</v>
      </c>
      <c r="Y322" t="s">
        <v>42</v>
      </c>
      <c r="Z322">
        <v>5</v>
      </c>
    </row>
    <row r="323" spans="1:26">
      <c r="A323" t="s">
        <v>875</v>
      </c>
      <c r="B323" t="s">
        <v>876</v>
      </c>
      <c r="C323" t="s">
        <v>28</v>
      </c>
      <c r="D323" t="s">
        <v>103</v>
      </c>
      <c r="E323" s="1">
        <v>43470</v>
      </c>
      <c r="F323" t="s">
        <v>65</v>
      </c>
      <c r="G323" t="s">
        <v>279</v>
      </c>
      <c r="H323" t="s">
        <v>111</v>
      </c>
      <c r="I323">
        <v>9</v>
      </c>
      <c r="J323" t="s">
        <v>88</v>
      </c>
      <c r="K323">
        <v>1</v>
      </c>
      <c r="L323" s="3">
        <v>8499</v>
      </c>
      <c r="M323">
        <v>5</v>
      </c>
      <c r="N323" s="3">
        <v>8070</v>
      </c>
      <c r="O323" s="3">
        <v>8070</v>
      </c>
      <c r="P323" t="s">
        <v>50</v>
      </c>
      <c r="Q323" t="s">
        <v>51</v>
      </c>
      <c r="R323" t="s">
        <v>36</v>
      </c>
      <c r="S323" t="s">
        <v>269</v>
      </c>
      <c r="T323" t="s">
        <v>575</v>
      </c>
      <c r="U323" t="s">
        <v>54</v>
      </c>
      <c r="V323" t="s">
        <v>40</v>
      </c>
      <c r="W323">
        <v>3</v>
      </c>
      <c r="X323" t="s">
        <v>106</v>
      </c>
      <c r="Y323" t="s">
        <v>42</v>
      </c>
      <c r="Z323">
        <v>2</v>
      </c>
    </row>
    <row r="324" spans="1:26">
      <c r="A324" t="s">
        <v>877</v>
      </c>
      <c r="B324" t="s">
        <v>878</v>
      </c>
      <c r="C324" t="s">
        <v>28</v>
      </c>
      <c r="D324" t="s">
        <v>109</v>
      </c>
      <c r="E324" s="1">
        <v>43471</v>
      </c>
      <c r="F324" t="s">
        <v>47</v>
      </c>
      <c r="G324" t="s">
        <v>140</v>
      </c>
      <c r="H324" t="s">
        <v>128</v>
      </c>
      <c r="I324">
        <v>10</v>
      </c>
      <c r="J324" t="s">
        <v>98</v>
      </c>
      <c r="K324">
        <v>1</v>
      </c>
      <c r="L324" s="3">
        <v>5799</v>
      </c>
      <c r="M324">
        <v>20</v>
      </c>
      <c r="N324" s="3">
        <v>4640</v>
      </c>
      <c r="O324" s="3">
        <v>4640</v>
      </c>
      <c r="P324" t="s">
        <v>74</v>
      </c>
      <c r="Q324" t="s">
        <v>82</v>
      </c>
      <c r="R324" t="s">
        <v>36</v>
      </c>
      <c r="S324" t="s">
        <v>186</v>
      </c>
      <c r="T324" t="s">
        <v>222</v>
      </c>
      <c r="U324" t="s">
        <v>124</v>
      </c>
      <c r="V324" t="s">
        <v>40</v>
      </c>
      <c r="W324">
        <v>3.9</v>
      </c>
      <c r="X324" t="s">
        <v>41</v>
      </c>
      <c r="Y324" t="s">
        <v>55</v>
      </c>
      <c r="Z324">
        <v>3</v>
      </c>
    </row>
    <row r="325" spans="1:26">
      <c r="A325" t="s">
        <v>879</v>
      </c>
      <c r="B325" t="s">
        <v>322</v>
      </c>
      <c r="C325" t="s">
        <v>28</v>
      </c>
      <c r="D325" t="s">
        <v>46</v>
      </c>
      <c r="E325" s="1">
        <v>43472</v>
      </c>
      <c r="F325" t="s">
        <v>96</v>
      </c>
      <c r="G325" t="s">
        <v>155</v>
      </c>
      <c r="H325" t="s">
        <v>111</v>
      </c>
      <c r="I325">
        <v>10</v>
      </c>
      <c r="J325" t="s">
        <v>98</v>
      </c>
      <c r="K325">
        <v>1</v>
      </c>
      <c r="L325" s="3">
        <v>8999</v>
      </c>
      <c r="M325">
        <v>15</v>
      </c>
      <c r="N325" s="3">
        <v>7650</v>
      </c>
      <c r="O325" s="3">
        <v>7650</v>
      </c>
      <c r="P325" t="s">
        <v>74</v>
      </c>
      <c r="Q325" t="s">
        <v>82</v>
      </c>
      <c r="R325" t="s">
        <v>36</v>
      </c>
      <c r="S325" t="s">
        <v>210</v>
      </c>
      <c r="T325" t="s">
        <v>211</v>
      </c>
      <c r="U325" t="s">
        <v>39</v>
      </c>
      <c r="V325" t="s">
        <v>315</v>
      </c>
      <c r="W325">
        <v>2.9</v>
      </c>
      <c r="X325" t="s">
        <v>41</v>
      </c>
      <c r="Y325" t="s">
        <v>42</v>
      </c>
      <c r="Z325">
        <v>3</v>
      </c>
    </row>
    <row r="326" spans="1:26">
      <c r="A326" t="s">
        <v>880</v>
      </c>
      <c r="B326" t="s">
        <v>630</v>
      </c>
      <c r="C326" t="s">
        <v>28</v>
      </c>
      <c r="D326" t="s">
        <v>103</v>
      </c>
      <c r="E326" s="1">
        <v>43472</v>
      </c>
      <c r="F326" t="s">
        <v>65</v>
      </c>
      <c r="G326" t="s">
        <v>66</v>
      </c>
      <c r="H326" t="s">
        <v>59</v>
      </c>
      <c r="I326">
        <v>6</v>
      </c>
      <c r="J326" t="s">
        <v>67</v>
      </c>
      <c r="K326">
        <v>1</v>
      </c>
      <c r="L326" s="3">
        <v>6199</v>
      </c>
      <c r="M326">
        <v>25</v>
      </c>
      <c r="N326" s="3">
        <v>4650</v>
      </c>
      <c r="O326" s="3">
        <v>4650</v>
      </c>
      <c r="P326" t="s">
        <v>81</v>
      </c>
      <c r="Q326" t="s">
        <v>82</v>
      </c>
      <c r="R326" t="s">
        <v>36</v>
      </c>
      <c r="S326" t="s">
        <v>164</v>
      </c>
      <c r="T326" t="s">
        <v>165</v>
      </c>
      <c r="U326" t="s">
        <v>54</v>
      </c>
      <c r="V326" t="s">
        <v>315</v>
      </c>
      <c r="W326">
        <v>3.9</v>
      </c>
      <c r="X326" t="s">
        <v>41</v>
      </c>
      <c r="Y326" t="s">
        <v>42</v>
      </c>
      <c r="Z326">
        <v>1</v>
      </c>
    </row>
    <row r="327" spans="1:26">
      <c r="A327" t="s">
        <v>881</v>
      </c>
      <c r="B327" t="s">
        <v>882</v>
      </c>
      <c r="C327" t="s">
        <v>45</v>
      </c>
      <c r="D327" t="s">
        <v>29</v>
      </c>
      <c r="E327" s="1">
        <v>43473</v>
      </c>
      <c r="F327" t="s">
        <v>65</v>
      </c>
      <c r="G327" t="s">
        <v>256</v>
      </c>
      <c r="H327" t="s">
        <v>32</v>
      </c>
      <c r="I327">
        <v>9</v>
      </c>
      <c r="J327" t="s">
        <v>88</v>
      </c>
      <c r="K327">
        <v>1</v>
      </c>
      <c r="L327" s="3">
        <v>6899</v>
      </c>
      <c r="M327">
        <v>10</v>
      </c>
      <c r="N327" s="3">
        <v>6210</v>
      </c>
      <c r="O327" s="3">
        <v>6210</v>
      </c>
      <c r="P327" t="s">
        <v>34</v>
      </c>
      <c r="Q327" t="s">
        <v>35</v>
      </c>
      <c r="R327" t="s">
        <v>36</v>
      </c>
      <c r="S327" t="s">
        <v>238</v>
      </c>
      <c r="T327" t="s">
        <v>498</v>
      </c>
      <c r="U327" t="s">
        <v>39</v>
      </c>
      <c r="V327" t="s">
        <v>40</v>
      </c>
      <c r="W327">
        <v>4.2</v>
      </c>
      <c r="X327" t="s">
        <v>41</v>
      </c>
      <c r="Y327" t="s">
        <v>42</v>
      </c>
      <c r="Z327">
        <v>5</v>
      </c>
    </row>
    <row r="328" spans="1:26">
      <c r="A328" t="s">
        <v>883</v>
      </c>
      <c r="B328" t="s">
        <v>884</v>
      </c>
      <c r="C328" t="s">
        <v>28</v>
      </c>
      <c r="D328" t="s">
        <v>109</v>
      </c>
      <c r="E328" s="1">
        <v>43477</v>
      </c>
      <c r="F328" t="s">
        <v>30</v>
      </c>
      <c r="G328" t="s">
        <v>110</v>
      </c>
      <c r="H328" t="s">
        <v>111</v>
      </c>
      <c r="I328">
        <v>6</v>
      </c>
      <c r="J328" t="s">
        <v>33</v>
      </c>
      <c r="K328">
        <v>1</v>
      </c>
      <c r="L328" s="3">
        <v>7099</v>
      </c>
      <c r="M328">
        <v>0</v>
      </c>
      <c r="N328" s="3">
        <v>7100</v>
      </c>
      <c r="O328" s="3">
        <v>7100</v>
      </c>
      <c r="P328" t="s">
        <v>74</v>
      </c>
      <c r="Q328" t="s">
        <v>51</v>
      </c>
      <c r="R328" t="s">
        <v>36</v>
      </c>
      <c r="S328" t="s">
        <v>164</v>
      </c>
      <c r="T328" t="s">
        <v>314</v>
      </c>
      <c r="U328" t="s">
        <v>39</v>
      </c>
      <c r="V328" t="s">
        <v>40</v>
      </c>
      <c r="W328">
        <v>4.0999999999999996</v>
      </c>
      <c r="X328" t="s">
        <v>41</v>
      </c>
      <c r="Y328" t="s">
        <v>42</v>
      </c>
      <c r="Z328">
        <v>3</v>
      </c>
    </row>
    <row r="329" spans="1:26">
      <c r="A329" t="s">
        <v>885</v>
      </c>
      <c r="B329" t="s">
        <v>886</v>
      </c>
      <c r="C329" t="s">
        <v>45</v>
      </c>
      <c r="D329" t="s">
        <v>46</v>
      </c>
      <c r="E329" s="1">
        <v>43479</v>
      </c>
      <c r="F329" t="s">
        <v>86</v>
      </c>
      <c r="G329" t="s">
        <v>116</v>
      </c>
      <c r="H329" t="s">
        <v>49</v>
      </c>
      <c r="I329">
        <v>11</v>
      </c>
      <c r="J329" t="s">
        <v>98</v>
      </c>
      <c r="K329">
        <v>2</v>
      </c>
      <c r="L329" s="3">
        <v>7699</v>
      </c>
      <c r="M329">
        <v>10</v>
      </c>
      <c r="N329" s="3">
        <v>6930</v>
      </c>
      <c r="O329" s="3">
        <v>13860</v>
      </c>
      <c r="P329" t="s">
        <v>50</v>
      </c>
      <c r="Q329" t="s">
        <v>51</v>
      </c>
      <c r="R329" t="s">
        <v>36</v>
      </c>
      <c r="S329" t="s">
        <v>89</v>
      </c>
      <c r="T329" t="s">
        <v>90</v>
      </c>
      <c r="U329" t="s">
        <v>54</v>
      </c>
      <c r="V329" t="s">
        <v>40</v>
      </c>
      <c r="W329">
        <v>3</v>
      </c>
      <c r="X329" t="s">
        <v>41</v>
      </c>
      <c r="Y329" t="s">
        <v>55</v>
      </c>
      <c r="Z329">
        <v>4</v>
      </c>
    </row>
    <row r="330" spans="1:26">
      <c r="A330" t="s">
        <v>887</v>
      </c>
      <c r="B330" t="s">
        <v>839</v>
      </c>
      <c r="C330" t="s">
        <v>28</v>
      </c>
      <c r="D330" t="s">
        <v>109</v>
      </c>
      <c r="E330" s="1">
        <v>43485</v>
      </c>
      <c r="F330" t="s">
        <v>79</v>
      </c>
      <c r="G330" t="s">
        <v>127</v>
      </c>
      <c r="H330" t="s">
        <v>128</v>
      </c>
      <c r="I330">
        <v>8</v>
      </c>
      <c r="J330" t="s">
        <v>33</v>
      </c>
      <c r="K330">
        <v>1</v>
      </c>
      <c r="L330" s="3">
        <v>6299</v>
      </c>
      <c r="M330">
        <v>20</v>
      </c>
      <c r="N330" s="3">
        <v>5040</v>
      </c>
      <c r="O330" s="3">
        <v>5040</v>
      </c>
      <c r="P330" t="s">
        <v>81</v>
      </c>
      <c r="Q330" t="s">
        <v>51</v>
      </c>
      <c r="R330" t="s">
        <v>36</v>
      </c>
      <c r="S330" t="s">
        <v>286</v>
      </c>
      <c r="T330" t="s">
        <v>737</v>
      </c>
      <c r="U330" t="s">
        <v>39</v>
      </c>
      <c r="V330" t="s">
        <v>315</v>
      </c>
      <c r="W330">
        <v>4.2</v>
      </c>
      <c r="X330" t="s">
        <v>41</v>
      </c>
      <c r="Y330" t="s">
        <v>42</v>
      </c>
      <c r="Z330">
        <v>5</v>
      </c>
    </row>
    <row r="331" spans="1:26">
      <c r="A331" t="s">
        <v>888</v>
      </c>
      <c r="B331" t="s">
        <v>889</v>
      </c>
      <c r="C331" t="s">
        <v>28</v>
      </c>
      <c r="D331" t="s">
        <v>29</v>
      </c>
      <c r="E331" s="1">
        <v>43486</v>
      </c>
      <c r="F331" t="s">
        <v>30</v>
      </c>
      <c r="G331" t="s">
        <v>145</v>
      </c>
      <c r="H331" t="s">
        <v>59</v>
      </c>
      <c r="I331">
        <v>11</v>
      </c>
      <c r="J331" t="s">
        <v>73</v>
      </c>
      <c r="K331">
        <v>1</v>
      </c>
      <c r="L331" s="3">
        <v>6899</v>
      </c>
      <c r="M331">
        <v>5</v>
      </c>
      <c r="N331" s="3">
        <v>6550</v>
      </c>
      <c r="O331" s="3">
        <v>6550</v>
      </c>
      <c r="P331" t="s">
        <v>81</v>
      </c>
      <c r="Q331" t="s">
        <v>51</v>
      </c>
      <c r="R331" t="s">
        <v>36</v>
      </c>
      <c r="S331" t="s">
        <v>151</v>
      </c>
      <c r="T331" t="s">
        <v>890</v>
      </c>
      <c r="U331" t="s">
        <v>39</v>
      </c>
      <c r="V331" t="s">
        <v>40</v>
      </c>
      <c r="W331">
        <v>5</v>
      </c>
      <c r="X331" t="s">
        <v>106</v>
      </c>
      <c r="Y331" t="s">
        <v>42</v>
      </c>
      <c r="Z331">
        <v>6</v>
      </c>
    </row>
    <row r="332" spans="1:26">
      <c r="A332" t="s">
        <v>891</v>
      </c>
      <c r="B332" t="s">
        <v>454</v>
      </c>
      <c r="C332" t="s">
        <v>28</v>
      </c>
      <c r="D332" t="s">
        <v>46</v>
      </c>
      <c r="E332" s="1">
        <v>43490</v>
      </c>
      <c r="F332" t="s">
        <v>86</v>
      </c>
      <c r="G332" t="s">
        <v>242</v>
      </c>
      <c r="H332" t="s">
        <v>32</v>
      </c>
      <c r="I332">
        <v>10</v>
      </c>
      <c r="J332" t="s">
        <v>98</v>
      </c>
      <c r="K332">
        <v>1</v>
      </c>
      <c r="L332" s="3">
        <v>4999</v>
      </c>
      <c r="M332">
        <v>30</v>
      </c>
      <c r="N332" s="3">
        <v>3500</v>
      </c>
      <c r="O332" s="3">
        <v>3500</v>
      </c>
      <c r="P332" t="s">
        <v>34</v>
      </c>
      <c r="Q332" t="s">
        <v>35</v>
      </c>
      <c r="R332" t="s">
        <v>36</v>
      </c>
      <c r="S332" t="s">
        <v>52</v>
      </c>
      <c r="T332" t="s">
        <v>60</v>
      </c>
      <c r="U332" t="s">
        <v>54</v>
      </c>
      <c r="V332" t="s">
        <v>315</v>
      </c>
      <c r="W332">
        <v>3.5</v>
      </c>
      <c r="X332" t="s">
        <v>106</v>
      </c>
      <c r="Y332" t="s">
        <v>55</v>
      </c>
      <c r="Z332">
        <v>2</v>
      </c>
    </row>
    <row r="333" spans="1:26">
      <c r="A333" t="s">
        <v>892</v>
      </c>
      <c r="B333" t="s">
        <v>893</v>
      </c>
      <c r="C333" t="s">
        <v>94</v>
      </c>
      <c r="D333" t="s">
        <v>103</v>
      </c>
      <c r="E333" s="1">
        <v>43490</v>
      </c>
      <c r="F333" t="s">
        <v>79</v>
      </c>
      <c r="G333" t="s">
        <v>127</v>
      </c>
      <c r="H333" t="s">
        <v>128</v>
      </c>
      <c r="I333">
        <v>9</v>
      </c>
      <c r="J333" t="s">
        <v>33</v>
      </c>
      <c r="K333">
        <v>1</v>
      </c>
      <c r="L333" s="3">
        <v>4299</v>
      </c>
      <c r="M333">
        <v>20</v>
      </c>
      <c r="N333" s="3">
        <v>3440</v>
      </c>
      <c r="O333" s="3">
        <v>3440</v>
      </c>
      <c r="P333" t="s">
        <v>74</v>
      </c>
      <c r="Q333" t="s">
        <v>51</v>
      </c>
      <c r="R333" t="s">
        <v>36</v>
      </c>
      <c r="S333" t="s">
        <v>186</v>
      </c>
      <c r="T333" t="s">
        <v>397</v>
      </c>
      <c r="U333" t="s">
        <v>91</v>
      </c>
      <c r="V333" t="s">
        <v>40</v>
      </c>
      <c r="W333">
        <v>3.5</v>
      </c>
      <c r="X333" t="s">
        <v>41</v>
      </c>
      <c r="Y333" t="s">
        <v>55</v>
      </c>
      <c r="Z333">
        <v>3</v>
      </c>
    </row>
    <row r="334" spans="1:26">
      <c r="A334" t="s">
        <v>894</v>
      </c>
      <c r="B334" t="s">
        <v>895</v>
      </c>
      <c r="C334" t="s">
        <v>28</v>
      </c>
      <c r="D334" t="s">
        <v>46</v>
      </c>
      <c r="E334" s="1">
        <v>43493</v>
      </c>
      <c r="F334" t="s">
        <v>30</v>
      </c>
      <c r="G334" t="s">
        <v>145</v>
      </c>
      <c r="H334" t="s">
        <v>59</v>
      </c>
      <c r="I334">
        <v>10</v>
      </c>
      <c r="J334" t="s">
        <v>150</v>
      </c>
      <c r="K334">
        <v>1</v>
      </c>
      <c r="L334" s="3">
        <v>6399</v>
      </c>
      <c r="M334">
        <v>30</v>
      </c>
      <c r="N334" s="3">
        <v>4480</v>
      </c>
      <c r="O334" s="3">
        <v>4480</v>
      </c>
      <c r="P334" t="s">
        <v>81</v>
      </c>
      <c r="Q334" t="s">
        <v>51</v>
      </c>
      <c r="R334" t="s">
        <v>36</v>
      </c>
      <c r="S334" t="s">
        <v>418</v>
      </c>
      <c r="T334" t="s">
        <v>549</v>
      </c>
      <c r="U334" t="s">
        <v>39</v>
      </c>
      <c r="V334" t="s">
        <v>40</v>
      </c>
      <c r="W334">
        <v>4.8</v>
      </c>
      <c r="X334" t="s">
        <v>41</v>
      </c>
      <c r="Y334" t="s">
        <v>42</v>
      </c>
      <c r="Z334">
        <v>2</v>
      </c>
    </row>
    <row r="335" spans="1:26">
      <c r="A335" t="s">
        <v>896</v>
      </c>
      <c r="B335" t="s">
        <v>897</v>
      </c>
      <c r="C335" t="s">
        <v>45</v>
      </c>
      <c r="D335" t="s">
        <v>46</v>
      </c>
      <c r="E335" s="1">
        <v>43497</v>
      </c>
      <c r="F335" t="s">
        <v>96</v>
      </c>
      <c r="G335" t="s">
        <v>171</v>
      </c>
      <c r="H335" t="s">
        <v>128</v>
      </c>
      <c r="I335">
        <v>11</v>
      </c>
      <c r="J335" t="s">
        <v>150</v>
      </c>
      <c r="K335">
        <v>1</v>
      </c>
      <c r="L335" s="3">
        <v>9099</v>
      </c>
      <c r="M335">
        <v>30</v>
      </c>
      <c r="N335" s="3">
        <v>6370</v>
      </c>
      <c r="O335" s="3">
        <v>6370</v>
      </c>
      <c r="P335" t="s">
        <v>74</v>
      </c>
      <c r="Q335" t="s">
        <v>82</v>
      </c>
      <c r="R335" t="s">
        <v>36</v>
      </c>
      <c r="S335" t="s">
        <v>297</v>
      </c>
      <c r="T335" t="s">
        <v>390</v>
      </c>
      <c r="U335" t="s">
        <v>91</v>
      </c>
      <c r="V335" t="s">
        <v>40</v>
      </c>
      <c r="W335">
        <v>3.6</v>
      </c>
      <c r="X335" t="s">
        <v>41</v>
      </c>
      <c r="Y335" t="s">
        <v>42</v>
      </c>
      <c r="Z335">
        <v>5</v>
      </c>
    </row>
    <row r="336" spans="1:26">
      <c r="A336" t="s">
        <v>898</v>
      </c>
      <c r="B336" t="s">
        <v>899</v>
      </c>
      <c r="C336" t="s">
        <v>28</v>
      </c>
      <c r="D336" t="s">
        <v>103</v>
      </c>
      <c r="E336" s="1">
        <v>43498</v>
      </c>
      <c r="F336" t="s">
        <v>65</v>
      </c>
      <c r="G336" t="s">
        <v>365</v>
      </c>
      <c r="H336" t="s">
        <v>49</v>
      </c>
      <c r="I336">
        <v>7</v>
      </c>
      <c r="J336" t="s">
        <v>98</v>
      </c>
      <c r="K336">
        <v>1</v>
      </c>
      <c r="L336" s="3">
        <v>3799</v>
      </c>
      <c r="M336">
        <v>20</v>
      </c>
      <c r="N336" s="3">
        <v>3040</v>
      </c>
      <c r="O336" s="3">
        <v>3040</v>
      </c>
      <c r="P336" t="s">
        <v>34</v>
      </c>
      <c r="Q336" t="s">
        <v>51</v>
      </c>
      <c r="R336" t="s">
        <v>36</v>
      </c>
      <c r="S336" t="s">
        <v>52</v>
      </c>
      <c r="T336" t="s">
        <v>235</v>
      </c>
      <c r="U336" t="s">
        <v>124</v>
      </c>
      <c r="V336" t="s">
        <v>40</v>
      </c>
      <c r="W336">
        <v>5</v>
      </c>
      <c r="X336" t="s">
        <v>62</v>
      </c>
      <c r="Y336" t="s">
        <v>42</v>
      </c>
      <c r="Z336">
        <v>7</v>
      </c>
    </row>
    <row r="337" spans="1:26">
      <c r="A337" t="s">
        <v>900</v>
      </c>
      <c r="B337" t="s">
        <v>882</v>
      </c>
      <c r="C337" t="s">
        <v>28</v>
      </c>
      <c r="D337" t="s">
        <v>46</v>
      </c>
      <c r="E337" s="1">
        <v>43503</v>
      </c>
      <c r="F337" t="s">
        <v>65</v>
      </c>
      <c r="G337" t="s">
        <v>256</v>
      </c>
      <c r="H337" t="s">
        <v>32</v>
      </c>
      <c r="I337">
        <v>8</v>
      </c>
      <c r="J337" t="s">
        <v>88</v>
      </c>
      <c r="K337">
        <v>1</v>
      </c>
      <c r="L337" s="3">
        <v>4799</v>
      </c>
      <c r="M337">
        <v>35</v>
      </c>
      <c r="N337" s="3">
        <v>3120</v>
      </c>
      <c r="O337" s="3">
        <v>3120</v>
      </c>
      <c r="P337" t="s">
        <v>74</v>
      </c>
      <c r="Q337" t="s">
        <v>82</v>
      </c>
      <c r="R337" t="s">
        <v>36</v>
      </c>
      <c r="S337" t="s">
        <v>52</v>
      </c>
      <c r="T337" t="s">
        <v>235</v>
      </c>
      <c r="U337" t="s">
        <v>54</v>
      </c>
      <c r="V337" t="s">
        <v>315</v>
      </c>
      <c r="W337">
        <v>3.7</v>
      </c>
      <c r="X337" t="s">
        <v>41</v>
      </c>
      <c r="Y337" t="s">
        <v>147</v>
      </c>
      <c r="Z337">
        <v>1</v>
      </c>
    </row>
    <row r="338" spans="1:26">
      <c r="A338" t="s">
        <v>901</v>
      </c>
      <c r="B338" t="s">
        <v>300</v>
      </c>
      <c r="C338" t="s">
        <v>28</v>
      </c>
      <c r="D338" t="s">
        <v>29</v>
      </c>
      <c r="E338" s="1">
        <v>43504</v>
      </c>
      <c r="F338" t="s">
        <v>65</v>
      </c>
      <c r="G338" t="s">
        <v>256</v>
      </c>
      <c r="H338" t="s">
        <v>32</v>
      </c>
      <c r="I338">
        <v>9</v>
      </c>
      <c r="J338" t="s">
        <v>88</v>
      </c>
      <c r="K338">
        <v>1</v>
      </c>
      <c r="L338" s="3">
        <v>6199</v>
      </c>
      <c r="M338">
        <v>15</v>
      </c>
      <c r="N338" s="3">
        <v>5270</v>
      </c>
      <c r="O338" s="3">
        <v>5270</v>
      </c>
      <c r="P338" t="s">
        <v>34</v>
      </c>
      <c r="Q338" t="s">
        <v>35</v>
      </c>
      <c r="R338" t="s">
        <v>36</v>
      </c>
      <c r="S338" t="s">
        <v>136</v>
      </c>
      <c r="T338" t="s">
        <v>137</v>
      </c>
      <c r="U338" t="s">
        <v>54</v>
      </c>
      <c r="V338" t="s">
        <v>315</v>
      </c>
      <c r="W338">
        <v>4.2</v>
      </c>
      <c r="X338" t="s">
        <v>41</v>
      </c>
      <c r="Y338" t="s">
        <v>42</v>
      </c>
      <c r="Z338">
        <v>3</v>
      </c>
    </row>
    <row r="339" spans="1:26">
      <c r="A339" t="s">
        <v>902</v>
      </c>
      <c r="B339" t="s">
        <v>903</v>
      </c>
      <c r="C339" t="s">
        <v>28</v>
      </c>
      <c r="D339" t="s">
        <v>103</v>
      </c>
      <c r="E339" s="1">
        <v>43507</v>
      </c>
      <c r="F339" t="s">
        <v>47</v>
      </c>
      <c r="G339" t="s">
        <v>121</v>
      </c>
      <c r="H339" t="s">
        <v>111</v>
      </c>
      <c r="I339">
        <v>11</v>
      </c>
      <c r="J339" t="s">
        <v>98</v>
      </c>
      <c r="K339">
        <v>1</v>
      </c>
      <c r="L339" s="3">
        <v>9399</v>
      </c>
      <c r="M339">
        <v>10</v>
      </c>
      <c r="N339" s="3">
        <v>8460</v>
      </c>
      <c r="O339" s="3">
        <v>8460</v>
      </c>
      <c r="P339" t="s">
        <v>34</v>
      </c>
      <c r="Q339" t="s">
        <v>35</v>
      </c>
      <c r="R339" t="s">
        <v>36</v>
      </c>
      <c r="S339" t="s">
        <v>238</v>
      </c>
      <c r="T339" t="s">
        <v>260</v>
      </c>
      <c r="U339" t="s">
        <v>61</v>
      </c>
      <c r="V339" t="s">
        <v>40</v>
      </c>
      <c r="W339">
        <v>2.5</v>
      </c>
      <c r="X339" t="s">
        <v>62</v>
      </c>
      <c r="Y339" t="s">
        <v>55</v>
      </c>
      <c r="Z339">
        <v>2</v>
      </c>
    </row>
    <row r="340" spans="1:26">
      <c r="A340" t="s">
        <v>904</v>
      </c>
      <c r="B340" t="s">
        <v>170</v>
      </c>
      <c r="C340" t="s">
        <v>28</v>
      </c>
      <c r="D340" t="s">
        <v>95</v>
      </c>
      <c r="E340" s="1">
        <v>43508</v>
      </c>
      <c r="F340" t="s">
        <v>79</v>
      </c>
      <c r="G340" t="s">
        <v>127</v>
      </c>
      <c r="H340" t="s">
        <v>128</v>
      </c>
      <c r="I340">
        <v>7</v>
      </c>
      <c r="J340" t="s">
        <v>98</v>
      </c>
      <c r="K340">
        <v>1</v>
      </c>
      <c r="L340" s="3">
        <v>6299</v>
      </c>
      <c r="M340">
        <v>10</v>
      </c>
      <c r="N340" s="3">
        <v>5670</v>
      </c>
      <c r="O340" s="3">
        <v>5670</v>
      </c>
      <c r="P340" t="s">
        <v>50</v>
      </c>
      <c r="Q340" t="s">
        <v>51</v>
      </c>
      <c r="R340" t="s">
        <v>36</v>
      </c>
      <c r="S340" t="s">
        <v>243</v>
      </c>
      <c r="T340" t="s">
        <v>328</v>
      </c>
      <c r="U340" t="s">
        <v>124</v>
      </c>
      <c r="V340" t="s">
        <v>315</v>
      </c>
      <c r="W340">
        <v>4.7</v>
      </c>
      <c r="X340" t="s">
        <v>62</v>
      </c>
      <c r="Y340" t="s">
        <v>55</v>
      </c>
      <c r="Z340">
        <v>3</v>
      </c>
    </row>
    <row r="341" spans="1:26">
      <c r="A341" t="s">
        <v>905</v>
      </c>
      <c r="B341" t="s">
        <v>906</v>
      </c>
      <c r="C341" t="s">
        <v>45</v>
      </c>
      <c r="D341" t="s">
        <v>103</v>
      </c>
      <c r="E341" s="1">
        <v>43512</v>
      </c>
      <c r="F341" t="s">
        <v>96</v>
      </c>
      <c r="G341" t="s">
        <v>228</v>
      </c>
      <c r="H341" t="s">
        <v>59</v>
      </c>
      <c r="I341">
        <v>9</v>
      </c>
      <c r="J341" t="s">
        <v>98</v>
      </c>
      <c r="K341">
        <v>1</v>
      </c>
      <c r="L341" s="3">
        <v>6699</v>
      </c>
      <c r="M341">
        <v>15</v>
      </c>
      <c r="N341" s="3">
        <v>5690</v>
      </c>
      <c r="O341" s="3">
        <v>5690</v>
      </c>
      <c r="P341" t="s">
        <v>50</v>
      </c>
      <c r="Q341" t="s">
        <v>51</v>
      </c>
      <c r="R341" t="s">
        <v>36</v>
      </c>
      <c r="S341" t="s">
        <v>89</v>
      </c>
      <c r="T341" t="s">
        <v>425</v>
      </c>
      <c r="U341" t="s">
        <v>54</v>
      </c>
      <c r="V341" t="s">
        <v>40</v>
      </c>
      <c r="W341">
        <v>3.7</v>
      </c>
      <c r="X341" t="s">
        <v>41</v>
      </c>
      <c r="Y341" t="s">
        <v>147</v>
      </c>
      <c r="Z341">
        <v>1</v>
      </c>
    </row>
    <row r="342" spans="1:26">
      <c r="A342" t="s">
        <v>907</v>
      </c>
      <c r="B342" t="s">
        <v>908</v>
      </c>
      <c r="C342" t="s">
        <v>94</v>
      </c>
      <c r="D342" t="s">
        <v>95</v>
      </c>
      <c r="E342" s="1">
        <v>43512</v>
      </c>
      <c r="F342" t="s">
        <v>47</v>
      </c>
      <c r="G342" t="s">
        <v>199</v>
      </c>
      <c r="H342" t="s">
        <v>59</v>
      </c>
      <c r="I342">
        <v>7</v>
      </c>
      <c r="J342" t="s">
        <v>67</v>
      </c>
      <c r="K342">
        <v>1</v>
      </c>
      <c r="L342" s="3">
        <v>8599</v>
      </c>
      <c r="M342">
        <v>30</v>
      </c>
      <c r="N342" s="3">
        <v>6020</v>
      </c>
      <c r="O342" s="3">
        <v>6020</v>
      </c>
      <c r="P342" t="s">
        <v>50</v>
      </c>
      <c r="Q342" t="s">
        <v>82</v>
      </c>
      <c r="R342" t="s">
        <v>36</v>
      </c>
      <c r="S342" t="s">
        <v>52</v>
      </c>
      <c r="T342" t="s">
        <v>83</v>
      </c>
      <c r="U342" t="s">
        <v>61</v>
      </c>
      <c r="V342" t="s">
        <v>40</v>
      </c>
      <c r="W342">
        <v>4.3</v>
      </c>
      <c r="X342" t="s">
        <v>62</v>
      </c>
      <c r="Y342" t="s">
        <v>42</v>
      </c>
      <c r="Z342">
        <v>5</v>
      </c>
    </row>
    <row r="343" spans="1:26">
      <c r="A343" t="s">
        <v>909</v>
      </c>
      <c r="B343" t="s">
        <v>910</v>
      </c>
      <c r="C343" t="s">
        <v>45</v>
      </c>
      <c r="D343" t="s">
        <v>109</v>
      </c>
      <c r="E343" s="1">
        <v>43516</v>
      </c>
      <c r="F343" t="s">
        <v>65</v>
      </c>
      <c r="G343" t="s">
        <v>268</v>
      </c>
      <c r="H343" t="s">
        <v>128</v>
      </c>
      <c r="I343">
        <v>6</v>
      </c>
      <c r="J343" t="s">
        <v>33</v>
      </c>
      <c r="K343">
        <v>1</v>
      </c>
      <c r="L343" s="3">
        <v>3099</v>
      </c>
      <c r="M343">
        <v>25</v>
      </c>
      <c r="N343" s="3">
        <v>2320</v>
      </c>
      <c r="O343" s="3">
        <v>2320</v>
      </c>
      <c r="P343" t="s">
        <v>50</v>
      </c>
      <c r="Q343" t="s">
        <v>82</v>
      </c>
      <c r="R343" t="s">
        <v>36</v>
      </c>
      <c r="S343" t="s">
        <v>418</v>
      </c>
      <c r="T343" t="s">
        <v>419</v>
      </c>
      <c r="U343" t="s">
        <v>61</v>
      </c>
      <c r="V343" t="s">
        <v>40</v>
      </c>
      <c r="W343">
        <v>3.6</v>
      </c>
      <c r="X343" t="s">
        <v>62</v>
      </c>
      <c r="Y343" t="s">
        <v>42</v>
      </c>
      <c r="Z343">
        <v>2</v>
      </c>
    </row>
    <row r="344" spans="1:26">
      <c r="A344" t="s">
        <v>911</v>
      </c>
      <c r="B344" t="s">
        <v>912</v>
      </c>
      <c r="C344" t="s">
        <v>28</v>
      </c>
      <c r="D344" t="s">
        <v>46</v>
      </c>
      <c r="E344" s="1">
        <v>43517</v>
      </c>
      <c r="F344" t="s">
        <v>96</v>
      </c>
      <c r="G344" t="s">
        <v>323</v>
      </c>
      <c r="H344" t="s">
        <v>59</v>
      </c>
      <c r="I344">
        <v>9</v>
      </c>
      <c r="J344" t="s">
        <v>88</v>
      </c>
      <c r="K344">
        <v>1</v>
      </c>
      <c r="L344" s="3">
        <v>7099</v>
      </c>
      <c r="M344">
        <v>15</v>
      </c>
      <c r="N344" s="3">
        <v>6030</v>
      </c>
      <c r="O344" s="3">
        <v>6030</v>
      </c>
      <c r="P344" t="s">
        <v>34</v>
      </c>
      <c r="Q344" t="s">
        <v>82</v>
      </c>
      <c r="R344" t="s">
        <v>36</v>
      </c>
      <c r="S344" t="s">
        <v>136</v>
      </c>
      <c r="T344" t="s">
        <v>225</v>
      </c>
      <c r="U344" t="s">
        <v>124</v>
      </c>
      <c r="V344" t="s">
        <v>40</v>
      </c>
      <c r="W344">
        <v>4</v>
      </c>
      <c r="X344" t="s">
        <v>41</v>
      </c>
      <c r="Y344" t="s">
        <v>42</v>
      </c>
      <c r="Z344">
        <v>2</v>
      </c>
    </row>
    <row r="345" spans="1:26">
      <c r="A345" t="s">
        <v>913</v>
      </c>
      <c r="B345" t="s">
        <v>914</v>
      </c>
      <c r="C345" t="s">
        <v>28</v>
      </c>
      <c r="D345" t="s">
        <v>46</v>
      </c>
      <c r="E345" s="1">
        <v>43519</v>
      </c>
      <c r="F345" t="s">
        <v>79</v>
      </c>
      <c r="G345" t="s">
        <v>80</v>
      </c>
      <c r="H345" t="s">
        <v>59</v>
      </c>
      <c r="I345">
        <v>7</v>
      </c>
      <c r="J345" t="s">
        <v>98</v>
      </c>
      <c r="K345">
        <v>2</v>
      </c>
      <c r="L345" s="3">
        <v>8399</v>
      </c>
      <c r="M345">
        <v>15</v>
      </c>
      <c r="N345" s="3">
        <v>7140</v>
      </c>
      <c r="O345" s="3">
        <v>14280</v>
      </c>
      <c r="P345" t="s">
        <v>74</v>
      </c>
      <c r="Q345" t="s">
        <v>82</v>
      </c>
      <c r="R345" t="s">
        <v>36</v>
      </c>
      <c r="S345" t="s">
        <v>156</v>
      </c>
      <c r="T345" t="s">
        <v>257</v>
      </c>
      <c r="U345" t="s">
        <v>54</v>
      </c>
      <c r="V345" t="s">
        <v>40</v>
      </c>
      <c r="W345">
        <v>4</v>
      </c>
      <c r="X345" t="s">
        <v>62</v>
      </c>
      <c r="Y345" t="s">
        <v>55</v>
      </c>
      <c r="Z345">
        <v>1</v>
      </c>
    </row>
    <row r="346" spans="1:26">
      <c r="A346" t="s">
        <v>915</v>
      </c>
      <c r="B346" t="s">
        <v>916</v>
      </c>
      <c r="C346" t="s">
        <v>28</v>
      </c>
      <c r="D346" t="s">
        <v>46</v>
      </c>
      <c r="E346" s="1">
        <v>43524</v>
      </c>
      <c r="F346" t="s">
        <v>79</v>
      </c>
      <c r="G346" t="s">
        <v>80</v>
      </c>
      <c r="H346" t="s">
        <v>59</v>
      </c>
      <c r="I346">
        <v>8</v>
      </c>
      <c r="J346" t="s">
        <v>98</v>
      </c>
      <c r="K346">
        <v>1</v>
      </c>
      <c r="L346" s="3">
        <v>7499</v>
      </c>
      <c r="M346">
        <v>15</v>
      </c>
      <c r="N346" s="3">
        <v>6370</v>
      </c>
      <c r="O346" s="3">
        <v>6370</v>
      </c>
      <c r="P346" t="s">
        <v>34</v>
      </c>
      <c r="Q346" t="s">
        <v>35</v>
      </c>
      <c r="R346" t="s">
        <v>36</v>
      </c>
      <c r="S346" t="s">
        <v>354</v>
      </c>
      <c r="T346" t="s">
        <v>434</v>
      </c>
      <c r="U346" t="s">
        <v>54</v>
      </c>
      <c r="V346" t="s">
        <v>40</v>
      </c>
      <c r="W346">
        <v>3.1</v>
      </c>
      <c r="X346" t="s">
        <v>41</v>
      </c>
      <c r="Y346" t="s">
        <v>42</v>
      </c>
      <c r="Z346">
        <v>4</v>
      </c>
    </row>
    <row r="347" spans="1:26">
      <c r="A347" t="s">
        <v>917</v>
      </c>
      <c r="B347" t="s">
        <v>918</v>
      </c>
      <c r="C347" t="s">
        <v>94</v>
      </c>
      <c r="D347" t="s">
        <v>29</v>
      </c>
      <c r="E347" s="1">
        <v>43527</v>
      </c>
      <c r="F347" t="s">
        <v>30</v>
      </c>
      <c r="G347" t="s">
        <v>214</v>
      </c>
      <c r="H347" t="s">
        <v>128</v>
      </c>
      <c r="I347">
        <v>10</v>
      </c>
      <c r="J347" t="s">
        <v>73</v>
      </c>
      <c r="K347">
        <v>1</v>
      </c>
      <c r="L347" s="3">
        <v>7499</v>
      </c>
      <c r="M347">
        <v>15</v>
      </c>
      <c r="N347" s="3">
        <v>6370</v>
      </c>
      <c r="O347" s="3">
        <v>6370</v>
      </c>
      <c r="P347" t="s">
        <v>34</v>
      </c>
      <c r="Q347" t="s">
        <v>82</v>
      </c>
      <c r="R347" t="s">
        <v>36</v>
      </c>
      <c r="S347" t="s">
        <v>68</v>
      </c>
      <c r="T347" t="s">
        <v>811</v>
      </c>
      <c r="U347" t="s">
        <v>61</v>
      </c>
      <c r="V347" t="s">
        <v>40</v>
      </c>
      <c r="W347">
        <v>4.7</v>
      </c>
      <c r="X347" t="s">
        <v>41</v>
      </c>
      <c r="Y347" t="s">
        <v>42</v>
      </c>
      <c r="Z347">
        <v>5</v>
      </c>
    </row>
    <row r="348" spans="1:26">
      <c r="A348" t="s">
        <v>919</v>
      </c>
      <c r="B348" t="s">
        <v>833</v>
      </c>
      <c r="C348" t="s">
        <v>45</v>
      </c>
      <c r="D348" t="s">
        <v>103</v>
      </c>
      <c r="E348" s="1">
        <v>43527</v>
      </c>
      <c r="F348" t="s">
        <v>96</v>
      </c>
      <c r="G348" t="s">
        <v>155</v>
      </c>
      <c r="H348" t="s">
        <v>111</v>
      </c>
      <c r="I348">
        <v>7</v>
      </c>
      <c r="J348" t="s">
        <v>33</v>
      </c>
      <c r="K348">
        <v>1</v>
      </c>
      <c r="L348" s="3">
        <v>9399</v>
      </c>
      <c r="M348">
        <v>10</v>
      </c>
      <c r="N348" s="3">
        <v>8460</v>
      </c>
      <c r="O348" s="3">
        <v>8460</v>
      </c>
      <c r="P348" t="s">
        <v>81</v>
      </c>
      <c r="Q348" t="s">
        <v>51</v>
      </c>
      <c r="R348" t="s">
        <v>36</v>
      </c>
      <c r="S348" t="s">
        <v>141</v>
      </c>
      <c r="T348" t="s">
        <v>728</v>
      </c>
      <c r="U348" t="s">
        <v>124</v>
      </c>
      <c r="V348" t="s">
        <v>315</v>
      </c>
      <c r="W348">
        <v>5</v>
      </c>
      <c r="X348" t="s">
        <v>106</v>
      </c>
      <c r="Y348" t="s">
        <v>42</v>
      </c>
      <c r="Z348">
        <v>4</v>
      </c>
    </row>
    <row r="349" spans="1:26">
      <c r="A349" t="s">
        <v>920</v>
      </c>
      <c r="B349" t="s">
        <v>921</v>
      </c>
      <c r="C349" t="s">
        <v>94</v>
      </c>
      <c r="D349" t="s">
        <v>46</v>
      </c>
      <c r="E349" s="1">
        <v>43528</v>
      </c>
      <c r="F349" t="s">
        <v>86</v>
      </c>
      <c r="G349" t="s">
        <v>190</v>
      </c>
      <c r="H349" t="s">
        <v>128</v>
      </c>
      <c r="I349">
        <v>11</v>
      </c>
      <c r="J349" t="s">
        <v>150</v>
      </c>
      <c r="K349">
        <v>1</v>
      </c>
      <c r="L349" s="3">
        <v>7399</v>
      </c>
      <c r="M349">
        <v>5</v>
      </c>
      <c r="N349" s="3">
        <v>7030</v>
      </c>
      <c r="O349" s="3">
        <v>7030</v>
      </c>
      <c r="P349" t="s">
        <v>81</v>
      </c>
      <c r="Q349" t="s">
        <v>51</v>
      </c>
      <c r="R349" t="s">
        <v>36</v>
      </c>
      <c r="S349" t="s">
        <v>358</v>
      </c>
      <c r="T349" t="s">
        <v>805</v>
      </c>
      <c r="U349" t="s">
        <v>61</v>
      </c>
      <c r="V349" t="s">
        <v>40</v>
      </c>
      <c r="W349">
        <v>4.5</v>
      </c>
      <c r="X349" t="s">
        <v>41</v>
      </c>
      <c r="Y349" t="s">
        <v>55</v>
      </c>
      <c r="Z349">
        <v>3</v>
      </c>
    </row>
    <row r="350" spans="1:26">
      <c r="A350" t="s">
        <v>922</v>
      </c>
      <c r="B350" t="s">
        <v>923</v>
      </c>
      <c r="C350" t="s">
        <v>94</v>
      </c>
      <c r="D350" t="s">
        <v>103</v>
      </c>
      <c r="E350" s="1">
        <v>43528</v>
      </c>
      <c r="F350" t="s">
        <v>30</v>
      </c>
      <c r="G350" t="s">
        <v>214</v>
      </c>
      <c r="H350" t="s">
        <v>128</v>
      </c>
      <c r="I350">
        <v>8</v>
      </c>
      <c r="J350" t="s">
        <v>98</v>
      </c>
      <c r="K350">
        <v>1</v>
      </c>
      <c r="L350" s="3">
        <v>4699</v>
      </c>
      <c r="M350">
        <v>25</v>
      </c>
      <c r="N350" s="3">
        <v>3520</v>
      </c>
      <c r="O350" s="3">
        <v>3520</v>
      </c>
      <c r="P350" t="s">
        <v>74</v>
      </c>
      <c r="Q350" t="s">
        <v>51</v>
      </c>
      <c r="R350" t="s">
        <v>36</v>
      </c>
      <c r="S350" t="s">
        <v>418</v>
      </c>
      <c r="T350" t="s">
        <v>924</v>
      </c>
      <c r="U350" t="s">
        <v>54</v>
      </c>
      <c r="V350" t="s">
        <v>40</v>
      </c>
      <c r="W350">
        <v>3.8</v>
      </c>
      <c r="X350" t="s">
        <v>62</v>
      </c>
      <c r="Y350" t="s">
        <v>42</v>
      </c>
      <c r="Z350">
        <v>3</v>
      </c>
    </row>
    <row r="351" spans="1:26">
      <c r="A351" t="s">
        <v>925</v>
      </c>
      <c r="B351" t="s">
        <v>255</v>
      </c>
      <c r="C351" t="s">
        <v>28</v>
      </c>
      <c r="D351" t="s">
        <v>109</v>
      </c>
      <c r="E351" s="1">
        <v>43529</v>
      </c>
      <c r="F351" t="s">
        <v>96</v>
      </c>
      <c r="G351" t="s">
        <v>171</v>
      </c>
      <c r="H351" t="s">
        <v>128</v>
      </c>
      <c r="I351">
        <v>9</v>
      </c>
      <c r="J351" t="s">
        <v>98</v>
      </c>
      <c r="K351">
        <v>1</v>
      </c>
      <c r="L351" s="3">
        <v>4499</v>
      </c>
      <c r="M351">
        <v>20</v>
      </c>
      <c r="N351" s="3">
        <v>3600</v>
      </c>
      <c r="O351" s="3">
        <v>3600</v>
      </c>
      <c r="P351" t="s">
        <v>81</v>
      </c>
      <c r="Q351" t="s">
        <v>35</v>
      </c>
      <c r="R351" t="s">
        <v>36</v>
      </c>
      <c r="S351" t="s">
        <v>418</v>
      </c>
      <c r="T351" t="s">
        <v>613</v>
      </c>
      <c r="U351" t="s">
        <v>61</v>
      </c>
      <c r="V351" t="s">
        <v>315</v>
      </c>
      <c r="W351">
        <v>5</v>
      </c>
      <c r="X351" t="s">
        <v>41</v>
      </c>
      <c r="Y351" t="s">
        <v>147</v>
      </c>
      <c r="Z351">
        <v>1</v>
      </c>
    </row>
    <row r="352" spans="1:26">
      <c r="A352" t="s">
        <v>926</v>
      </c>
      <c r="B352" t="s">
        <v>927</v>
      </c>
      <c r="C352" t="s">
        <v>45</v>
      </c>
      <c r="D352" t="s">
        <v>46</v>
      </c>
      <c r="E352" s="1">
        <v>43529</v>
      </c>
      <c r="F352" t="s">
        <v>79</v>
      </c>
      <c r="G352" t="s">
        <v>480</v>
      </c>
      <c r="H352" t="s">
        <v>111</v>
      </c>
      <c r="I352">
        <v>10</v>
      </c>
      <c r="J352" t="s">
        <v>67</v>
      </c>
      <c r="K352">
        <v>1</v>
      </c>
      <c r="L352" s="3">
        <v>8699</v>
      </c>
      <c r="M352">
        <v>30</v>
      </c>
      <c r="N352" s="3">
        <v>6090</v>
      </c>
      <c r="O352" s="3">
        <v>6090</v>
      </c>
      <c r="P352" t="s">
        <v>74</v>
      </c>
      <c r="Q352" t="s">
        <v>35</v>
      </c>
      <c r="R352" t="s">
        <v>36</v>
      </c>
      <c r="S352" t="s">
        <v>112</v>
      </c>
      <c r="T352" t="s">
        <v>250</v>
      </c>
      <c r="U352" t="s">
        <v>61</v>
      </c>
      <c r="V352" t="s">
        <v>40</v>
      </c>
      <c r="W352">
        <v>4</v>
      </c>
      <c r="X352" t="s">
        <v>106</v>
      </c>
      <c r="Y352" t="s">
        <v>42</v>
      </c>
      <c r="Z352">
        <v>3</v>
      </c>
    </row>
    <row r="353" spans="1:26">
      <c r="A353" t="s">
        <v>928</v>
      </c>
      <c r="B353" t="s">
        <v>841</v>
      </c>
      <c r="C353" t="s">
        <v>28</v>
      </c>
      <c r="D353" t="s">
        <v>103</v>
      </c>
      <c r="E353" s="1">
        <v>43529</v>
      </c>
      <c r="F353" t="s">
        <v>96</v>
      </c>
      <c r="G353" t="s">
        <v>155</v>
      </c>
      <c r="H353" t="s">
        <v>111</v>
      </c>
      <c r="I353">
        <v>10</v>
      </c>
      <c r="J353" t="s">
        <v>67</v>
      </c>
      <c r="K353">
        <v>1</v>
      </c>
      <c r="L353" s="3">
        <v>6099</v>
      </c>
      <c r="M353">
        <v>5</v>
      </c>
      <c r="N353" s="3">
        <v>5790</v>
      </c>
      <c r="O353" s="3">
        <v>5790</v>
      </c>
      <c r="P353" t="s">
        <v>74</v>
      </c>
      <c r="Q353" t="s">
        <v>51</v>
      </c>
      <c r="R353" t="s">
        <v>36</v>
      </c>
      <c r="S353" t="s">
        <v>358</v>
      </c>
      <c r="T353" t="s">
        <v>597</v>
      </c>
      <c r="U353" t="s">
        <v>39</v>
      </c>
      <c r="V353" t="s">
        <v>315</v>
      </c>
      <c r="W353">
        <v>4.5999999999999996</v>
      </c>
      <c r="X353" t="s">
        <v>41</v>
      </c>
      <c r="Y353" t="s">
        <v>42</v>
      </c>
      <c r="Z353">
        <v>5</v>
      </c>
    </row>
    <row r="354" spans="1:26">
      <c r="A354" t="s">
        <v>929</v>
      </c>
      <c r="B354" t="s">
        <v>930</v>
      </c>
      <c r="C354" t="s">
        <v>28</v>
      </c>
      <c r="D354" t="s">
        <v>29</v>
      </c>
      <c r="E354" s="1">
        <v>43530</v>
      </c>
      <c r="F354" t="s">
        <v>79</v>
      </c>
      <c r="G354" t="s">
        <v>480</v>
      </c>
      <c r="H354" t="s">
        <v>111</v>
      </c>
      <c r="I354">
        <v>11</v>
      </c>
      <c r="J354" t="s">
        <v>33</v>
      </c>
      <c r="K354">
        <v>1</v>
      </c>
      <c r="L354" s="3">
        <v>3699</v>
      </c>
      <c r="M354">
        <v>5</v>
      </c>
      <c r="N354" s="3">
        <v>3510</v>
      </c>
      <c r="O354" s="3">
        <v>3510</v>
      </c>
      <c r="P354" t="s">
        <v>74</v>
      </c>
      <c r="Q354" t="s">
        <v>51</v>
      </c>
      <c r="R354" t="s">
        <v>36</v>
      </c>
      <c r="S354" t="s">
        <v>122</v>
      </c>
      <c r="T354" t="s">
        <v>123</v>
      </c>
      <c r="U354" t="s">
        <v>91</v>
      </c>
      <c r="V354" t="s">
        <v>40</v>
      </c>
      <c r="W354">
        <v>2.7</v>
      </c>
      <c r="X354" t="s">
        <v>41</v>
      </c>
      <c r="Y354" t="s">
        <v>42</v>
      </c>
      <c r="Z354">
        <v>2</v>
      </c>
    </row>
    <row r="355" spans="1:26">
      <c r="A355" t="s">
        <v>931</v>
      </c>
      <c r="B355" t="s">
        <v>932</v>
      </c>
      <c r="C355" t="s">
        <v>28</v>
      </c>
      <c r="D355" t="s">
        <v>103</v>
      </c>
      <c r="E355" s="1">
        <v>43530</v>
      </c>
      <c r="F355" t="s">
        <v>65</v>
      </c>
      <c r="G355" t="s">
        <v>268</v>
      </c>
      <c r="H355" t="s">
        <v>128</v>
      </c>
      <c r="I355">
        <v>9</v>
      </c>
      <c r="J355" t="s">
        <v>73</v>
      </c>
      <c r="K355">
        <v>3</v>
      </c>
      <c r="L355" s="3">
        <v>7599</v>
      </c>
      <c r="M355">
        <v>5</v>
      </c>
      <c r="N355" s="3">
        <v>7220</v>
      </c>
      <c r="O355" s="3">
        <v>21660</v>
      </c>
      <c r="P355" t="s">
        <v>34</v>
      </c>
      <c r="Q355" t="s">
        <v>51</v>
      </c>
      <c r="R355" t="s">
        <v>36</v>
      </c>
      <c r="S355" t="s">
        <v>238</v>
      </c>
      <c r="T355" t="s">
        <v>260</v>
      </c>
      <c r="U355" t="s">
        <v>91</v>
      </c>
      <c r="V355" t="s">
        <v>40</v>
      </c>
      <c r="W355">
        <v>4</v>
      </c>
      <c r="X355" t="s">
        <v>41</v>
      </c>
      <c r="Y355" t="s">
        <v>42</v>
      </c>
      <c r="Z355">
        <v>6</v>
      </c>
    </row>
    <row r="356" spans="1:26">
      <c r="A356" t="s">
        <v>933</v>
      </c>
      <c r="B356" t="s">
        <v>918</v>
      </c>
      <c r="C356" t="s">
        <v>45</v>
      </c>
      <c r="D356" t="s">
        <v>95</v>
      </c>
      <c r="E356" s="1">
        <v>43532</v>
      </c>
      <c r="F356" t="s">
        <v>96</v>
      </c>
      <c r="G356" t="s">
        <v>290</v>
      </c>
      <c r="H356" t="s">
        <v>32</v>
      </c>
      <c r="I356">
        <v>8</v>
      </c>
      <c r="J356" t="s">
        <v>98</v>
      </c>
      <c r="K356">
        <v>1</v>
      </c>
      <c r="L356" s="3">
        <v>9699</v>
      </c>
      <c r="M356">
        <v>10</v>
      </c>
      <c r="N356" s="3">
        <v>8730</v>
      </c>
      <c r="O356" s="3">
        <v>8730</v>
      </c>
      <c r="P356" t="s">
        <v>81</v>
      </c>
      <c r="Q356" t="s">
        <v>35</v>
      </c>
      <c r="R356" t="s">
        <v>36</v>
      </c>
      <c r="S356" t="s">
        <v>243</v>
      </c>
      <c r="T356" t="s">
        <v>328</v>
      </c>
      <c r="U356" t="s">
        <v>61</v>
      </c>
      <c r="V356" t="s">
        <v>315</v>
      </c>
      <c r="W356">
        <v>3.9</v>
      </c>
      <c r="X356" t="s">
        <v>41</v>
      </c>
      <c r="Y356" t="s">
        <v>55</v>
      </c>
      <c r="Z356">
        <v>4</v>
      </c>
    </row>
    <row r="357" spans="1:26">
      <c r="A357" t="s">
        <v>934</v>
      </c>
      <c r="B357" t="s">
        <v>935</v>
      </c>
      <c r="C357" t="s">
        <v>28</v>
      </c>
      <c r="D357" t="s">
        <v>29</v>
      </c>
      <c r="E357" s="1">
        <v>43532</v>
      </c>
      <c r="F357" t="s">
        <v>30</v>
      </c>
      <c r="G357" t="s">
        <v>110</v>
      </c>
      <c r="H357" t="s">
        <v>111</v>
      </c>
      <c r="I357">
        <v>10</v>
      </c>
      <c r="J357" t="s">
        <v>67</v>
      </c>
      <c r="K357">
        <v>1</v>
      </c>
      <c r="L357" s="3">
        <v>6899</v>
      </c>
      <c r="M357">
        <v>15</v>
      </c>
      <c r="N357" s="3">
        <v>5860</v>
      </c>
      <c r="O357" s="3">
        <v>5860</v>
      </c>
      <c r="P357" t="s">
        <v>81</v>
      </c>
      <c r="Q357" t="s">
        <v>82</v>
      </c>
      <c r="R357" t="s">
        <v>36</v>
      </c>
      <c r="S357" t="s">
        <v>210</v>
      </c>
      <c r="T357" t="s">
        <v>211</v>
      </c>
      <c r="U357" t="s">
        <v>91</v>
      </c>
      <c r="V357" t="s">
        <v>40</v>
      </c>
      <c r="W357">
        <v>4.4000000000000004</v>
      </c>
      <c r="X357" t="s">
        <v>41</v>
      </c>
      <c r="Y357" t="s">
        <v>42</v>
      </c>
      <c r="Z357">
        <v>4</v>
      </c>
    </row>
    <row r="358" spans="1:26">
      <c r="A358" t="s">
        <v>936</v>
      </c>
      <c r="B358" t="s">
        <v>923</v>
      </c>
      <c r="C358" t="s">
        <v>45</v>
      </c>
      <c r="D358" t="s">
        <v>29</v>
      </c>
      <c r="E358" s="1">
        <v>43533</v>
      </c>
      <c r="F358" t="s">
        <v>96</v>
      </c>
      <c r="G358" t="s">
        <v>171</v>
      </c>
      <c r="H358" t="s">
        <v>128</v>
      </c>
      <c r="I358">
        <v>10</v>
      </c>
      <c r="J358" t="s">
        <v>73</v>
      </c>
      <c r="K358">
        <v>2</v>
      </c>
      <c r="L358" s="3">
        <v>8099</v>
      </c>
      <c r="M358">
        <v>25</v>
      </c>
      <c r="N358" s="3">
        <v>6070</v>
      </c>
      <c r="O358" s="3">
        <v>12140</v>
      </c>
      <c r="P358" t="s">
        <v>34</v>
      </c>
      <c r="Q358" t="s">
        <v>51</v>
      </c>
      <c r="R358" t="s">
        <v>36</v>
      </c>
      <c r="S358" t="s">
        <v>136</v>
      </c>
      <c r="T358" t="s">
        <v>225</v>
      </c>
      <c r="U358" t="s">
        <v>91</v>
      </c>
      <c r="V358" t="s">
        <v>315</v>
      </c>
      <c r="W358">
        <v>3.5</v>
      </c>
      <c r="X358" t="s">
        <v>41</v>
      </c>
      <c r="Y358" t="s">
        <v>42</v>
      </c>
      <c r="Z358">
        <v>5</v>
      </c>
    </row>
    <row r="359" spans="1:26">
      <c r="A359" t="s">
        <v>937</v>
      </c>
      <c r="B359" t="s">
        <v>938</v>
      </c>
      <c r="C359" t="s">
        <v>94</v>
      </c>
      <c r="D359" t="s">
        <v>46</v>
      </c>
      <c r="E359" s="1">
        <v>43535</v>
      </c>
      <c r="F359" t="s">
        <v>86</v>
      </c>
      <c r="G359" t="s">
        <v>312</v>
      </c>
      <c r="H359" t="s">
        <v>59</v>
      </c>
      <c r="I359">
        <v>8</v>
      </c>
      <c r="J359" t="s">
        <v>150</v>
      </c>
      <c r="K359">
        <v>2</v>
      </c>
      <c r="L359" s="3">
        <v>8099</v>
      </c>
      <c r="M359">
        <v>15</v>
      </c>
      <c r="N359" s="3">
        <v>6880</v>
      </c>
      <c r="O359" s="3">
        <v>13760</v>
      </c>
      <c r="P359" t="s">
        <v>34</v>
      </c>
      <c r="Q359" t="s">
        <v>82</v>
      </c>
      <c r="R359" t="s">
        <v>36</v>
      </c>
      <c r="S359" t="s">
        <v>117</v>
      </c>
      <c r="T359" t="s">
        <v>253</v>
      </c>
      <c r="U359" t="s">
        <v>61</v>
      </c>
      <c r="V359" t="s">
        <v>40</v>
      </c>
      <c r="W359">
        <v>2.9</v>
      </c>
      <c r="X359" t="s">
        <v>41</v>
      </c>
      <c r="Y359" t="s">
        <v>42</v>
      </c>
      <c r="Z359">
        <v>4</v>
      </c>
    </row>
    <row r="360" spans="1:26">
      <c r="A360" t="s">
        <v>939</v>
      </c>
      <c r="B360" t="s">
        <v>707</v>
      </c>
      <c r="C360" t="s">
        <v>28</v>
      </c>
      <c r="D360" t="s">
        <v>46</v>
      </c>
      <c r="E360" s="1">
        <v>43540</v>
      </c>
      <c r="F360" t="s">
        <v>47</v>
      </c>
      <c r="G360" t="s">
        <v>199</v>
      </c>
      <c r="H360" t="s">
        <v>59</v>
      </c>
      <c r="I360">
        <v>10</v>
      </c>
      <c r="J360" t="s">
        <v>98</v>
      </c>
      <c r="K360">
        <v>3</v>
      </c>
      <c r="L360" s="3">
        <v>6499</v>
      </c>
      <c r="M360">
        <v>20</v>
      </c>
      <c r="N360" s="3">
        <v>5200</v>
      </c>
      <c r="O360" s="3">
        <v>15600</v>
      </c>
      <c r="P360" t="s">
        <v>50</v>
      </c>
      <c r="Q360" t="s">
        <v>35</v>
      </c>
      <c r="R360" t="s">
        <v>36</v>
      </c>
      <c r="S360" t="s">
        <v>160</v>
      </c>
      <c r="T360" t="s">
        <v>247</v>
      </c>
      <c r="U360" t="s">
        <v>54</v>
      </c>
      <c r="V360" t="s">
        <v>315</v>
      </c>
      <c r="W360">
        <v>3.3</v>
      </c>
      <c r="X360" t="s">
        <v>106</v>
      </c>
      <c r="Y360" t="s">
        <v>42</v>
      </c>
      <c r="Z360">
        <v>2</v>
      </c>
    </row>
    <row r="361" spans="1:26">
      <c r="A361" t="s">
        <v>940</v>
      </c>
      <c r="B361" t="s">
        <v>941</v>
      </c>
      <c r="C361" t="s">
        <v>94</v>
      </c>
      <c r="D361" t="s">
        <v>29</v>
      </c>
      <c r="E361" s="1">
        <v>43540</v>
      </c>
      <c r="F361" t="s">
        <v>79</v>
      </c>
      <c r="G361" t="s">
        <v>80</v>
      </c>
      <c r="H361" t="s">
        <v>59</v>
      </c>
      <c r="I361">
        <v>9</v>
      </c>
      <c r="J361" t="s">
        <v>98</v>
      </c>
      <c r="K361">
        <v>1</v>
      </c>
      <c r="L361" s="3">
        <v>5499</v>
      </c>
      <c r="M361">
        <v>30</v>
      </c>
      <c r="N361" s="3">
        <v>3850</v>
      </c>
      <c r="O361" s="3">
        <v>3850</v>
      </c>
      <c r="P361" t="s">
        <v>34</v>
      </c>
      <c r="Q361" t="s">
        <v>82</v>
      </c>
      <c r="R361" t="s">
        <v>36</v>
      </c>
      <c r="S361" t="s">
        <v>418</v>
      </c>
      <c r="T361" t="s">
        <v>549</v>
      </c>
      <c r="U361" t="s">
        <v>91</v>
      </c>
      <c r="V361" t="s">
        <v>40</v>
      </c>
      <c r="W361">
        <v>3.8</v>
      </c>
      <c r="X361" t="s">
        <v>41</v>
      </c>
      <c r="Y361" t="s">
        <v>42</v>
      </c>
      <c r="Z361">
        <v>4</v>
      </c>
    </row>
    <row r="362" spans="1:26">
      <c r="A362" t="s">
        <v>942</v>
      </c>
      <c r="B362" t="s">
        <v>943</v>
      </c>
      <c r="C362" t="s">
        <v>28</v>
      </c>
      <c r="D362" t="s">
        <v>46</v>
      </c>
      <c r="E362" s="1">
        <v>43543</v>
      </c>
      <c r="F362" t="s">
        <v>30</v>
      </c>
      <c r="G362" t="s">
        <v>31</v>
      </c>
      <c r="H362" t="s">
        <v>32</v>
      </c>
      <c r="I362">
        <v>7</v>
      </c>
      <c r="J362" t="s">
        <v>98</v>
      </c>
      <c r="K362">
        <v>3</v>
      </c>
      <c r="L362" s="3">
        <v>6899</v>
      </c>
      <c r="M362">
        <v>5</v>
      </c>
      <c r="N362" s="3">
        <v>6550</v>
      </c>
      <c r="O362" s="3">
        <v>19650</v>
      </c>
      <c r="P362" t="s">
        <v>34</v>
      </c>
      <c r="Q362" t="s">
        <v>35</v>
      </c>
      <c r="R362" t="s">
        <v>36</v>
      </c>
      <c r="S362" t="s">
        <v>384</v>
      </c>
      <c r="T362" t="s">
        <v>385</v>
      </c>
      <c r="U362" t="s">
        <v>61</v>
      </c>
      <c r="V362" t="s">
        <v>40</v>
      </c>
      <c r="W362">
        <v>4.5</v>
      </c>
      <c r="X362" t="s">
        <v>41</v>
      </c>
      <c r="Y362" t="s">
        <v>147</v>
      </c>
      <c r="Z362">
        <v>1</v>
      </c>
    </row>
    <row r="363" spans="1:26">
      <c r="A363" t="s">
        <v>944</v>
      </c>
      <c r="B363" t="s">
        <v>945</v>
      </c>
      <c r="C363" t="s">
        <v>45</v>
      </c>
      <c r="D363" t="s">
        <v>103</v>
      </c>
      <c r="E363" s="1">
        <v>43544</v>
      </c>
      <c r="F363" t="s">
        <v>30</v>
      </c>
      <c r="G363" t="s">
        <v>58</v>
      </c>
      <c r="H363" t="s">
        <v>59</v>
      </c>
      <c r="I363">
        <v>8</v>
      </c>
      <c r="J363" t="s">
        <v>73</v>
      </c>
      <c r="K363">
        <v>1</v>
      </c>
      <c r="L363" s="3">
        <v>7599</v>
      </c>
      <c r="M363">
        <v>5</v>
      </c>
      <c r="N363" s="3">
        <v>7220</v>
      </c>
      <c r="O363" s="3">
        <v>7220</v>
      </c>
      <c r="P363" t="s">
        <v>74</v>
      </c>
      <c r="Q363" t="s">
        <v>51</v>
      </c>
      <c r="R363" t="s">
        <v>36</v>
      </c>
      <c r="S363" t="s">
        <v>112</v>
      </c>
      <c r="T363" t="s">
        <v>250</v>
      </c>
      <c r="U363" t="s">
        <v>124</v>
      </c>
      <c r="V363" t="s">
        <v>40</v>
      </c>
      <c r="W363">
        <v>3.4</v>
      </c>
      <c r="X363" t="s">
        <v>62</v>
      </c>
      <c r="Y363" t="s">
        <v>42</v>
      </c>
      <c r="Z363">
        <v>4</v>
      </c>
    </row>
    <row r="364" spans="1:26">
      <c r="A364" t="s">
        <v>946</v>
      </c>
      <c r="B364" t="s">
        <v>947</v>
      </c>
      <c r="C364" t="s">
        <v>28</v>
      </c>
      <c r="D364" t="s">
        <v>46</v>
      </c>
      <c r="E364" s="1">
        <v>43544</v>
      </c>
      <c r="F364" t="s">
        <v>65</v>
      </c>
      <c r="G364" t="s">
        <v>72</v>
      </c>
      <c r="H364" t="s">
        <v>59</v>
      </c>
      <c r="I364">
        <v>9</v>
      </c>
      <c r="J364" t="s">
        <v>150</v>
      </c>
      <c r="K364">
        <v>1</v>
      </c>
      <c r="L364" s="3">
        <v>8099</v>
      </c>
      <c r="M364">
        <v>30</v>
      </c>
      <c r="N364" s="3">
        <v>5670</v>
      </c>
      <c r="O364" s="3">
        <v>5670</v>
      </c>
      <c r="P364" t="s">
        <v>81</v>
      </c>
      <c r="Q364" t="s">
        <v>35</v>
      </c>
      <c r="R364" t="s">
        <v>36</v>
      </c>
      <c r="S364" t="s">
        <v>269</v>
      </c>
      <c r="T364" t="s">
        <v>652</v>
      </c>
      <c r="U364" t="s">
        <v>61</v>
      </c>
      <c r="V364" t="s">
        <v>40</v>
      </c>
      <c r="W364">
        <v>3.7</v>
      </c>
      <c r="X364" t="s">
        <v>41</v>
      </c>
      <c r="Y364" t="s">
        <v>42</v>
      </c>
      <c r="Z364">
        <v>4</v>
      </c>
    </row>
    <row r="365" spans="1:26">
      <c r="A365" t="s">
        <v>948</v>
      </c>
      <c r="B365" t="s">
        <v>949</v>
      </c>
      <c r="C365" t="s">
        <v>94</v>
      </c>
      <c r="D365" t="s">
        <v>46</v>
      </c>
      <c r="E365" s="1">
        <v>43545</v>
      </c>
      <c r="F365" t="s">
        <v>79</v>
      </c>
      <c r="G365" t="s">
        <v>480</v>
      </c>
      <c r="H365" t="s">
        <v>111</v>
      </c>
      <c r="I365">
        <v>11</v>
      </c>
      <c r="J365" t="s">
        <v>73</v>
      </c>
      <c r="K365">
        <v>1</v>
      </c>
      <c r="L365" s="3">
        <v>6099</v>
      </c>
      <c r="M365">
        <v>30</v>
      </c>
      <c r="N365" s="3">
        <v>4270</v>
      </c>
      <c r="O365" s="3">
        <v>4270</v>
      </c>
      <c r="P365" t="s">
        <v>74</v>
      </c>
      <c r="Q365" t="s">
        <v>82</v>
      </c>
      <c r="R365" t="s">
        <v>36</v>
      </c>
      <c r="S365" t="s">
        <v>384</v>
      </c>
      <c r="T365" t="s">
        <v>444</v>
      </c>
      <c r="U365" t="s">
        <v>91</v>
      </c>
      <c r="V365" t="s">
        <v>40</v>
      </c>
      <c r="W365">
        <v>3</v>
      </c>
      <c r="X365" t="s">
        <v>62</v>
      </c>
      <c r="Y365" t="s">
        <v>55</v>
      </c>
      <c r="Z365">
        <v>3</v>
      </c>
    </row>
    <row r="366" spans="1:26">
      <c r="A366" t="s">
        <v>950</v>
      </c>
      <c r="B366" t="s">
        <v>951</v>
      </c>
      <c r="C366" t="s">
        <v>45</v>
      </c>
      <c r="D366" t="s">
        <v>29</v>
      </c>
      <c r="E366" s="1">
        <v>43546</v>
      </c>
      <c r="F366" t="s">
        <v>96</v>
      </c>
      <c r="G366" t="s">
        <v>171</v>
      </c>
      <c r="H366" t="s">
        <v>128</v>
      </c>
      <c r="I366">
        <v>11</v>
      </c>
      <c r="J366" t="s">
        <v>73</v>
      </c>
      <c r="K366">
        <v>1</v>
      </c>
      <c r="L366" s="3">
        <v>7799</v>
      </c>
      <c r="M366">
        <v>20</v>
      </c>
      <c r="N366" s="3">
        <v>6240</v>
      </c>
      <c r="O366" s="3">
        <v>6240</v>
      </c>
      <c r="P366" t="s">
        <v>81</v>
      </c>
      <c r="Q366" t="s">
        <v>51</v>
      </c>
      <c r="R366" t="s">
        <v>36</v>
      </c>
      <c r="S366" t="s">
        <v>418</v>
      </c>
      <c r="T366" t="s">
        <v>613</v>
      </c>
      <c r="U366" t="s">
        <v>54</v>
      </c>
      <c r="V366" t="s">
        <v>40</v>
      </c>
      <c r="W366">
        <v>5</v>
      </c>
      <c r="X366" t="s">
        <v>41</v>
      </c>
      <c r="Y366" t="s">
        <v>42</v>
      </c>
      <c r="Z366">
        <v>6</v>
      </c>
    </row>
    <row r="367" spans="1:26">
      <c r="A367" t="s">
        <v>952</v>
      </c>
      <c r="B367" t="s">
        <v>953</v>
      </c>
      <c r="C367" t="s">
        <v>28</v>
      </c>
      <c r="D367" t="s">
        <v>103</v>
      </c>
      <c r="E367" s="1">
        <v>43546</v>
      </c>
      <c r="F367" t="s">
        <v>96</v>
      </c>
      <c r="G367" t="s">
        <v>155</v>
      </c>
      <c r="H367" t="s">
        <v>111</v>
      </c>
      <c r="I367">
        <v>9</v>
      </c>
      <c r="J367" t="s">
        <v>73</v>
      </c>
      <c r="K367">
        <v>1</v>
      </c>
      <c r="L367" s="3">
        <v>4699</v>
      </c>
      <c r="M367">
        <v>0</v>
      </c>
      <c r="N367" s="3">
        <v>4700</v>
      </c>
      <c r="O367" s="3">
        <v>4700</v>
      </c>
      <c r="P367" t="s">
        <v>81</v>
      </c>
      <c r="Q367" t="s">
        <v>51</v>
      </c>
      <c r="R367" t="s">
        <v>36</v>
      </c>
      <c r="S367" t="s">
        <v>243</v>
      </c>
      <c r="T367" t="s">
        <v>244</v>
      </c>
      <c r="U367" t="s">
        <v>124</v>
      </c>
      <c r="V367" t="s">
        <v>40</v>
      </c>
      <c r="W367">
        <v>4.0999999999999996</v>
      </c>
      <c r="X367" t="s">
        <v>41</v>
      </c>
      <c r="Y367" t="s">
        <v>55</v>
      </c>
      <c r="Z367">
        <v>3</v>
      </c>
    </row>
    <row r="368" spans="1:26">
      <c r="A368" t="s">
        <v>954</v>
      </c>
      <c r="B368" t="s">
        <v>955</v>
      </c>
      <c r="C368" t="s">
        <v>28</v>
      </c>
      <c r="D368" t="s">
        <v>103</v>
      </c>
      <c r="E368" s="1">
        <v>43548</v>
      </c>
      <c r="F368" t="s">
        <v>79</v>
      </c>
      <c r="G368" t="s">
        <v>174</v>
      </c>
      <c r="H368" t="s">
        <v>32</v>
      </c>
      <c r="I368">
        <v>8</v>
      </c>
      <c r="J368" t="s">
        <v>73</v>
      </c>
      <c r="K368">
        <v>1</v>
      </c>
      <c r="L368" s="3">
        <v>7799</v>
      </c>
      <c r="M368">
        <v>5</v>
      </c>
      <c r="N368" s="3">
        <v>7410</v>
      </c>
      <c r="O368" s="3">
        <v>7410</v>
      </c>
      <c r="P368" t="s">
        <v>34</v>
      </c>
      <c r="Q368" t="s">
        <v>51</v>
      </c>
      <c r="R368" t="s">
        <v>36</v>
      </c>
      <c r="S368" t="s">
        <v>384</v>
      </c>
      <c r="T368" t="s">
        <v>385</v>
      </c>
      <c r="U368" t="s">
        <v>124</v>
      </c>
      <c r="V368" t="s">
        <v>40</v>
      </c>
      <c r="W368">
        <v>4.7</v>
      </c>
      <c r="X368" t="s">
        <v>41</v>
      </c>
      <c r="Y368" t="s">
        <v>42</v>
      </c>
      <c r="Z368">
        <v>5</v>
      </c>
    </row>
    <row r="369" spans="1:26">
      <c r="A369" t="s">
        <v>956</v>
      </c>
      <c r="B369" t="s">
        <v>686</v>
      </c>
      <c r="C369" t="s">
        <v>45</v>
      </c>
      <c r="D369" t="s">
        <v>29</v>
      </c>
      <c r="E369" s="1">
        <v>43550</v>
      </c>
      <c r="F369" t="s">
        <v>30</v>
      </c>
      <c r="G369" t="s">
        <v>145</v>
      </c>
      <c r="H369" t="s">
        <v>59</v>
      </c>
      <c r="I369">
        <v>10</v>
      </c>
      <c r="J369" t="s">
        <v>73</v>
      </c>
      <c r="K369">
        <v>2</v>
      </c>
      <c r="L369" s="3">
        <v>9499</v>
      </c>
      <c r="M369">
        <v>0</v>
      </c>
      <c r="N369" s="3">
        <v>9500</v>
      </c>
      <c r="O369" s="3">
        <v>19000</v>
      </c>
      <c r="P369" t="s">
        <v>50</v>
      </c>
      <c r="Q369" t="s">
        <v>51</v>
      </c>
      <c r="R369" t="s">
        <v>36</v>
      </c>
      <c r="S369" t="s">
        <v>243</v>
      </c>
      <c r="T369" t="s">
        <v>276</v>
      </c>
      <c r="U369" t="s">
        <v>124</v>
      </c>
      <c r="V369" t="s">
        <v>315</v>
      </c>
      <c r="W369">
        <v>4.0999999999999996</v>
      </c>
      <c r="X369" t="s">
        <v>106</v>
      </c>
      <c r="Y369" t="s">
        <v>42</v>
      </c>
      <c r="Z369">
        <v>2</v>
      </c>
    </row>
    <row r="370" spans="1:26">
      <c r="A370" t="s">
        <v>957</v>
      </c>
      <c r="B370" t="s">
        <v>798</v>
      </c>
      <c r="C370" t="s">
        <v>28</v>
      </c>
      <c r="D370" t="s">
        <v>103</v>
      </c>
      <c r="E370" s="1">
        <v>43550</v>
      </c>
      <c r="F370" t="s">
        <v>96</v>
      </c>
      <c r="G370" t="s">
        <v>155</v>
      </c>
      <c r="H370" t="s">
        <v>111</v>
      </c>
      <c r="I370">
        <v>6</v>
      </c>
      <c r="J370" t="s">
        <v>73</v>
      </c>
      <c r="K370">
        <v>2</v>
      </c>
      <c r="L370" s="3">
        <v>5199</v>
      </c>
      <c r="M370">
        <v>5</v>
      </c>
      <c r="N370" s="3">
        <v>4940</v>
      </c>
      <c r="O370" s="3">
        <v>9880</v>
      </c>
      <c r="P370" t="s">
        <v>34</v>
      </c>
      <c r="Q370" t="s">
        <v>51</v>
      </c>
      <c r="R370" t="s">
        <v>36</v>
      </c>
      <c r="S370" t="s">
        <v>160</v>
      </c>
      <c r="T370" t="s">
        <v>161</v>
      </c>
      <c r="U370" t="s">
        <v>54</v>
      </c>
      <c r="V370" t="s">
        <v>315</v>
      </c>
      <c r="W370">
        <v>3.4</v>
      </c>
      <c r="X370" t="s">
        <v>41</v>
      </c>
      <c r="Y370" t="s">
        <v>42</v>
      </c>
      <c r="Z370">
        <v>5</v>
      </c>
    </row>
    <row r="371" spans="1:26">
      <c r="A371" t="s">
        <v>958</v>
      </c>
      <c r="B371" t="s">
        <v>170</v>
      </c>
      <c r="C371" t="s">
        <v>28</v>
      </c>
      <c r="D371" t="s">
        <v>46</v>
      </c>
      <c r="E371" s="1">
        <v>43550</v>
      </c>
      <c r="F371" t="s">
        <v>30</v>
      </c>
      <c r="G371" t="s">
        <v>347</v>
      </c>
      <c r="H371" t="s">
        <v>49</v>
      </c>
      <c r="I371">
        <v>10</v>
      </c>
      <c r="J371" t="s">
        <v>33</v>
      </c>
      <c r="K371">
        <v>1</v>
      </c>
      <c r="L371" s="3">
        <v>8599</v>
      </c>
      <c r="M371">
        <v>30</v>
      </c>
      <c r="N371" s="3">
        <v>6020</v>
      </c>
      <c r="O371" s="3">
        <v>6020</v>
      </c>
      <c r="P371" t="s">
        <v>81</v>
      </c>
      <c r="Q371" t="s">
        <v>82</v>
      </c>
      <c r="R371" t="s">
        <v>36</v>
      </c>
      <c r="S371" t="s">
        <v>195</v>
      </c>
      <c r="T371" t="s">
        <v>428</v>
      </c>
      <c r="U371" t="s">
        <v>39</v>
      </c>
      <c r="V371" t="s">
        <v>315</v>
      </c>
      <c r="W371">
        <v>5</v>
      </c>
      <c r="X371" t="s">
        <v>41</v>
      </c>
      <c r="Y371" t="s">
        <v>42</v>
      </c>
      <c r="Z371">
        <v>3</v>
      </c>
    </row>
    <row r="372" spans="1:26">
      <c r="A372" t="s">
        <v>959</v>
      </c>
      <c r="B372" t="s">
        <v>699</v>
      </c>
      <c r="C372" t="s">
        <v>28</v>
      </c>
      <c r="D372" t="s">
        <v>95</v>
      </c>
      <c r="E372" s="1">
        <v>43550</v>
      </c>
      <c r="F372" t="s">
        <v>79</v>
      </c>
      <c r="G372" t="s">
        <v>127</v>
      </c>
      <c r="H372" t="s">
        <v>128</v>
      </c>
      <c r="I372">
        <v>9</v>
      </c>
      <c r="J372" t="s">
        <v>67</v>
      </c>
      <c r="K372">
        <v>1</v>
      </c>
      <c r="L372" s="3">
        <v>6699</v>
      </c>
      <c r="M372">
        <v>10</v>
      </c>
      <c r="N372" s="3">
        <v>6030</v>
      </c>
      <c r="O372" s="3">
        <v>6030</v>
      </c>
      <c r="P372" t="s">
        <v>50</v>
      </c>
      <c r="Q372" t="s">
        <v>35</v>
      </c>
      <c r="R372" t="s">
        <v>36</v>
      </c>
      <c r="S372" t="s">
        <v>99</v>
      </c>
      <c r="T372" t="s">
        <v>335</v>
      </c>
      <c r="U372" t="s">
        <v>54</v>
      </c>
      <c r="V372" t="s">
        <v>315</v>
      </c>
      <c r="W372">
        <v>4</v>
      </c>
      <c r="X372" t="s">
        <v>62</v>
      </c>
      <c r="Y372" t="s">
        <v>42</v>
      </c>
      <c r="Z372">
        <v>4</v>
      </c>
    </row>
    <row r="373" spans="1:26">
      <c r="A373" t="s">
        <v>960</v>
      </c>
      <c r="B373" t="s">
        <v>115</v>
      </c>
      <c r="C373" t="s">
        <v>45</v>
      </c>
      <c r="D373" t="s">
        <v>46</v>
      </c>
      <c r="E373" s="1">
        <v>43551</v>
      </c>
      <c r="F373" t="s">
        <v>30</v>
      </c>
      <c r="G373" t="s">
        <v>214</v>
      </c>
      <c r="H373" t="s">
        <v>128</v>
      </c>
      <c r="I373">
        <v>7</v>
      </c>
      <c r="J373" t="s">
        <v>73</v>
      </c>
      <c r="K373">
        <v>1</v>
      </c>
      <c r="L373" s="3">
        <v>7299</v>
      </c>
      <c r="M373">
        <v>20</v>
      </c>
      <c r="N373" s="3">
        <v>5840</v>
      </c>
      <c r="O373" s="3">
        <v>5840</v>
      </c>
      <c r="P373" t="s">
        <v>34</v>
      </c>
      <c r="Q373" t="s">
        <v>35</v>
      </c>
      <c r="R373" t="s">
        <v>36</v>
      </c>
      <c r="S373" t="s">
        <v>269</v>
      </c>
      <c r="T373" t="s">
        <v>961</v>
      </c>
      <c r="U373" t="s">
        <v>39</v>
      </c>
      <c r="V373" t="s">
        <v>315</v>
      </c>
      <c r="W373">
        <v>4.0999999999999996</v>
      </c>
      <c r="X373" t="s">
        <v>62</v>
      </c>
      <c r="Y373" t="s">
        <v>42</v>
      </c>
      <c r="Z373">
        <v>1</v>
      </c>
    </row>
    <row r="374" spans="1:26">
      <c r="A374" t="s">
        <v>962</v>
      </c>
      <c r="B374" t="s">
        <v>767</v>
      </c>
      <c r="C374" t="s">
        <v>45</v>
      </c>
      <c r="D374" t="s">
        <v>29</v>
      </c>
      <c r="E374" s="1">
        <v>43551</v>
      </c>
      <c r="F374" t="s">
        <v>96</v>
      </c>
      <c r="G374" t="s">
        <v>97</v>
      </c>
      <c r="H374" t="s">
        <v>49</v>
      </c>
      <c r="I374">
        <v>10</v>
      </c>
      <c r="J374" t="s">
        <v>33</v>
      </c>
      <c r="K374">
        <v>1</v>
      </c>
      <c r="L374" s="3">
        <v>4199</v>
      </c>
      <c r="M374">
        <v>15</v>
      </c>
      <c r="N374" s="3">
        <v>3570</v>
      </c>
      <c r="O374" s="3">
        <v>3570</v>
      </c>
      <c r="P374" t="s">
        <v>50</v>
      </c>
      <c r="Q374" t="s">
        <v>51</v>
      </c>
      <c r="R374" t="s">
        <v>36</v>
      </c>
      <c r="S374" t="s">
        <v>160</v>
      </c>
      <c r="T374" t="s">
        <v>344</v>
      </c>
      <c r="U374" t="s">
        <v>61</v>
      </c>
      <c r="V374" t="s">
        <v>315</v>
      </c>
      <c r="W374">
        <v>4.3</v>
      </c>
      <c r="X374" t="s">
        <v>62</v>
      </c>
      <c r="Y374" t="s">
        <v>42</v>
      </c>
      <c r="Z374">
        <v>4</v>
      </c>
    </row>
    <row r="375" spans="1:26">
      <c r="A375" t="s">
        <v>963</v>
      </c>
      <c r="B375" t="s">
        <v>964</v>
      </c>
      <c r="C375" t="s">
        <v>45</v>
      </c>
      <c r="D375" t="s">
        <v>103</v>
      </c>
      <c r="E375" s="1">
        <v>43552</v>
      </c>
      <c r="F375" t="s">
        <v>30</v>
      </c>
      <c r="G375" t="s">
        <v>145</v>
      </c>
      <c r="H375" t="s">
        <v>59</v>
      </c>
      <c r="I375">
        <v>8</v>
      </c>
      <c r="J375" t="s">
        <v>98</v>
      </c>
      <c r="K375">
        <v>1</v>
      </c>
      <c r="L375" s="3">
        <v>4599</v>
      </c>
      <c r="M375">
        <v>25</v>
      </c>
      <c r="N375" s="3">
        <v>3450</v>
      </c>
      <c r="O375" s="3">
        <v>3450</v>
      </c>
      <c r="P375" t="s">
        <v>50</v>
      </c>
      <c r="Q375" t="s">
        <v>51</v>
      </c>
      <c r="R375" t="s">
        <v>36</v>
      </c>
      <c r="S375" t="s">
        <v>210</v>
      </c>
      <c r="T375" t="s">
        <v>412</v>
      </c>
      <c r="U375" t="s">
        <v>61</v>
      </c>
      <c r="V375" t="s">
        <v>40</v>
      </c>
      <c r="W375">
        <v>3.3</v>
      </c>
      <c r="X375" t="s">
        <v>41</v>
      </c>
      <c r="Y375" t="s">
        <v>42</v>
      </c>
      <c r="Z375">
        <v>1</v>
      </c>
    </row>
    <row r="376" spans="1:26">
      <c r="A376" t="s">
        <v>965</v>
      </c>
      <c r="B376" t="s">
        <v>317</v>
      </c>
      <c r="C376" t="s">
        <v>28</v>
      </c>
      <c r="D376" t="s">
        <v>46</v>
      </c>
      <c r="E376" s="1">
        <v>43556</v>
      </c>
      <c r="F376" t="s">
        <v>79</v>
      </c>
      <c r="G376" t="s">
        <v>301</v>
      </c>
      <c r="H376" t="s">
        <v>49</v>
      </c>
      <c r="I376">
        <v>10</v>
      </c>
      <c r="J376" t="s">
        <v>98</v>
      </c>
      <c r="K376">
        <v>2</v>
      </c>
      <c r="L376" s="3">
        <v>7499</v>
      </c>
      <c r="M376">
        <v>5</v>
      </c>
      <c r="N376" s="3">
        <v>7120</v>
      </c>
      <c r="O376" s="3">
        <v>14240</v>
      </c>
      <c r="P376" t="s">
        <v>50</v>
      </c>
      <c r="Q376" t="s">
        <v>51</v>
      </c>
      <c r="R376" t="s">
        <v>36</v>
      </c>
      <c r="S376" t="s">
        <v>164</v>
      </c>
      <c r="T376" t="s">
        <v>165</v>
      </c>
      <c r="U376" t="s">
        <v>54</v>
      </c>
      <c r="V376" t="s">
        <v>315</v>
      </c>
      <c r="W376">
        <v>4.5</v>
      </c>
      <c r="X376" t="s">
        <v>41</v>
      </c>
      <c r="Y376" t="s">
        <v>42</v>
      </c>
      <c r="Z376">
        <v>5</v>
      </c>
    </row>
    <row r="377" spans="1:26">
      <c r="A377" t="s">
        <v>966</v>
      </c>
      <c r="B377" t="s">
        <v>967</v>
      </c>
      <c r="C377" t="s">
        <v>94</v>
      </c>
      <c r="D377" t="s">
        <v>109</v>
      </c>
      <c r="E377" s="1">
        <v>43558</v>
      </c>
      <c r="F377" t="s">
        <v>30</v>
      </c>
      <c r="G377" t="s">
        <v>31</v>
      </c>
      <c r="H377" t="s">
        <v>32</v>
      </c>
      <c r="I377">
        <v>8</v>
      </c>
      <c r="J377" t="s">
        <v>33</v>
      </c>
      <c r="K377">
        <v>1</v>
      </c>
      <c r="L377" s="3">
        <v>6199</v>
      </c>
      <c r="M377">
        <v>25</v>
      </c>
      <c r="N377" s="3">
        <v>4650</v>
      </c>
      <c r="O377" s="3">
        <v>4650</v>
      </c>
      <c r="P377" t="s">
        <v>74</v>
      </c>
      <c r="Q377" t="s">
        <v>35</v>
      </c>
      <c r="R377" t="s">
        <v>36</v>
      </c>
      <c r="S377" t="s">
        <v>195</v>
      </c>
      <c r="T377" t="s">
        <v>196</v>
      </c>
      <c r="U377" t="s">
        <v>54</v>
      </c>
      <c r="V377" t="s">
        <v>40</v>
      </c>
      <c r="W377">
        <v>2.9</v>
      </c>
      <c r="X377" t="s">
        <v>41</v>
      </c>
      <c r="Y377" t="s">
        <v>42</v>
      </c>
      <c r="Z377">
        <v>5</v>
      </c>
    </row>
    <row r="378" spans="1:26">
      <c r="A378" t="s">
        <v>968</v>
      </c>
      <c r="B378" t="s">
        <v>170</v>
      </c>
      <c r="C378" t="s">
        <v>45</v>
      </c>
      <c r="D378" t="s">
        <v>95</v>
      </c>
      <c r="E378" s="1">
        <v>43559</v>
      </c>
      <c r="F378" t="s">
        <v>79</v>
      </c>
      <c r="G378" t="s">
        <v>517</v>
      </c>
      <c r="H378" t="s">
        <v>59</v>
      </c>
      <c r="I378">
        <v>10</v>
      </c>
      <c r="J378" t="s">
        <v>88</v>
      </c>
      <c r="K378">
        <v>1</v>
      </c>
      <c r="L378" s="3">
        <v>5899</v>
      </c>
      <c r="M378">
        <v>5</v>
      </c>
      <c r="N378" s="3">
        <v>5600</v>
      </c>
      <c r="O378" s="3">
        <v>5600</v>
      </c>
      <c r="P378" t="s">
        <v>74</v>
      </c>
      <c r="Q378" t="s">
        <v>82</v>
      </c>
      <c r="R378" t="s">
        <v>36</v>
      </c>
      <c r="S378" t="s">
        <v>195</v>
      </c>
      <c r="T378" t="s">
        <v>215</v>
      </c>
      <c r="U378" t="s">
        <v>61</v>
      </c>
      <c r="V378" t="s">
        <v>969</v>
      </c>
      <c r="W378">
        <v>3.8</v>
      </c>
      <c r="X378" t="s">
        <v>106</v>
      </c>
      <c r="Y378" t="s">
        <v>42</v>
      </c>
      <c r="Z378">
        <v>3</v>
      </c>
    </row>
    <row r="379" spans="1:26">
      <c r="A379" t="s">
        <v>970</v>
      </c>
      <c r="B379" t="s">
        <v>971</v>
      </c>
      <c r="C379" t="s">
        <v>94</v>
      </c>
      <c r="D379" t="s">
        <v>95</v>
      </c>
      <c r="E379" s="1">
        <v>43559</v>
      </c>
      <c r="F379" t="s">
        <v>96</v>
      </c>
      <c r="G379" t="s">
        <v>228</v>
      </c>
      <c r="H379" t="s">
        <v>59</v>
      </c>
      <c r="I379">
        <v>8</v>
      </c>
      <c r="J379" t="s">
        <v>67</v>
      </c>
      <c r="K379">
        <v>1</v>
      </c>
      <c r="L379" s="3">
        <v>9499</v>
      </c>
      <c r="M379">
        <v>10</v>
      </c>
      <c r="N379" s="3">
        <v>8550</v>
      </c>
      <c r="O379" s="3">
        <v>8550</v>
      </c>
      <c r="P379" t="s">
        <v>34</v>
      </c>
      <c r="Q379" t="s">
        <v>82</v>
      </c>
      <c r="R379" t="s">
        <v>36</v>
      </c>
      <c r="S379" t="s">
        <v>160</v>
      </c>
      <c r="T379" t="s">
        <v>160</v>
      </c>
      <c r="U379" t="s">
        <v>124</v>
      </c>
      <c r="V379" t="s">
        <v>40</v>
      </c>
      <c r="W379">
        <v>4.3</v>
      </c>
      <c r="X379" t="s">
        <v>41</v>
      </c>
      <c r="Y379" t="s">
        <v>42</v>
      </c>
      <c r="Z379">
        <v>6</v>
      </c>
    </row>
    <row r="380" spans="1:26">
      <c r="A380" t="s">
        <v>972</v>
      </c>
      <c r="B380" t="s">
        <v>488</v>
      </c>
      <c r="C380" t="s">
        <v>28</v>
      </c>
      <c r="D380" t="s">
        <v>103</v>
      </c>
      <c r="E380" s="1">
        <v>43559</v>
      </c>
      <c r="F380" t="s">
        <v>47</v>
      </c>
      <c r="G380" t="s">
        <v>402</v>
      </c>
      <c r="H380" t="s">
        <v>32</v>
      </c>
      <c r="I380">
        <v>10</v>
      </c>
      <c r="J380" t="s">
        <v>150</v>
      </c>
      <c r="K380">
        <v>3</v>
      </c>
      <c r="L380" s="3">
        <v>5099</v>
      </c>
      <c r="M380">
        <v>0</v>
      </c>
      <c r="N380" s="3">
        <v>5100</v>
      </c>
      <c r="O380" s="3">
        <v>15300</v>
      </c>
      <c r="P380" t="s">
        <v>34</v>
      </c>
      <c r="Q380" t="s">
        <v>35</v>
      </c>
      <c r="R380" t="s">
        <v>36</v>
      </c>
      <c r="S380" t="s">
        <v>160</v>
      </c>
      <c r="T380" t="s">
        <v>160</v>
      </c>
      <c r="U380" t="s">
        <v>39</v>
      </c>
      <c r="V380" t="s">
        <v>315</v>
      </c>
      <c r="W380">
        <v>4.9000000000000004</v>
      </c>
      <c r="X380" t="s">
        <v>41</v>
      </c>
      <c r="Y380" t="s">
        <v>55</v>
      </c>
      <c r="Z380">
        <v>2</v>
      </c>
    </row>
    <row r="381" spans="1:26">
      <c r="A381" t="s">
        <v>973</v>
      </c>
      <c r="B381" t="s">
        <v>974</v>
      </c>
      <c r="C381" t="s">
        <v>28</v>
      </c>
      <c r="D381" t="s">
        <v>46</v>
      </c>
      <c r="E381" s="1">
        <v>43561</v>
      </c>
      <c r="F381" t="s">
        <v>86</v>
      </c>
      <c r="G381" t="s">
        <v>87</v>
      </c>
      <c r="H381" t="s">
        <v>59</v>
      </c>
      <c r="I381">
        <v>12</v>
      </c>
      <c r="J381" t="s">
        <v>150</v>
      </c>
      <c r="K381">
        <v>1</v>
      </c>
      <c r="L381" s="3">
        <v>4699</v>
      </c>
      <c r="M381">
        <v>15</v>
      </c>
      <c r="N381" s="3">
        <v>3990</v>
      </c>
      <c r="O381" s="3">
        <v>3990</v>
      </c>
      <c r="P381" t="s">
        <v>74</v>
      </c>
      <c r="Q381" t="s">
        <v>82</v>
      </c>
      <c r="R381" t="s">
        <v>36</v>
      </c>
      <c r="S381" t="s">
        <v>160</v>
      </c>
      <c r="T381" t="s">
        <v>160</v>
      </c>
      <c r="U381" t="s">
        <v>39</v>
      </c>
      <c r="V381" t="s">
        <v>40</v>
      </c>
      <c r="W381">
        <v>3.6</v>
      </c>
      <c r="X381" t="s">
        <v>41</v>
      </c>
      <c r="Y381" t="s">
        <v>42</v>
      </c>
      <c r="Z381">
        <v>4</v>
      </c>
    </row>
    <row r="382" spans="1:26">
      <c r="A382" t="s">
        <v>975</v>
      </c>
      <c r="B382" t="s">
        <v>976</v>
      </c>
      <c r="C382" t="s">
        <v>28</v>
      </c>
      <c r="D382" t="s">
        <v>29</v>
      </c>
      <c r="E382" s="1">
        <v>43561</v>
      </c>
      <c r="F382" t="s">
        <v>47</v>
      </c>
      <c r="G382" t="s">
        <v>121</v>
      </c>
      <c r="H382" t="s">
        <v>111</v>
      </c>
      <c r="I382">
        <v>11</v>
      </c>
      <c r="J382" t="s">
        <v>150</v>
      </c>
      <c r="K382">
        <v>1</v>
      </c>
      <c r="L382" s="3">
        <v>8699</v>
      </c>
      <c r="M382">
        <v>5</v>
      </c>
      <c r="N382" s="3">
        <v>8260</v>
      </c>
      <c r="O382" s="3">
        <v>8260</v>
      </c>
      <c r="P382" t="s">
        <v>74</v>
      </c>
      <c r="Q382" t="s">
        <v>82</v>
      </c>
      <c r="R382" t="s">
        <v>36</v>
      </c>
      <c r="S382" t="s">
        <v>75</v>
      </c>
      <c r="T382" t="s">
        <v>318</v>
      </c>
      <c r="U382" t="s">
        <v>39</v>
      </c>
      <c r="V382" t="s">
        <v>40</v>
      </c>
      <c r="W382">
        <v>4.3</v>
      </c>
      <c r="X382" t="s">
        <v>41</v>
      </c>
      <c r="Y382" t="s">
        <v>55</v>
      </c>
      <c r="Z382">
        <v>3</v>
      </c>
    </row>
    <row r="383" spans="1:26">
      <c r="A383" t="s">
        <v>977</v>
      </c>
      <c r="B383" t="s">
        <v>978</v>
      </c>
      <c r="C383" t="s">
        <v>28</v>
      </c>
      <c r="D383" t="s">
        <v>29</v>
      </c>
      <c r="E383" s="1">
        <v>43564</v>
      </c>
      <c r="F383" t="s">
        <v>65</v>
      </c>
      <c r="G383" t="s">
        <v>256</v>
      </c>
      <c r="H383" t="s">
        <v>32</v>
      </c>
      <c r="I383">
        <v>8</v>
      </c>
      <c r="J383" t="s">
        <v>73</v>
      </c>
      <c r="K383">
        <v>3</v>
      </c>
      <c r="L383" s="3">
        <v>8099</v>
      </c>
      <c r="M383">
        <v>15</v>
      </c>
      <c r="N383" s="3">
        <v>6880</v>
      </c>
      <c r="O383" s="3">
        <v>20640</v>
      </c>
      <c r="P383" t="s">
        <v>74</v>
      </c>
      <c r="Q383" t="s">
        <v>82</v>
      </c>
      <c r="R383" t="s">
        <v>36</v>
      </c>
      <c r="S383" t="s">
        <v>191</v>
      </c>
      <c r="T383" t="s">
        <v>332</v>
      </c>
      <c r="U383" t="s">
        <v>91</v>
      </c>
      <c r="V383" t="s">
        <v>40</v>
      </c>
      <c r="W383">
        <v>4.2</v>
      </c>
      <c r="X383" t="s">
        <v>41</v>
      </c>
      <c r="Y383" t="s">
        <v>42</v>
      </c>
      <c r="Z383">
        <v>4</v>
      </c>
    </row>
    <row r="384" spans="1:26">
      <c r="A384" t="s">
        <v>979</v>
      </c>
      <c r="B384" t="s">
        <v>980</v>
      </c>
      <c r="C384" t="s">
        <v>28</v>
      </c>
      <c r="D384" t="s">
        <v>46</v>
      </c>
      <c r="E384" s="1">
        <v>43564</v>
      </c>
      <c r="F384" t="s">
        <v>96</v>
      </c>
      <c r="G384" t="s">
        <v>97</v>
      </c>
      <c r="H384" t="s">
        <v>49</v>
      </c>
      <c r="I384">
        <v>7</v>
      </c>
      <c r="J384" t="s">
        <v>98</v>
      </c>
      <c r="K384">
        <v>3</v>
      </c>
      <c r="L384" s="3">
        <v>7999</v>
      </c>
      <c r="M384">
        <v>10</v>
      </c>
      <c r="N384" s="3">
        <v>7200</v>
      </c>
      <c r="O384" s="3">
        <v>21600</v>
      </c>
      <c r="P384" t="s">
        <v>74</v>
      </c>
      <c r="Q384" t="s">
        <v>51</v>
      </c>
      <c r="R384" t="s">
        <v>36</v>
      </c>
      <c r="S384" t="s">
        <v>286</v>
      </c>
      <c r="T384" t="s">
        <v>366</v>
      </c>
      <c r="U384" t="s">
        <v>124</v>
      </c>
      <c r="V384" t="s">
        <v>40</v>
      </c>
      <c r="W384">
        <v>4.0999999999999996</v>
      </c>
      <c r="X384" t="s">
        <v>41</v>
      </c>
      <c r="Y384" t="s">
        <v>42</v>
      </c>
      <c r="Z384">
        <v>4</v>
      </c>
    </row>
    <row r="385" spans="1:26">
      <c r="A385" t="s">
        <v>981</v>
      </c>
      <c r="B385" t="s">
        <v>839</v>
      </c>
      <c r="C385" t="s">
        <v>45</v>
      </c>
      <c r="D385" t="s">
        <v>29</v>
      </c>
      <c r="E385" s="1">
        <v>43566</v>
      </c>
      <c r="F385" t="s">
        <v>86</v>
      </c>
      <c r="G385" t="s">
        <v>87</v>
      </c>
      <c r="H385" t="s">
        <v>59</v>
      </c>
      <c r="I385">
        <v>6</v>
      </c>
      <c r="J385" t="s">
        <v>98</v>
      </c>
      <c r="K385">
        <v>1</v>
      </c>
      <c r="L385" s="3">
        <v>7699</v>
      </c>
      <c r="M385">
        <v>15</v>
      </c>
      <c r="N385" s="3">
        <v>6540</v>
      </c>
      <c r="O385" s="3">
        <v>6540</v>
      </c>
      <c r="P385" t="s">
        <v>34</v>
      </c>
      <c r="Q385" t="s">
        <v>82</v>
      </c>
      <c r="R385" t="s">
        <v>36</v>
      </c>
      <c r="S385" t="s">
        <v>191</v>
      </c>
      <c r="T385" t="s">
        <v>521</v>
      </c>
      <c r="U385" t="s">
        <v>91</v>
      </c>
      <c r="V385" t="s">
        <v>315</v>
      </c>
      <c r="W385">
        <v>3.6</v>
      </c>
      <c r="X385" t="s">
        <v>41</v>
      </c>
      <c r="Y385" t="s">
        <v>42</v>
      </c>
      <c r="Z385">
        <v>5</v>
      </c>
    </row>
    <row r="386" spans="1:26">
      <c r="A386" t="s">
        <v>982</v>
      </c>
      <c r="B386" t="s">
        <v>983</v>
      </c>
      <c r="C386" t="s">
        <v>28</v>
      </c>
      <c r="D386" t="s">
        <v>46</v>
      </c>
      <c r="E386" s="1">
        <v>43566</v>
      </c>
      <c r="F386" t="s">
        <v>79</v>
      </c>
      <c r="G386" t="s">
        <v>301</v>
      </c>
      <c r="H386" t="s">
        <v>49</v>
      </c>
      <c r="I386">
        <v>8</v>
      </c>
      <c r="J386" t="s">
        <v>33</v>
      </c>
      <c r="K386">
        <v>1</v>
      </c>
      <c r="L386" s="3">
        <v>7099</v>
      </c>
      <c r="M386">
        <v>35</v>
      </c>
      <c r="N386" s="3">
        <v>4610</v>
      </c>
      <c r="O386" s="3">
        <v>4610</v>
      </c>
      <c r="P386" t="s">
        <v>34</v>
      </c>
      <c r="Q386" t="s">
        <v>51</v>
      </c>
      <c r="R386" t="s">
        <v>36</v>
      </c>
      <c r="S386" t="s">
        <v>68</v>
      </c>
      <c r="T386" t="s">
        <v>207</v>
      </c>
      <c r="U386" t="s">
        <v>54</v>
      </c>
      <c r="V386" t="s">
        <v>40</v>
      </c>
      <c r="W386">
        <v>4.9000000000000004</v>
      </c>
      <c r="X386" t="s">
        <v>41</v>
      </c>
      <c r="Y386" t="s">
        <v>42</v>
      </c>
      <c r="Z386">
        <v>4</v>
      </c>
    </row>
    <row r="387" spans="1:26">
      <c r="A387" t="s">
        <v>984</v>
      </c>
      <c r="B387" t="s">
        <v>985</v>
      </c>
      <c r="C387" t="s">
        <v>28</v>
      </c>
      <c r="D387" t="s">
        <v>46</v>
      </c>
      <c r="E387" s="1">
        <v>43567</v>
      </c>
      <c r="F387" t="s">
        <v>65</v>
      </c>
      <c r="G387" t="s">
        <v>365</v>
      </c>
      <c r="H387" t="s">
        <v>49</v>
      </c>
      <c r="I387">
        <v>9</v>
      </c>
      <c r="J387" t="s">
        <v>150</v>
      </c>
      <c r="K387">
        <v>1</v>
      </c>
      <c r="L387" s="3">
        <v>5399</v>
      </c>
      <c r="M387">
        <v>20</v>
      </c>
      <c r="N387" s="3">
        <v>4320</v>
      </c>
      <c r="O387" s="3">
        <v>4320</v>
      </c>
      <c r="P387" t="s">
        <v>34</v>
      </c>
      <c r="Q387" t="s">
        <v>51</v>
      </c>
      <c r="R387" t="s">
        <v>36</v>
      </c>
      <c r="S387" t="s">
        <v>186</v>
      </c>
      <c r="T387" t="s">
        <v>341</v>
      </c>
      <c r="U387" t="s">
        <v>54</v>
      </c>
      <c r="V387" t="s">
        <v>40</v>
      </c>
      <c r="W387">
        <v>4.4000000000000004</v>
      </c>
      <c r="X387" t="s">
        <v>41</v>
      </c>
      <c r="Y387" t="s">
        <v>42</v>
      </c>
      <c r="Z387">
        <v>4</v>
      </c>
    </row>
    <row r="388" spans="1:26">
      <c r="A388" t="s">
        <v>986</v>
      </c>
      <c r="B388" t="s">
        <v>987</v>
      </c>
      <c r="C388" t="s">
        <v>28</v>
      </c>
      <c r="D388" t="s">
        <v>95</v>
      </c>
      <c r="E388" s="1">
        <v>43569</v>
      </c>
      <c r="F388" t="s">
        <v>96</v>
      </c>
      <c r="G388" t="s">
        <v>228</v>
      </c>
      <c r="H388" t="s">
        <v>59</v>
      </c>
      <c r="I388">
        <v>10</v>
      </c>
      <c r="J388" t="s">
        <v>67</v>
      </c>
      <c r="K388">
        <v>1</v>
      </c>
      <c r="L388" s="3">
        <v>7199</v>
      </c>
      <c r="M388">
        <v>20</v>
      </c>
      <c r="N388" s="3">
        <v>5760</v>
      </c>
      <c r="O388" s="3">
        <v>5760</v>
      </c>
      <c r="P388" t="s">
        <v>74</v>
      </c>
      <c r="Q388" t="s">
        <v>51</v>
      </c>
      <c r="R388" t="s">
        <v>36</v>
      </c>
      <c r="S388" t="s">
        <v>168</v>
      </c>
      <c r="T388" t="s">
        <v>714</v>
      </c>
      <c r="U388" t="s">
        <v>61</v>
      </c>
      <c r="V388" t="s">
        <v>40</v>
      </c>
      <c r="W388">
        <v>4.2</v>
      </c>
      <c r="X388" t="s">
        <v>106</v>
      </c>
      <c r="Y388" t="s">
        <v>42</v>
      </c>
      <c r="Z388">
        <v>5</v>
      </c>
    </row>
    <row r="389" spans="1:26">
      <c r="A389" t="s">
        <v>988</v>
      </c>
      <c r="B389" t="s">
        <v>719</v>
      </c>
      <c r="C389" t="s">
        <v>94</v>
      </c>
      <c r="D389" t="s">
        <v>29</v>
      </c>
      <c r="E389" s="1">
        <v>43569</v>
      </c>
      <c r="F389" t="s">
        <v>30</v>
      </c>
      <c r="G389" t="s">
        <v>31</v>
      </c>
      <c r="H389" t="s">
        <v>32</v>
      </c>
      <c r="I389">
        <v>9</v>
      </c>
      <c r="J389" t="s">
        <v>33</v>
      </c>
      <c r="K389">
        <v>1</v>
      </c>
      <c r="L389" s="3">
        <v>7599</v>
      </c>
      <c r="M389">
        <v>10</v>
      </c>
      <c r="N389" s="3">
        <v>6840</v>
      </c>
      <c r="O389" s="3">
        <v>6840</v>
      </c>
      <c r="P389" t="s">
        <v>81</v>
      </c>
      <c r="Q389" t="s">
        <v>51</v>
      </c>
      <c r="R389" t="s">
        <v>36</v>
      </c>
      <c r="S389" t="s">
        <v>168</v>
      </c>
      <c r="T389" t="s">
        <v>714</v>
      </c>
      <c r="U389" t="s">
        <v>39</v>
      </c>
      <c r="V389" t="s">
        <v>315</v>
      </c>
      <c r="W389">
        <v>2.9</v>
      </c>
      <c r="X389" t="s">
        <v>41</v>
      </c>
      <c r="Y389" t="s">
        <v>42</v>
      </c>
      <c r="Z389">
        <v>3</v>
      </c>
    </row>
    <row r="390" spans="1:26">
      <c r="A390" t="s">
        <v>989</v>
      </c>
      <c r="B390" t="s">
        <v>679</v>
      </c>
      <c r="C390" t="s">
        <v>45</v>
      </c>
      <c r="D390" t="s">
        <v>29</v>
      </c>
      <c r="E390" s="1">
        <v>43570</v>
      </c>
      <c r="F390" t="s">
        <v>47</v>
      </c>
      <c r="G390" t="s">
        <v>48</v>
      </c>
      <c r="H390" t="s">
        <v>49</v>
      </c>
      <c r="I390">
        <v>7</v>
      </c>
      <c r="J390" t="s">
        <v>73</v>
      </c>
      <c r="K390">
        <v>1</v>
      </c>
      <c r="L390" s="3">
        <v>6699</v>
      </c>
      <c r="M390">
        <v>20</v>
      </c>
      <c r="N390" s="3">
        <v>5360</v>
      </c>
      <c r="O390" s="3">
        <v>5360</v>
      </c>
      <c r="P390" t="s">
        <v>74</v>
      </c>
      <c r="Q390" t="s">
        <v>35</v>
      </c>
      <c r="R390" t="s">
        <v>36</v>
      </c>
      <c r="S390" t="s">
        <v>418</v>
      </c>
      <c r="T390" t="s">
        <v>924</v>
      </c>
      <c r="U390" t="s">
        <v>54</v>
      </c>
      <c r="V390" t="s">
        <v>315</v>
      </c>
      <c r="W390">
        <v>4.4000000000000004</v>
      </c>
      <c r="X390" t="s">
        <v>41</v>
      </c>
      <c r="Y390" t="s">
        <v>42</v>
      </c>
      <c r="Z390">
        <v>6</v>
      </c>
    </row>
    <row r="391" spans="1:26">
      <c r="A391" t="s">
        <v>990</v>
      </c>
      <c r="B391" t="s">
        <v>991</v>
      </c>
      <c r="C391" t="s">
        <v>45</v>
      </c>
      <c r="D391" t="s">
        <v>29</v>
      </c>
      <c r="E391" s="1">
        <v>43571</v>
      </c>
      <c r="F391" t="s">
        <v>47</v>
      </c>
      <c r="G391" t="s">
        <v>218</v>
      </c>
      <c r="H391" t="s">
        <v>59</v>
      </c>
      <c r="I391">
        <v>8</v>
      </c>
      <c r="J391" t="s">
        <v>98</v>
      </c>
      <c r="K391">
        <v>1</v>
      </c>
      <c r="L391" s="3">
        <v>5599</v>
      </c>
      <c r="M391">
        <v>5</v>
      </c>
      <c r="N391" s="3">
        <v>5320</v>
      </c>
      <c r="O391" s="3">
        <v>5320</v>
      </c>
      <c r="P391" t="s">
        <v>74</v>
      </c>
      <c r="Q391" t="s">
        <v>82</v>
      </c>
      <c r="R391" t="s">
        <v>36</v>
      </c>
      <c r="S391" t="s">
        <v>112</v>
      </c>
      <c r="T391" t="s">
        <v>133</v>
      </c>
      <c r="U391" t="s">
        <v>54</v>
      </c>
      <c r="V391" t="s">
        <v>40</v>
      </c>
      <c r="W391">
        <v>5</v>
      </c>
      <c r="X391" t="s">
        <v>106</v>
      </c>
      <c r="Y391" t="s">
        <v>42</v>
      </c>
      <c r="Z391">
        <v>2</v>
      </c>
    </row>
    <row r="392" spans="1:26">
      <c r="A392" t="s">
        <v>992</v>
      </c>
      <c r="B392" t="s">
        <v>993</v>
      </c>
      <c r="C392" t="s">
        <v>28</v>
      </c>
      <c r="D392" t="s">
        <v>46</v>
      </c>
      <c r="E392" s="1">
        <v>43573</v>
      </c>
      <c r="F392" t="s">
        <v>86</v>
      </c>
      <c r="G392" t="s">
        <v>242</v>
      </c>
      <c r="H392" t="s">
        <v>32</v>
      </c>
      <c r="I392">
        <v>7</v>
      </c>
      <c r="J392" t="s">
        <v>150</v>
      </c>
      <c r="K392">
        <v>1</v>
      </c>
      <c r="L392" s="3">
        <v>9599</v>
      </c>
      <c r="M392">
        <v>35</v>
      </c>
      <c r="N392" s="3">
        <v>6240</v>
      </c>
      <c r="O392" s="3">
        <v>6240</v>
      </c>
      <c r="P392" t="s">
        <v>34</v>
      </c>
      <c r="Q392" t="s">
        <v>51</v>
      </c>
      <c r="R392" t="s">
        <v>36</v>
      </c>
      <c r="S392" t="s">
        <v>99</v>
      </c>
      <c r="T392" t="s">
        <v>759</v>
      </c>
      <c r="U392" t="s">
        <v>39</v>
      </c>
      <c r="V392" t="s">
        <v>40</v>
      </c>
      <c r="W392">
        <v>4.5999999999999996</v>
      </c>
      <c r="X392" t="s">
        <v>41</v>
      </c>
      <c r="Y392" t="s">
        <v>42</v>
      </c>
      <c r="Z392">
        <v>4</v>
      </c>
    </row>
    <row r="393" spans="1:26">
      <c r="A393" t="s">
        <v>994</v>
      </c>
      <c r="B393" t="s">
        <v>814</v>
      </c>
      <c r="C393" t="s">
        <v>45</v>
      </c>
      <c r="D393" t="s">
        <v>29</v>
      </c>
      <c r="E393" s="1">
        <v>43573</v>
      </c>
      <c r="F393" t="s">
        <v>79</v>
      </c>
      <c r="G393" t="s">
        <v>301</v>
      </c>
      <c r="H393" t="s">
        <v>49</v>
      </c>
      <c r="I393">
        <v>7</v>
      </c>
      <c r="J393" t="s">
        <v>67</v>
      </c>
      <c r="K393">
        <v>1</v>
      </c>
      <c r="L393" s="3">
        <v>8299</v>
      </c>
      <c r="M393">
        <v>20</v>
      </c>
      <c r="N393" s="3">
        <v>6640</v>
      </c>
      <c r="O393" s="3">
        <v>6640</v>
      </c>
      <c r="P393" t="s">
        <v>74</v>
      </c>
      <c r="Q393" t="s">
        <v>35</v>
      </c>
      <c r="R393" t="s">
        <v>36</v>
      </c>
      <c r="S393" t="s">
        <v>418</v>
      </c>
      <c r="T393" t="s">
        <v>549</v>
      </c>
      <c r="U393" t="s">
        <v>91</v>
      </c>
      <c r="V393" t="s">
        <v>315</v>
      </c>
      <c r="W393">
        <v>2.9</v>
      </c>
      <c r="X393" t="s">
        <v>41</v>
      </c>
      <c r="Y393" t="s">
        <v>55</v>
      </c>
      <c r="Z393">
        <v>3</v>
      </c>
    </row>
    <row r="394" spans="1:26">
      <c r="A394" t="s">
        <v>995</v>
      </c>
      <c r="B394" t="s">
        <v>996</v>
      </c>
      <c r="C394" t="s">
        <v>45</v>
      </c>
      <c r="D394" t="s">
        <v>29</v>
      </c>
      <c r="E394" s="1">
        <v>43576</v>
      </c>
      <c r="F394" t="s">
        <v>86</v>
      </c>
      <c r="G394" t="s">
        <v>87</v>
      </c>
      <c r="H394" t="s">
        <v>59</v>
      </c>
      <c r="I394">
        <v>12</v>
      </c>
      <c r="J394" t="s">
        <v>150</v>
      </c>
      <c r="K394">
        <v>1</v>
      </c>
      <c r="L394" s="3">
        <v>4799</v>
      </c>
      <c r="M394">
        <v>20</v>
      </c>
      <c r="N394" s="3">
        <v>3840</v>
      </c>
      <c r="O394" s="3">
        <v>3840</v>
      </c>
      <c r="P394" t="s">
        <v>81</v>
      </c>
      <c r="Q394" t="s">
        <v>51</v>
      </c>
      <c r="R394" t="s">
        <v>36</v>
      </c>
      <c r="S394" t="s">
        <v>243</v>
      </c>
      <c r="T394" t="s">
        <v>244</v>
      </c>
      <c r="U394" t="s">
        <v>124</v>
      </c>
      <c r="V394" t="s">
        <v>40</v>
      </c>
      <c r="W394">
        <v>3.9</v>
      </c>
      <c r="X394" t="s">
        <v>106</v>
      </c>
      <c r="Y394" t="s">
        <v>147</v>
      </c>
      <c r="Z394">
        <v>1</v>
      </c>
    </row>
    <row r="395" spans="1:26">
      <c r="A395" t="s">
        <v>997</v>
      </c>
      <c r="B395" t="s">
        <v>998</v>
      </c>
      <c r="C395" t="s">
        <v>94</v>
      </c>
      <c r="D395" t="s">
        <v>103</v>
      </c>
      <c r="E395" s="1">
        <v>43578</v>
      </c>
      <c r="F395" t="s">
        <v>65</v>
      </c>
      <c r="G395" t="s">
        <v>66</v>
      </c>
      <c r="H395" t="s">
        <v>59</v>
      </c>
      <c r="I395">
        <v>12</v>
      </c>
      <c r="J395" t="s">
        <v>67</v>
      </c>
      <c r="K395">
        <v>1</v>
      </c>
      <c r="L395" s="3">
        <v>3099</v>
      </c>
      <c r="M395">
        <v>15</v>
      </c>
      <c r="N395" s="3">
        <v>2630</v>
      </c>
      <c r="O395" s="3">
        <v>2630</v>
      </c>
      <c r="P395" t="s">
        <v>81</v>
      </c>
      <c r="Q395" t="s">
        <v>82</v>
      </c>
      <c r="R395" t="s">
        <v>36</v>
      </c>
      <c r="S395" t="s">
        <v>156</v>
      </c>
      <c r="T395" t="s">
        <v>324</v>
      </c>
      <c r="U395" t="s">
        <v>61</v>
      </c>
      <c r="V395" t="s">
        <v>40</v>
      </c>
      <c r="W395">
        <v>4.2</v>
      </c>
      <c r="X395" t="s">
        <v>41</v>
      </c>
      <c r="Y395" t="s">
        <v>42</v>
      </c>
      <c r="Z395">
        <v>4</v>
      </c>
    </row>
    <row r="396" spans="1:26">
      <c r="A396" t="s">
        <v>999</v>
      </c>
      <c r="B396" t="s">
        <v>1000</v>
      </c>
      <c r="C396" t="s">
        <v>28</v>
      </c>
      <c r="D396" t="s">
        <v>103</v>
      </c>
      <c r="E396" s="1">
        <v>43579</v>
      </c>
      <c r="F396" t="s">
        <v>79</v>
      </c>
      <c r="G396" t="s">
        <v>80</v>
      </c>
      <c r="H396" t="s">
        <v>59</v>
      </c>
      <c r="I396">
        <v>8</v>
      </c>
      <c r="J396" t="s">
        <v>98</v>
      </c>
      <c r="K396">
        <v>1</v>
      </c>
      <c r="L396" s="3">
        <v>8299</v>
      </c>
      <c r="M396">
        <v>15</v>
      </c>
      <c r="N396" s="3">
        <v>7050</v>
      </c>
      <c r="O396" s="3">
        <v>7050</v>
      </c>
      <c r="P396" t="s">
        <v>34</v>
      </c>
      <c r="Q396" t="s">
        <v>82</v>
      </c>
      <c r="R396" t="s">
        <v>36</v>
      </c>
      <c r="S396" t="s">
        <v>210</v>
      </c>
      <c r="T396" t="s">
        <v>412</v>
      </c>
      <c r="U396" t="s">
        <v>54</v>
      </c>
      <c r="V396" t="s">
        <v>40</v>
      </c>
      <c r="W396">
        <v>2.8</v>
      </c>
      <c r="X396" t="s">
        <v>41</v>
      </c>
      <c r="Y396" t="s">
        <v>42</v>
      </c>
      <c r="Z396">
        <v>5</v>
      </c>
    </row>
    <row r="397" spans="1:26">
      <c r="A397" t="s">
        <v>1001</v>
      </c>
      <c r="B397" t="s">
        <v>1002</v>
      </c>
      <c r="C397" t="s">
        <v>94</v>
      </c>
      <c r="D397" t="s">
        <v>95</v>
      </c>
      <c r="E397" s="1">
        <v>43579</v>
      </c>
      <c r="F397" t="s">
        <v>96</v>
      </c>
      <c r="G397" t="s">
        <v>155</v>
      </c>
      <c r="H397" t="s">
        <v>111</v>
      </c>
      <c r="I397">
        <v>10</v>
      </c>
      <c r="J397" t="s">
        <v>88</v>
      </c>
      <c r="K397">
        <v>1</v>
      </c>
      <c r="L397" s="3">
        <v>7899</v>
      </c>
      <c r="M397">
        <v>35</v>
      </c>
      <c r="N397" s="3">
        <v>5130</v>
      </c>
      <c r="O397" s="3">
        <v>5130</v>
      </c>
      <c r="P397" t="s">
        <v>81</v>
      </c>
      <c r="Q397" t="s">
        <v>82</v>
      </c>
      <c r="R397" t="s">
        <v>36</v>
      </c>
      <c r="S397" t="s">
        <v>354</v>
      </c>
      <c r="T397" t="s">
        <v>431</v>
      </c>
      <c r="U397" t="s">
        <v>61</v>
      </c>
      <c r="V397" t="s">
        <v>40</v>
      </c>
      <c r="W397">
        <v>3.2</v>
      </c>
      <c r="X397" t="s">
        <v>41</v>
      </c>
      <c r="Y397" t="s">
        <v>55</v>
      </c>
      <c r="Z397">
        <v>2</v>
      </c>
    </row>
    <row r="398" spans="1:26">
      <c r="A398" t="s">
        <v>1003</v>
      </c>
      <c r="B398" t="s">
        <v>568</v>
      </c>
      <c r="C398" t="s">
        <v>45</v>
      </c>
      <c r="D398" t="s">
        <v>46</v>
      </c>
      <c r="E398" s="1">
        <v>43579</v>
      </c>
      <c r="F398" t="s">
        <v>79</v>
      </c>
      <c r="G398" t="s">
        <v>480</v>
      </c>
      <c r="H398" t="s">
        <v>111</v>
      </c>
      <c r="I398">
        <v>9</v>
      </c>
      <c r="J398" t="s">
        <v>73</v>
      </c>
      <c r="K398">
        <v>1</v>
      </c>
      <c r="L398" s="3">
        <v>5599</v>
      </c>
      <c r="M398">
        <v>30</v>
      </c>
      <c r="N398" s="3">
        <v>3920</v>
      </c>
      <c r="O398" s="3">
        <v>3920</v>
      </c>
      <c r="P398" t="s">
        <v>74</v>
      </c>
      <c r="Q398" t="s">
        <v>51</v>
      </c>
      <c r="R398" t="s">
        <v>36</v>
      </c>
      <c r="S398" t="s">
        <v>129</v>
      </c>
      <c r="T398" t="s">
        <v>282</v>
      </c>
      <c r="U398" t="s">
        <v>61</v>
      </c>
      <c r="V398" t="s">
        <v>315</v>
      </c>
      <c r="W398">
        <v>4.3</v>
      </c>
      <c r="X398" t="s">
        <v>41</v>
      </c>
      <c r="Y398" t="s">
        <v>42</v>
      </c>
      <c r="Z398">
        <v>4</v>
      </c>
    </row>
    <row r="399" spans="1:26">
      <c r="A399" t="s">
        <v>1004</v>
      </c>
      <c r="B399" t="s">
        <v>1005</v>
      </c>
      <c r="C399" t="s">
        <v>94</v>
      </c>
      <c r="D399" t="s">
        <v>29</v>
      </c>
      <c r="E399" s="1">
        <v>43583</v>
      </c>
      <c r="F399" t="s">
        <v>65</v>
      </c>
      <c r="G399" t="s">
        <v>365</v>
      </c>
      <c r="H399" t="s">
        <v>49</v>
      </c>
      <c r="I399">
        <v>9</v>
      </c>
      <c r="J399" t="s">
        <v>67</v>
      </c>
      <c r="K399">
        <v>2</v>
      </c>
      <c r="L399" s="3">
        <v>2999</v>
      </c>
      <c r="M399">
        <v>10</v>
      </c>
      <c r="N399" s="3">
        <v>2700</v>
      </c>
      <c r="O399" s="3">
        <v>5400</v>
      </c>
      <c r="P399" t="s">
        <v>74</v>
      </c>
      <c r="Q399" t="s">
        <v>82</v>
      </c>
      <c r="R399" t="s">
        <v>36</v>
      </c>
      <c r="S399" t="s">
        <v>195</v>
      </c>
      <c r="T399" t="s">
        <v>665</v>
      </c>
      <c r="U399" t="s">
        <v>61</v>
      </c>
      <c r="V399" t="s">
        <v>40</v>
      </c>
      <c r="W399">
        <v>3.4</v>
      </c>
      <c r="X399" t="s">
        <v>41</v>
      </c>
      <c r="Y399" t="s">
        <v>42</v>
      </c>
      <c r="Z399">
        <v>5</v>
      </c>
    </row>
    <row r="400" spans="1:26">
      <c r="A400" t="s">
        <v>1006</v>
      </c>
      <c r="B400" t="s">
        <v>1007</v>
      </c>
      <c r="C400" t="s">
        <v>94</v>
      </c>
      <c r="D400" t="s">
        <v>95</v>
      </c>
      <c r="E400" s="1">
        <v>43592</v>
      </c>
      <c r="F400" t="s">
        <v>79</v>
      </c>
      <c r="G400" t="s">
        <v>480</v>
      </c>
      <c r="H400" t="s">
        <v>111</v>
      </c>
      <c r="I400">
        <v>8</v>
      </c>
      <c r="J400" t="s">
        <v>150</v>
      </c>
      <c r="K400">
        <v>1</v>
      </c>
      <c r="L400" s="3">
        <v>5099</v>
      </c>
      <c r="M400">
        <v>0</v>
      </c>
      <c r="N400" s="3">
        <v>5100</v>
      </c>
      <c r="O400" s="3">
        <v>5100</v>
      </c>
      <c r="P400" t="s">
        <v>74</v>
      </c>
      <c r="Q400" t="s">
        <v>51</v>
      </c>
      <c r="R400" t="s">
        <v>36</v>
      </c>
      <c r="S400" t="s">
        <v>210</v>
      </c>
      <c r="T400" t="s">
        <v>412</v>
      </c>
      <c r="U400" t="s">
        <v>61</v>
      </c>
      <c r="V400" t="s">
        <v>40</v>
      </c>
      <c r="W400">
        <v>3.6</v>
      </c>
      <c r="X400" t="s">
        <v>62</v>
      </c>
      <c r="Y400" t="s">
        <v>55</v>
      </c>
      <c r="Z400">
        <v>3</v>
      </c>
    </row>
    <row r="401" spans="1:26">
      <c r="A401" t="s">
        <v>1008</v>
      </c>
      <c r="B401" t="s">
        <v>856</v>
      </c>
      <c r="C401" t="s">
        <v>45</v>
      </c>
      <c r="D401" t="s">
        <v>109</v>
      </c>
      <c r="E401" s="1">
        <v>43593</v>
      </c>
      <c r="F401" t="s">
        <v>86</v>
      </c>
      <c r="G401" t="s">
        <v>116</v>
      </c>
      <c r="H401" t="s">
        <v>49</v>
      </c>
      <c r="I401">
        <v>12</v>
      </c>
      <c r="J401" t="s">
        <v>98</v>
      </c>
      <c r="K401">
        <v>1</v>
      </c>
      <c r="L401" s="3">
        <v>4599</v>
      </c>
      <c r="M401">
        <v>15</v>
      </c>
      <c r="N401" s="3">
        <v>3910</v>
      </c>
      <c r="O401" s="3">
        <v>3910</v>
      </c>
      <c r="P401" t="s">
        <v>34</v>
      </c>
      <c r="Q401" t="s">
        <v>82</v>
      </c>
      <c r="R401" t="s">
        <v>36</v>
      </c>
      <c r="S401" t="s">
        <v>460</v>
      </c>
      <c r="T401" t="s">
        <v>461</v>
      </c>
      <c r="U401" t="s">
        <v>124</v>
      </c>
      <c r="V401" t="s">
        <v>315</v>
      </c>
      <c r="W401">
        <v>4.0999999999999996</v>
      </c>
      <c r="X401" t="s">
        <v>62</v>
      </c>
      <c r="Y401" t="s">
        <v>147</v>
      </c>
      <c r="Z401">
        <v>1</v>
      </c>
    </row>
    <row r="402" spans="1:26">
      <c r="A402" t="s">
        <v>1009</v>
      </c>
      <c r="B402" t="s">
        <v>1010</v>
      </c>
      <c r="C402" t="s">
        <v>28</v>
      </c>
      <c r="D402" t="s">
        <v>46</v>
      </c>
      <c r="E402" s="1">
        <v>43593</v>
      </c>
      <c r="F402" t="s">
        <v>96</v>
      </c>
      <c r="G402" t="s">
        <v>228</v>
      </c>
      <c r="H402" t="s">
        <v>59</v>
      </c>
      <c r="I402">
        <v>9</v>
      </c>
      <c r="J402" t="s">
        <v>33</v>
      </c>
      <c r="K402">
        <v>1</v>
      </c>
      <c r="L402" s="3">
        <v>8199</v>
      </c>
      <c r="M402">
        <v>0</v>
      </c>
      <c r="N402" s="3">
        <v>8200</v>
      </c>
      <c r="O402" s="3">
        <v>8200</v>
      </c>
      <c r="P402" t="s">
        <v>34</v>
      </c>
      <c r="Q402" t="s">
        <v>51</v>
      </c>
      <c r="R402" t="s">
        <v>36</v>
      </c>
      <c r="S402" t="s">
        <v>99</v>
      </c>
      <c r="T402" t="s">
        <v>335</v>
      </c>
      <c r="U402" t="s">
        <v>54</v>
      </c>
      <c r="V402" t="s">
        <v>40</v>
      </c>
      <c r="W402">
        <v>3.2</v>
      </c>
      <c r="X402" t="s">
        <v>41</v>
      </c>
      <c r="Y402" t="s">
        <v>42</v>
      </c>
      <c r="Z402">
        <v>5</v>
      </c>
    </row>
    <row r="403" spans="1:26">
      <c r="A403" t="s">
        <v>1011</v>
      </c>
      <c r="B403" t="s">
        <v>889</v>
      </c>
      <c r="C403" t="s">
        <v>45</v>
      </c>
      <c r="D403" t="s">
        <v>29</v>
      </c>
      <c r="E403" s="1">
        <v>43594</v>
      </c>
      <c r="F403" t="s">
        <v>96</v>
      </c>
      <c r="G403" t="s">
        <v>228</v>
      </c>
      <c r="H403" t="s">
        <v>59</v>
      </c>
      <c r="I403">
        <v>10</v>
      </c>
      <c r="J403" t="s">
        <v>67</v>
      </c>
      <c r="K403">
        <v>1</v>
      </c>
      <c r="L403" s="3">
        <v>8499</v>
      </c>
      <c r="M403">
        <v>10</v>
      </c>
      <c r="N403" s="3">
        <v>7650</v>
      </c>
      <c r="O403" s="3">
        <v>7650</v>
      </c>
      <c r="P403" t="s">
        <v>74</v>
      </c>
      <c r="Q403" t="s">
        <v>82</v>
      </c>
      <c r="R403" t="s">
        <v>36</v>
      </c>
      <c r="S403" t="s">
        <v>75</v>
      </c>
      <c r="T403" t="s">
        <v>76</v>
      </c>
      <c r="U403" t="s">
        <v>54</v>
      </c>
      <c r="V403" t="s">
        <v>315</v>
      </c>
      <c r="W403">
        <v>4.5999999999999996</v>
      </c>
      <c r="X403" t="s">
        <v>41</v>
      </c>
      <c r="Y403" t="s">
        <v>42</v>
      </c>
      <c r="Z403">
        <v>2</v>
      </c>
    </row>
    <row r="404" spans="1:26">
      <c r="A404" t="s">
        <v>1012</v>
      </c>
      <c r="B404" t="s">
        <v>1013</v>
      </c>
      <c r="C404" t="s">
        <v>45</v>
      </c>
      <c r="D404" t="s">
        <v>103</v>
      </c>
      <c r="E404" s="1">
        <v>43600</v>
      </c>
      <c r="F404" t="s">
        <v>79</v>
      </c>
      <c r="G404" t="s">
        <v>301</v>
      </c>
      <c r="H404" t="s">
        <v>49</v>
      </c>
      <c r="I404">
        <v>11</v>
      </c>
      <c r="J404" t="s">
        <v>33</v>
      </c>
      <c r="K404">
        <v>2</v>
      </c>
      <c r="L404" s="3">
        <v>4499</v>
      </c>
      <c r="M404">
        <v>10</v>
      </c>
      <c r="N404" s="3">
        <v>4050</v>
      </c>
      <c r="O404" s="3">
        <v>8100</v>
      </c>
      <c r="P404" t="s">
        <v>81</v>
      </c>
      <c r="Q404" t="s">
        <v>51</v>
      </c>
      <c r="R404" t="s">
        <v>36</v>
      </c>
      <c r="S404" t="s">
        <v>112</v>
      </c>
      <c r="T404" t="s">
        <v>133</v>
      </c>
      <c r="U404" t="s">
        <v>39</v>
      </c>
      <c r="V404" t="s">
        <v>40</v>
      </c>
      <c r="W404">
        <v>4.8</v>
      </c>
      <c r="X404" t="s">
        <v>41</v>
      </c>
      <c r="Y404" t="s">
        <v>55</v>
      </c>
      <c r="Z404">
        <v>3</v>
      </c>
    </row>
    <row r="405" spans="1:26">
      <c r="A405" t="s">
        <v>1014</v>
      </c>
      <c r="B405" t="s">
        <v>479</v>
      </c>
      <c r="C405" t="s">
        <v>28</v>
      </c>
      <c r="D405" t="s">
        <v>29</v>
      </c>
      <c r="E405" s="1">
        <v>43601</v>
      </c>
      <c r="F405" t="s">
        <v>86</v>
      </c>
      <c r="G405" t="s">
        <v>285</v>
      </c>
      <c r="H405" t="s">
        <v>111</v>
      </c>
      <c r="I405">
        <v>10</v>
      </c>
      <c r="J405" t="s">
        <v>67</v>
      </c>
      <c r="K405">
        <v>1</v>
      </c>
      <c r="L405" s="3">
        <v>4699</v>
      </c>
      <c r="M405">
        <v>5</v>
      </c>
      <c r="N405" s="3">
        <v>4460</v>
      </c>
      <c r="O405" s="3">
        <v>4460</v>
      </c>
      <c r="P405" t="s">
        <v>81</v>
      </c>
      <c r="Q405" t="s">
        <v>82</v>
      </c>
      <c r="R405" t="s">
        <v>36</v>
      </c>
      <c r="S405" t="s">
        <v>112</v>
      </c>
      <c r="T405" t="s">
        <v>250</v>
      </c>
      <c r="U405" t="s">
        <v>54</v>
      </c>
      <c r="V405" t="s">
        <v>315</v>
      </c>
      <c r="W405">
        <v>4.0999999999999996</v>
      </c>
      <c r="X405" t="s">
        <v>41</v>
      </c>
      <c r="Y405" t="s">
        <v>42</v>
      </c>
      <c r="Z405">
        <v>3</v>
      </c>
    </row>
    <row r="406" spans="1:26">
      <c r="A406" t="s">
        <v>1015</v>
      </c>
      <c r="B406" t="s">
        <v>1016</v>
      </c>
      <c r="C406" t="s">
        <v>45</v>
      </c>
      <c r="D406" t="s">
        <v>29</v>
      </c>
      <c r="E406" s="1">
        <v>43601</v>
      </c>
      <c r="F406" t="s">
        <v>47</v>
      </c>
      <c r="G406" t="s">
        <v>218</v>
      </c>
      <c r="H406" t="s">
        <v>59</v>
      </c>
      <c r="I406">
        <v>8</v>
      </c>
      <c r="J406" t="s">
        <v>67</v>
      </c>
      <c r="K406">
        <v>1</v>
      </c>
      <c r="L406" s="3">
        <v>7999</v>
      </c>
      <c r="M406">
        <v>10</v>
      </c>
      <c r="N406" s="3">
        <v>7200</v>
      </c>
      <c r="O406" s="3">
        <v>7200</v>
      </c>
      <c r="P406" t="s">
        <v>74</v>
      </c>
      <c r="Q406" t="s">
        <v>51</v>
      </c>
      <c r="R406" t="s">
        <v>36</v>
      </c>
      <c r="S406" t="s">
        <v>168</v>
      </c>
      <c r="T406" t="s">
        <v>532</v>
      </c>
      <c r="U406" t="s">
        <v>54</v>
      </c>
      <c r="V406" t="s">
        <v>40</v>
      </c>
      <c r="W406">
        <v>4.2</v>
      </c>
      <c r="X406" t="s">
        <v>41</v>
      </c>
      <c r="Y406" t="s">
        <v>55</v>
      </c>
      <c r="Z406">
        <v>2</v>
      </c>
    </row>
    <row r="407" spans="1:26">
      <c r="A407" t="s">
        <v>1017</v>
      </c>
      <c r="B407" t="s">
        <v>1018</v>
      </c>
      <c r="C407" t="s">
        <v>94</v>
      </c>
      <c r="D407" t="s">
        <v>29</v>
      </c>
      <c r="E407" s="1">
        <v>43601</v>
      </c>
      <c r="F407" t="s">
        <v>65</v>
      </c>
      <c r="G407" t="s">
        <v>279</v>
      </c>
      <c r="H407" t="s">
        <v>111</v>
      </c>
      <c r="I407">
        <v>6</v>
      </c>
      <c r="J407" t="s">
        <v>73</v>
      </c>
      <c r="K407">
        <v>1</v>
      </c>
      <c r="L407" s="3">
        <v>6999</v>
      </c>
      <c r="M407">
        <v>15</v>
      </c>
      <c r="N407" s="3">
        <v>5950</v>
      </c>
      <c r="O407" s="3">
        <v>5950</v>
      </c>
      <c r="P407" t="s">
        <v>34</v>
      </c>
      <c r="Q407" t="s">
        <v>82</v>
      </c>
      <c r="R407" t="s">
        <v>36</v>
      </c>
      <c r="S407" t="s">
        <v>384</v>
      </c>
      <c r="T407" t="s">
        <v>444</v>
      </c>
      <c r="U407" t="s">
        <v>54</v>
      </c>
      <c r="V407" t="s">
        <v>40</v>
      </c>
      <c r="W407">
        <v>3.7</v>
      </c>
      <c r="X407" t="s">
        <v>41</v>
      </c>
      <c r="Y407" t="s">
        <v>55</v>
      </c>
      <c r="Z407">
        <v>3</v>
      </c>
    </row>
    <row r="408" spans="1:26">
      <c r="A408" t="s">
        <v>1019</v>
      </c>
      <c r="B408" t="s">
        <v>1020</v>
      </c>
      <c r="C408" t="s">
        <v>28</v>
      </c>
      <c r="D408" t="s">
        <v>95</v>
      </c>
      <c r="E408" s="1">
        <v>43606</v>
      </c>
      <c r="F408" t="s">
        <v>65</v>
      </c>
      <c r="G408" t="s">
        <v>256</v>
      </c>
      <c r="H408" t="s">
        <v>32</v>
      </c>
      <c r="I408">
        <v>9</v>
      </c>
      <c r="J408" t="s">
        <v>98</v>
      </c>
      <c r="K408">
        <v>1</v>
      </c>
      <c r="L408" s="3">
        <v>7299</v>
      </c>
      <c r="M408">
        <v>20</v>
      </c>
      <c r="N408" s="3">
        <v>5840</v>
      </c>
      <c r="O408" s="3">
        <v>5840</v>
      </c>
      <c r="P408" t="s">
        <v>34</v>
      </c>
      <c r="Q408" t="s">
        <v>51</v>
      </c>
      <c r="R408" t="s">
        <v>36</v>
      </c>
      <c r="S408" t="s">
        <v>156</v>
      </c>
      <c r="T408" t="s">
        <v>369</v>
      </c>
      <c r="U408" t="s">
        <v>124</v>
      </c>
      <c r="V408" t="s">
        <v>40</v>
      </c>
      <c r="W408">
        <v>4.7</v>
      </c>
      <c r="X408" t="s">
        <v>41</v>
      </c>
      <c r="Y408" t="s">
        <v>42</v>
      </c>
      <c r="Z408">
        <v>4</v>
      </c>
    </row>
    <row r="409" spans="1:26">
      <c r="A409" t="s">
        <v>1021</v>
      </c>
      <c r="B409" t="s">
        <v>1010</v>
      </c>
      <c r="C409" t="s">
        <v>94</v>
      </c>
      <c r="D409" t="s">
        <v>46</v>
      </c>
      <c r="E409" s="1">
        <v>43607</v>
      </c>
      <c r="F409" t="s">
        <v>96</v>
      </c>
      <c r="G409" t="s">
        <v>228</v>
      </c>
      <c r="H409" t="s">
        <v>59</v>
      </c>
      <c r="I409">
        <v>8</v>
      </c>
      <c r="J409" t="s">
        <v>150</v>
      </c>
      <c r="K409">
        <v>1</v>
      </c>
      <c r="L409" s="3">
        <v>8899</v>
      </c>
      <c r="M409">
        <v>20</v>
      </c>
      <c r="N409" s="3">
        <v>7120</v>
      </c>
      <c r="O409" s="3">
        <v>7120</v>
      </c>
      <c r="P409" t="s">
        <v>74</v>
      </c>
      <c r="Q409" t="s">
        <v>35</v>
      </c>
      <c r="R409" t="s">
        <v>36</v>
      </c>
      <c r="S409" t="s">
        <v>418</v>
      </c>
      <c r="T409" t="s">
        <v>549</v>
      </c>
      <c r="U409" t="s">
        <v>91</v>
      </c>
      <c r="V409" t="s">
        <v>315</v>
      </c>
      <c r="W409">
        <v>4.4000000000000004</v>
      </c>
      <c r="X409" t="s">
        <v>41</v>
      </c>
      <c r="Y409" t="s">
        <v>55</v>
      </c>
      <c r="Z409">
        <v>1</v>
      </c>
    </row>
    <row r="410" spans="1:26">
      <c r="A410" t="s">
        <v>1022</v>
      </c>
      <c r="B410" t="s">
        <v>132</v>
      </c>
      <c r="C410" t="s">
        <v>45</v>
      </c>
      <c r="D410" t="s">
        <v>103</v>
      </c>
      <c r="E410" s="1">
        <v>43608</v>
      </c>
      <c r="F410" t="s">
        <v>47</v>
      </c>
      <c r="G410" t="s">
        <v>48</v>
      </c>
      <c r="H410" t="s">
        <v>49</v>
      </c>
      <c r="I410">
        <v>7</v>
      </c>
      <c r="J410" t="s">
        <v>88</v>
      </c>
      <c r="K410">
        <v>2</v>
      </c>
      <c r="L410" s="3">
        <v>5699</v>
      </c>
      <c r="M410">
        <v>20</v>
      </c>
      <c r="N410" s="3">
        <v>4560</v>
      </c>
      <c r="O410" s="3">
        <v>9120</v>
      </c>
      <c r="P410" t="s">
        <v>74</v>
      </c>
      <c r="Q410" t="s">
        <v>51</v>
      </c>
      <c r="R410" t="s">
        <v>36</v>
      </c>
      <c r="S410" t="s">
        <v>269</v>
      </c>
      <c r="T410" t="s">
        <v>652</v>
      </c>
      <c r="U410" t="s">
        <v>39</v>
      </c>
      <c r="V410" t="s">
        <v>315</v>
      </c>
      <c r="W410">
        <v>4.4000000000000004</v>
      </c>
      <c r="X410" t="s">
        <v>41</v>
      </c>
      <c r="Y410" t="s">
        <v>42</v>
      </c>
      <c r="Z410">
        <v>4</v>
      </c>
    </row>
    <row r="411" spans="1:26">
      <c r="A411" t="s">
        <v>1023</v>
      </c>
      <c r="B411" t="s">
        <v>1024</v>
      </c>
      <c r="C411" t="s">
        <v>45</v>
      </c>
      <c r="D411" t="s">
        <v>29</v>
      </c>
      <c r="E411" s="1">
        <v>43608</v>
      </c>
      <c r="F411" t="s">
        <v>96</v>
      </c>
      <c r="G411" t="s">
        <v>228</v>
      </c>
      <c r="H411" t="s">
        <v>59</v>
      </c>
      <c r="I411">
        <v>9</v>
      </c>
      <c r="J411" t="s">
        <v>33</v>
      </c>
      <c r="K411">
        <v>1</v>
      </c>
      <c r="L411" s="3">
        <v>8999</v>
      </c>
      <c r="M411">
        <v>20</v>
      </c>
      <c r="N411" s="3">
        <v>7200</v>
      </c>
      <c r="O411" s="3">
        <v>7200</v>
      </c>
      <c r="P411" t="s">
        <v>81</v>
      </c>
      <c r="Q411" t="s">
        <v>51</v>
      </c>
      <c r="R411" t="s">
        <v>36</v>
      </c>
      <c r="S411" t="s">
        <v>129</v>
      </c>
      <c r="T411" t="s">
        <v>282</v>
      </c>
      <c r="U411" t="s">
        <v>54</v>
      </c>
      <c r="V411" t="s">
        <v>40</v>
      </c>
      <c r="W411">
        <v>3.2</v>
      </c>
      <c r="X411" t="s">
        <v>41</v>
      </c>
      <c r="Y411" t="s">
        <v>42</v>
      </c>
      <c r="Z411">
        <v>6</v>
      </c>
    </row>
    <row r="412" spans="1:26">
      <c r="A412" t="s">
        <v>1025</v>
      </c>
      <c r="B412" t="s">
        <v>371</v>
      </c>
      <c r="C412" t="s">
        <v>45</v>
      </c>
      <c r="D412" t="s">
        <v>95</v>
      </c>
      <c r="E412" s="1">
        <v>43610</v>
      </c>
      <c r="F412" t="s">
        <v>47</v>
      </c>
      <c r="G412" t="s">
        <v>199</v>
      </c>
      <c r="H412" t="s">
        <v>59</v>
      </c>
      <c r="I412">
        <v>6</v>
      </c>
      <c r="J412" t="s">
        <v>88</v>
      </c>
      <c r="K412">
        <v>1</v>
      </c>
      <c r="L412" s="3">
        <v>7299</v>
      </c>
      <c r="M412">
        <v>20</v>
      </c>
      <c r="N412" s="3">
        <v>5840</v>
      </c>
      <c r="O412" s="3">
        <v>5840</v>
      </c>
      <c r="P412" t="s">
        <v>34</v>
      </c>
      <c r="Q412" t="s">
        <v>51</v>
      </c>
      <c r="R412" t="s">
        <v>36</v>
      </c>
      <c r="S412" t="s">
        <v>112</v>
      </c>
      <c r="T412" t="s">
        <v>265</v>
      </c>
      <c r="U412" t="s">
        <v>54</v>
      </c>
      <c r="V412" t="s">
        <v>315</v>
      </c>
      <c r="W412">
        <v>4.4000000000000004</v>
      </c>
      <c r="X412" t="s">
        <v>106</v>
      </c>
      <c r="Y412" t="s">
        <v>42</v>
      </c>
      <c r="Z412">
        <v>5</v>
      </c>
    </row>
    <row r="413" spans="1:26">
      <c r="A413" t="s">
        <v>1026</v>
      </c>
      <c r="B413" t="s">
        <v>1027</v>
      </c>
      <c r="C413" t="s">
        <v>28</v>
      </c>
      <c r="D413" t="s">
        <v>29</v>
      </c>
      <c r="E413" s="1">
        <v>43610</v>
      </c>
      <c r="F413" t="s">
        <v>79</v>
      </c>
      <c r="G413" t="s">
        <v>517</v>
      </c>
      <c r="H413" t="s">
        <v>59</v>
      </c>
      <c r="I413">
        <v>10</v>
      </c>
      <c r="J413" t="s">
        <v>33</v>
      </c>
      <c r="K413">
        <v>1</v>
      </c>
      <c r="L413" s="3">
        <v>4399</v>
      </c>
      <c r="M413">
        <v>20</v>
      </c>
      <c r="N413" s="3">
        <v>3520</v>
      </c>
      <c r="O413" s="3">
        <v>3520</v>
      </c>
      <c r="P413" t="s">
        <v>81</v>
      </c>
      <c r="Q413" t="s">
        <v>51</v>
      </c>
      <c r="R413" t="s">
        <v>36</v>
      </c>
      <c r="S413" t="s">
        <v>160</v>
      </c>
      <c r="T413" t="s">
        <v>344</v>
      </c>
      <c r="U413" t="s">
        <v>91</v>
      </c>
      <c r="V413" t="s">
        <v>40</v>
      </c>
      <c r="W413">
        <v>3.9</v>
      </c>
      <c r="X413" t="s">
        <v>106</v>
      </c>
      <c r="Y413" t="s">
        <v>42</v>
      </c>
      <c r="Z413">
        <v>4</v>
      </c>
    </row>
    <row r="414" spans="1:26">
      <c r="A414" t="s">
        <v>1028</v>
      </c>
      <c r="B414" t="s">
        <v>1029</v>
      </c>
      <c r="C414" t="s">
        <v>28</v>
      </c>
      <c r="D414" t="s">
        <v>29</v>
      </c>
      <c r="E414" s="1">
        <v>43610</v>
      </c>
      <c r="F414" t="s">
        <v>30</v>
      </c>
      <c r="G414" t="s">
        <v>214</v>
      </c>
      <c r="H414" t="s">
        <v>128</v>
      </c>
      <c r="I414">
        <v>8</v>
      </c>
      <c r="J414" t="s">
        <v>73</v>
      </c>
      <c r="K414">
        <v>1</v>
      </c>
      <c r="L414" s="3">
        <v>5199</v>
      </c>
      <c r="M414">
        <v>25</v>
      </c>
      <c r="N414" s="3">
        <v>3900</v>
      </c>
      <c r="O414" s="3">
        <v>3900</v>
      </c>
      <c r="P414" t="s">
        <v>50</v>
      </c>
      <c r="Q414" t="s">
        <v>51</v>
      </c>
      <c r="R414" t="s">
        <v>36</v>
      </c>
      <c r="S414" t="s">
        <v>338</v>
      </c>
      <c r="T414" t="s">
        <v>449</v>
      </c>
      <c r="U414" t="s">
        <v>39</v>
      </c>
      <c r="V414" t="s">
        <v>40</v>
      </c>
      <c r="W414">
        <v>3.1</v>
      </c>
      <c r="X414" t="s">
        <v>41</v>
      </c>
      <c r="Y414" t="s">
        <v>55</v>
      </c>
      <c r="Z414">
        <v>3</v>
      </c>
    </row>
    <row r="415" spans="1:26">
      <c r="A415" t="s">
        <v>1030</v>
      </c>
      <c r="B415" t="s">
        <v>1031</v>
      </c>
      <c r="C415" t="s">
        <v>28</v>
      </c>
      <c r="D415" t="s">
        <v>46</v>
      </c>
      <c r="E415" s="1">
        <v>43611</v>
      </c>
      <c r="F415" t="s">
        <v>96</v>
      </c>
      <c r="G415" t="s">
        <v>323</v>
      </c>
      <c r="H415" t="s">
        <v>59</v>
      </c>
      <c r="I415">
        <v>9</v>
      </c>
      <c r="J415" t="s">
        <v>98</v>
      </c>
      <c r="K415">
        <v>1</v>
      </c>
      <c r="L415" s="3">
        <v>6599</v>
      </c>
      <c r="M415">
        <v>15</v>
      </c>
      <c r="N415" s="3">
        <v>5610</v>
      </c>
      <c r="O415" s="3">
        <v>5610</v>
      </c>
      <c r="P415" t="s">
        <v>81</v>
      </c>
      <c r="Q415" t="s">
        <v>35</v>
      </c>
      <c r="R415" t="s">
        <v>36</v>
      </c>
      <c r="S415" t="s">
        <v>243</v>
      </c>
      <c r="T415" t="s">
        <v>328</v>
      </c>
      <c r="U415" t="s">
        <v>61</v>
      </c>
      <c r="V415" t="s">
        <v>40</v>
      </c>
      <c r="W415">
        <v>4.3</v>
      </c>
      <c r="X415" t="s">
        <v>41</v>
      </c>
      <c r="Y415" t="s">
        <v>42</v>
      </c>
      <c r="Z415">
        <v>5</v>
      </c>
    </row>
    <row r="416" spans="1:26">
      <c r="A416" t="s">
        <v>1032</v>
      </c>
      <c r="B416" t="s">
        <v>317</v>
      </c>
      <c r="C416" t="s">
        <v>94</v>
      </c>
      <c r="D416" t="s">
        <v>29</v>
      </c>
      <c r="E416" s="1">
        <v>43613</v>
      </c>
      <c r="F416" t="s">
        <v>86</v>
      </c>
      <c r="G416" t="s">
        <v>87</v>
      </c>
      <c r="H416" t="s">
        <v>59</v>
      </c>
      <c r="I416">
        <v>11</v>
      </c>
      <c r="J416" t="s">
        <v>98</v>
      </c>
      <c r="K416">
        <v>1</v>
      </c>
      <c r="L416" s="3">
        <v>6099</v>
      </c>
      <c r="M416">
        <v>20</v>
      </c>
      <c r="N416" s="3">
        <v>4880</v>
      </c>
      <c r="O416" s="3">
        <v>4880</v>
      </c>
      <c r="P416" t="s">
        <v>34</v>
      </c>
      <c r="Q416" t="s">
        <v>51</v>
      </c>
      <c r="R416" t="s">
        <v>36</v>
      </c>
      <c r="S416" t="s">
        <v>52</v>
      </c>
      <c r="T416" t="s">
        <v>235</v>
      </c>
      <c r="U416" t="s">
        <v>91</v>
      </c>
      <c r="V416" t="s">
        <v>315</v>
      </c>
      <c r="W416">
        <v>4.5</v>
      </c>
      <c r="X416" t="s">
        <v>41</v>
      </c>
      <c r="Y416" t="s">
        <v>42</v>
      </c>
      <c r="Z416">
        <v>3</v>
      </c>
    </row>
    <row r="417" spans="1:26">
      <c r="A417" t="s">
        <v>1033</v>
      </c>
      <c r="B417" t="s">
        <v>1034</v>
      </c>
      <c r="C417" t="s">
        <v>28</v>
      </c>
      <c r="D417" t="s">
        <v>103</v>
      </c>
      <c r="E417" s="1">
        <v>43617</v>
      </c>
      <c r="F417" t="s">
        <v>30</v>
      </c>
      <c r="G417" t="s">
        <v>110</v>
      </c>
      <c r="H417" t="s">
        <v>111</v>
      </c>
      <c r="I417">
        <v>6</v>
      </c>
      <c r="J417" t="s">
        <v>73</v>
      </c>
      <c r="K417">
        <v>1</v>
      </c>
      <c r="L417" s="3">
        <v>4299</v>
      </c>
      <c r="M417">
        <v>5</v>
      </c>
      <c r="N417" s="3">
        <v>4080</v>
      </c>
      <c r="O417" s="3">
        <v>4080</v>
      </c>
      <c r="P417" t="s">
        <v>74</v>
      </c>
      <c r="Q417" t="s">
        <v>51</v>
      </c>
      <c r="R417" t="s">
        <v>36</v>
      </c>
      <c r="S417" t="s">
        <v>358</v>
      </c>
      <c r="T417" t="s">
        <v>359</v>
      </c>
      <c r="U417" t="s">
        <v>54</v>
      </c>
      <c r="V417" t="s">
        <v>40</v>
      </c>
      <c r="W417">
        <v>3.4</v>
      </c>
      <c r="X417" t="s">
        <v>41</v>
      </c>
      <c r="Y417" t="s">
        <v>55</v>
      </c>
      <c r="Z417">
        <v>3</v>
      </c>
    </row>
    <row r="418" spans="1:26">
      <c r="A418" t="s">
        <v>1035</v>
      </c>
      <c r="B418" t="s">
        <v>1036</v>
      </c>
      <c r="C418" t="s">
        <v>28</v>
      </c>
      <c r="D418" t="s">
        <v>109</v>
      </c>
      <c r="E418" s="1">
        <v>43619</v>
      </c>
      <c r="F418" t="s">
        <v>65</v>
      </c>
      <c r="G418" t="s">
        <v>268</v>
      </c>
      <c r="H418" t="s">
        <v>128</v>
      </c>
      <c r="I418">
        <v>7</v>
      </c>
      <c r="J418" t="s">
        <v>88</v>
      </c>
      <c r="K418">
        <v>3</v>
      </c>
      <c r="L418" s="3">
        <v>7899</v>
      </c>
      <c r="M418">
        <v>35</v>
      </c>
      <c r="N418" s="3">
        <v>5130</v>
      </c>
      <c r="O418" s="3">
        <v>15390</v>
      </c>
      <c r="P418" t="s">
        <v>74</v>
      </c>
      <c r="Q418" t="s">
        <v>51</v>
      </c>
      <c r="R418" t="s">
        <v>36</v>
      </c>
      <c r="S418" t="s">
        <v>418</v>
      </c>
      <c r="T418" t="s">
        <v>924</v>
      </c>
      <c r="U418" t="s">
        <v>91</v>
      </c>
      <c r="V418" t="s">
        <v>40</v>
      </c>
      <c r="W418">
        <v>2.7</v>
      </c>
      <c r="X418" t="s">
        <v>62</v>
      </c>
      <c r="Y418" t="s">
        <v>42</v>
      </c>
      <c r="Z418">
        <v>2</v>
      </c>
    </row>
    <row r="419" spans="1:26">
      <c r="A419" t="s">
        <v>1037</v>
      </c>
      <c r="B419" t="s">
        <v>1038</v>
      </c>
      <c r="C419" t="s">
        <v>45</v>
      </c>
      <c r="D419" t="s">
        <v>95</v>
      </c>
      <c r="E419" s="1">
        <v>43619</v>
      </c>
      <c r="F419" t="s">
        <v>65</v>
      </c>
      <c r="G419" t="s">
        <v>279</v>
      </c>
      <c r="H419" t="s">
        <v>111</v>
      </c>
      <c r="I419">
        <v>10</v>
      </c>
      <c r="J419" t="s">
        <v>98</v>
      </c>
      <c r="K419">
        <v>1</v>
      </c>
      <c r="L419" s="3">
        <v>5999</v>
      </c>
      <c r="M419">
        <v>5</v>
      </c>
      <c r="N419" s="3">
        <v>5700</v>
      </c>
      <c r="O419" s="3">
        <v>5700</v>
      </c>
      <c r="P419" t="s">
        <v>34</v>
      </c>
      <c r="Q419" t="s">
        <v>51</v>
      </c>
      <c r="R419" t="s">
        <v>36</v>
      </c>
      <c r="S419" t="s">
        <v>164</v>
      </c>
      <c r="T419" t="s">
        <v>314</v>
      </c>
      <c r="U419" t="s">
        <v>124</v>
      </c>
      <c r="V419" t="s">
        <v>40</v>
      </c>
      <c r="W419">
        <v>4</v>
      </c>
      <c r="X419" t="s">
        <v>41</v>
      </c>
      <c r="Y419" t="s">
        <v>147</v>
      </c>
      <c r="Z419">
        <v>1</v>
      </c>
    </row>
    <row r="420" spans="1:26">
      <c r="A420" t="s">
        <v>1039</v>
      </c>
      <c r="B420" t="s">
        <v>693</v>
      </c>
      <c r="C420" t="s">
        <v>94</v>
      </c>
      <c r="D420" t="s">
        <v>103</v>
      </c>
      <c r="E420" s="1">
        <v>43620</v>
      </c>
      <c r="F420" t="s">
        <v>86</v>
      </c>
      <c r="G420" t="s">
        <v>116</v>
      </c>
      <c r="H420" t="s">
        <v>49</v>
      </c>
      <c r="I420">
        <v>9</v>
      </c>
      <c r="J420" t="s">
        <v>150</v>
      </c>
      <c r="K420">
        <v>2</v>
      </c>
      <c r="L420" s="3">
        <v>5499</v>
      </c>
      <c r="M420">
        <v>10</v>
      </c>
      <c r="N420" s="3">
        <v>4950</v>
      </c>
      <c r="O420" s="3">
        <v>9900</v>
      </c>
      <c r="P420" t="s">
        <v>34</v>
      </c>
      <c r="Q420" t="s">
        <v>51</v>
      </c>
      <c r="R420" t="s">
        <v>36</v>
      </c>
      <c r="S420" t="s">
        <v>297</v>
      </c>
      <c r="T420" t="s">
        <v>566</v>
      </c>
      <c r="U420" t="s">
        <v>61</v>
      </c>
      <c r="V420" t="s">
        <v>315</v>
      </c>
      <c r="W420">
        <v>3</v>
      </c>
      <c r="X420" t="s">
        <v>41</v>
      </c>
      <c r="Y420" t="s">
        <v>42</v>
      </c>
      <c r="Z420">
        <v>4</v>
      </c>
    </row>
    <row r="421" spans="1:26">
      <c r="A421" t="s">
        <v>1040</v>
      </c>
      <c r="B421" t="s">
        <v>527</v>
      </c>
      <c r="C421" t="s">
        <v>94</v>
      </c>
      <c r="D421" t="s">
        <v>46</v>
      </c>
      <c r="E421" s="1">
        <v>43621</v>
      </c>
      <c r="F421" t="s">
        <v>47</v>
      </c>
      <c r="G421" t="s">
        <v>48</v>
      </c>
      <c r="H421" t="s">
        <v>49</v>
      </c>
      <c r="I421">
        <v>8</v>
      </c>
      <c r="J421" t="s">
        <v>98</v>
      </c>
      <c r="K421">
        <v>1</v>
      </c>
      <c r="L421" s="3">
        <v>7399</v>
      </c>
      <c r="M421">
        <v>0</v>
      </c>
      <c r="N421" s="3">
        <v>7400</v>
      </c>
      <c r="O421" s="3">
        <v>7400</v>
      </c>
      <c r="P421" t="s">
        <v>50</v>
      </c>
      <c r="Q421" t="s">
        <v>82</v>
      </c>
      <c r="R421" t="s">
        <v>36</v>
      </c>
      <c r="S421" t="s">
        <v>418</v>
      </c>
      <c r="T421" t="s">
        <v>419</v>
      </c>
      <c r="U421" t="s">
        <v>91</v>
      </c>
      <c r="V421" t="s">
        <v>315</v>
      </c>
      <c r="W421">
        <v>4.9000000000000004</v>
      </c>
      <c r="X421" t="s">
        <v>41</v>
      </c>
      <c r="Y421" t="s">
        <v>55</v>
      </c>
      <c r="Z421">
        <v>2</v>
      </c>
    </row>
    <row r="422" spans="1:26">
      <c r="A422" t="s">
        <v>1041</v>
      </c>
      <c r="B422" t="s">
        <v>1042</v>
      </c>
      <c r="C422" t="s">
        <v>45</v>
      </c>
      <c r="D422" t="s">
        <v>95</v>
      </c>
      <c r="E422" s="1">
        <v>43624</v>
      </c>
      <c r="F422" t="s">
        <v>65</v>
      </c>
      <c r="G422" t="s">
        <v>268</v>
      </c>
      <c r="H422" t="s">
        <v>128</v>
      </c>
      <c r="I422">
        <v>9</v>
      </c>
      <c r="J422" t="s">
        <v>88</v>
      </c>
      <c r="K422">
        <v>1</v>
      </c>
      <c r="L422" s="3">
        <v>4399</v>
      </c>
      <c r="M422">
        <v>30</v>
      </c>
      <c r="N422" s="3">
        <v>3080</v>
      </c>
      <c r="O422" s="3">
        <v>3080</v>
      </c>
      <c r="P422" t="s">
        <v>81</v>
      </c>
      <c r="Q422" t="s">
        <v>51</v>
      </c>
      <c r="R422" t="s">
        <v>36</v>
      </c>
      <c r="S422" t="s">
        <v>238</v>
      </c>
      <c r="T422" t="s">
        <v>239</v>
      </c>
      <c r="U422" t="s">
        <v>91</v>
      </c>
      <c r="V422" t="s">
        <v>40</v>
      </c>
      <c r="W422">
        <v>4.0999999999999996</v>
      </c>
      <c r="X422" t="s">
        <v>41</v>
      </c>
      <c r="Y422" t="s">
        <v>42</v>
      </c>
      <c r="Z422">
        <v>3</v>
      </c>
    </row>
    <row r="423" spans="1:26">
      <c r="A423" t="s">
        <v>1043</v>
      </c>
      <c r="B423" t="s">
        <v>1044</v>
      </c>
      <c r="C423" t="s">
        <v>28</v>
      </c>
      <c r="D423" t="s">
        <v>95</v>
      </c>
      <c r="E423" s="1">
        <v>43628</v>
      </c>
      <c r="F423" t="s">
        <v>79</v>
      </c>
      <c r="G423" t="s">
        <v>517</v>
      </c>
      <c r="H423" t="s">
        <v>59</v>
      </c>
      <c r="I423">
        <v>10</v>
      </c>
      <c r="J423" t="s">
        <v>73</v>
      </c>
      <c r="K423">
        <v>2</v>
      </c>
      <c r="L423" s="3">
        <v>6099</v>
      </c>
      <c r="M423">
        <v>10</v>
      </c>
      <c r="N423" s="3">
        <v>5490</v>
      </c>
      <c r="O423" s="3">
        <v>10980</v>
      </c>
      <c r="P423" t="s">
        <v>74</v>
      </c>
      <c r="Q423" t="s">
        <v>51</v>
      </c>
      <c r="R423" t="s">
        <v>36</v>
      </c>
      <c r="S423" t="s">
        <v>286</v>
      </c>
      <c r="T423" t="s">
        <v>287</v>
      </c>
      <c r="U423" t="s">
        <v>39</v>
      </c>
      <c r="V423" t="s">
        <v>40</v>
      </c>
      <c r="W423">
        <v>4.3</v>
      </c>
      <c r="X423" t="s">
        <v>41</v>
      </c>
      <c r="Y423" t="s">
        <v>42</v>
      </c>
      <c r="Z423">
        <v>2</v>
      </c>
    </row>
    <row r="424" spans="1:26">
      <c r="A424" t="s">
        <v>1045</v>
      </c>
      <c r="B424" t="s">
        <v>1046</v>
      </c>
      <c r="C424" t="s">
        <v>94</v>
      </c>
      <c r="D424" t="s">
        <v>103</v>
      </c>
      <c r="E424" s="1">
        <v>43630</v>
      </c>
      <c r="F424" t="s">
        <v>86</v>
      </c>
      <c r="G424" t="s">
        <v>285</v>
      </c>
      <c r="H424" t="s">
        <v>111</v>
      </c>
      <c r="I424">
        <v>9</v>
      </c>
      <c r="J424" t="s">
        <v>67</v>
      </c>
      <c r="K424">
        <v>2</v>
      </c>
      <c r="L424" s="3">
        <v>6999</v>
      </c>
      <c r="M424">
        <v>15</v>
      </c>
      <c r="N424" s="3">
        <v>5950</v>
      </c>
      <c r="O424" s="3">
        <v>11900</v>
      </c>
      <c r="P424" t="s">
        <v>74</v>
      </c>
      <c r="Q424" t="s">
        <v>35</v>
      </c>
      <c r="R424" t="s">
        <v>36</v>
      </c>
      <c r="S424" t="s">
        <v>460</v>
      </c>
      <c r="T424" t="s">
        <v>461</v>
      </c>
      <c r="U424" t="s">
        <v>54</v>
      </c>
      <c r="V424" t="s">
        <v>40</v>
      </c>
      <c r="W424">
        <v>4.4000000000000004</v>
      </c>
      <c r="X424" t="s">
        <v>41</v>
      </c>
      <c r="Y424" t="s">
        <v>42</v>
      </c>
      <c r="Z424">
        <v>4</v>
      </c>
    </row>
    <row r="425" spans="1:26">
      <c r="A425" t="s">
        <v>1047</v>
      </c>
      <c r="B425" t="s">
        <v>546</v>
      </c>
      <c r="C425" t="s">
        <v>28</v>
      </c>
      <c r="D425" t="s">
        <v>29</v>
      </c>
      <c r="E425" s="1">
        <v>43630</v>
      </c>
      <c r="F425" t="s">
        <v>79</v>
      </c>
      <c r="G425" t="s">
        <v>127</v>
      </c>
      <c r="H425" t="s">
        <v>128</v>
      </c>
      <c r="I425">
        <v>10</v>
      </c>
      <c r="J425" t="s">
        <v>67</v>
      </c>
      <c r="K425">
        <v>1</v>
      </c>
      <c r="L425" s="3">
        <v>7999</v>
      </c>
      <c r="M425">
        <v>15</v>
      </c>
      <c r="N425" s="3">
        <v>6800</v>
      </c>
      <c r="O425" s="3">
        <v>6800</v>
      </c>
      <c r="P425" t="s">
        <v>34</v>
      </c>
      <c r="Q425" t="s">
        <v>82</v>
      </c>
      <c r="R425" t="s">
        <v>36</v>
      </c>
      <c r="S425" t="s">
        <v>104</v>
      </c>
      <c r="T425" t="s">
        <v>1048</v>
      </c>
      <c r="U425" t="s">
        <v>124</v>
      </c>
      <c r="V425" t="s">
        <v>315</v>
      </c>
      <c r="W425">
        <v>5</v>
      </c>
      <c r="X425" t="s">
        <v>106</v>
      </c>
      <c r="Y425" t="s">
        <v>55</v>
      </c>
      <c r="Z425">
        <v>2</v>
      </c>
    </row>
    <row r="426" spans="1:26">
      <c r="A426" t="s">
        <v>1049</v>
      </c>
      <c r="B426" t="s">
        <v>774</v>
      </c>
      <c r="C426" t="s">
        <v>45</v>
      </c>
      <c r="D426" t="s">
        <v>95</v>
      </c>
      <c r="E426" s="1">
        <v>43632</v>
      </c>
      <c r="F426" t="s">
        <v>65</v>
      </c>
      <c r="G426" t="s">
        <v>279</v>
      </c>
      <c r="H426" t="s">
        <v>111</v>
      </c>
      <c r="I426">
        <v>9</v>
      </c>
      <c r="J426" t="s">
        <v>150</v>
      </c>
      <c r="K426">
        <v>1</v>
      </c>
      <c r="L426" s="3">
        <v>5799</v>
      </c>
      <c r="M426">
        <v>30</v>
      </c>
      <c r="N426" s="3">
        <v>4060</v>
      </c>
      <c r="O426" s="3">
        <v>4060</v>
      </c>
      <c r="P426" t="s">
        <v>81</v>
      </c>
      <c r="Q426" t="s">
        <v>35</v>
      </c>
      <c r="R426" t="s">
        <v>36</v>
      </c>
      <c r="S426" t="s">
        <v>151</v>
      </c>
      <c r="T426" t="s">
        <v>452</v>
      </c>
      <c r="U426" t="s">
        <v>61</v>
      </c>
      <c r="V426" t="s">
        <v>315</v>
      </c>
      <c r="W426">
        <v>4.3</v>
      </c>
      <c r="X426" t="s">
        <v>41</v>
      </c>
      <c r="Y426" t="s">
        <v>55</v>
      </c>
      <c r="Z426">
        <v>1</v>
      </c>
    </row>
    <row r="427" spans="1:26">
      <c r="A427" t="s">
        <v>1050</v>
      </c>
      <c r="B427" t="s">
        <v>983</v>
      </c>
      <c r="C427" t="s">
        <v>45</v>
      </c>
      <c r="D427" t="s">
        <v>29</v>
      </c>
      <c r="E427" s="1">
        <v>43634</v>
      </c>
      <c r="F427" t="s">
        <v>30</v>
      </c>
      <c r="G427" t="s">
        <v>31</v>
      </c>
      <c r="H427" t="s">
        <v>32</v>
      </c>
      <c r="I427">
        <v>10</v>
      </c>
      <c r="J427" t="s">
        <v>150</v>
      </c>
      <c r="K427">
        <v>1</v>
      </c>
      <c r="L427" s="3">
        <v>4499</v>
      </c>
      <c r="M427">
        <v>0</v>
      </c>
      <c r="N427" s="3">
        <v>4500</v>
      </c>
      <c r="O427" s="3">
        <v>4500</v>
      </c>
      <c r="P427" t="s">
        <v>50</v>
      </c>
      <c r="Q427" t="s">
        <v>35</v>
      </c>
      <c r="R427" t="s">
        <v>36</v>
      </c>
      <c r="S427" t="s">
        <v>112</v>
      </c>
      <c r="T427" t="s">
        <v>133</v>
      </c>
      <c r="U427" t="s">
        <v>124</v>
      </c>
      <c r="V427" t="s">
        <v>315</v>
      </c>
      <c r="W427">
        <v>4.8</v>
      </c>
      <c r="X427" t="s">
        <v>62</v>
      </c>
      <c r="Y427" t="s">
        <v>42</v>
      </c>
      <c r="Z427">
        <v>5</v>
      </c>
    </row>
    <row r="428" spans="1:26">
      <c r="A428" t="s">
        <v>1051</v>
      </c>
      <c r="B428" t="s">
        <v>1052</v>
      </c>
      <c r="C428" t="s">
        <v>45</v>
      </c>
      <c r="D428" t="s">
        <v>46</v>
      </c>
      <c r="E428" s="1">
        <v>43635</v>
      </c>
      <c r="F428" t="s">
        <v>79</v>
      </c>
      <c r="G428" t="s">
        <v>80</v>
      </c>
      <c r="H428" t="s">
        <v>59</v>
      </c>
      <c r="I428">
        <v>7</v>
      </c>
      <c r="J428" t="s">
        <v>33</v>
      </c>
      <c r="K428">
        <v>1</v>
      </c>
      <c r="L428" s="3">
        <v>6499</v>
      </c>
      <c r="M428">
        <v>5</v>
      </c>
      <c r="N428" s="3">
        <v>6170</v>
      </c>
      <c r="O428" s="3">
        <v>6170</v>
      </c>
      <c r="P428" t="s">
        <v>81</v>
      </c>
      <c r="Q428" t="s">
        <v>51</v>
      </c>
      <c r="R428" t="s">
        <v>36</v>
      </c>
      <c r="S428" t="s">
        <v>354</v>
      </c>
      <c r="T428" t="s">
        <v>431</v>
      </c>
      <c r="U428" t="s">
        <v>39</v>
      </c>
      <c r="V428" t="s">
        <v>40</v>
      </c>
      <c r="W428">
        <v>4.8</v>
      </c>
      <c r="X428" t="s">
        <v>62</v>
      </c>
      <c r="Y428" t="s">
        <v>42</v>
      </c>
      <c r="Z428">
        <v>5</v>
      </c>
    </row>
    <row r="429" spans="1:26">
      <c r="A429" t="s">
        <v>1053</v>
      </c>
      <c r="B429" t="s">
        <v>1007</v>
      </c>
      <c r="C429" t="s">
        <v>28</v>
      </c>
      <c r="D429" t="s">
        <v>103</v>
      </c>
      <c r="E429" s="1">
        <v>43636</v>
      </c>
      <c r="F429" t="s">
        <v>79</v>
      </c>
      <c r="G429" t="s">
        <v>480</v>
      </c>
      <c r="H429" t="s">
        <v>111</v>
      </c>
      <c r="I429">
        <v>11</v>
      </c>
      <c r="J429" t="s">
        <v>33</v>
      </c>
      <c r="K429">
        <v>1</v>
      </c>
      <c r="L429" s="3">
        <v>7799</v>
      </c>
      <c r="M429">
        <v>20</v>
      </c>
      <c r="N429" s="3">
        <v>6240</v>
      </c>
      <c r="O429" s="3">
        <v>6240</v>
      </c>
      <c r="P429" t="s">
        <v>34</v>
      </c>
      <c r="Q429" t="s">
        <v>51</v>
      </c>
      <c r="R429" t="s">
        <v>36</v>
      </c>
      <c r="S429" t="s">
        <v>186</v>
      </c>
      <c r="T429" t="s">
        <v>187</v>
      </c>
      <c r="U429" t="s">
        <v>61</v>
      </c>
      <c r="V429" t="s">
        <v>315</v>
      </c>
      <c r="W429">
        <v>3.9</v>
      </c>
      <c r="X429" t="s">
        <v>41</v>
      </c>
      <c r="Y429" t="s">
        <v>147</v>
      </c>
      <c r="Z429">
        <v>1</v>
      </c>
    </row>
    <row r="430" spans="1:26">
      <c r="A430" t="s">
        <v>1054</v>
      </c>
      <c r="B430" t="s">
        <v>284</v>
      </c>
      <c r="C430" t="s">
        <v>28</v>
      </c>
      <c r="D430" t="s">
        <v>29</v>
      </c>
      <c r="E430" s="1">
        <v>43636</v>
      </c>
      <c r="F430" t="s">
        <v>65</v>
      </c>
      <c r="G430" t="s">
        <v>256</v>
      </c>
      <c r="H430" t="s">
        <v>32</v>
      </c>
      <c r="I430">
        <v>8</v>
      </c>
      <c r="J430" t="s">
        <v>33</v>
      </c>
      <c r="K430">
        <v>1</v>
      </c>
      <c r="L430" s="3">
        <v>4799</v>
      </c>
      <c r="M430">
        <v>15</v>
      </c>
      <c r="N430" s="3">
        <v>4080</v>
      </c>
      <c r="O430" s="3">
        <v>4080</v>
      </c>
      <c r="P430" t="s">
        <v>74</v>
      </c>
      <c r="Q430" t="s">
        <v>51</v>
      </c>
      <c r="R430" t="s">
        <v>36</v>
      </c>
      <c r="S430" t="s">
        <v>141</v>
      </c>
      <c r="T430" t="s">
        <v>294</v>
      </c>
      <c r="U430" t="s">
        <v>61</v>
      </c>
      <c r="V430" t="s">
        <v>315</v>
      </c>
      <c r="W430">
        <v>3.1</v>
      </c>
      <c r="X430" t="s">
        <v>106</v>
      </c>
      <c r="Y430" t="s">
        <v>42</v>
      </c>
      <c r="Z430">
        <v>4</v>
      </c>
    </row>
    <row r="431" spans="1:26">
      <c r="A431" t="s">
        <v>1055</v>
      </c>
      <c r="B431" t="s">
        <v>1056</v>
      </c>
      <c r="C431" t="s">
        <v>28</v>
      </c>
      <c r="D431" t="s">
        <v>95</v>
      </c>
      <c r="E431" s="1">
        <v>43636</v>
      </c>
      <c r="F431" t="s">
        <v>79</v>
      </c>
      <c r="G431" t="s">
        <v>517</v>
      </c>
      <c r="H431" t="s">
        <v>59</v>
      </c>
      <c r="I431">
        <v>11</v>
      </c>
      <c r="J431" t="s">
        <v>67</v>
      </c>
      <c r="K431">
        <v>2</v>
      </c>
      <c r="L431" s="3">
        <v>5199</v>
      </c>
      <c r="M431">
        <v>10</v>
      </c>
      <c r="N431" s="3">
        <v>4680</v>
      </c>
      <c r="O431" s="3">
        <v>9360</v>
      </c>
      <c r="P431" t="s">
        <v>50</v>
      </c>
      <c r="Q431" t="s">
        <v>82</v>
      </c>
      <c r="R431" t="s">
        <v>36</v>
      </c>
      <c r="S431" t="s">
        <v>68</v>
      </c>
      <c r="T431" t="s">
        <v>69</v>
      </c>
      <c r="U431" t="s">
        <v>124</v>
      </c>
      <c r="V431" t="s">
        <v>40</v>
      </c>
      <c r="W431">
        <v>4.2</v>
      </c>
      <c r="X431" t="s">
        <v>62</v>
      </c>
      <c r="Y431" t="s">
        <v>55</v>
      </c>
      <c r="Z431">
        <v>1</v>
      </c>
    </row>
    <row r="432" spans="1:26">
      <c r="A432" t="s">
        <v>1057</v>
      </c>
      <c r="B432" t="s">
        <v>947</v>
      </c>
      <c r="C432" t="s">
        <v>28</v>
      </c>
      <c r="D432" t="s">
        <v>29</v>
      </c>
      <c r="E432" s="1">
        <v>43636</v>
      </c>
      <c r="F432" t="s">
        <v>47</v>
      </c>
      <c r="G432" t="s">
        <v>140</v>
      </c>
      <c r="H432" t="s">
        <v>128</v>
      </c>
      <c r="I432">
        <v>10</v>
      </c>
      <c r="J432" t="s">
        <v>98</v>
      </c>
      <c r="K432">
        <v>1</v>
      </c>
      <c r="L432" s="3">
        <v>5299</v>
      </c>
      <c r="M432">
        <v>10</v>
      </c>
      <c r="N432" s="3">
        <v>4770</v>
      </c>
      <c r="O432" s="3">
        <v>4770</v>
      </c>
      <c r="P432" t="s">
        <v>81</v>
      </c>
      <c r="Q432" t="s">
        <v>51</v>
      </c>
      <c r="R432" t="s">
        <v>36</v>
      </c>
      <c r="S432" t="s">
        <v>156</v>
      </c>
      <c r="T432" t="s">
        <v>157</v>
      </c>
      <c r="U432" t="s">
        <v>61</v>
      </c>
      <c r="V432" t="s">
        <v>315</v>
      </c>
      <c r="W432">
        <v>3.7</v>
      </c>
      <c r="X432" t="s">
        <v>41</v>
      </c>
      <c r="Y432" t="s">
        <v>42</v>
      </c>
      <c r="Z432">
        <v>2</v>
      </c>
    </row>
    <row r="433" spans="1:26">
      <c r="A433" t="s">
        <v>1058</v>
      </c>
      <c r="B433" t="s">
        <v>1059</v>
      </c>
      <c r="C433" t="s">
        <v>28</v>
      </c>
      <c r="D433" t="s">
        <v>29</v>
      </c>
      <c r="E433" s="1">
        <v>43638</v>
      </c>
      <c r="F433" t="s">
        <v>65</v>
      </c>
      <c r="G433" t="s">
        <v>365</v>
      </c>
      <c r="H433" t="s">
        <v>49</v>
      </c>
      <c r="I433">
        <v>7</v>
      </c>
      <c r="J433" t="s">
        <v>98</v>
      </c>
      <c r="K433">
        <v>1</v>
      </c>
      <c r="L433" s="3">
        <v>4699</v>
      </c>
      <c r="M433">
        <v>15</v>
      </c>
      <c r="N433" s="3">
        <v>3990</v>
      </c>
      <c r="O433" s="3">
        <v>3990</v>
      </c>
      <c r="P433" t="s">
        <v>34</v>
      </c>
      <c r="Q433" t="s">
        <v>82</v>
      </c>
      <c r="R433" t="s">
        <v>36</v>
      </c>
      <c r="S433" t="s">
        <v>112</v>
      </c>
      <c r="T433" t="s">
        <v>265</v>
      </c>
      <c r="U433" t="s">
        <v>54</v>
      </c>
      <c r="V433" t="s">
        <v>40</v>
      </c>
      <c r="W433">
        <v>5</v>
      </c>
      <c r="X433" t="s">
        <v>41</v>
      </c>
      <c r="Y433" t="s">
        <v>55</v>
      </c>
      <c r="Z433">
        <v>1</v>
      </c>
    </row>
    <row r="434" spans="1:26">
      <c r="A434" t="s">
        <v>1060</v>
      </c>
      <c r="B434" t="s">
        <v>1061</v>
      </c>
      <c r="C434" t="s">
        <v>28</v>
      </c>
      <c r="D434" t="s">
        <v>46</v>
      </c>
      <c r="E434" s="1">
        <v>43639</v>
      </c>
      <c r="F434" t="s">
        <v>65</v>
      </c>
      <c r="G434" t="s">
        <v>66</v>
      </c>
      <c r="H434" t="s">
        <v>59</v>
      </c>
      <c r="I434">
        <v>8</v>
      </c>
      <c r="J434" t="s">
        <v>98</v>
      </c>
      <c r="K434">
        <v>1</v>
      </c>
      <c r="L434" s="3">
        <v>8699</v>
      </c>
      <c r="M434">
        <v>0</v>
      </c>
      <c r="N434" s="3">
        <v>8700</v>
      </c>
      <c r="O434" s="3">
        <v>8700</v>
      </c>
      <c r="P434" t="s">
        <v>74</v>
      </c>
      <c r="Q434" t="s">
        <v>51</v>
      </c>
      <c r="R434" t="s">
        <v>36</v>
      </c>
      <c r="S434" t="s">
        <v>200</v>
      </c>
      <c r="T434" t="s">
        <v>232</v>
      </c>
      <c r="U434" t="s">
        <v>91</v>
      </c>
      <c r="V434" t="s">
        <v>40</v>
      </c>
      <c r="W434">
        <v>3.8</v>
      </c>
      <c r="X434" t="s">
        <v>41</v>
      </c>
      <c r="Y434" t="s">
        <v>42</v>
      </c>
      <c r="Z434">
        <v>4</v>
      </c>
    </row>
    <row r="435" spans="1:26">
      <c r="A435" t="s">
        <v>1062</v>
      </c>
      <c r="B435" t="s">
        <v>1063</v>
      </c>
      <c r="C435" t="s">
        <v>28</v>
      </c>
      <c r="D435" t="s">
        <v>103</v>
      </c>
      <c r="E435" s="1">
        <v>43639</v>
      </c>
      <c r="F435" t="s">
        <v>65</v>
      </c>
      <c r="G435" t="s">
        <v>72</v>
      </c>
      <c r="H435" t="s">
        <v>59</v>
      </c>
      <c r="I435">
        <v>10</v>
      </c>
      <c r="J435" t="s">
        <v>67</v>
      </c>
      <c r="K435">
        <v>1</v>
      </c>
      <c r="L435" s="3">
        <v>8199</v>
      </c>
      <c r="M435">
        <v>15</v>
      </c>
      <c r="N435" s="3">
        <v>6970</v>
      </c>
      <c r="O435" s="3">
        <v>6970</v>
      </c>
      <c r="P435" t="s">
        <v>50</v>
      </c>
      <c r="Q435" t="s">
        <v>51</v>
      </c>
      <c r="R435" t="s">
        <v>36</v>
      </c>
      <c r="S435" t="s">
        <v>52</v>
      </c>
      <c r="T435" t="s">
        <v>235</v>
      </c>
      <c r="U435" t="s">
        <v>124</v>
      </c>
      <c r="V435" t="s">
        <v>40</v>
      </c>
      <c r="W435">
        <v>4.0999999999999996</v>
      </c>
      <c r="X435" t="s">
        <v>41</v>
      </c>
      <c r="Y435" t="s">
        <v>55</v>
      </c>
      <c r="Z435">
        <v>2</v>
      </c>
    </row>
    <row r="436" spans="1:26">
      <c r="A436" t="s">
        <v>1064</v>
      </c>
      <c r="B436" t="s">
        <v>1065</v>
      </c>
      <c r="C436" t="s">
        <v>45</v>
      </c>
      <c r="D436" t="s">
        <v>46</v>
      </c>
      <c r="E436" s="1">
        <v>43640</v>
      </c>
      <c r="F436" t="s">
        <v>86</v>
      </c>
      <c r="G436" t="s">
        <v>116</v>
      </c>
      <c r="H436" t="s">
        <v>49</v>
      </c>
      <c r="I436">
        <v>8</v>
      </c>
      <c r="J436" t="s">
        <v>150</v>
      </c>
      <c r="K436">
        <v>1</v>
      </c>
      <c r="L436" s="3">
        <v>6799</v>
      </c>
      <c r="M436">
        <v>10</v>
      </c>
      <c r="N436" s="3">
        <v>6120</v>
      </c>
      <c r="O436" s="3">
        <v>6120</v>
      </c>
      <c r="P436" t="s">
        <v>81</v>
      </c>
      <c r="Q436" t="s">
        <v>82</v>
      </c>
      <c r="R436" t="s">
        <v>36</v>
      </c>
      <c r="S436" t="s">
        <v>238</v>
      </c>
      <c r="T436" t="s">
        <v>498</v>
      </c>
      <c r="U436" t="s">
        <v>61</v>
      </c>
      <c r="V436" t="s">
        <v>40</v>
      </c>
      <c r="W436">
        <v>4.2</v>
      </c>
      <c r="X436" t="s">
        <v>41</v>
      </c>
      <c r="Y436" t="s">
        <v>55</v>
      </c>
      <c r="Z436">
        <v>1</v>
      </c>
    </row>
    <row r="437" spans="1:26">
      <c r="A437" t="s">
        <v>1066</v>
      </c>
      <c r="B437" t="s">
        <v>1067</v>
      </c>
      <c r="C437" t="s">
        <v>28</v>
      </c>
      <c r="D437" t="s">
        <v>46</v>
      </c>
      <c r="E437" s="1">
        <v>43640</v>
      </c>
      <c r="F437" t="s">
        <v>79</v>
      </c>
      <c r="G437" t="s">
        <v>517</v>
      </c>
      <c r="H437" t="s">
        <v>59</v>
      </c>
      <c r="I437">
        <v>7</v>
      </c>
      <c r="J437" t="s">
        <v>98</v>
      </c>
      <c r="K437">
        <v>2</v>
      </c>
      <c r="L437" s="3">
        <v>4599</v>
      </c>
      <c r="M437">
        <v>30</v>
      </c>
      <c r="N437" s="3">
        <v>3220</v>
      </c>
      <c r="O437" s="3">
        <v>6440</v>
      </c>
      <c r="P437" t="s">
        <v>34</v>
      </c>
      <c r="Q437" t="s">
        <v>51</v>
      </c>
      <c r="R437" t="s">
        <v>36</v>
      </c>
      <c r="S437" t="s">
        <v>338</v>
      </c>
      <c r="T437" t="s">
        <v>779</v>
      </c>
      <c r="U437" t="s">
        <v>39</v>
      </c>
      <c r="V437" t="s">
        <v>40</v>
      </c>
      <c r="W437">
        <v>3.2</v>
      </c>
      <c r="X437" t="s">
        <v>41</v>
      </c>
      <c r="Y437" t="s">
        <v>55</v>
      </c>
      <c r="Z437">
        <v>3</v>
      </c>
    </row>
    <row r="438" spans="1:26">
      <c r="A438" t="s">
        <v>1068</v>
      </c>
      <c r="B438" t="s">
        <v>841</v>
      </c>
      <c r="C438" t="s">
        <v>94</v>
      </c>
      <c r="D438" t="s">
        <v>46</v>
      </c>
      <c r="E438" s="1">
        <v>43647</v>
      </c>
      <c r="F438" t="s">
        <v>30</v>
      </c>
      <c r="G438" t="s">
        <v>145</v>
      </c>
      <c r="H438" t="s">
        <v>59</v>
      </c>
      <c r="I438">
        <v>11</v>
      </c>
      <c r="J438" t="s">
        <v>150</v>
      </c>
      <c r="K438">
        <v>1</v>
      </c>
      <c r="L438" s="3">
        <v>9599</v>
      </c>
      <c r="M438">
        <v>20</v>
      </c>
      <c r="N438" s="3">
        <v>7680</v>
      </c>
      <c r="O438" s="3">
        <v>7680</v>
      </c>
      <c r="P438" t="s">
        <v>34</v>
      </c>
      <c r="Q438" t="s">
        <v>51</v>
      </c>
      <c r="R438" t="s">
        <v>36</v>
      </c>
      <c r="S438" t="s">
        <v>37</v>
      </c>
      <c r="T438" t="s">
        <v>38</v>
      </c>
      <c r="U438" t="s">
        <v>54</v>
      </c>
      <c r="V438" t="s">
        <v>315</v>
      </c>
      <c r="W438">
        <v>4.0999999999999996</v>
      </c>
      <c r="X438" t="s">
        <v>41</v>
      </c>
      <c r="Y438" t="s">
        <v>147</v>
      </c>
      <c r="Z438">
        <v>1</v>
      </c>
    </row>
    <row r="439" spans="1:26">
      <c r="A439" t="s">
        <v>1069</v>
      </c>
      <c r="B439" t="s">
        <v>404</v>
      </c>
      <c r="C439" t="s">
        <v>45</v>
      </c>
      <c r="D439" t="s">
        <v>29</v>
      </c>
      <c r="E439" s="1">
        <v>43648</v>
      </c>
      <c r="F439" t="s">
        <v>65</v>
      </c>
      <c r="G439" t="s">
        <v>72</v>
      </c>
      <c r="H439" t="s">
        <v>59</v>
      </c>
      <c r="I439">
        <v>11</v>
      </c>
      <c r="J439" t="s">
        <v>73</v>
      </c>
      <c r="K439">
        <v>2</v>
      </c>
      <c r="L439" s="3">
        <v>8699</v>
      </c>
      <c r="M439">
        <v>20</v>
      </c>
      <c r="N439" s="3">
        <v>6960</v>
      </c>
      <c r="O439" s="3">
        <v>13920</v>
      </c>
      <c r="P439" t="s">
        <v>50</v>
      </c>
      <c r="Q439" t="s">
        <v>35</v>
      </c>
      <c r="R439" t="s">
        <v>36</v>
      </c>
      <c r="S439" t="s">
        <v>156</v>
      </c>
      <c r="T439" t="s">
        <v>324</v>
      </c>
      <c r="U439" t="s">
        <v>61</v>
      </c>
      <c r="V439" t="s">
        <v>315</v>
      </c>
      <c r="W439">
        <v>3.1</v>
      </c>
      <c r="X439" t="s">
        <v>41</v>
      </c>
      <c r="Y439" t="s">
        <v>42</v>
      </c>
      <c r="Z439">
        <v>6</v>
      </c>
    </row>
    <row r="440" spans="1:26">
      <c r="A440" t="s">
        <v>1070</v>
      </c>
      <c r="B440" t="s">
        <v>406</v>
      </c>
      <c r="C440" t="s">
        <v>94</v>
      </c>
      <c r="D440" t="s">
        <v>46</v>
      </c>
      <c r="E440" s="1">
        <v>43648</v>
      </c>
      <c r="F440" t="s">
        <v>65</v>
      </c>
      <c r="G440" t="s">
        <v>66</v>
      </c>
      <c r="H440" t="s">
        <v>59</v>
      </c>
      <c r="I440">
        <v>11</v>
      </c>
      <c r="J440" t="s">
        <v>33</v>
      </c>
      <c r="K440">
        <v>2</v>
      </c>
      <c r="L440" s="3">
        <v>5499</v>
      </c>
      <c r="M440">
        <v>15</v>
      </c>
      <c r="N440" s="3">
        <v>4670</v>
      </c>
      <c r="O440" s="3">
        <v>9340</v>
      </c>
      <c r="P440" t="s">
        <v>74</v>
      </c>
      <c r="Q440" t="s">
        <v>82</v>
      </c>
      <c r="R440" t="s">
        <v>36</v>
      </c>
      <c r="S440" t="s">
        <v>151</v>
      </c>
      <c r="T440" t="s">
        <v>506</v>
      </c>
      <c r="U440" t="s">
        <v>61</v>
      </c>
      <c r="V440" t="s">
        <v>315</v>
      </c>
      <c r="W440">
        <v>4.4000000000000004</v>
      </c>
      <c r="X440" t="s">
        <v>62</v>
      </c>
      <c r="Y440" t="s">
        <v>147</v>
      </c>
      <c r="Z440">
        <v>2</v>
      </c>
    </row>
    <row r="441" spans="1:26">
      <c r="A441" t="s">
        <v>1071</v>
      </c>
      <c r="B441" t="s">
        <v>1018</v>
      </c>
      <c r="C441" t="s">
        <v>28</v>
      </c>
      <c r="D441" t="s">
        <v>103</v>
      </c>
      <c r="E441" s="1">
        <v>43652</v>
      </c>
      <c r="F441" t="s">
        <v>96</v>
      </c>
      <c r="G441" t="s">
        <v>323</v>
      </c>
      <c r="H441" t="s">
        <v>59</v>
      </c>
      <c r="I441">
        <v>9</v>
      </c>
      <c r="J441" t="s">
        <v>33</v>
      </c>
      <c r="K441">
        <v>2</v>
      </c>
      <c r="L441" s="3">
        <v>9699</v>
      </c>
      <c r="M441">
        <v>5</v>
      </c>
      <c r="N441" s="3">
        <v>9210</v>
      </c>
      <c r="O441" s="3">
        <v>18420</v>
      </c>
      <c r="P441" t="s">
        <v>74</v>
      </c>
      <c r="Q441" t="s">
        <v>35</v>
      </c>
      <c r="R441" t="s">
        <v>36</v>
      </c>
      <c r="S441" t="s">
        <v>99</v>
      </c>
      <c r="T441" t="s">
        <v>229</v>
      </c>
      <c r="U441" t="s">
        <v>54</v>
      </c>
      <c r="V441" t="s">
        <v>315</v>
      </c>
      <c r="W441">
        <v>3.1</v>
      </c>
      <c r="X441" t="s">
        <v>41</v>
      </c>
      <c r="Y441" t="s">
        <v>42</v>
      </c>
      <c r="Z441">
        <v>5</v>
      </c>
    </row>
    <row r="442" spans="1:26">
      <c r="A442" t="s">
        <v>1072</v>
      </c>
      <c r="B442" t="s">
        <v>284</v>
      </c>
      <c r="C442" t="s">
        <v>45</v>
      </c>
      <c r="D442" t="s">
        <v>46</v>
      </c>
      <c r="E442" s="1">
        <v>43652</v>
      </c>
      <c r="F442" t="s">
        <v>79</v>
      </c>
      <c r="G442" t="s">
        <v>517</v>
      </c>
      <c r="H442" t="s">
        <v>59</v>
      </c>
      <c r="I442">
        <v>8</v>
      </c>
      <c r="J442" t="s">
        <v>98</v>
      </c>
      <c r="K442">
        <v>1</v>
      </c>
      <c r="L442" s="3">
        <v>6199</v>
      </c>
      <c r="M442">
        <v>20</v>
      </c>
      <c r="N442" s="3">
        <v>4960</v>
      </c>
      <c r="O442" s="3">
        <v>4960</v>
      </c>
      <c r="P442" t="s">
        <v>34</v>
      </c>
      <c r="Q442" t="s">
        <v>82</v>
      </c>
      <c r="R442" t="s">
        <v>36</v>
      </c>
      <c r="S442" t="s">
        <v>418</v>
      </c>
      <c r="T442" t="s">
        <v>549</v>
      </c>
      <c r="U442" t="s">
        <v>39</v>
      </c>
      <c r="V442" t="s">
        <v>315</v>
      </c>
      <c r="W442">
        <v>3.8</v>
      </c>
      <c r="X442" t="s">
        <v>41</v>
      </c>
      <c r="Y442" t="s">
        <v>42</v>
      </c>
      <c r="Z442">
        <v>6</v>
      </c>
    </row>
    <row r="443" spans="1:26">
      <c r="A443" t="s">
        <v>1073</v>
      </c>
      <c r="B443" t="s">
        <v>1074</v>
      </c>
      <c r="C443" t="s">
        <v>45</v>
      </c>
      <c r="D443" t="s">
        <v>29</v>
      </c>
      <c r="E443" s="1">
        <v>43653</v>
      </c>
      <c r="F443" t="s">
        <v>86</v>
      </c>
      <c r="G443" t="s">
        <v>87</v>
      </c>
      <c r="H443" t="s">
        <v>59</v>
      </c>
      <c r="I443">
        <v>11</v>
      </c>
      <c r="J443" t="s">
        <v>33</v>
      </c>
      <c r="K443">
        <v>2</v>
      </c>
      <c r="L443" s="3">
        <v>6499</v>
      </c>
      <c r="M443">
        <v>15</v>
      </c>
      <c r="N443" s="3">
        <v>5520</v>
      </c>
      <c r="O443" s="3">
        <v>11040</v>
      </c>
      <c r="P443" t="s">
        <v>74</v>
      </c>
      <c r="Q443" t="s">
        <v>82</v>
      </c>
      <c r="R443" t="s">
        <v>36</v>
      </c>
      <c r="S443" t="s">
        <v>141</v>
      </c>
      <c r="T443" t="s">
        <v>294</v>
      </c>
      <c r="U443" t="s">
        <v>91</v>
      </c>
      <c r="V443" t="s">
        <v>40</v>
      </c>
      <c r="W443">
        <v>5</v>
      </c>
      <c r="X443" t="s">
        <v>41</v>
      </c>
      <c r="Y443" t="s">
        <v>55</v>
      </c>
      <c r="Z443">
        <v>1</v>
      </c>
    </row>
    <row r="444" spans="1:26">
      <c r="A444" t="s">
        <v>1075</v>
      </c>
      <c r="B444" t="s">
        <v>1076</v>
      </c>
      <c r="C444" t="s">
        <v>28</v>
      </c>
      <c r="D444" t="s">
        <v>29</v>
      </c>
      <c r="E444" s="1">
        <v>43654</v>
      </c>
      <c r="F444" t="s">
        <v>96</v>
      </c>
      <c r="G444" t="s">
        <v>171</v>
      </c>
      <c r="H444" t="s">
        <v>128</v>
      </c>
      <c r="I444">
        <v>6</v>
      </c>
      <c r="J444" t="s">
        <v>150</v>
      </c>
      <c r="K444">
        <v>1</v>
      </c>
      <c r="L444" s="3">
        <v>6099</v>
      </c>
      <c r="M444">
        <v>5</v>
      </c>
      <c r="N444" s="3">
        <v>5790</v>
      </c>
      <c r="O444" s="3">
        <v>5790</v>
      </c>
      <c r="P444" t="s">
        <v>34</v>
      </c>
      <c r="Q444" t="s">
        <v>51</v>
      </c>
      <c r="R444" t="s">
        <v>36</v>
      </c>
      <c r="S444" t="s">
        <v>141</v>
      </c>
      <c r="T444" t="s">
        <v>728</v>
      </c>
      <c r="U444" t="s">
        <v>61</v>
      </c>
      <c r="V444" t="s">
        <v>40</v>
      </c>
      <c r="W444">
        <v>4.4000000000000004</v>
      </c>
      <c r="X444" t="s">
        <v>41</v>
      </c>
      <c r="Y444" t="s">
        <v>42</v>
      </c>
      <c r="Z444">
        <v>4</v>
      </c>
    </row>
    <row r="445" spans="1:26">
      <c r="A445" t="s">
        <v>1077</v>
      </c>
      <c r="B445" t="s">
        <v>317</v>
      </c>
      <c r="C445" t="s">
        <v>94</v>
      </c>
      <c r="D445" t="s">
        <v>46</v>
      </c>
      <c r="E445" s="1">
        <v>43655</v>
      </c>
      <c r="F445" t="s">
        <v>86</v>
      </c>
      <c r="G445" t="s">
        <v>285</v>
      </c>
      <c r="H445" t="s">
        <v>111</v>
      </c>
      <c r="I445">
        <v>7</v>
      </c>
      <c r="J445" t="s">
        <v>98</v>
      </c>
      <c r="K445">
        <v>1</v>
      </c>
      <c r="L445" s="3">
        <v>7199</v>
      </c>
      <c r="M445">
        <v>30</v>
      </c>
      <c r="N445" s="3">
        <v>5040</v>
      </c>
      <c r="O445" s="3">
        <v>5040</v>
      </c>
      <c r="P445" t="s">
        <v>74</v>
      </c>
      <c r="Q445" t="s">
        <v>35</v>
      </c>
      <c r="R445" t="s">
        <v>36</v>
      </c>
      <c r="S445" t="s">
        <v>89</v>
      </c>
      <c r="T445" t="s">
        <v>515</v>
      </c>
      <c r="U445" t="s">
        <v>39</v>
      </c>
      <c r="V445" t="s">
        <v>969</v>
      </c>
      <c r="W445">
        <v>3.2</v>
      </c>
      <c r="X445" t="s">
        <v>41</v>
      </c>
      <c r="Y445" t="s">
        <v>42</v>
      </c>
      <c r="Z445">
        <v>6</v>
      </c>
    </row>
    <row r="446" spans="1:26">
      <c r="A446" t="s">
        <v>1078</v>
      </c>
      <c r="B446" t="s">
        <v>1079</v>
      </c>
      <c r="C446" t="s">
        <v>28</v>
      </c>
      <c r="D446" t="s">
        <v>46</v>
      </c>
      <c r="E446" s="1">
        <v>43656</v>
      </c>
      <c r="F446" t="s">
        <v>86</v>
      </c>
      <c r="G446" t="s">
        <v>116</v>
      </c>
      <c r="H446" t="s">
        <v>49</v>
      </c>
      <c r="I446">
        <v>9</v>
      </c>
      <c r="J446" t="s">
        <v>150</v>
      </c>
      <c r="K446">
        <v>1</v>
      </c>
      <c r="L446" s="3">
        <v>4299</v>
      </c>
      <c r="M446">
        <v>25</v>
      </c>
      <c r="N446" s="3">
        <v>3220</v>
      </c>
      <c r="O446" s="3">
        <v>3220</v>
      </c>
      <c r="P446" t="s">
        <v>81</v>
      </c>
      <c r="Q446" t="s">
        <v>35</v>
      </c>
      <c r="R446" t="s">
        <v>36</v>
      </c>
      <c r="S446" t="s">
        <v>164</v>
      </c>
      <c r="T446" t="s">
        <v>409</v>
      </c>
      <c r="U446" t="s">
        <v>91</v>
      </c>
      <c r="V446" t="s">
        <v>40</v>
      </c>
      <c r="W446">
        <v>5</v>
      </c>
      <c r="X446" t="s">
        <v>41</v>
      </c>
      <c r="Y446" t="s">
        <v>55</v>
      </c>
      <c r="Z446">
        <v>3</v>
      </c>
    </row>
    <row r="447" spans="1:26">
      <c r="A447" t="s">
        <v>1080</v>
      </c>
      <c r="B447" t="s">
        <v>1081</v>
      </c>
      <c r="C447" t="s">
        <v>94</v>
      </c>
      <c r="D447" t="s">
        <v>46</v>
      </c>
      <c r="E447" s="1">
        <v>43656</v>
      </c>
      <c r="F447" t="s">
        <v>79</v>
      </c>
      <c r="G447" t="s">
        <v>517</v>
      </c>
      <c r="H447" t="s">
        <v>59</v>
      </c>
      <c r="I447">
        <v>9</v>
      </c>
      <c r="J447" t="s">
        <v>88</v>
      </c>
      <c r="K447">
        <v>1</v>
      </c>
      <c r="L447" s="3">
        <v>4099</v>
      </c>
      <c r="M447">
        <v>25</v>
      </c>
      <c r="N447" s="3">
        <v>3070</v>
      </c>
      <c r="O447" s="3">
        <v>3070</v>
      </c>
      <c r="P447" t="s">
        <v>34</v>
      </c>
      <c r="Q447" t="s">
        <v>35</v>
      </c>
      <c r="R447" t="s">
        <v>36</v>
      </c>
      <c r="S447" t="s">
        <v>164</v>
      </c>
      <c r="T447" t="s">
        <v>348</v>
      </c>
      <c r="U447" t="s">
        <v>124</v>
      </c>
      <c r="V447" t="s">
        <v>40</v>
      </c>
      <c r="W447">
        <v>4.9000000000000004</v>
      </c>
      <c r="X447" t="s">
        <v>62</v>
      </c>
      <c r="Y447" t="s">
        <v>42</v>
      </c>
      <c r="Z447">
        <v>4</v>
      </c>
    </row>
    <row r="448" spans="1:26">
      <c r="A448" t="s">
        <v>1082</v>
      </c>
      <c r="B448" t="s">
        <v>831</v>
      </c>
      <c r="C448" t="s">
        <v>45</v>
      </c>
      <c r="D448" t="s">
        <v>95</v>
      </c>
      <c r="E448" s="1">
        <v>43657</v>
      </c>
      <c r="F448" t="s">
        <v>30</v>
      </c>
      <c r="G448" t="s">
        <v>145</v>
      </c>
      <c r="H448" t="s">
        <v>59</v>
      </c>
      <c r="I448">
        <v>11</v>
      </c>
      <c r="J448" t="s">
        <v>67</v>
      </c>
      <c r="K448">
        <v>1</v>
      </c>
      <c r="L448" s="3">
        <v>4999</v>
      </c>
      <c r="M448">
        <v>5</v>
      </c>
      <c r="N448" s="3">
        <v>4750</v>
      </c>
      <c r="O448" s="3">
        <v>4750</v>
      </c>
      <c r="P448" t="s">
        <v>74</v>
      </c>
      <c r="Q448" t="s">
        <v>51</v>
      </c>
      <c r="R448" t="s">
        <v>36</v>
      </c>
      <c r="S448" t="s">
        <v>269</v>
      </c>
      <c r="T448" t="s">
        <v>652</v>
      </c>
      <c r="U448" t="s">
        <v>91</v>
      </c>
      <c r="V448" t="s">
        <v>315</v>
      </c>
      <c r="W448">
        <v>3.6</v>
      </c>
      <c r="X448" t="s">
        <v>41</v>
      </c>
      <c r="Y448" t="s">
        <v>42</v>
      </c>
      <c r="Z448">
        <v>4</v>
      </c>
    </row>
    <row r="449" spans="1:26">
      <c r="A449" t="s">
        <v>1083</v>
      </c>
      <c r="B449" t="s">
        <v>1061</v>
      </c>
      <c r="C449" t="s">
        <v>94</v>
      </c>
      <c r="D449" t="s">
        <v>46</v>
      </c>
      <c r="E449" s="1">
        <v>43658</v>
      </c>
      <c r="F449" t="s">
        <v>47</v>
      </c>
      <c r="G449" t="s">
        <v>402</v>
      </c>
      <c r="H449" t="s">
        <v>32</v>
      </c>
      <c r="I449">
        <v>12</v>
      </c>
      <c r="J449" t="s">
        <v>73</v>
      </c>
      <c r="K449">
        <v>1</v>
      </c>
      <c r="L449" s="3">
        <v>5999</v>
      </c>
      <c r="M449">
        <v>10</v>
      </c>
      <c r="N449" s="3">
        <v>5400</v>
      </c>
      <c r="O449" s="3">
        <v>5400</v>
      </c>
      <c r="P449" t="s">
        <v>34</v>
      </c>
      <c r="Q449" t="s">
        <v>51</v>
      </c>
      <c r="R449" t="s">
        <v>36</v>
      </c>
      <c r="S449" t="s">
        <v>175</v>
      </c>
      <c r="T449" t="s">
        <v>437</v>
      </c>
      <c r="U449" t="s">
        <v>54</v>
      </c>
      <c r="V449" t="s">
        <v>315</v>
      </c>
      <c r="W449">
        <v>3.9</v>
      </c>
      <c r="X449" t="s">
        <v>41</v>
      </c>
      <c r="Y449" t="s">
        <v>55</v>
      </c>
      <c r="Z449">
        <v>1</v>
      </c>
    </row>
    <row r="450" spans="1:26">
      <c r="A450" t="s">
        <v>1084</v>
      </c>
      <c r="B450" t="s">
        <v>1085</v>
      </c>
      <c r="C450" t="s">
        <v>28</v>
      </c>
      <c r="D450" t="s">
        <v>46</v>
      </c>
      <c r="E450" s="1">
        <v>43660</v>
      </c>
      <c r="F450" t="s">
        <v>86</v>
      </c>
      <c r="G450" t="s">
        <v>242</v>
      </c>
      <c r="H450" t="s">
        <v>32</v>
      </c>
      <c r="I450">
        <v>10</v>
      </c>
      <c r="J450" t="s">
        <v>73</v>
      </c>
      <c r="K450">
        <v>1</v>
      </c>
      <c r="L450" s="3">
        <v>9199</v>
      </c>
      <c r="M450">
        <v>10</v>
      </c>
      <c r="N450" s="3">
        <v>8280</v>
      </c>
      <c r="O450" s="3">
        <v>8280</v>
      </c>
      <c r="P450" t="s">
        <v>34</v>
      </c>
      <c r="Q450" t="s">
        <v>51</v>
      </c>
      <c r="R450" t="s">
        <v>36</v>
      </c>
      <c r="S450" t="s">
        <v>269</v>
      </c>
      <c r="T450" t="s">
        <v>652</v>
      </c>
      <c r="U450" t="s">
        <v>91</v>
      </c>
      <c r="V450" t="s">
        <v>40</v>
      </c>
      <c r="W450">
        <v>4.0999999999999996</v>
      </c>
      <c r="X450" t="s">
        <v>62</v>
      </c>
      <c r="Y450" t="s">
        <v>42</v>
      </c>
      <c r="Z450">
        <v>3</v>
      </c>
    </row>
    <row r="451" spans="1:26">
      <c r="A451" t="s">
        <v>1086</v>
      </c>
      <c r="B451" t="s">
        <v>843</v>
      </c>
      <c r="C451" t="s">
        <v>28</v>
      </c>
      <c r="D451" t="s">
        <v>95</v>
      </c>
      <c r="E451" s="1">
        <v>43660</v>
      </c>
      <c r="F451" t="s">
        <v>79</v>
      </c>
      <c r="G451" t="s">
        <v>127</v>
      </c>
      <c r="H451" t="s">
        <v>128</v>
      </c>
      <c r="I451">
        <v>9</v>
      </c>
      <c r="J451" t="s">
        <v>67</v>
      </c>
      <c r="K451">
        <v>1</v>
      </c>
      <c r="L451" s="3">
        <v>4799</v>
      </c>
      <c r="M451">
        <v>10</v>
      </c>
      <c r="N451" s="3">
        <v>4320</v>
      </c>
      <c r="O451" s="3">
        <v>4320</v>
      </c>
      <c r="P451" t="s">
        <v>74</v>
      </c>
      <c r="Q451" t="s">
        <v>51</v>
      </c>
      <c r="R451" t="s">
        <v>36</v>
      </c>
      <c r="S451" t="s">
        <v>129</v>
      </c>
      <c r="T451" t="s">
        <v>282</v>
      </c>
      <c r="U451" t="s">
        <v>54</v>
      </c>
      <c r="V451" t="s">
        <v>315</v>
      </c>
      <c r="W451">
        <v>4.5999999999999996</v>
      </c>
      <c r="X451" t="s">
        <v>62</v>
      </c>
      <c r="Y451" t="s">
        <v>42</v>
      </c>
      <c r="Z451">
        <v>2</v>
      </c>
    </row>
    <row r="452" spans="1:26">
      <c r="A452" t="s">
        <v>1087</v>
      </c>
      <c r="B452" t="s">
        <v>1088</v>
      </c>
      <c r="C452" t="s">
        <v>45</v>
      </c>
      <c r="D452" t="s">
        <v>103</v>
      </c>
      <c r="E452" s="1">
        <v>43660</v>
      </c>
      <c r="F452" t="s">
        <v>47</v>
      </c>
      <c r="G452" t="s">
        <v>48</v>
      </c>
      <c r="H452" t="s">
        <v>49</v>
      </c>
      <c r="I452">
        <v>8</v>
      </c>
      <c r="J452" t="s">
        <v>98</v>
      </c>
      <c r="K452">
        <v>1</v>
      </c>
      <c r="L452" s="3">
        <v>5599</v>
      </c>
      <c r="M452">
        <v>10</v>
      </c>
      <c r="N452" s="3">
        <v>5040</v>
      </c>
      <c r="O452" s="3">
        <v>5040</v>
      </c>
      <c r="P452" t="s">
        <v>74</v>
      </c>
      <c r="Q452" t="s">
        <v>35</v>
      </c>
      <c r="R452" t="s">
        <v>36</v>
      </c>
      <c r="S452" t="s">
        <v>151</v>
      </c>
      <c r="T452" t="s">
        <v>506</v>
      </c>
      <c r="U452" t="s">
        <v>54</v>
      </c>
      <c r="V452" t="s">
        <v>40</v>
      </c>
      <c r="W452">
        <v>4</v>
      </c>
      <c r="X452" t="s">
        <v>41</v>
      </c>
      <c r="Y452" t="s">
        <v>42</v>
      </c>
      <c r="Z452">
        <v>3</v>
      </c>
    </row>
    <row r="453" spans="1:26">
      <c r="A453" t="s">
        <v>1089</v>
      </c>
      <c r="B453" t="s">
        <v>1090</v>
      </c>
      <c r="C453" t="s">
        <v>28</v>
      </c>
      <c r="D453" t="s">
        <v>46</v>
      </c>
      <c r="E453" s="1">
        <v>43661</v>
      </c>
      <c r="F453" t="s">
        <v>65</v>
      </c>
      <c r="G453" t="s">
        <v>365</v>
      </c>
      <c r="H453" t="s">
        <v>49</v>
      </c>
      <c r="I453">
        <v>9</v>
      </c>
      <c r="J453" t="s">
        <v>73</v>
      </c>
      <c r="K453">
        <v>2</v>
      </c>
      <c r="L453" s="3">
        <v>4699</v>
      </c>
      <c r="M453">
        <v>15</v>
      </c>
      <c r="N453" s="3">
        <v>3990</v>
      </c>
      <c r="O453" s="3">
        <v>7980</v>
      </c>
      <c r="P453" t="s">
        <v>50</v>
      </c>
      <c r="Q453" t="s">
        <v>82</v>
      </c>
      <c r="R453" t="s">
        <v>36</v>
      </c>
      <c r="S453" t="s">
        <v>418</v>
      </c>
      <c r="T453" t="s">
        <v>613</v>
      </c>
      <c r="U453" t="s">
        <v>54</v>
      </c>
      <c r="V453" t="s">
        <v>40</v>
      </c>
      <c r="W453">
        <v>4.8</v>
      </c>
      <c r="X453" t="s">
        <v>41</v>
      </c>
      <c r="Y453" t="s">
        <v>42</v>
      </c>
      <c r="Z453">
        <v>5</v>
      </c>
    </row>
    <row r="454" spans="1:26">
      <c r="A454" t="s">
        <v>1091</v>
      </c>
      <c r="B454" t="s">
        <v>673</v>
      </c>
      <c r="C454" t="s">
        <v>28</v>
      </c>
      <c r="D454" t="s">
        <v>46</v>
      </c>
      <c r="E454" s="1">
        <v>43664</v>
      </c>
      <c r="F454" t="s">
        <v>30</v>
      </c>
      <c r="G454" t="s">
        <v>110</v>
      </c>
      <c r="H454" t="s">
        <v>111</v>
      </c>
      <c r="I454">
        <v>9</v>
      </c>
      <c r="J454" t="s">
        <v>73</v>
      </c>
      <c r="K454">
        <v>1</v>
      </c>
      <c r="L454" s="3">
        <v>6399</v>
      </c>
      <c r="M454">
        <v>20</v>
      </c>
      <c r="N454" s="3">
        <v>5120</v>
      </c>
      <c r="O454" s="3">
        <v>5120</v>
      </c>
      <c r="P454" t="s">
        <v>50</v>
      </c>
      <c r="Q454" t="s">
        <v>82</v>
      </c>
      <c r="R454" t="s">
        <v>36</v>
      </c>
      <c r="S454" t="s">
        <v>112</v>
      </c>
      <c r="T454" t="s">
        <v>265</v>
      </c>
      <c r="U454" t="s">
        <v>54</v>
      </c>
      <c r="V454" t="s">
        <v>315</v>
      </c>
      <c r="W454">
        <v>4.0999999999999996</v>
      </c>
      <c r="X454" t="s">
        <v>41</v>
      </c>
      <c r="Y454" t="s">
        <v>55</v>
      </c>
      <c r="Z454">
        <v>1</v>
      </c>
    </row>
    <row r="455" spans="1:26">
      <c r="A455" t="s">
        <v>1092</v>
      </c>
      <c r="B455" t="s">
        <v>1093</v>
      </c>
      <c r="C455" t="s">
        <v>28</v>
      </c>
      <c r="D455" t="s">
        <v>46</v>
      </c>
      <c r="E455" s="1">
        <v>43666</v>
      </c>
      <c r="F455" t="s">
        <v>65</v>
      </c>
      <c r="G455" t="s">
        <v>279</v>
      </c>
      <c r="H455" t="s">
        <v>111</v>
      </c>
      <c r="I455">
        <v>10</v>
      </c>
      <c r="J455" t="s">
        <v>73</v>
      </c>
      <c r="K455">
        <v>2</v>
      </c>
      <c r="L455" s="3">
        <v>6499</v>
      </c>
      <c r="M455">
        <v>15</v>
      </c>
      <c r="N455" s="3">
        <v>5520</v>
      </c>
      <c r="O455" s="3">
        <v>11040</v>
      </c>
      <c r="P455" t="s">
        <v>74</v>
      </c>
      <c r="Q455" t="s">
        <v>82</v>
      </c>
      <c r="R455" t="s">
        <v>36</v>
      </c>
      <c r="S455" t="s">
        <v>418</v>
      </c>
      <c r="T455" t="s">
        <v>549</v>
      </c>
      <c r="U455" t="s">
        <v>124</v>
      </c>
      <c r="V455" t="s">
        <v>40</v>
      </c>
      <c r="W455">
        <v>4.0999999999999996</v>
      </c>
      <c r="X455" t="s">
        <v>41</v>
      </c>
      <c r="Y455" t="s">
        <v>55</v>
      </c>
      <c r="Z455">
        <v>3</v>
      </c>
    </row>
    <row r="456" spans="1:26">
      <c r="A456" t="s">
        <v>1094</v>
      </c>
      <c r="B456" t="s">
        <v>1095</v>
      </c>
      <c r="C456" t="s">
        <v>94</v>
      </c>
      <c r="D456" t="s">
        <v>29</v>
      </c>
      <c r="E456" s="1">
        <v>43669</v>
      </c>
      <c r="F456" t="s">
        <v>86</v>
      </c>
      <c r="G456" t="s">
        <v>312</v>
      </c>
      <c r="H456" t="s">
        <v>59</v>
      </c>
      <c r="I456">
        <v>9</v>
      </c>
      <c r="J456" t="s">
        <v>67</v>
      </c>
      <c r="K456">
        <v>1</v>
      </c>
      <c r="L456" s="3">
        <v>8099</v>
      </c>
      <c r="M456">
        <v>15</v>
      </c>
      <c r="N456" s="3">
        <v>6880</v>
      </c>
      <c r="O456" s="3">
        <v>6880</v>
      </c>
      <c r="P456" t="s">
        <v>81</v>
      </c>
      <c r="Q456" t="s">
        <v>51</v>
      </c>
      <c r="R456" t="s">
        <v>36</v>
      </c>
      <c r="S456" t="s">
        <v>141</v>
      </c>
      <c r="T456" t="s">
        <v>142</v>
      </c>
      <c r="U456" t="s">
        <v>39</v>
      </c>
      <c r="V456" t="s">
        <v>40</v>
      </c>
      <c r="W456">
        <v>3.6</v>
      </c>
      <c r="X456" t="s">
        <v>41</v>
      </c>
      <c r="Y456" t="s">
        <v>42</v>
      </c>
      <c r="Z456">
        <v>1</v>
      </c>
    </row>
    <row r="457" spans="1:26">
      <c r="A457" t="s">
        <v>1096</v>
      </c>
      <c r="B457" t="s">
        <v>633</v>
      </c>
      <c r="C457" t="s">
        <v>45</v>
      </c>
      <c r="D457" t="s">
        <v>46</v>
      </c>
      <c r="E457" s="1">
        <v>43670</v>
      </c>
      <c r="F457" t="s">
        <v>65</v>
      </c>
      <c r="G457" t="s">
        <v>279</v>
      </c>
      <c r="H457" t="s">
        <v>111</v>
      </c>
      <c r="I457">
        <v>9</v>
      </c>
      <c r="J457" t="s">
        <v>98</v>
      </c>
      <c r="K457">
        <v>1</v>
      </c>
      <c r="L457" s="3">
        <v>4099</v>
      </c>
      <c r="M457">
        <v>10</v>
      </c>
      <c r="N457" s="3">
        <v>3690</v>
      </c>
      <c r="O457" s="3">
        <v>3690</v>
      </c>
      <c r="P457" t="s">
        <v>74</v>
      </c>
      <c r="Q457" t="s">
        <v>82</v>
      </c>
      <c r="R457" t="s">
        <v>36</v>
      </c>
      <c r="S457" t="s">
        <v>338</v>
      </c>
      <c r="T457" t="s">
        <v>338</v>
      </c>
      <c r="U457" t="s">
        <v>54</v>
      </c>
      <c r="V457" t="s">
        <v>315</v>
      </c>
      <c r="W457">
        <v>4.0999999999999996</v>
      </c>
      <c r="X457" t="s">
        <v>41</v>
      </c>
      <c r="Y457" t="s">
        <v>42</v>
      </c>
      <c r="Z457">
        <v>2</v>
      </c>
    </row>
    <row r="458" spans="1:26">
      <c r="A458" t="s">
        <v>1097</v>
      </c>
      <c r="B458" t="s">
        <v>44</v>
      </c>
      <c r="C458" t="s">
        <v>28</v>
      </c>
      <c r="D458" t="s">
        <v>109</v>
      </c>
      <c r="E458" s="1">
        <v>43670</v>
      </c>
      <c r="F458" t="s">
        <v>86</v>
      </c>
      <c r="G458" t="s">
        <v>312</v>
      </c>
      <c r="H458" t="s">
        <v>59</v>
      </c>
      <c r="I458">
        <v>10</v>
      </c>
      <c r="J458" t="s">
        <v>98</v>
      </c>
      <c r="K458">
        <v>1</v>
      </c>
      <c r="L458" s="3">
        <v>8799</v>
      </c>
      <c r="M458">
        <v>30</v>
      </c>
      <c r="N458" s="3">
        <v>6160</v>
      </c>
      <c r="O458" s="3">
        <v>6160</v>
      </c>
      <c r="P458" t="s">
        <v>81</v>
      </c>
      <c r="Q458" t="s">
        <v>82</v>
      </c>
      <c r="R458" t="s">
        <v>36</v>
      </c>
      <c r="S458" t="s">
        <v>104</v>
      </c>
      <c r="T458" t="s">
        <v>179</v>
      </c>
      <c r="U458" t="s">
        <v>61</v>
      </c>
      <c r="V458" t="s">
        <v>315</v>
      </c>
      <c r="W458">
        <v>4.5999999999999996</v>
      </c>
      <c r="X458" t="s">
        <v>62</v>
      </c>
      <c r="Y458" t="s">
        <v>42</v>
      </c>
      <c r="Z458">
        <v>6</v>
      </c>
    </row>
    <row r="459" spans="1:26">
      <c r="A459" t="s">
        <v>1098</v>
      </c>
      <c r="B459" t="s">
        <v>833</v>
      </c>
      <c r="C459" t="s">
        <v>28</v>
      </c>
      <c r="D459" t="s">
        <v>46</v>
      </c>
      <c r="E459" s="1">
        <v>43670</v>
      </c>
      <c r="F459" t="s">
        <v>79</v>
      </c>
      <c r="G459" t="s">
        <v>174</v>
      </c>
      <c r="H459" t="s">
        <v>32</v>
      </c>
      <c r="I459">
        <v>9</v>
      </c>
      <c r="J459" t="s">
        <v>150</v>
      </c>
      <c r="K459">
        <v>1</v>
      </c>
      <c r="L459" s="3">
        <v>6499</v>
      </c>
      <c r="M459">
        <v>15</v>
      </c>
      <c r="N459" s="3">
        <v>5520</v>
      </c>
      <c r="O459" s="3">
        <v>5520</v>
      </c>
      <c r="P459" t="s">
        <v>81</v>
      </c>
      <c r="Q459" t="s">
        <v>51</v>
      </c>
      <c r="R459" t="s">
        <v>36</v>
      </c>
      <c r="S459" t="s">
        <v>117</v>
      </c>
      <c r="T459" t="s">
        <v>253</v>
      </c>
      <c r="U459" t="s">
        <v>91</v>
      </c>
      <c r="V459" t="s">
        <v>315</v>
      </c>
      <c r="W459">
        <v>4.0999999999999996</v>
      </c>
      <c r="X459" t="s">
        <v>41</v>
      </c>
      <c r="Y459" t="s">
        <v>42</v>
      </c>
      <c r="Z459">
        <v>5</v>
      </c>
    </row>
    <row r="460" spans="1:26">
      <c r="A460" t="s">
        <v>1099</v>
      </c>
      <c r="B460" t="s">
        <v>1100</v>
      </c>
      <c r="C460" t="s">
        <v>28</v>
      </c>
      <c r="D460" t="s">
        <v>46</v>
      </c>
      <c r="E460" s="1">
        <v>43671</v>
      </c>
      <c r="F460" t="s">
        <v>96</v>
      </c>
      <c r="G460" t="s">
        <v>155</v>
      </c>
      <c r="H460" t="s">
        <v>111</v>
      </c>
      <c r="I460">
        <v>10</v>
      </c>
      <c r="J460" t="s">
        <v>98</v>
      </c>
      <c r="K460">
        <v>1</v>
      </c>
      <c r="L460" s="3">
        <v>6899</v>
      </c>
      <c r="M460">
        <v>10</v>
      </c>
      <c r="N460" s="3">
        <v>6210</v>
      </c>
      <c r="O460" s="3">
        <v>6210</v>
      </c>
      <c r="P460" t="s">
        <v>81</v>
      </c>
      <c r="Q460" t="s">
        <v>51</v>
      </c>
      <c r="R460" t="s">
        <v>36</v>
      </c>
      <c r="S460" t="s">
        <v>200</v>
      </c>
      <c r="T460" t="s">
        <v>204</v>
      </c>
      <c r="U460" t="s">
        <v>39</v>
      </c>
      <c r="V460" t="s">
        <v>40</v>
      </c>
      <c r="W460">
        <v>4.3</v>
      </c>
      <c r="X460" t="s">
        <v>41</v>
      </c>
      <c r="Y460" t="s">
        <v>42</v>
      </c>
      <c r="Z460">
        <v>3</v>
      </c>
    </row>
    <row r="461" spans="1:26">
      <c r="A461" t="s">
        <v>1101</v>
      </c>
      <c r="B461" t="s">
        <v>1102</v>
      </c>
      <c r="C461" t="s">
        <v>45</v>
      </c>
      <c r="D461" t="s">
        <v>46</v>
      </c>
      <c r="E461" s="1">
        <v>43674</v>
      </c>
      <c r="F461" t="s">
        <v>30</v>
      </c>
      <c r="G461" t="s">
        <v>110</v>
      </c>
      <c r="H461" t="s">
        <v>111</v>
      </c>
      <c r="I461">
        <v>6</v>
      </c>
      <c r="J461" t="s">
        <v>33</v>
      </c>
      <c r="K461">
        <v>1</v>
      </c>
      <c r="L461" s="3">
        <v>3699</v>
      </c>
      <c r="M461">
        <v>15</v>
      </c>
      <c r="N461" s="3">
        <v>3140</v>
      </c>
      <c r="O461" s="3">
        <v>3140</v>
      </c>
      <c r="P461" t="s">
        <v>34</v>
      </c>
      <c r="Q461" t="s">
        <v>51</v>
      </c>
      <c r="R461" t="s">
        <v>36</v>
      </c>
      <c r="S461" t="s">
        <v>384</v>
      </c>
      <c r="T461" t="s">
        <v>444</v>
      </c>
      <c r="U461" t="s">
        <v>61</v>
      </c>
      <c r="V461" t="s">
        <v>40</v>
      </c>
      <c r="W461">
        <v>2.8</v>
      </c>
      <c r="X461" t="s">
        <v>41</v>
      </c>
      <c r="Y461" t="s">
        <v>147</v>
      </c>
      <c r="Z461">
        <v>1</v>
      </c>
    </row>
    <row r="462" spans="1:26">
      <c r="A462" t="s">
        <v>1103</v>
      </c>
      <c r="B462" t="s">
        <v>1061</v>
      </c>
      <c r="C462" t="s">
        <v>28</v>
      </c>
      <c r="D462" t="s">
        <v>29</v>
      </c>
      <c r="E462" s="1">
        <v>43674</v>
      </c>
      <c r="F462" t="s">
        <v>30</v>
      </c>
      <c r="G462" t="s">
        <v>214</v>
      </c>
      <c r="H462" t="s">
        <v>128</v>
      </c>
      <c r="I462">
        <v>10</v>
      </c>
      <c r="J462" t="s">
        <v>150</v>
      </c>
      <c r="K462">
        <v>2</v>
      </c>
      <c r="L462" s="3">
        <v>7399</v>
      </c>
      <c r="M462">
        <v>0</v>
      </c>
      <c r="N462" s="3">
        <v>7400</v>
      </c>
      <c r="O462" s="3">
        <v>14800</v>
      </c>
      <c r="P462" t="s">
        <v>74</v>
      </c>
      <c r="Q462" t="s">
        <v>51</v>
      </c>
      <c r="R462" t="s">
        <v>36</v>
      </c>
      <c r="S462" t="s">
        <v>112</v>
      </c>
      <c r="T462" t="s">
        <v>113</v>
      </c>
      <c r="U462" t="s">
        <v>61</v>
      </c>
      <c r="V462" t="s">
        <v>315</v>
      </c>
      <c r="W462">
        <v>3.4</v>
      </c>
      <c r="X462" t="s">
        <v>106</v>
      </c>
      <c r="Y462" t="s">
        <v>42</v>
      </c>
      <c r="Z462">
        <v>5</v>
      </c>
    </row>
    <row r="463" spans="1:26">
      <c r="A463" t="s">
        <v>1104</v>
      </c>
      <c r="B463" t="s">
        <v>1105</v>
      </c>
      <c r="C463" t="s">
        <v>28</v>
      </c>
      <c r="D463" t="s">
        <v>46</v>
      </c>
      <c r="E463" s="1">
        <v>43674</v>
      </c>
      <c r="F463" t="s">
        <v>79</v>
      </c>
      <c r="G463" t="s">
        <v>127</v>
      </c>
      <c r="H463" t="s">
        <v>128</v>
      </c>
      <c r="I463">
        <v>11</v>
      </c>
      <c r="J463" t="s">
        <v>67</v>
      </c>
      <c r="K463">
        <v>1</v>
      </c>
      <c r="L463" s="3">
        <v>7499</v>
      </c>
      <c r="M463">
        <v>25</v>
      </c>
      <c r="N463" s="3">
        <v>5620</v>
      </c>
      <c r="O463" s="3">
        <v>5620</v>
      </c>
      <c r="P463" t="s">
        <v>34</v>
      </c>
      <c r="Q463" t="s">
        <v>51</v>
      </c>
      <c r="R463" t="s">
        <v>36</v>
      </c>
      <c r="S463" t="s">
        <v>210</v>
      </c>
      <c r="T463" t="s">
        <v>211</v>
      </c>
      <c r="U463" t="s">
        <v>54</v>
      </c>
      <c r="V463" t="s">
        <v>40</v>
      </c>
      <c r="W463">
        <v>3.7</v>
      </c>
      <c r="X463" t="s">
        <v>41</v>
      </c>
      <c r="Y463" t="s">
        <v>55</v>
      </c>
      <c r="Z463">
        <v>2</v>
      </c>
    </row>
    <row r="464" spans="1:26">
      <c r="A464" t="s">
        <v>1106</v>
      </c>
      <c r="B464" t="s">
        <v>1107</v>
      </c>
      <c r="C464" t="s">
        <v>45</v>
      </c>
      <c r="D464" t="s">
        <v>46</v>
      </c>
      <c r="E464" s="1">
        <v>43683</v>
      </c>
      <c r="F464" t="s">
        <v>96</v>
      </c>
      <c r="G464" t="s">
        <v>155</v>
      </c>
      <c r="H464" t="s">
        <v>111</v>
      </c>
      <c r="I464">
        <v>9</v>
      </c>
      <c r="J464" t="s">
        <v>73</v>
      </c>
      <c r="K464">
        <v>1</v>
      </c>
      <c r="L464" s="3">
        <v>9799</v>
      </c>
      <c r="M464">
        <v>10</v>
      </c>
      <c r="N464" s="3">
        <v>8820</v>
      </c>
      <c r="O464" s="3">
        <v>8820</v>
      </c>
      <c r="P464" t="s">
        <v>81</v>
      </c>
      <c r="Q464" t="s">
        <v>35</v>
      </c>
      <c r="R464" t="s">
        <v>36</v>
      </c>
      <c r="S464" t="s">
        <v>75</v>
      </c>
      <c r="T464" t="s">
        <v>76</v>
      </c>
      <c r="U464" t="s">
        <v>54</v>
      </c>
      <c r="V464" t="s">
        <v>40</v>
      </c>
      <c r="W464">
        <v>4.5</v>
      </c>
      <c r="X464" t="s">
        <v>41</v>
      </c>
      <c r="Y464" t="s">
        <v>42</v>
      </c>
      <c r="Z464">
        <v>2</v>
      </c>
    </row>
    <row r="465" spans="1:26">
      <c r="A465" t="s">
        <v>1108</v>
      </c>
      <c r="B465" t="s">
        <v>1109</v>
      </c>
      <c r="C465" t="s">
        <v>28</v>
      </c>
      <c r="D465" t="s">
        <v>46</v>
      </c>
      <c r="E465" s="1">
        <v>43683</v>
      </c>
      <c r="F465" t="s">
        <v>96</v>
      </c>
      <c r="G465" t="s">
        <v>290</v>
      </c>
      <c r="H465" t="s">
        <v>32</v>
      </c>
      <c r="I465">
        <v>8</v>
      </c>
      <c r="J465" t="s">
        <v>88</v>
      </c>
      <c r="K465">
        <v>1</v>
      </c>
      <c r="L465" s="3">
        <v>8399</v>
      </c>
      <c r="M465">
        <v>35</v>
      </c>
      <c r="N465" s="3">
        <v>5460</v>
      </c>
      <c r="O465" s="3">
        <v>5460</v>
      </c>
      <c r="P465" t="s">
        <v>81</v>
      </c>
      <c r="Q465" t="s">
        <v>35</v>
      </c>
      <c r="R465" t="s">
        <v>36</v>
      </c>
      <c r="S465" t="s">
        <v>160</v>
      </c>
      <c r="T465" t="s">
        <v>160</v>
      </c>
      <c r="U465" t="s">
        <v>54</v>
      </c>
      <c r="V465" t="s">
        <v>40</v>
      </c>
      <c r="W465">
        <v>3.9</v>
      </c>
      <c r="X465" t="s">
        <v>41</v>
      </c>
      <c r="Y465" t="s">
        <v>42</v>
      </c>
      <c r="Z465">
        <v>1</v>
      </c>
    </row>
    <row r="466" spans="1:26">
      <c r="A466" t="s">
        <v>1110</v>
      </c>
      <c r="B466" t="s">
        <v>626</v>
      </c>
      <c r="C466" t="s">
        <v>94</v>
      </c>
      <c r="D466" t="s">
        <v>103</v>
      </c>
      <c r="E466" s="1">
        <v>43684</v>
      </c>
      <c r="F466" t="s">
        <v>65</v>
      </c>
      <c r="G466" t="s">
        <v>256</v>
      </c>
      <c r="H466" t="s">
        <v>32</v>
      </c>
      <c r="I466">
        <v>11</v>
      </c>
      <c r="J466" t="s">
        <v>98</v>
      </c>
      <c r="K466">
        <v>1</v>
      </c>
      <c r="L466" s="3">
        <v>3699</v>
      </c>
      <c r="M466">
        <v>15</v>
      </c>
      <c r="N466" s="3">
        <v>3140</v>
      </c>
      <c r="O466" s="3">
        <v>3140</v>
      </c>
      <c r="P466" t="s">
        <v>74</v>
      </c>
      <c r="Q466" t="s">
        <v>51</v>
      </c>
      <c r="R466" t="s">
        <v>36</v>
      </c>
      <c r="S466" t="s">
        <v>243</v>
      </c>
      <c r="T466" t="s">
        <v>273</v>
      </c>
      <c r="U466" t="s">
        <v>39</v>
      </c>
      <c r="V466" t="s">
        <v>315</v>
      </c>
      <c r="W466">
        <v>3.4</v>
      </c>
      <c r="X466" t="s">
        <v>41</v>
      </c>
      <c r="Y466" t="s">
        <v>55</v>
      </c>
      <c r="Z466">
        <v>2</v>
      </c>
    </row>
    <row r="467" spans="1:26">
      <c r="A467" t="s">
        <v>1111</v>
      </c>
      <c r="B467" t="s">
        <v>1107</v>
      </c>
      <c r="C467" t="s">
        <v>28</v>
      </c>
      <c r="D467" t="s">
        <v>103</v>
      </c>
      <c r="E467" s="1">
        <v>43685</v>
      </c>
      <c r="F467" t="s">
        <v>65</v>
      </c>
      <c r="G467" t="s">
        <v>66</v>
      </c>
      <c r="H467" t="s">
        <v>59</v>
      </c>
      <c r="I467">
        <v>10</v>
      </c>
      <c r="J467" t="s">
        <v>98</v>
      </c>
      <c r="K467">
        <v>2</v>
      </c>
      <c r="L467" s="3">
        <v>3899</v>
      </c>
      <c r="M467">
        <v>20</v>
      </c>
      <c r="N467" s="3">
        <v>3120</v>
      </c>
      <c r="O467" s="3">
        <v>6240</v>
      </c>
      <c r="P467" t="s">
        <v>34</v>
      </c>
      <c r="Q467" t="s">
        <v>51</v>
      </c>
      <c r="R467" t="s">
        <v>36</v>
      </c>
      <c r="S467" t="s">
        <v>354</v>
      </c>
      <c r="T467" t="s">
        <v>434</v>
      </c>
      <c r="U467" t="s">
        <v>54</v>
      </c>
      <c r="V467" t="s">
        <v>315</v>
      </c>
      <c r="W467">
        <v>4.4000000000000004</v>
      </c>
      <c r="X467" t="s">
        <v>41</v>
      </c>
      <c r="Y467" t="s">
        <v>42</v>
      </c>
      <c r="Z467">
        <v>5</v>
      </c>
    </row>
    <row r="468" spans="1:26">
      <c r="A468" t="s">
        <v>1112</v>
      </c>
      <c r="B468" t="s">
        <v>1113</v>
      </c>
      <c r="C468" t="s">
        <v>45</v>
      </c>
      <c r="D468" t="s">
        <v>95</v>
      </c>
      <c r="E468" s="1">
        <v>43686</v>
      </c>
      <c r="F468" t="s">
        <v>47</v>
      </c>
      <c r="G468" t="s">
        <v>199</v>
      </c>
      <c r="H468" t="s">
        <v>59</v>
      </c>
      <c r="I468">
        <v>7</v>
      </c>
      <c r="J468" t="s">
        <v>67</v>
      </c>
      <c r="K468">
        <v>2</v>
      </c>
      <c r="L468" s="3">
        <v>4199</v>
      </c>
      <c r="M468">
        <v>15</v>
      </c>
      <c r="N468" s="3">
        <v>3570</v>
      </c>
      <c r="O468" s="3">
        <v>7140</v>
      </c>
      <c r="P468" t="s">
        <v>81</v>
      </c>
      <c r="Q468" t="s">
        <v>82</v>
      </c>
      <c r="R468" t="s">
        <v>36</v>
      </c>
      <c r="S468" t="s">
        <v>186</v>
      </c>
      <c r="T468" t="s">
        <v>397</v>
      </c>
      <c r="U468" t="s">
        <v>54</v>
      </c>
      <c r="V468" t="s">
        <v>40</v>
      </c>
      <c r="W468">
        <v>5</v>
      </c>
      <c r="X468" t="s">
        <v>41</v>
      </c>
      <c r="Y468" t="s">
        <v>42</v>
      </c>
      <c r="Z468">
        <v>7</v>
      </c>
    </row>
    <row r="469" spans="1:26">
      <c r="A469" t="s">
        <v>1114</v>
      </c>
      <c r="B469" t="s">
        <v>1115</v>
      </c>
      <c r="C469" t="s">
        <v>28</v>
      </c>
      <c r="D469" t="s">
        <v>46</v>
      </c>
      <c r="E469" s="1">
        <v>43687</v>
      </c>
      <c r="F469" t="s">
        <v>30</v>
      </c>
      <c r="G469" t="s">
        <v>214</v>
      </c>
      <c r="H469" t="s">
        <v>128</v>
      </c>
      <c r="I469">
        <v>10</v>
      </c>
      <c r="J469" t="s">
        <v>98</v>
      </c>
      <c r="K469">
        <v>2</v>
      </c>
      <c r="L469" s="3">
        <v>6599</v>
      </c>
      <c r="M469">
        <v>15</v>
      </c>
      <c r="N469" s="3">
        <v>5610</v>
      </c>
      <c r="O469" s="3">
        <v>11220</v>
      </c>
      <c r="P469" t="s">
        <v>34</v>
      </c>
      <c r="Q469" t="s">
        <v>35</v>
      </c>
      <c r="R469" t="s">
        <v>36</v>
      </c>
      <c r="S469" t="s">
        <v>210</v>
      </c>
      <c r="T469" t="s">
        <v>412</v>
      </c>
      <c r="U469" t="s">
        <v>39</v>
      </c>
      <c r="V469" t="s">
        <v>40</v>
      </c>
      <c r="W469">
        <v>3.9</v>
      </c>
      <c r="X469" t="s">
        <v>41</v>
      </c>
      <c r="Y469" t="s">
        <v>42</v>
      </c>
      <c r="Z469">
        <v>2</v>
      </c>
    </row>
    <row r="470" spans="1:26">
      <c r="A470" t="s">
        <v>1116</v>
      </c>
      <c r="B470" t="s">
        <v>1024</v>
      </c>
      <c r="C470" t="s">
        <v>45</v>
      </c>
      <c r="D470" t="s">
        <v>29</v>
      </c>
      <c r="E470" s="1">
        <v>43689</v>
      </c>
      <c r="F470" t="s">
        <v>79</v>
      </c>
      <c r="G470" t="s">
        <v>517</v>
      </c>
      <c r="H470" t="s">
        <v>59</v>
      </c>
      <c r="I470">
        <v>8</v>
      </c>
      <c r="J470" t="s">
        <v>98</v>
      </c>
      <c r="K470">
        <v>2</v>
      </c>
      <c r="L470" s="3">
        <v>6499</v>
      </c>
      <c r="M470">
        <v>15</v>
      </c>
      <c r="N470" s="3">
        <v>5520</v>
      </c>
      <c r="O470" s="3">
        <v>11040</v>
      </c>
      <c r="P470" t="s">
        <v>50</v>
      </c>
      <c r="Q470" t="s">
        <v>51</v>
      </c>
      <c r="R470" t="s">
        <v>36</v>
      </c>
      <c r="S470" t="s">
        <v>182</v>
      </c>
      <c r="T470" t="s">
        <v>309</v>
      </c>
      <c r="U470" t="s">
        <v>61</v>
      </c>
      <c r="V470" t="s">
        <v>315</v>
      </c>
      <c r="W470">
        <v>4.0999999999999996</v>
      </c>
      <c r="X470" t="s">
        <v>62</v>
      </c>
      <c r="Y470" t="s">
        <v>147</v>
      </c>
      <c r="Z470">
        <v>2</v>
      </c>
    </row>
    <row r="471" spans="1:26">
      <c r="A471" t="s">
        <v>1117</v>
      </c>
      <c r="B471" t="s">
        <v>132</v>
      </c>
      <c r="C471" t="s">
        <v>28</v>
      </c>
      <c r="D471" t="s">
        <v>29</v>
      </c>
      <c r="E471" s="1">
        <v>43689</v>
      </c>
      <c r="F471" t="s">
        <v>30</v>
      </c>
      <c r="G471" t="s">
        <v>31</v>
      </c>
      <c r="H471" t="s">
        <v>32</v>
      </c>
      <c r="I471">
        <v>9</v>
      </c>
      <c r="J471" t="s">
        <v>33</v>
      </c>
      <c r="K471">
        <v>2</v>
      </c>
      <c r="L471" s="3">
        <v>9299</v>
      </c>
      <c r="M471">
        <v>15</v>
      </c>
      <c r="N471" s="3">
        <v>7900</v>
      </c>
      <c r="O471" s="3">
        <v>15800</v>
      </c>
      <c r="P471" t="s">
        <v>34</v>
      </c>
      <c r="Q471" t="s">
        <v>51</v>
      </c>
      <c r="R471" t="s">
        <v>36</v>
      </c>
      <c r="S471" t="s">
        <v>117</v>
      </c>
      <c r="T471" t="s">
        <v>544</v>
      </c>
      <c r="U471" t="s">
        <v>124</v>
      </c>
      <c r="V471" t="s">
        <v>315</v>
      </c>
      <c r="W471">
        <v>4</v>
      </c>
      <c r="X471" t="s">
        <v>41</v>
      </c>
      <c r="Y471" t="s">
        <v>42</v>
      </c>
      <c r="Z471">
        <v>4</v>
      </c>
    </row>
    <row r="472" spans="1:26">
      <c r="A472" t="s">
        <v>1118</v>
      </c>
      <c r="B472" t="s">
        <v>1119</v>
      </c>
      <c r="C472" t="s">
        <v>94</v>
      </c>
      <c r="D472" t="s">
        <v>29</v>
      </c>
      <c r="E472" s="1">
        <v>43690</v>
      </c>
      <c r="F472" t="s">
        <v>30</v>
      </c>
      <c r="G472" t="s">
        <v>347</v>
      </c>
      <c r="H472" t="s">
        <v>49</v>
      </c>
      <c r="I472">
        <v>8</v>
      </c>
      <c r="J472" t="s">
        <v>67</v>
      </c>
      <c r="K472">
        <v>3</v>
      </c>
      <c r="L472" s="3">
        <v>5899</v>
      </c>
      <c r="M472">
        <v>10</v>
      </c>
      <c r="N472" s="3">
        <v>5310</v>
      </c>
      <c r="O472" s="3">
        <v>15930</v>
      </c>
      <c r="P472" t="s">
        <v>74</v>
      </c>
      <c r="Q472" t="s">
        <v>35</v>
      </c>
      <c r="R472" t="s">
        <v>36</v>
      </c>
      <c r="S472" t="s">
        <v>151</v>
      </c>
      <c r="T472" t="s">
        <v>152</v>
      </c>
      <c r="U472" t="s">
        <v>54</v>
      </c>
      <c r="V472" t="s">
        <v>40</v>
      </c>
      <c r="W472">
        <v>4.9000000000000004</v>
      </c>
      <c r="X472" t="s">
        <v>41</v>
      </c>
      <c r="Y472" t="s">
        <v>55</v>
      </c>
      <c r="Z472">
        <v>2</v>
      </c>
    </row>
    <row r="473" spans="1:26">
      <c r="A473" t="s">
        <v>1120</v>
      </c>
      <c r="B473" t="s">
        <v>1121</v>
      </c>
      <c r="C473" t="s">
        <v>45</v>
      </c>
      <c r="D473" t="s">
        <v>46</v>
      </c>
      <c r="E473" s="1">
        <v>43691</v>
      </c>
      <c r="F473" t="s">
        <v>79</v>
      </c>
      <c r="G473" t="s">
        <v>174</v>
      </c>
      <c r="H473" t="s">
        <v>32</v>
      </c>
      <c r="I473">
        <v>7</v>
      </c>
      <c r="J473" t="s">
        <v>73</v>
      </c>
      <c r="K473">
        <v>2</v>
      </c>
      <c r="L473" s="3">
        <v>5899</v>
      </c>
      <c r="M473">
        <v>20</v>
      </c>
      <c r="N473" s="3">
        <v>4720</v>
      </c>
      <c r="O473" s="3">
        <v>9440</v>
      </c>
      <c r="P473" t="s">
        <v>50</v>
      </c>
      <c r="Q473" t="s">
        <v>51</v>
      </c>
      <c r="R473" t="s">
        <v>36</v>
      </c>
      <c r="S473" t="s">
        <v>37</v>
      </c>
      <c r="T473" t="s">
        <v>1122</v>
      </c>
      <c r="U473" t="s">
        <v>61</v>
      </c>
      <c r="V473" t="s">
        <v>40</v>
      </c>
      <c r="W473">
        <v>4.7</v>
      </c>
      <c r="X473" t="s">
        <v>41</v>
      </c>
      <c r="Y473" t="s">
        <v>42</v>
      </c>
      <c r="Z473">
        <v>1</v>
      </c>
    </row>
    <row r="474" spans="1:26">
      <c r="A474" t="s">
        <v>1123</v>
      </c>
      <c r="B474" t="s">
        <v>1124</v>
      </c>
      <c r="C474" t="s">
        <v>45</v>
      </c>
      <c r="D474" t="s">
        <v>29</v>
      </c>
      <c r="E474" s="1">
        <v>43692</v>
      </c>
      <c r="F474" t="s">
        <v>30</v>
      </c>
      <c r="G474" t="s">
        <v>58</v>
      </c>
      <c r="H474" t="s">
        <v>59</v>
      </c>
      <c r="I474">
        <v>9</v>
      </c>
      <c r="J474" t="s">
        <v>98</v>
      </c>
      <c r="K474">
        <v>1</v>
      </c>
      <c r="L474" s="3">
        <v>5399</v>
      </c>
      <c r="M474">
        <v>25</v>
      </c>
      <c r="N474" s="3">
        <v>4050</v>
      </c>
      <c r="O474" s="3">
        <v>4050</v>
      </c>
      <c r="P474" t="s">
        <v>34</v>
      </c>
      <c r="Q474" t="s">
        <v>82</v>
      </c>
      <c r="R474" t="s">
        <v>36</v>
      </c>
      <c r="S474" t="s">
        <v>286</v>
      </c>
      <c r="T474" t="s">
        <v>737</v>
      </c>
      <c r="U474" t="s">
        <v>54</v>
      </c>
      <c r="V474" t="s">
        <v>40</v>
      </c>
      <c r="W474">
        <v>5</v>
      </c>
      <c r="X474" t="s">
        <v>41</v>
      </c>
      <c r="Y474" t="s">
        <v>55</v>
      </c>
      <c r="Z474">
        <v>1</v>
      </c>
    </row>
    <row r="475" spans="1:26">
      <c r="A475" t="s">
        <v>1125</v>
      </c>
      <c r="B475" t="s">
        <v>1126</v>
      </c>
      <c r="C475" t="s">
        <v>94</v>
      </c>
      <c r="D475" t="s">
        <v>46</v>
      </c>
      <c r="E475" s="1">
        <v>43693</v>
      </c>
      <c r="F475" t="s">
        <v>47</v>
      </c>
      <c r="G475" t="s">
        <v>48</v>
      </c>
      <c r="H475" t="s">
        <v>49</v>
      </c>
      <c r="I475">
        <v>7</v>
      </c>
      <c r="J475" t="s">
        <v>33</v>
      </c>
      <c r="K475">
        <v>1</v>
      </c>
      <c r="L475" s="3">
        <v>7699</v>
      </c>
      <c r="M475">
        <v>15</v>
      </c>
      <c r="N475" s="3">
        <v>6540</v>
      </c>
      <c r="O475" s="3">
        <v>6540</v>
      </c>
      <c r="P475" t="s">
        <v>81</v>
      </c>
      <c r="Q475" t="s">
        <v>51</v>
      </c>
      <c r="R475" t="s">
        <v>36</v>
      </c>
      <c r="S475" t="s">
        <v>112</v>
      </c>
      <c r="T475" t="s">
        <v>133</v>
      </c>
      <c r="U475" t="s">
        <v>61</v>
      </c>
      <c r="V475" t="s">
        <v>40</v>
      </c>
      <c r="W475">
        <v>4.0999999999999996</v>
      </c>
      <c r="X475" t="s">
        <v>106</v>
      </c>
      <c r="Y475" t="s">
        <v>42</v>
      </c>
      <c r="Z475">
        <v>1</v>
      </c>
    </row>
    <row r="476" spans="1:26">
      <c r="A476" t="s">
        <v>1127</v>
      </c>
      <c r="B476" t="s">
        <v>561</v>
      </c>
      <c r="C476" t="s">
        <v>28</v>
      </c>
      <c r="D476" t="s">
        <v>29</v>
      </c>
      <c r="E476" s="1">
        <v>43694</v>
      </c>
      <c r="F476" t="s">
        <v>30</v>
      </c>
      <c r="G476" t="s">
        <v>347</v>
      </c>
      <c r="H476" t="s">
        <v>49</v>
      </c>
      <c r="I476">
        <v>9</v>
      </c>
      <c r="J476" t="s">
        <v>150</v>
      </c>
      <c r="K476">
        <v>1</v>
      </c>
      <c r="L476" s="3">
        <v>8199</v>
      </c>
      <c r="M476">
        <v>15</v>
      </c>
      <c r="N476" s="3">
        <v>6970</v>
      </c>
      <c r="O476" s="3">
        <v>6970</v>
      </c>
      <c r="P476" t="s">
        <v>50</v>
      </c>
      <c r="Q476" t="s">
        <v>51</v>
      </c>
      <c r="R476" t="s">
        <v>36</v>
      </c>
      <c r="S476" t="s">
        <v>354</v>
      </c>
      <c r="T476" t="s">
        <v>434</v>
      </c>
      <c r="U476" t="s">
        <v>61</v>
      </c>
      <c r="V476" t="s">
        <v>315</v>
      </c>
      <c r="W476">
        <v>5</v>
      </c>
      <c r="X476" t="s">
        <v>41</v>
      </c>
      <c r="Y476" t="s">
        <v>42</v>
      </c>
      <c r="Z476">
        <v>2</v>
      </c>
    </row>
    <row r="477" spans="1:26">
      <c r="A477" t="s">
        <v>1128</v>
      </c>
      <c r="B477" t="s">
        <v>1129</v>
      </c>
      <c r="C477" t="s">
        <v>28</v>
      </c>
      <c r="D477" t="s">
        <v>103</v>
      </c>
      <c r="E477" s="1">
        <v>43696</v>
      </c>
      <c r="F477" t="s">
        <v>47</v>
      </c>
      <c r="G477" t="s">
        <v>218</v>
      </c>
      <c r="H477" t="s">
        <v>59</v>
      </c>
      <c r="I477">
        <v>8</v>
      </c>
      <c r="J477" t="s">
        <v>73</v>
      </c>
      <c r="K477">
        <v>2</v>
      </c>
      <c r="L477" s="3">
        <v>8199</v>
      </c>
      <c r="M477">
        <v>15</v>
      </c>
      <c r="N477" s="3">
        <v>6970</v>
      </c>
      <c r="O477" s="3">
        <v>13940</v>
      </c>
      <c r="P477" t="s">
        <v>81</v>
      </c>
      <c r="Q477" t="s">
        <v>51</v>
      </c>
      <c r="R477" t="s">
        <v>36</v>
      </c>
      <c r="S477" t="s">
        <v>52</v>
      </c>
      <c r="T477" t="s">
        <v>60</v>
      </c>
      <c r="U477" t="s">
        <v>54</v>
      </c>
      <c r="V477" t="s">
        <v>40</v>
      </c>
      <c r="W477">
        <v>4</v>
      </c>
      <c r="X477" t="s">
        <v>62</v>
      </c>
      <c r="Y477" t="s">
        <v>42</v>
      </c>
      <c r="Z477">
        <v>5</v>
      </c>
    </row>
    <row r="478" spans="1:26">
      <c r="A478" t="s">
        <v>1130</v>
      </c>
      <c r="B478" t="s">
        <v>823</v>
      </c>
      <c r="C478" t="s">
        <v>45</v>
      </c>
      <c r="D478" t="s">
        <v>46</v>
      </c>
      <c r="E478" s="1">
        <v>43697</v>
      </c>
      <c r="F478" t="s">
        <v>96</v>
      </c>
      <c r="G478" t="s">
        <v>228</v>
      </c>
      <c r="H478" t="s">
        <v>59</v>
      </c>
      <c r="I478">
        <v>8</v>
      </c>
      <c r="J478" t="s">
        <v>73</v>
      </c>
      <c r="K478">
        <v>1</v>
      </c>
      <c r="L478" s="3">
        <v>4499</v>
      </c>
      <c r="M478">
        <v>15</v>
      </c>
      <c r="N478" s="3">
        <v>3820</v>
      </c>
      <c r="O478" s="3">
        <v>3820</v>
      </c>
      <c r="P478" t="s">
        <v>81</v>
      </c>
      <c r="Q478" t="s">
        <v>35</v>
      </c>
      <c r="R478" t="s">
        <v>36</v>
      </c>
      <c r="S478" t="s">
        <v>210</v>
      </c>
      <c r="T478" t="s">
        <v>415</v>
      </c>
      <c r="U478" t="s">
        <v>91</v>
      </c>
      <c r="V478" t="s">
        <v>315</v>
      </c>
      <c r="W478">
        <v>3.6</v>
      </c>
      <c r="X478" t="s">
        <v>41</v>
      </c>
      <c r="Y478" t="s">
        <v>42</v>
      </c>
      <c r="Z478">
        <v>4</v>
      </c>
    </row>
    <row r="479" spans="1:26">
      <c r="A479" t="s">
        <v>1131</v>
      </c>
      <c r="B479" t="s">
        <v>1132</v>
      </c>
      <c r="C479" t="s">
        <v>28</v>
      </c>
      <c r="D479" t="s">
        <v>46</v>
      </c>
      <c r="E479" s="1">
        <v>43697</v>
      </c>
      <c r="F479" t="s">
        <v>86</v>
      </c>
      <c r="G479" t="s">
        <v>285</v>
      </c>
      <c r="H479" t="s">
        <v>111</v>
      </c>
      <c r="I479">
        <v>11</v>
      </c>
      <c r="J479" t="s">
        <v>67</v>
      </c>
      <c r="K479">
        <v>3</v>
      </c>
      <c r="L479" s="3">
        <v>5999</v>
      </c>
      <c r="M479">
        <v>15</v>
      </c>
      <c r="N479" s="3">
        <v>5100</v>
      </c>
      <c r="O479" s="3">
        <v>15300</v>
      </c>
      <c r="P479" t="s">
        <v>34</v>
      </c>
      <c r="Q479" t="s">
        <v>51</v>
      </c>
      <c r="R479" t="s">
        <v>36</v>
      </c>
      <c r="S479" t="s">
        <v>75</v>
      </c>
      <c r="T479" t="s">
        <v>318</v>
      </c>
      <c r="U479" t="s">
        <v>54</v>
      </c>
      <c r="V479" t="s">
        <v>40</v>
      </c>
      <c r="W479">
        <v>4</v>
      </c>
      <c r="X479" t="s">
        <v>41</v>
      </c>
      <c r="Y479" t="s">
        <v>42</v>
      </c>
      <c r="Z479">
        <v>5</v>
      </c>
    </row>
    <row r="480" spans="1:26">
      <c r="A480" t="s">
        <v>1133</v>
      </c>
      <c r="B480" t="s">
        <v>1134</v>
      </c>
      <c r="C480" t="s">
        <v>28</v>
      </c>
      <c r="D480" t="s">
        <v>46</v>
      </c>
      <c r="E480" s="1">
        <v>43698</v>
      </c>
      <c r="F480" t="s">
        <v>79</v>
      </c>
      <c r="G480" t="s">
        <v>480</v>
      </c>
      <c r="H480" t="s">
        <v>111</v>
      </c>
      <c r="I480">
        <v>9</v>
      </c>
      <c r="J480" t="s">
        <v>67</v>
      </c>
      <c r="K480">
        <v>1</v>
      </c>
      <c r="L480" s="3">
        <v>5099</v>
      </c>
      <c r="M480">
        <v>5</v>
      </c>
      <c r="N480" s="3">
        <v>4840</v>
      </c>
      <c r="O480" s="3">
        <v>4840</v>
      </c>
      <c r="P480" t="s">
        <v>81</v>
      </c>
      <c r="Q480" t="s">
        <v>51</v>
      </c>
      <c r="R480" t="s">
        <v>36</v>
      </c>
      <c r="S480" t="s">
        <v>182</v>
      </c>
      <c r="T480" t="s">
        <v>604</v>
      </c>
      <c r="U480" t="s">
        <v>124</v>
      </c>
      <c r="V480" t="s">
        <v>40</v>
      </c>
      <c r="W480">
        <v>4.5999999999999996</v>
      </c>
      <c r="X480" t="s">
        <v>41</v>
      </c>
      <c r="Y480" t="s">
        <v>55</v>
      </c>
      <c r="Z480">
        <v>3</v>
      </c>
    </row>
    <row r="481" spans="1:26">
      <c r="A481" t="s">
        <v>1135</v>
      </c>
      <c r="B481" t="s">
        <v>387</v>
      </c>
      <c r="C481" t="s">
        <v>45</v>
      </c>
      <c r="D481" t="s">
        <v>95</v>
      </c>
      <c r="E481" s="1">
        <v>43700</v>
      </c>
      <c r="F481" t="s">
        <v>65</v>
      </c>
      <c r="G481" t="s">
        <v>365</v>
      </c>
      <c r="H481" t="s">
        <v>49</v>
      </c>
      <c r="I481">
        <v>12</v>
      </c>
      <c r="J481" t="s">
        <v>150</v>
      </c>
      <c r="K481">
        <v>1</v>
      </c>
      <c r="L481" s="3">
        <v>6999</v>
      </c>
      <c r="M481">
        <v>20</v>
      </c>
      <c r="N481" s="3">
        <v>5600</v>
      </c>
      <c r="O481" s="3">
        <v>5600</v>
      </c>
      <c r="P481" t="s">
        <v>81</v>
      </c>
      <c r="Q481" t="s">
        <v>82</v>
      </c>
      <c r="R481" t="s">
        <v>36</v>
      </c>
      <c r="S481" t="s">
        <v>354</v>
      </c>
      <c r="T481" t="s">
        <v>434</v>
      </c>
      <c r="U481" t="s">
        <v>61</v>
      </c>
      <c r="V481" t="s">
        <v>315</v>
      </c>
      <c r="W481">
        <v>5</v>
      </c>
      <c r="X481" t="s">
        <v>41</v>
      </c>
      <c r="Y481" t="s">
        <v>42</v>
      </c>
      <c r="Z481">
        <v>2</v>
      </c>
    </row>
    <row r="482" spans="1:26">
      <c r="A482" t="s">
        <v>1136</v>
      </c>
      <c r="B482" t="s">
        <v>1137</v>
      </c>
      <c r="C482" t="s">
        <v>45</v>
      </c>
      <c r="D482" t="s">
        <v>46</v>
      </c>
      <c r="E482" s="1">
        <v>43702</v>
      </c>
      <c r="F482" t="s">
        <v>30</v>
      </c>
      <c r="G482" t="s">
        <v>31</v>
      </c>
      <c r="H482" t="s">
        <v>32</v>
      </c>
      <c r="I482">
        <v>10</v>
      </c>
      <c r="J482" t="s">
        <v>98</v>
      </c>
      <c r="K482">
        <v>1</v>
      </c>
      <c r="L482" s="3">
        <v>9399</v>
      </c>
      <c r="M482">
        <v>10</v>
      </c>
      <c r="N482" s="3">
        <v>8460</v>
      </c>
      <c r="O482" s="3">
        <v>8460</v>
      </c>
      <c r="P482" t="s">
        <v>74</v>
      </c>
      <c r="Q482" t="s">
        <v>82</v>
      </c>
      <c r="R482" t="s">
        <v>36</v>
      </c>
      <c r="S482" t="s">
        <v>168</v>
      </c>
      <c r="T482" t="s">
        <v>532</v>
      </c>
      <c r="U482" t="s">
        <v>61</v>
      </c>
      <c r="V482" t="s">
        <v>40</v>
      </c>
      <c r="W482">
        <v>4.2</v>
      </c>
      <c r="X482" t="s">
        <v>62</v>
      </c>
      <c r="Y482" t="s">
        <v>55</v>
      </c>
      <c r="Z482">
        <v>1</v>
      </c>
    </row>
    <row r="483" spans="1:26">
      <c r="A483" t="s">
        <v>1138</v>
      </c>
      <c r="B483" t="s">
        <v>1139</v>
      </c>
      <c r="C483" t="s">
        <v>45</v>
      </c>
      <c r="D483" t="s">
        <v>29</v>
      </c>
      <c r="E483" s="1">
        <v>43703</v>
      </c>
      <c r="F483" t="s">
        <v>79</v>
      </c>
      <c r="G483" t="s">
        <v>127</v>
      </c>
      <c r="H483" t="s">
        <v>128</v>
      </c>
      <c r="I483">
        <v>8</v>
      </c>
      <c r="J483" t="s">
        <v>67</v>
      </c>
      <c r="K483">
        <v>1</v>
      </c>
      <c r="L483" s="3">
        <v>3699</v>
      </c>
      <c r="M483">
        <v>5</v>
      </c>
      <c r="N483" s="3">
        <v>3510</v>
      </c>
      <c r="O483" s="3">
        <v>3510</v>
      </c>
      <c r="P483" t="s">
        <v>34</v>
      </c>
      <c r="Q483" t="s">
        <v>35</v>
      </c>
      <c r="R483" t="s">
        <v>36</v>
      </c>
      <c r="S483" t="s">
        <v>182</v>
      </c>
      <c r="T483" t="s">
        <v>309</v>
      </c>
      <c r="U483" t="s">
        <v>91</v>
      </c>
      <c r="V483" t="s">
        <v>40</v>
      </c>
      <c r="W483">
        <v>4.3</v>
      </c>
      <c r="X483" t="s">
        <v>41</v>
      </c>
      <c r="Y483" t="s">
        <v>42</v>
      </c>
      <c r="Z483">
        <v>2</v>
      </c>
    </row>
    <row r="484" spans="1:26">
      <c r="A484" t="s">
        <v>1140</v>
      </c>
      <c r="B484" t="s">
        <v>1141</v>
      </c>
      <c r="C484" t="s">
        <v>94</v>
      </c>
      <c r="D484" t="s">
        <v>46</v>
      </c>
      <c r="E484" s="1">
        <v>43703</v>
      </c>
      <c r="F484" t="s">
        <v>47</v>
      </c>
      <c r="G484" t="s">
        <v>218</v>
      </c>
      <c r="H484" t="s">
        <v>59</v>
      </c>
      <c r="I484">
        <v>10</v>
      </c>
      <c r="J484" t="s">
        <v>150</v>
      </c>
      <c r="K484">
        <v>2</v>
      </c>
      <c r="L484" s="3">
        <v>6099</v>
      </c>
      <c r="M484">
        <v>5</v>
      </c>
      <c r="N484" s="3">
        <v>5790</v>
      </c>
      <c r="O484" s="3">
        <v>11580</v>
      </c>
      <c r="P484" t="s">
        <v>74</v>
      </c>
      <c r="Q484" t="s">
        <v>51</v>
      </c>
      <c r="R484" t="s">
        <v>36</v>
      </c>
      <c r="S484" t="s">
        <v>129</v>
      </c>
      <c r="T484" t="s">
        <v>146</v>
      </c>
      <c r="U484" t="s">
        <v>91</v>
      </c>
      <c r="V484" t="s">
        <v>40</v>
      </c>
      <c r="W484">
        <v>3.9</v>
      </c>
      <c r="X484" t="s">
        <v>106</v>
      </c>
      <c r="Y484" t="s">
        <v>42</v>
      </c>
      <c r="Z484">
        <v>7</v>
      </c>
    </row>
    <row r="485" spans="1:26">
      <c r="A485" t="s">
        <v>1142</v>
      </c>
      <c r="B485" t="s">
        <v>1143</v>
      </c>
      <c r="C485" t="s">
        <v>28</v>
      </c>
      <c r="D485" t="s">
        <v>29</v>
      </c>
      <c r="E485" s="1">
        <v>43704</v>
      </c>
      <c r="F485" t="s">
        <v>86</v>
      </c>
      <c r="G485" t="s">
        <v>285</v>
      </c>
      <c r="H485" t="s">
        <v>111</v>
      </c>
      <c r="I485">
        <v>10</v>
      </c>
      <c r="J485" t="s">
        <v>98</v>
      </c>
      <c r="K485">
        <v>2</v>
      </c>
      <c r="L485" s="3">
        <v>8899</v>
      </c>
      <c r="M485">
        <v>10</v>
      </c>
      <c r="N485" s="3">
        <v>8010</v>
      </c>
      <c r="O485" s="3">
        <v>16020</v>
      </c>
      <c r="P485" t="s">
        <v>50</v>
      </c>
      <c r="Q485" t="s">
        <v>51</v>
      </c>
      <c r="R485" t="s">
        <v>36</v>
      </c>
      <c r="S485" t="s">
        <v>200</v>
      </c>
      <c r="T485" t="s">
        <v>232</v>
      </c>
      <c r="U485" t="s">
        <v>91</v>
      </c>
      <c r="V485" t="s">
        <v>40</v>
      </c>
      <c r="W485">
        <v>3.9</v>
      </c>
      <c r="X485" t="s">
        <v>41</v>
      </c>
      <c r="Y485" t="s">
        <v>55</v>
      </c>
      <c r="Z485">
        <v>2</v>
      </c>
    </row>
    <row r="486" spans="1:26">
      <c r="A486" t="s">
        <v>1144</v>
      </c>
      <c r="B486" t="s">
        <v>463</v>
      </c>
      <c r="C486" t="s">
        <v>45</v>
      </c>
      <c r="D486" t="s">
        <v>46</v>
      </c>
      <c r="E486" s="1">
        <v>43711</v>
      </c>
      <c r="F486" t="s">
        <v>30</v>
      </c>
      <c r="G486" t="s">
        <v>347</v>
      </c>
      <c r="H486" t="s">
        <v>49</v>
      </c>
      <c r="I486">
        <v>8</v>
      </c>
      <c r="J486" t="s">
        <v>150</v>
      </c>
      <c r="K486">
        <v>1</v>
      </c>
      <c r="L486" s="3">
        <v>8899</v>
      </c>
      <c r="M486">
        <v>20</v>
      </c>
      <c r="N486" s="3">
        <v>7120</v>
      </c>
      <c r="O486" s="3">
        <v>7120</v>
      </c>
      <c r="P486" t="s">
        <v>74</v>
      </c>
      <c r="Q486" t="s">
        <v>51</v>
      </c>
      <c r="R486" t="s">
        <v>36</v>
      </c>
      <c r="S486" t="s">
        <v>384</v>
      </c>
      <c r="T486" t="s">
        <v>481</v>
      </c>
      <c r="U486" t="s">
        <v>124</v>
      </c>
      <c r="V486" t="s">
        <v>315</v>
      </c>
      <c r="W486">
        <v>4.9000000000000004</v>
      </c>
      <c r="X486" t="s">
        <v>41</v>
      </c>
      <c r="Y486" t="s">
        <v>42</v>
      </c>
      <c r="Z486">
        <v>2</v>
      </c>
    </row>
    <row r="487" spans="1:26">
      <c r="A487" t="s">
        <v>1145</v>
      </c>
      <c r="B487" t="s">
        <v>1146</v>
      </c>
      <c r="C487" t="s">
        <v>45</v>
      </c>
      <c r="D487" t="s">
        <v>29</v>
      </c>
      <c r="E487" s="1">
        <v>43712</v>
      </c>
      <c r="F487" t="s">
        <v>30</v>
      </c>
      <c r="G487" t="s">
        <v>58</v>
      </c>
      <c r="H487" t="s">
        <v>59</v>
      </c>
      <c r="I487">
        <v>11</v>
      </c>
      <c r="J487" t="s">
        <v>150</v>
      </c>
      <c r="K487">
        <v>1</v>
      </c>
      <c r="L487" s="3">
        <v>9099</v>
      </c>
      <c r="M487">
        <v>0</v>
      </c>
      <c r="N487" s="3">
        <v>9100</v>
      </c>
      <c r="O487" s="3">
        <v>9100</v>
      </c>
      <c r="P487" t="s">
        <v>50</v>
      </c>
      <c r="Q487" t="s">
        <v>82</v>
      </c>
      <c r="R487" t="s">
        <v>36</v>
      </c>
      <c r="S487" t="s">
        <v>52</v>
      </c>
      <c r="T487" t="s">
        <v>53</v>
      </c>
      <c r="U487" t="s">
        <v>54</v>
      </c>
      <c r="V487" t="s">
        <v>40</v>
      </c>
      <c r="W487">
        <v>4.2</v>
      </c>
      <c r="X487" t="s">
        <v>41</v>
      </c>
      <c r="Y487" t="s">
        <v>147</v>
      </c>
      <c r="Z487">
        <v>1</v>
      </c>
    </row>
    <row r="488" spans="1:26">
      <c r="A488" t="s">
        <v>1147</v>
      </c>
      <c r="B488" t="s">
        <v>439</v>
      </c>
      <c r="C488" t="s">
        <v>28</v>
      </c>
      <c r="D488" t="s">
        <v>46</v>
      </c>
      <c r="E488" s="1">
        <v>43718</v>
      </c>
      <c r="F488" t="s">
        <v>79</v>
      </c>
      <c r="G488" t="s">
        <v>517</v>
      </c>
      <c r="H488" t="s">
        <v>59</v>
      </c>
      <c r="I488">
        <v>6</v>
      </c>
      <c r="J488" t="s">
        <v>150</v>
      </c>
      <c r="K488">
        <v>1</v>
      </c>
      <c r="L488" s="3">
        <v>6399</v>
      </c>
      <c r="M488">
        <v>30</v>
      </c>
      <c r="N488" s="3">
        <v>4480</v>
      </c>
      <c r="O488" s="3">
        <v>4480</v>
      </c>
      <c r="P488" t="s">
        <v>74</v>
      </c>
      <c r="Q488" t="s">
        <v>51</v>
      </c>
      <c r="R488" t="s">
        <v>36</v>
      </c>
      <c r="S488" t="s">
        <v>243</v>
      </c>
      <c r="T488" t="s">
        <v>244</v>
      </c>
      <c r="U488" t="s">
        <v>54</v>
      </c>
      <c r="V488" t="s">
        <v>315</v>
      </c>
      <c r="W488">
        <v>4.4000000000000004</v>
      </c>
      <c r="X488" t="s">
        <v>62</v>
      </c>
      <c r="Y488" t="s">
        <v>55</v>
      </c>
      <c r="Z488">
        <v>2</v>
      </c>
    </row>
    <row r="489" spans="1:26">
      <c r="A489" t="s">
        <v>1148</v>
      </c>
      <c r="B489" t="s">
        <v>568</v>
      </c>
      <c r="C489" t="s">
        <v>45</v>
      </c>
      <c r="D489" t="s">
        <v>109</v>
      </c>
      <c r="E489" s="1">
        <v>43719</v>
      </c>
      <c r="F489" t="s">
        <v>30</v>
      </c>
      <c r="G489" t="s">
        <v>214</v>
      </c>
      <c r="H489" t="s">
        <v>128</v>
      </c>
      <c r="I489">
        <v>10</v>
      </c>
      <c r="J489" t="s">
        <v>73</v>
      </c>
      <c r="K489">
        <v>1</v>
      </c>
      <c r="L489" s="3">
        <v>7599</v>
      </c>
      <c r="M489">
        <v>15</v>
      </c>
      <c r="N489" s="3">
        <v>6460</v>
      </c>
      <c r="O489" s="3">
        <v>6460</v>
      </c>
      <c r="P489" t="s">
        <v>81</v>
      </c>
      <c r="Q489" t="s">
        <v>82</v>
      </c>
      <c r="R489" t="s">
        <v>36</v>
      </c>
      <c r="S489" t="s">
        <v>99</v>
      </c>
      <c r="T489" t="s">
        <v>335</v>
      </c>
      <c r="U489" t="s">
        <v>39</v>
      </c>
      <c r="V489" t="s">
        <v>315</v>
      </c>
      <c r="W489">
        <v>4.3</v>
      </c>
      <c r="X489" t="s">
        <v>62</v>
      </c>
      <c r="Y489" t="s">
        <v>55</v>
      </c>
      <c r="Z489">
        <v>2</v>
      </c>
    </row>
    <row r="490" spans="1:26">
      <c r="A490" t="s">
        <v>1149</v>
      </c>
      <c r="B490" t="s">
        <v>1150</v>
      </c>
      <c r="C490" t="s">
        <v>28</v>
      </c>
      <c r="D490" t="s">
        <v>103</v>
      </c>
      <c r="E490" s="1">
        <v>43719</v>
      </c>
      <c r="F490" t="s">
        <v>86</v>
      </c>
      <c r="G490" t="s">
        <v>190</v>
      </c>
      <c r="H490" t="s">
        <v>128</v>
      </c>
      <c r="I490">
        <v>6</v>
      </c>
      <c r="J490" t="s">
        <v>33</v>
      </c>
      <c r="K490">
        <v>1</v>
      </c>
      <c r="L490" s="3">
        <v>4199</v>
      </c>
      <c r="M490">
        <v>15</v>
      </c>
      <c r="N490" s="3">
        <v>3570</v>
      </c>
      <c r="O490" s="3">
        <v>3570</v>
      </c>
      <c r="P490" t="s">
        <v>81</v>
      </c>
      <c r="Q490" t="s">
        <v>51</v>
      </c>
      <c r="R490" t="s">
        <v>36</v>
      </c>
      <c r="S490" t="s">
        <v>418</v>
      </c>
      <c r="T490" t="s">
        <v>549</v>
      </c>
      <c r="U490" t="s">
        <v>61</v>
      </c>
      <c r="V490" t="s">
        <v>40</v>
      </c>
      <c r="W490">
        <v>3.7</v>
      </c>
      <c r="X490" t="s">
        <v>41</v>
      </c>
      <c r="Y490" t="s">
        <v>42</v>
      </c>
      <c r="Z490">
        <v>4</v>
      </c>
    </row>
    <row r="491" spans="1:26">
      <c r="A491" t="s">
        <v>1151</v>
      </c>
      <c r="B491" t="s">
        <v>1152</v>
      </c>
      <c r="C491" t="s">
        <v>45</v>
      </c>
      <c r="D491" t="s">
        <v>103</v>
      </c>
      <c r="E491" s="1">
        <v>43719</v>
      </c>
      <c r="F491" t="s">
        <v>79</v>
      </c>
      <c r="G491" t="s">
        <v>301</v>
      </c>
      <c r="H491" t="s">
        <v>49</v>
      </c>
      <c r="I491">
        <v>11</v>
      </c>
      <c r="J491" t="s">
        <v>73</v>
      </c>
      <c r="K491">
        <v>1</v>
      </c>
      <c r="L491" s="3">
        <v>6699</v>
      </c>
      <c r="M491">
        <v>10</v>
      </c>
      <c r="N491" s="3">
        <v>6030</v>
      </c>
      <c r="O491" s="3">
        <v>6030</v>
      </c>
      <c r="P491" t="s">
        <v>74</v>
      </c>
      <c r="Q491" t="s">
        <v>82</v>
      </c>
      <c r="R491" t="s">
        <v>36</v>
      </c>
      <c r="S491" t="s">
        <v>129</v>
      </c>
      <c r="T491" t="s">
        <v>130</v>
      </c>
      <c r="U491" t="s">
        <v>91</v>
      </c>
      <c r="V491" t="s">
        <v>40</v>
      </c>
      <c r="W491">
        <v>3</v>
      </c>
      <c r="X491" t="s">
        <v>41</v>
      </c>
      <c r="Y491" t="s">
        <v>55</v>
      </c>
      <c r="Z491">
        <v>3</v>
      </c>
    </row>
    <row r="492" spans="1:26">
      <c r="A492" t="s">
        <v>1153</v>
      </c>
      <c r="B492" t="s">
        <v>1154</v>
      </c>
      <c r="C492" t="s">
        <v>28</v>
      </c>
      <c r="D492" t="s">
        <v>46</v>
      </c>
      <c r="E492" s="1">
        <v>43721</v>
      </c>
      <c r="F492" t="s">
        <v>65</v>
      </c>
      <c r="G492" t="s">
        <v>279</v>
      </c>
      <c r="H492" t="s">
        <v>111</v>
      </c>
      <c r="I492">
        <v>9</v>
      </c>
      <c r="J492" t="s">
        <v>67</v>
      </c>
      <c r="K492">
        <v>1</v>
      </c>
      <c r="L492" s="3">
        <v>6999</v>
      </c>
      <c r="M492">
        <v>20</v>
      </c>
      <c r="N492" s="3">
        <v>5600</v>
      </c>
      <c r="O492" s="3">
        <v>5600</v>
      </c>
      <c r="P492" t="s">
        <v>34</v>
      </c>
      <c r="Q492" t="s">
        <v>82</v>
      </c>
      <c r="R492" t="s">
        <v>36</v>
      </c>
      <c r="S492" t="s">
        <v>52</v>
      </c>
      <c r="T492" t="s">
        <v>235</v>
      </c>
      <c r="U492" t="s">
        <v>54</v>
      </c>
      <c r="V492" t="s">
        <v>40</v>
      </c>
      <c r="W492">
        <v>4.4000000000000004</v>
      </c>
      <c r="X492" t="s">
        <v>41</v>
      </c>
      <c r="Y492" t="s">
        <v>42</v>
      </c>
      <c r="Z492">
        <v>3</v>
      </c>
    </row>
    <row r="493" spans="1:26">
      <c r="A493" t="s">
        <v>1155</v>
      </c>
      <c r="B493" t="s">
        <v>1156</v>
      </c>
      <c r="C493" t="s">
        <v>94</v>
      </c>
      <c r="D493" t="s">
        <v>95</v>
      </c>
      <c r="E493" s="1">
        <v>43722</v>
      </c>
      <c r="F493" t="s">
        <v>65</v>
      </c>
      <c r="G493" t="s">
        <v>256</v>
      </c>
      <c r="H493" t="s">
        <v>32</v>
      </c>
      <c r="I493">
        <v>8</v>
      </c>
      <c r="J493" t="s">
        <v>67</v>
      </c>
      <c r="K493">
        <v>2</v>
      </c>
      <c r="L493" s="3">
        <v>4599</v>
      </c>
      <c r="M493">
        <v>20</v>
      </c>
      <c r="N493" s="3">
        <v>3680</v>
      </c>
      <c r="O493" s="3">
        <v>7360</v>
      </c>
      <c r="P493" t="s">
        <v>34</v>
      </c>
      <c r="Q493" t="s">
        <v>51</v>
      </c>
      <c r="R493" t="s">
        <v>36</v>
      </c>
      <c r="S493" t="s">
        <v>191</v>
      </c>
      <c r="T493" t="s">
        <v>521</v>
      </c>
      <c r="U493" t="s">
        <v>61</v>
      </c>
      <c r="V493" t="s">
        <v>40</v>
      </c>
      <c r="W493">
        <v>4.7</v>
      </c>
      <c r="X493" t="s">
        <v>62</v>
      </c>
      <c r="Y493" t="s">
        <v>42</v>
      </c>
      <c r="Z493">
        <v>5</v>
      </c>
    </row>
    <row r="494" spans="1:26">
      <c r="A494" t="s">
        <v>1157</v>
      </c>
      <c r="B494" t="s">
        <v>1031</v>
      </c>
      <c r="C494" t="s">
        <v>94</v>
      </c>
      <c r="D494" t="s">
        <v>103</v>
      </c>
      <c r="E494" s="1">
        <v>43722</v>
      </c>
      <c r="F494" t="s">
        <v>47</v>
      </c>
      <c r="G494" t="s">
        <v>140</v>
      </c>
      <c r="H494" t="s">
        <v>128</v>
      </c>
      <c r="I494">
        <v>7</v>
      </c>
      <c r="J494" t="s">
        <v>67</v>
      </c>
      <c r="K494">
        <v>1</v>
      </c>
      <c r="L494" s="3">
        <v>5499</v>
      </c>
      <c r="M494">
        <v>25</v>
      </c>
      <c r="N494" s="3">
        <v>4120</v>
      </c>
      <c r="O494" s="3">
        <v>4120</v>
      </c>
      <c r="P494" t="s">
        <v>81</v>
      </c>
      <c r="Q494" t="s">
        <v>35</v>
      </c>
      <c r="R494" t="s">
        <v>36</v>
      </c>
      <c r="S494" t="s">
        <v>117</v>
      </c>
      <c r="T494" t="s">
        <v>253</v>
      </c>
      <c r="U494" t="s">
        <v>61</v>
      </c>
      <c r="V494" t="s">
        <v>315</v>
      </c>
      <c r="W494">
        <v>3.5</v>
      </c>
      <c r="X494" t="s">
        <v>106</v>
      </c>
      <c r="Y494" t="s">
        <v>42</v>
      </c>
      <c r="Z494">
        <v>4</v>
      </c>
    </row>
    <row r="495" spans="1:26">
      <c r="A495" t="s">
        <v>1158</v>
      </c>
      <c r="B495" t="s">
        <v>552</v>
      </c>
      <c r="C495" t="s">
        <v>45</v>
      </c>
      <c r="D495" t="s">
        <v>95</v>
      </c>
      <c r="E495" s="1">
        <v>43722</v>
      </c>
      <c r="F495" t="s">
        <v>86</v>
      </c>
      <c r="G495" t="s">
        <v>116</v>
      </c>
      <c r="H495" t="s">
        <v>49</v>
      </c>
      <c r="I495">
        <v>6</v>
      </c>
      <c r="J495" t="s">
        <v>150</v>
      </c>
      <c r="K495">
        <v>1</v>
      </c>
      <c r="L495" s="3">
        <v>4799</v>
      </c>
      <c r="M495">
        <v>15</v>
      </c>
      <c r="N495" s="3">
        <v>4080</v>
      </c>
      <c r="O495" s="3">
        <v>4080</v>
      </c>
      <c r="P495" t="s">
        <v>81</v>
      </c>
      <c r="Q495" t="s">
        <v>51</v>
      </c>
      <c r="R495" t="s">
        <v>36</v>
      </c>
      <c r="S495" t="s">
        <v>164</v>
      </c>
      <c r="T495" t="s">
        <v>314</v>
      </c>
      <c r="U495" t="s">
        <v>39</v>
      </c>
      <c r="V495" t="s">
        <v>315</v>
      </c>
      <c r="W495">
        <v>4.4000000000000004</v>
      </c>
      <c r="X495" t="s">
        <v>41</v>
      </c>
      <c r="Y495" t="s">
        <v>147</v>
      </c>
      <c r="Z495">
        <v>1</v>
      </c>
    </row>
    <row r="496" spans="1:26">
      <c r="A496" t="s">
        <v>1159</v>
      </c>
      <c r="B496" t="s">
        <v>1160</v>
      </c>
      <c r="C496" t="s">
        <v>94</v>
      </c>
      <c r="D496" t="s">
        <v>103</v>
      </c>
      <c r="E496" s="1">
        <v>43723</v>
      </c>
      <c r="F496" t="s">
        <v>86</v>
      </c>
      <c r="G496" t="s">
        <v>116</v>
      </c>
      <c r="H496" t="s">
        <v>49</v>
      </c>
      <c r="I496">
        <v>10</v>
      </c>
      <c r="J496" t="s">
        <v>73</v>
      </c>
      <c r="K496">
        <v>2</v>
      </c>
      <c r="L496" s="3">
        <v>8299</v>
      </c>
      <c r="M496">
        <v>35</v>
      </c>
      <c r="N496" s="3">
        <v>5390</v>
      </c>
      <c r="O496" s="3">
        <v>10780</v>
      </c>
      <c r="P496" t="s">
        <v>34</v>
      </c>
      <c r="Q496" t="s">
        <v>35</v>
      </c>
      <c r="R496" t="s">
        <v>36</v>
      </c>
      <c r="S496" t="s">
        <v>168</v>
      </c>
      <c r="T496" t="s">
        <v>168</v>
      </c>
      <c r="U496" t="s">
        <v>61</v>
      </c>
      <c r="V496" t="s">
        <v>40</v>
      </c>
      <c r="W496">
        <v>3.8</v>
      </c>
      <c r="X496" t="s">
        <v>41</v>
      </c>
      <c r="Y496" t="s">
        <v>42</v>
      </c>
      <c r="Z496">
        <v>7</v>
      </c>
    </row>
    <row r="497" spans="1:26">
      <c r="A497" t="s">
        <v>1161</v>
      </c>
      <c r="B497" t="s">
        <v>132</v>
      </c>
      <c r="C497" t="s">
        <v>28</v>
      </c>
      <c r="D497" t="s">
        <v>29</v>
      </c>
      <c r="E497" s="1">
        <v>43724</v>
      </c>
      <c r="F497" t="s">
        <v>96</v>
      </c>
      <c r="G497" t="s">
        <v>155</v>
      </c>
      <c r="H497" t="s">
        <v>111</v>
      </c>
      <c r="I497">
        <v>8</v>
      </c>
      <c r="J497" t="s">
        <v>88</v>
      </c>
      <c r="K497">
        <v>1</v>
      </c>
      <c r="L497" s="3">
        <v>5299</v>
      </c>
      <c r="M497">
        <v>0</v>
      </c>
      <c r="N497" s="3">
        <v>5300</v>
      </c>
      <c r="O497" s="3">
        <v>5300</v>
      </c>
      <c r="P497" t="s">
        <v>50</v>
      </c>
      <c r="Q497" t="s">
        <v>35</v>
      </c>
      <c r="R497" t="s">
        <v>36</v>
      </c>
      <c r="S497" t="s">
        <v>191</v>
      </c>
      <c r="T497" t="s">
        <v>572</v>
      </c>
      <c r="U497" t="s">
        <v>91</v>
      </c>
      <c r="V497" t="s">
        <v>969</v>
      </c>
      <c r="W497">
        <v>3.9</v>
      </c>
      <c r="X497" t="s">
        <v>41</v>
      </c>
      <c r="Y497" t="s">
        <v>147</v>
      </c>
      <c r="Z497">
        <v>1</v>
      </c>
    </row>
    <row r="498" spans="1:26">
      <c r="A498" t="s">
        <v>1162</v>
      </c>
      <c r="B498" t="s">
        <v>1163</v>
      </c>
      <c r="C498" t="s">
        <v>45</v>
      </c>
      <c r="D498" t="s">
        <v>29</v>
      </c>
      <c r="E498" s="1">
        <v>43724</v>
      </c>
      <c r="F498" t="s">
        <v>86</v>
      </c>
      <c r="G498" t="s">
        <v>285</v>
      </c>
      <c r="H498" t="s">
        <v>111</v>
      </c>
      <c r="I498">
        <v>8</v>
      </c>
      <c r="J498" t="s">
        <v>67</v>
      </c>
      <c r="K498">
        <v>1</v>
      </c>
      <c r="L498" s="3">
        <v>8899</v>
      </c>
      <c r="M498">
        <v>15</v>
      </c>
      <c r="N498" s="3">
        <v>7560</v>
      </c>
      <c r="O498" s="3">
        <v>7560</v>
      </c>
      <c r="P498" t="s">
        <v>81</v>
      </c>
      <c r="Q498" t="s">
        <v>82</v>
      </c>
      <c r="R498" t="s">
        <v>36</v>
      </c>
      <c r="S498" t="s">
        <v>75</v>
      </c>
      <c r="T498" t="s">
        <v>796</v>
      </c>
      <c r="U498" t="s">
        <v>124</v>
      </c>
      <c r="V498" t="s">
        <v>40</v>
      </c>
      <c r="W498">
        <v>4.8</v>
      </c>
      <c r="X498" t="s">
        <v>41</v>
      </c>
      <c r="Y498" t="s">
        <v>42</v>
      </c>
      <c r="Z498">
        <v>2</v>
      </c>
    </row>
    <row r="499" spans="1:26">
      <c r="A499" t="s">
        <v>1164</v>
      </c>
      <c r="B499" t="s">
        <v>1165</v>
      </c>
      <c r="C499" t="s">
        <v>28</v>
      </c>
      <c r="D499" t="s">
        <v>29</v>
      </c>
      <c r="E499" s="1">
        <v>43726</v>
      </c>
      <c r="F499" t="s">
        <v>86</v>
      </c>
      <c r="G499" t="s">
        <v>87</v>
      </c>
      <c r="H499" t="s">
        <v>59</v>
      </c>
      <c r="I499">
        <v>7</v>
      </c>
      <c r="J499" t="s">
        <v>98</v>
      </c>
      <c r="K499">
        <v>1</v>
      </c>
      <c r="L499" s="3">
        <v>7199</v>
      </c>
      <c r="M499">
        <v>15</v>
      </c>
      <c r="N499" s="3">
        <v>6120</v>
      </c>
      <c r="O499" s="3">
        <v>6120</v>
      </c>
      <c r="P499" t="s">
        <v>34</v>
      </c>
      <c r="Q499" t="s">
        <v>82</v>
      </c>
      <c r="R499" t="s">
        <v>36</v>
      </c>
      <c r="S499" t="s">
        <v>182</v>
      </c>
      <c r="T499" t="s">
        <v>309</v>
      </c>
      <c r="U499" t="s">
        <v>54</v>
      </c>
      <c r="V499" t="s">
        <v>40</v>
      </c>
      <c r="W499">
        <v>3.7</v>
      </c>
      <c r="X499" t="s">
        <v>41</v>
      </c>
      <c r="Y499" t="s">
        <v>42</v>
      </c>
      <c r="Z499">
        <v>1</v>
      </c>
    </row>
    <row r="500" spans="1:26">
      <c r="A500" t="s">
        <v>1166</v>
      </c>
      <c r="B500" t="s">
        <v>802</v>
      </c>
      <c r="C500" t="s">
        <v>28</v>
      </c>
      <c r="D500" t="s">
        <v>103</v>
      </c>
      <c r="E500" s="1">
        <v>43728</v>
      </c>
      <c r="F500" t="s">
        <v>79</v>
      </c>
      <c r="G500" t="s">
        <v>517</v>
      </c>
      <c r="H500" t="s">
        <v>59</v>
      </c>
      <c r="I500">
        <v>9</v>
      </c>
      <c r="J500" t="s">
        <v>150</v>
      </c>
      <c r="K500">
        <v>1</v>
      </c>
      <c r="L500" s="3">
        <v>6099</v>
      </c>
      <c r="M500">
        <v>25</v>
      </c>
      <c r="N500" s="3">
        <v>4570</v>
      </c>
      <c r="O500" s="3">
        <v>4570</v>
      </c>
      <c r="P500" t="s">
        <v>50</v>
      </c>
      <c r="Q500" t="s">
        <v>51</v>
      </c>
      <c r="R500" t="s">
        <v>36</v>
      </c>
      <c r="S500" t="s">
        <v>338</v>
      </c>
      <c r="T500" t="s">
        <v>338</v>
      </c>
      <c r="U500" t="s">
        <v>54</v>
      </c>
      <c r="V500" t="s">
        <v>315</v>
      </c>
      <c r="W500">
        <v>5</v>
      </c>
      <c r="X500" t="s">
        <v>62</v>
      </c>
      <c r="Y500" t="s">
        <v>42</v>
      </c>
      <c r="Z500">
        <v>4</v>
      </c>
    </row>
    <row r="501" spans="1:26">
      <c r="A501" t="s">
        <v>1167</v>
      </c>
      <c r="B501" t="s">
        <v>1168</v>
      </c>
      <c r="C501" t="s">
        <v>28</v>
      </c>
      <c r="D501" t="s">
        <v>29</v>
      </c>
      <c r="E501" s="1">
        <v>43730</v>
      </c>
      <c r="F501" t="s">
        <v>79</v>
      </c>
      <c r="G501" t="s">
        <v>480</v>
      </c>
      <c r="H501" t="s">
        <v>111</v>
      </c>
      <c r="I501">
        <v>8</v>
      </c>
      <c r="J501" t="s">
        <v>150</v>
      </c>
      <c r="K501">
        <v>1</v>
      </c>
      <c r="L501" s="3">
        <v>7499</v>
      </c>
      <c r="M501">
        <v>10</v>
      </c>
      <c r="N501" s="3">
        <v>6750</v>
      </c>
      <c r="O501" s="3">
        <v>6750</v>
      </c>
      <c r="P501" t="s">
        <v>81</v>
      </c>
      <c r="Q501" t="s">
        <v>51</v>
      </c>
      <c r="R501" t="s">
        <v>36</v>
      </c>
      <c r="S501" t="s">
        <v>191</v>
      </c>
      <c r="T501" t="s">
        <v>332</v>
      </c>
      <c r="U501" t="s">
        <v>54</v>
      </c>
      <c r="V501" t="s">
        <v>40</v>
      </c>
      <c r="W501">
        <v>4.0999999999999996</v>
      </c>
      <c r="X501" t="s">
        <v>62</v>
      </c>
      <c r="Y501" t="s">
        <v>55</v>
      </c>
      <c r="Z501">
        <v>2</v>
      </c>
    </row>
    <row r="502" spans="1:26">
      <c r="A502" t="s">
        <v>1169</v>
      </c>
      <c r="B502" t="s">
        <v>1170</v>
      </c>
      <c r="C502" t="s">
        <v>28</v>
      </c>
      <c r="D502" t="s">
        <v>29</v>
      </c>
      <c r="E502" s="1">
        <v>43731</v>
      </c>
      <c r="F502" t="s">
        <v>30</v>
      </c>
      <c r="G502" t="s">
        <v>110</v>
      </c>
      <c r="H502" t="s">
        <v>111</v>
      </c>
      <c r="I502">
        <v>12</v>
      </c>
      <c r="J502" t="s">
        <v>150</v>
      </c>
      <c r="K502">
        <v>1</v>
      </c>
      <c r="L502" s="3">
        <v>4299</v>
      </c>
      <c r="M502">
        <v>20</v>
      </c>
      <c r="N502" s="3">
        <v>3440</v>
      </c>
      <c r="O502" s="3">
        <v>3440</v>
      </c>
      <c r="P502" t="s">
        <v>74</v>
      </c>
      <c r="Q502" t="s">
        <v>82</v>
      </c>
      <c r="R502" t="s">
        <v>36</v>
      </c>
      <c r="S502" t="s">
        <v>297</v>
      </c>
      <c r="T502" t="s">
        <v>298</v>
      </c>
      <c r="U502" t="s">
        <v>54</v>
      </c>
      <c r="V502" t="s">
        <v>40</v>
      </c>
      <c r="W502">
        <v>3.8</v>
      </c>
      <c r="X502" t="s">
        <v>41</v>
      </c>
      <c r="Y502" t="s">
        <v>42</v>
      </c>
      <c r="Z502">
        <v>2</v>
      </c>
    </row>
    <row r="503" spans="1:26">
      <c r="A503" t="s">
        <v>1171</v>
      </c>
      <c r="B503" t="s">
        <v>1172</v>
      </c>
      <c r="C503" t="s">
        <v>28</v>
      </c>
      <c r="D503" t="s">
        <v>29</v>
      </c>
      <c r="E503" s="1">
        <v>43732</v>
      </c>
      <c r="F503" t="s">
        <v>30</v>
      </c>
      <c r="G503" t="s">
        <v>145</v>
      </c>
      <c r="H503" t="s">
        <v>59</v>
      </c>
      <c r="I503">
        <v>9</v>
      </c>
      <c r="J503" t="s">
        <v>33</v>
      </c>
      <c r="K503">
        <v>1</v>
      </c>
      <c r="L503" s="3">
        <v>9199</v>
      </c>
      <c r="M503">
        <v>5</v>
      </c>
      <c r="N503" s="3">
        <v>8740</v>
      </c>
      <c r="O503" s="3">
        <v>8740</v>
      </c>
      <c r="P503" t="s">
        <v>50</v>
      </c>
      <c r="Q503" t="s">
        <v>35</v>
      </c>
      <c r="R503" t="s">
        <v>36</v>
      </c>
      <c r="S503" t="s">
        <v>175</v>
      </c>
      <c r="T503" t="s">
        <v>437</v>
      </c>
      <c r="U503" t="s">
        <v>39</v>
      </c>
      <c r="V503" t="s">
        <v>40</v>
      </c>
      <c r="W503">
        <v>4.0999999999999996</v>
      </c>
      <c r="X503" t="s">
        <v>106</v>
      </c>
      <c r="Y503" t="s">
        <v>42</v>
      </c>
      <c r="Z503">
        <v>2</v>
      </c>
    </row>
    <row r="504" spans="1:26">
      <c r="A504" t="s">
        <v>1173</v>
      </c>
      <c r="B504" t="s">
        <v>874</v>
      </c>
      <c r="C504" t="s">
        <v>28</v>
      </c>
      <c r="D504" t="s">
        <v>29</v>
      </c>
      <c r="E504" s="1">
        <v>43735</v>
      </c>
      <c r="F504" t="s">
        <v>79</v>
      </c>
      <c r="G504" t="s">
        <v>80</v>
      </c>
      <c r="H504" t="s">
        <v>59</v>
      </c>
      <c r="I504">
        <v>10</v>
      </c>
      <c r="J504" t="s">
        <v>88</v>
      </c>
      <c r="K504">
        <v>1</v>
      </c>
      <c r="L504" s="3">
        <v>7399</v>
      </c>
      <c r="M504">
        <v>35</v>
      </c>
      <c r="N504" s="3">
        <v>4810</v>
      </c>
      <c r="O504" s="3">
        <v>4810</v>
      </c>
      <c r="P504" t="s">
        <v>81</v>
      </c>
      <c r="Q504" t="s">
        <v>51</v>
      </c>
      <c r="R504" t="s">
        <v>36</v>
      </c>
      <c r="S504" t="s">
        <v>112</v>
      </c>
      <c r="T504" t="s">
        <v>113</v>
      </c>
      <c r="U504" t="s">
        <v>124</v>
      </c>
      <c r="V504" t="s">
        <v>315</v>
      </c>
      <c r="W504">
        <v>4.0999999999999996</v>
      </c>
      <c r="X504" t="s">
        <v>41</v>
      </c>
      <c r="Y504" t="s">
        <v>55</v>
      </c>
      <c r="Z504">
        <v>3</v>
      </c>
    </row>
    <row r="505" spans="1:26">
      <c r="A505" t="s">
        <v>1174</v>
      </c>
      <c r="B505" t="s">
        <v>860</v>
      </c>
      <c r="C505" t="s">
        <v>45</v>
      </c>
      <c r="D505" t="s">
        <v>95</v>
      </c>
      <c r="E505" s="1">
        <v>43735</v>
      </c>
      <c r="F505" t="s">
        <v>96</v>
      </c>
      <c r="G505" t="s">
        <v>228</v>
      </c>
      <c r="H505" t="s">
        <v>59</v>
      </c>
      <c r="I505">
        <v>10</v>
      </c>
      <c r="J505" t="s">
        <v>150</v>
      </c>
      <c r="K505">
        <v>1</v>
      </c>
      <c r="L505" s="3">
        <v>9799</v>
      </c>
      <c r="M505">
        <v>25</v>
      </c>
      <c r="N505" s="3">
        <v>7350</v>
      </c>
      <c r="O505" s="3">
        <v>7350</v>
      </c>
      <c r="P505" t="s">
        <v>81</v>
      </c>
      <c r="Q505" t="s">
        <v>51</v>
      </c>
      <c r="R505" t="s">
        <v>36</v>
      </c>
      <c r="S505" t="s">
        <v>164</v>
      </c>
      <c r="T505" t="s">
        <v>409</v>
      </c>
      <c r="U505" t="s">
        <v>54</v>
      </c>
      <c r="V505" t="s">
        <v>315</v>
      </c>
      <c r="W505">
        <v>4</v>
      </c>
      <c r="X505" t="s">
        <v>41</v>
      </c>
      <c r="Y505" t="s">
        <v>42</v>
      </c>
      <c r="Z505">
        <v>2</v>
      </c>
    </row>
    <row r="506" spans="1:26">
      <c r="A506" t="s">
        <v>1175</v>
      </c>
      <c r="B506" t="s">
        <v>1085</v>
      </c>
      <c r="C506" t="s">
        <v>94</v>
      </c>
      <c r="D506" t="s">
        <v>46</v>
      </c>
      <c r="E506" s="1">
        <v>43736</v>
      </c>
      <c r="F506" t="s">
        <v>65</v>
      </c>
      <c r="G506" t="s">
        <v>72</v>
      </c>
      <c r="H506" t="s">
        <v>59</v>
      </c>
      <c r="I506">
        <v>9</v>
      </c>
      <c r="J506" t="s">
        <v>73</v>
      </c>
      <c r="K506">
        <v>3</v>
      </c>
      <c r="L506" s="3">
        <v>5399</v>
      </c>
      <c r="M506">
        <v>10</v>
      </c>
      <c r="N506" s="3">
        <v>4860</v>
      </c>
      <c r="O506" s="3">
        <v>14580</v>
      </c>
      <c r="P506" t="s">
        <v>81</v>
      </c>
      <c r="Q506" t="s">
        <v>51</v>
      </c>
      <c r="R506" t="s">
        <v>36</v>
      </c>
      <c r="S506" t="s">
        <v>186</v>
      </c>
      <c r="T506" t="s">
        <v>222</v>
      </c>
      <c r="U506" t="s">
        <v>91</v>
      </c>
      <c r="V506" t="s">
        <v>315</v>
      </c>
      <c r="W506">
        <v>4.2</v>
      </c>
      <c r="X506" t="s">
        <v>106</v>
      </c>
      <c r="Y506" t="s">
        <v>42</v>
      </c>
      <c r="Z506">
        <v>5</v>
      </c>
    </row>
    <row r="507" spans="1:26">
      <c r="A507" t="s">
        <v>1176</v>
      </c>
      <c r="B507" t="s">
        <v>1177</v>
      </c>
      <c r="C507" t="s">
        <v>28</v>
      </c>
      <c r="D507" t="s">
        <v>29</v>
      </c>
      <c r="E507" s="1">
        <v>43736</v>
      </c>
      <c r="F507" t="s">
        <v>86</v>
      </c>
      <c r="G507" t="s">
        <v>312</v>
      </c>
      <c r="H507" t="s">
        <v>59</v>
      </c>
      <c r="I507">
        <v>8</v>
      </c>
      <c r="J507" t="s">
        <v>98</v>
      </c>
      <c r="K507">
        <v>1</v>
      </c>
      <c r="L507" s="3">
        <v>9399</v>
      </c>
      <c r="M507">
        <v>20</v>
      </c>
      <c r="N507" s="3">
        <v>7520</v>
      </c>
      <c r="O507" s="3">
        <v>7520</v>
      </c>
      <c r="P507" t="s">
        <v>81</v>
      </c>
      <c r="Q507" t="s">
        <v>51</v>
      </c>
      <c r="R507" t="s">
        <v>36</v>
      </c>
      <c r="S507" t="s">
        <v>238</v>
      </c>
      <c r="T507" t="s">
        <v>498</v>
      </c>
      <c r="U507" t="s">
        <v>39</v>
      </c>
      <c r="V507" t="s">
        <v>40</v>
      </c>
      <c r="W507">
        <v>3.2</v>
      </c>
      <c r="X507" t="s">
        <v>41</v>
      </c>
      <c r="Y507" t="s">
        <v>55</v>
      </c>
      <c r="Z507">
        <v>1</v>
      </c>
    </row>
    <row r="508" spans="1:26">
      <c r="A508" t="s">
        <v>1178</v>
      </c>
      <c r="B508" t="s">
        <v>1179</v>
      </c>
      <c r="C508" t="s">
        <v>45</v>
      </c>
      <c r="D508" t="s">
        <v>46</v>
      </c>
      <c r="E508" s="1">
        <v>43739</v>
      </c>
      <c r="F508" t="s">
        <v>65</v>
      </c>
      <c r="G508" t="s">
        <v>365</v>
      </c>
      <c r="H508" t="s">
        <v>49</v>
      </c>
      <c r="I508">
        <v>10</v>
      </c>
      <c r="J508" t="s">
        <v>88</v>
      </c>
      <c r="K508">
        <v>1</v>
      </c>
      <c r="L508" s="3">
        <v>2799</v>
      </c>
      <c r="M508">
        <v>25</v>
      </c>
      <c r="N508" s="3">
        <v>2100</v>
      </c>
      <c r="O508" s="3">
        <v>2100</v>
      </c>
      <c r="P508" t="s">
        <v>34</v>
      </c>
      <c r="Q508" t="s">
        <v>51</v>
      </c>
      <c r="R508" t="s">
        <v>36</v>
      </c>
      <c r="S508" t="s">
        <v>160</v>
      </c>
      <c r="T508" t="s">
        <v>161</v>
      </c>
      <c r="U508" t="s">
        <v>39</v>
      </c>
      <c r="V508" t="s">
        <v>40</v>
      </c>
      <c r="W508">
        <v>3.8</v>
      </c>
      <c r="X508" t="s">
        <v>41</v>
      </c>
      <c r="Y508" t="s">
        <v>42</v>
      </c>
      <c r="Z508">
        <v>3</v>
      </c>
    </row>
    <row r="509" spans="1:26">
      <c r="A509" t="s">
        <v>1180</v>
      </c>
      <c r="B509" t="s">
        <v>1181</v>
      </c>
      <c r="C509" t="s">
        <v>94</v>
      </c>
      <c r="D509" t="s">
        <v>29</v>
      </c>
      <c r="E509" s="1">
        <v>43739</v>
      </c>
      <c r="F509" t="s">
        <v>86</v>
      </c>
      <c r="G509" t="s">
        <v>87</v>
      </c>
      <c r="H509" t="s">
        <v>59</v>
      </c>
      <c r="I509">
        <v>7</v>
      </c>
      <c r="J509" t="s">
        <v>88</v>
      </c>
      <c r="K509">
        <v>2</v>
      </c>
      <c r="L509" s="3">
        <v>6299</v>
      </c>
      <c r="M509">
        <v>20</v>
      </c>
      <c r="N509" s="3">
        <v>5040</v>
      </c>
      <c r="O509" s="3">
        <v>10080</v>
      </c>
      <c r="P509" t="s">
        <v>34</v>
      </c>
      <c r="Q509" t="s">
        <v>51</v>
      </c>
      <c r="R509" t="s">
        <v>36</v>
      </c>
      <c r="S509" t="s">
        <v>286</v>
      </c>
      <c r="T509" t="s">
        <v>366</v>
      </c>
      <c r="U509" t="s">
        <v>91</v>
      </c>
      <c r="V509" t="s">
        <v>40</v>
      </c>
      <c r="W509">
        <v>4.9000000000000004</v>
      </c>
      <c r="X509" t="s">
        <v>41</v>
      </c>
      <c r="Y509" t="s">
        <v>42</v>
      </c>
      <c r="Z509">
        <v>4</v>
      </c>
    </row>
    <row r="510" spans="1:26">
      <c r="A510" t="s">
        <v>1182</v>
      </c>
      <c r="B510" t="s">
        <v>411</v>
      </c>
      <c r="C510" t="s">
        <v>28</v>
      </c>
      <c r="D510" t="s">
        <v>109</v>
      </c>
      <c r="E510" s="1">
        <v>43740</v>
      </c>
      <c r="F510" t="s">
        <v>79</v>
      </c>
      <c r="G510" t="s">
        <v>517</v>
      </c>
      <c r="H510" t="s">
        <v>59</v>
      </c>
      <c r="I510">
        <v>8</v>
      </c>
      <c r="J510" t="s">
        <v>98</v>
      </c>
      <c r="K510">
        <v>3</v>
      </c>
      <c r="L510" s="3">
        <v>5199</v>
      </c>
      <c r="M510">
        <v>20</v>
      </c>
      <c r="N510" s="3">
        <v>4160</v>
      </c>
      <c r="O510" s="3">
        <v>12480</v>
      </c>
      <c r="P510" t="s">
        <v>34</v>
      </c>
      <c r="Q510" t="s">
        <v>82</v>
      </c>
      <c r="R510" t="s">
        <v>36</v>
      </c>
      <c r="S510" t="s">
        <v>117</v>
      </c>
      <c r="T510" t="s">
        <v>253</v>
      </c>
      <c r="U510" t="s">
        <v>61</v>
      </c>
      <c r="V510" t="s">
        <v>315</v>
      </c>
      <c r="W510">
        <v>5</v>
      </c>
      <c r="X510" t="s">
        <v>41</v>
      </c>
      <c r="Y510" t="s">
        <v>55</v>
      </c>
      <c r="Z510">
        <v>2</v>
      </c>
    </row>
    <row r="511" spans="1:26">
      <c r="A511" t="s">
        <v>1183</v>
      </c>
      <c r="B511" t="s">
        <v>554</v>
      </c>
      <c r="C511" t="s">
        <v>45</v>
      </c>
      <c r="D511" t="s">
        <v>29</v>
      </c>
      <c r="E511" s="1">
        <v>43740</v>
      </c>
      <c r="F511" t="s">
        <v>65</v>
      </c>
      <c r="G511" t="s">
        <v>268</v>
      </c>
      <c r="H511" t="s">
        <v>128</v>
      </c>
      <c r="I511">
        <v>7</v>
      </c>
      <c r="J511" t="s">
        <v>150</v>
      </c>
      <c r="K511">
        <v>1</v>
      </c>
      <c r="L511" s="3">
        <v>4599</v>
      </c>
      <c r="M511">
        <v>20</v>
      </c>
      <c r="N511" s="3">
        <v>3680</v>
      </c>
      <c r="O511" s="3">
        <v>3680</v>
      </c>
      <c r="P511" t="s">
        <v>50</v>
      </c>
      <c r="Q511" t="s">
        <v>35</v>
      </c>
      <c r="R511" t="s">
        <v>36</v>
      </c>
      <c r="S511" t="s">
        <v>358</v>
      </c>
      <c r="T511" t="s">
        <v>805</v>
      </c>
      <c r="U511" t="s">
        <v>54</v>
      </c>
      <c r="V511" t="s">
        <v>315</v>
      </c>
      <c r="W511">
        <v>4.8</v>
      </c>
      <c r="X511" t="s">
        <v>41</v>
      </c>
      <c r="Y511" t="s">
        <v>42</v>
      </c>
      <c r="Z511">
        <v>4</v>
      </c>
    </row>
    <row r="512" spans="1:26">
      <c r="A512" t="s">
        <v>1184</v>
      </c>
      <c r="B512" t="s">
        <v>693</v>
      </c>
      <c r="C512" t="s">
        <v>28</v>
      </c>
      <c r="D512" t="s">
        <v>29</v>
      </c>
      <c r="E512" s="1">
        <v>43741</v>
      </c>
      <c r="F512" t="s">
        <v>79</v>
      </c>
      <c r="G512" t="s">
        <v>127</v>
      </c>
      <c r="H512" t="s">
        <v>128</v>
      </c>
      <c r="I512">
        <v>8</v>
      </c>
      <c r="J512" t="s">
        <v>73</v>
      </c>
      <c r="K512">
        <v>1</v>
      </c>
      <c r="L512" s="3">
        <v>3399</v>
      </c>
      <c r="M512">
        <v>30</v>
      </c>
      <c r="N512" s="3">
        <v>2380</v>
      </c>
      <c r="O512" s="3">
        <v>2380</v>
      </c>
      <c r="P512" t="s">
        <v>81</v>
      </c>
      <c r="Q512" t="s">
        <v>35</v>
      </c>
      <c r="R512" t="s">
        <v>36</v>
      </c>
      <c r="S512" t="s">
        <v>384</v>
      </c>
      <c r="T512" t="s">
        <v>444</v>
      </c>
      <c r="U512" t="s">
        <v>39</v>
      </c>
      <c r="V512" t="s">
        <v>315</v>
      </c>
      <c r="W512">
        <v>3.5</v>
      </c>
      <c r="X512" t="s">
        <v>62</v>
      </c>
      <c r="Y512" t="s">
        <v>55</v>
      </c>
      <c r="Z512">
        <v>2</v>
      </c>
    </row>
    <row r="513" spans="1:26">
      <c r="A513" t="s">
        <v>1185</v>
      </c>
      <c r="B513" t="s">
        <v>1186</v>
      </c>
      <c r="C513" t="s">
        <v>45</v>
      </c>
      <c r="D513" t="s">
        <v>46</v>
      </c>
      <c r="E513" s="1">
        <v>43743</v>
      </c>
      <c r="F513" t="s">
        <v>96</v>
      </c>
      <c r="G513" t="s">
        <v>228</v>
      </c>
      <c r="H513" t="s">
        <v>59</v>
      </c>
      <c r="I513">
        <v>7</v>
      </c>
      <c r="J513" t="s">
        <v>33</v>
      </c>
      <c r="K513">
        <v>1</v>
      </c>
      <c r="L513" s="3">
        <v>5899</v>
      </c>
      <c r="M513">
        <v>0</v>
      </c>
      <c r="N513" s="3">
        <v>5900</v>
      </c>
      <c r="O513" s="3">
        <v>5900</v>
      </c>
      <c r="P513" t="s">
        <v>34</v>
      </c>
      <c r="Q513" t="s">
        <v>35</v>
      </c>
      <c r="R513" t="s">
        <v>36</v>
      </c>
      <c r="S513" t="s">
        <v>117</v>
      </c>
      <c r="T513" t="s">
        <v>751</v>
      </c>
      <c r="U513" t="s">
        <v>54</v>
      </c>
      <c r="V513" t="s">
        <v>40</v>
      </c>
      <c r="W513">
        <v>4.5999999999999996</v>
      </c>
      <c r="X513" t="s">
        <v>41</v>
      </c>
      <c r="Y513" t="s">
        <v>42</v>
      </c>
      <c r="Z513">
        <v>2</v>
      </c>
    </row>
    <row r="514" spans="1:26">
      <c r="A514" t="s">
        <v>1187</v>
      </c>
      <c r="B514" t="s">
        <v>827</v>
      </c>
      <c r="C514" t="s">
        <v>45</v>
      </c>
      <c r="D514" t="s">
        <v>29</v>
      </c>
      <c r="E514" s="1">
        <v>43744</v>
      </c>
      <c r="F514" t="s">
        <v>86</v>
      </c>
      <c r="G514" t="s">
        <v>285</v>
      </c>
      <c r="H514" t="s">
        <v>111</v>
      </c>
      <c r="I514">
        <v>7</v>
      </c>
      <c r="J514" t="s">
        <v>150</v>
      </c>
      <c r="K514">
        <v>1</v>
      </c>
      <c r="L514" s="3">
        <v>6299</v>
      </c>
      <c r="M514">
        <v>25</v>
      </c>
      <c r="N514" s="3">
        <v>4720</v>
      </c>
      <c r="O514" s="3">
        <v>4720</v>
      </c>
      <c r="P514" t="s">
        <v>81</v>
      </c>
      <c r="Q514" t="s">
        <v>82</v>
      </c>
      <c r="R514" t="s">
        <v>36</v>
      </c>
      <c r="S514" t="s">
        <v>238</v>
      </c>
      <c r="T514" t="s">
        <v>377</v>
      </c>
      <c r="U514" t="s">
        <v>54</v>
      </c>
      <c r="V514" t="s">
        <v>315</v>
      </c>
      <c r="W514">
        <v>2.4</v>
      </c>
      <c r="X514" t="s">
        <v>62</v>
      </c>
      <c r="Y514" t="s">
        <v>42</v>
      </c>
      <c r="Z514">
        <v>4</v>
      </c>
    </row>
    <row r="515" spans="1:26">
      <c r="A515" t="s">
        <v>1188</v>
      </c>
      <c r="B515" t="s">
        <v>1189</v>
      </c>
      <c r="C515" t="s">
        <v>28</v>
      </c>
      <c r="D515" t="s">
        <v>46</v>
      </c>
      <c r="E515" s="1">
        <v>43744</v>
      </c>
      <c r="F515" t="s">
        <v>79</v>
      </c>
      <c r="G515" t="s">
        <v>127</v>
      </c>
      <c r="H515" t="s">
        <v>128</v>
      </c>
      <c r="I515">
        <v>9</v>
      </c>
      <c r="J515" t="s">
        <v>73</v>
      </c>
      <c r="K515">
        <v>1</v>
      </c>
      <c r="L515" s="3">
        <v>8399</v>
      </c>
      <c r="M515">
        <v>25</v>
      </c>
      <c r="N515" s="3">
        <v>6300</v>
      </c>
      <c r="O515" s="3">
        <v>6300</v>
      </c>
      <c r="P515" t="s">
        <v>50</v>
      </c>
      <c r="Q515" t="s">
        <v>82</v>
      </c>
      <c r="R515" t="s">
        <v>36</v>
      </c>
      <c r="S515" t="s">
        <v>168</v>
      </c>
      <c r="T515" t="s">
        <v>714</v>
      </c>
      <c r="U515" t="s">
        <v>91</v>
      </c>
      <c r="V515" t="s">
        <v>40</v>
      </c>
      <c r="W515">
        <v>4.4000000000000004</v>
      </c>
      <c r="X515" t="s">
        <v>41</v>
      </c>
      <c r="Y515" t="s">
        <v>55</v>
      </c>
      <c r="Z515">
        <v>2</v>
      </c>
    </row>
    <row r="516" spans="1:26">
      <c r="A516" t="s">
        <v>1190</v>
      </c>
      <c r="B516" t="s">
        <v>1191</v>
      </c>
      <c r="C516" t="s">
        <v>28</v>
      </c>
      <c r="D516" t="s">
        <v>95</v>
      </c>
      <c r="E516" s="1">
        <v>43745</v>
      </c>
      <c r="F516" t="s">
        <v>30</v>
      </c>
      <c r="G516" t="s">
        <v>347</v>
      </c>
      <c r="H516" t="s">
        <v>49</v>
      </c>
      <c r="I516">
        <v>8</v>
      </c>
      <c r="J516" t="s">
        <v>73</v>
      </c>
      <c r="K516">
        <v>2</v>
      </c>
      <c r="L516" s="3">
        <v>4299</v>
      </c>
      <c r="M516">
        <v>20</v>
      </c>
      <c r="N516" s="3">
        <v>3440</v>
      </c>
      <c r="O516" s="3">
        <v>6880</v>
      </c>
      <c r="P516" t="s">
        <v>81</v>
      </c>
      <c r="Q516" t="s">
        <v>82</v>
      </c>
      <c r="R516" t="s">
        <v>36</v>
      </c>
      <c r="S516" t="s">
        <v>418</v>
      </c>
      <c r="T516" t="s">
        <v>419</v>
      </c>
      <c r="U516" t="s">
        <v>39</v>
      </c>
      <c r="V516" t="s">
        <v>40</v>
      </c>
      <c r="W516">
        <v>3.9</v>
      </c>
      <c r="X516" t="s">
        <v>106</v>
      </c>
      <c r="Y516" t="s">
        <v>42</v>
      </c>
      <c r="Z516">
        <v>4</v>
      </c>
    </row>
    <row r="517" spans="1:26">
      <c r="A517" t="s">
        <v>1192</v>
      </c>
      <c r="B517" t="s">
        <v>1193</v>
      </c>
      <c r="C517" t="s">
        <v>28</v>
      </c>
      <c r="D517" t="s">
        <v>29</v>
      </c>
      <c r="E517" s="1">
        <v>43747</v>
      </c>
      <c r="F517" t="s">
        <v>79</v>
      </c>
      <c r="G517" t="s">
        <v>301</v>
      </c>
      <c r="H517" t="s">
        <v>49</v>
      </c>
      <c r="I517">
        <v>8</v>
      </c>
      <c r="J517" t="s">
        <v>98</v>
      </c>
      <c r="K517">
        <v>1</v>
      </c>
      <c r="L517" s="3">
        <v>8699</v>
      </c>
      <c r="M517">
        <v>25</v>
      </c>
      <c r="N517" s="3">
        <v>6520</v>
      </c>
      <c r="O517" s="3">
        <v>6520</v>
      </c>
      <c r="P517" t="s">
        <v>74</v>
      </c>
      <c r="Q517" t="s">
        <v>51</v>
      </c>
      <c r="R517" t="s">
        <v>36</v>
      </c>
      <c r="S517" t="s">
        <v>99</v>
      </c>
      <c r="T517" t="s">
        <v>759</v>
      </c>
      <c r="U517" t="s">
        <v>91</v>
      </c>
      <c r="V517" t="s">
        <v>40</v>
      </c>
      <c r="W517">
        <v>5</v>
      </c>
      <c r="X517" t="s">
        <v>41</v>
      </c>
      <c r="Y517" t="s">
        <v>42</v>
      </c>
      <c r="Z517">
        <v>6</v>
      </c>
    </row>
    <row r="518" spans="1:26">
      <c r="A518" t="s">
        <v>1194</v>
      </c>
      <c r="B518" t="s">
        <v>1195</v>
      </c>
      <c r="C518" t="s">
        <v>45</v>
      </c>
      <c r="D518" t="s">
        <v>46</v>
      </c>
      <c r="E518" s="1">
        <v>43747</v>
      </c>
      <c r="F518" t="s">
        <v>30</v>
      </c>
      <c r="G518" t="s">
        <v>214</v>
      </c>
      <c r="H518" t="s">
        <v>128</v>
      </c>
      <c r="I518">
        <v>12</v>
      </c>
      <c r="J518" t="s">
        <v>73</v>
      </c>
      <c r="K518">
        <v>1</v>
      </c>
      <c r="L518" s="3">
        <v>3699</v>
      </c>
      <c r="M518">
        <v>15</v>
      </c>
      <c r="N518" s="3">
        <v>3140</v>
      </c>
      <c r="O518" s="3">
        <v>3140</v>
      </c>
      <c r="P518" t="s">
        <v>74</v>
      </c>
      <c r="Q518" t="s">
        <v>82</v>
      </c>
      <c r="R518" t="s">
        <v>36</v>
      </c>
      <c r="S518" t="s">
        <v>238</v>
      </c>
      <c r="T518" t="s">
        <v>498</v>
      </c>
      <c r="U518" t="s">
        <v>54</v>
      </c>
      <c r="V518" t="s">
        <v>40</v>
      </c>
      <c r="W518">
        <v>4.2</v>
      </c>
      <c r="X518" t="s">
        <v>41</v>
      </c>
      <c r="Y518" t="s">
        <v>42</v>
      </c>
      <c r="Z518">
        <v>3</v>
      </c>
    </row>
    <row r="519" spans="1:26">
      <c r="A519" t="s">
        <v>1196</v>
      </c>
      <c r="B519" t="s">
        <v>1197</v>
      </c>
      <c r="C519" t="s">
        <v>45</v>
      </c>
      <c r="D519" t="s">
        <v>29</v>
      </c>
      <c r="E519" s="1">
        <v>43748</v>
      </c>
      <c r="F519" t="s">
        <v>47</v>
      </c>
      <c r="G519" t="s">
        <v>140</v>
      </c>
      <c r="H519" t="s">
        <v>128</v>
      </c>
      <c r="I519">
        <v>8</v>
      </c>
      <c r="J519" t="s">
        <v>33</v>
      </c>
      <c r="K519">
        <v>1</v>
      </c>
      <c r="L519" s="3">
        <v>8599</v>
      </c>
      <c r="M519">
        <v>25</v>
      </c>
      <c r="N519" s="3">
        <v>6450</v>
      </c>
      <c r="O519" s="3">
        <v>6450</v>
      </c>
      <c r="P519" t="s">
        <v>81</v>
      </c>
      <c r="Q519" t="s">
        <v>51</v>
      </c>
      <c r="R519" t="s">
        <v>36</v>
      </c>
      <c r="S519" t="s">
        <v>89</v>
      </c>
      <c r="T519" t="s">
        <v>425</v>
      </c>
      <c r="U519" t="s">
        <v>39</v>
      </c>
      <c r="V519" t="s">
        <v>40</v>
      </c>
      <c r="W519">
        <v>3.8</v>
      </c>
      <c r="X519" t="s">
        <v>106</v>
      </c>
      <c r="Y519" t="s">
        <v>55</v>
      </c>
      <c r="Z519">
        <v>2</v>
      </c>
    </row>
    <row r="520" spans="1:26">
      <c r="A520" t="s">
        <v>1198</v>
      </c>
      <c r="B520" t="s">
        <v>1199</v>
      </c>
      <c r="C520" t="s">
        <v>45</v>
      </c>
      <c r="D520" t="s">
        <v>46</v>
      </c>
      <c r="E520" s="1">
        <v>43749</v>
      </c>
      <c r="F520" t="s">
        <v>79</v>
      </c>
      <c r="G520" t="s">
        <v>517</v>
      </c>
      <c r="H520" t="s">
        <v>59</v>
      </c>
      <c r="I520">
        <v>10</v>
      </c>
      <c r="J520" t="s">
        <v>73</v>
      </c>
      <c r="K520">
        <v>2</v>
      </c>
      <c r="L520" s="3">
        <v>7899</v>
      </c>
      <c r="M520">
        <v>10</v>
      </c>
      <c r="N520" s="3">
        <v>7110</v>
      </c>
      <c r="O520" s="3">
        <v>14220</v>
      </c>
      <c r="P520" t="s">
        <v>74</v>
      </c>
      <c r="Q520" t="s">
        <v>35</v>
      </c>
      <c r="R520" t="s">
        <v>36</v>
      </c>
      <c r="S520" t="s">
        <v>122</v>
      </c>
      <c r="T520" t="s">
        <v>304</v>
      </c>
      <c r="U520" t="s">
        <v>54</v>
      </c>
      <c r="V520" t="s">
        <v>40</v>
      </c>
      <c r="W520">
        <v>3.7</v>
      </c>
      <c r="X520" t="s">
        <v>41</v>
      </c>
      <c r="Y520" t="s">
        <v>55</v>
      </c>
      <c r="Z520">
        <v>3</v>
      </c>
    </row>
    <row r="521" spans="1:26">
      <c r="A521" t="s">
        <v>1200</v>
      </c>
      <c r="B521" t="s">
        <v>1201</v>
      </c>
      <c r="C521" t="s">
        <v>28</v>
      </c>
      <c r="D521" t="s">
        <v>95</v>
      </c>
      <c r="E521" s="1">
        <v>43749</v>
      </c>
      <c r="F521" t="s">
        <v>86</v>
      </c>
      <c r="G521" t="s">
        <v>190</v>
      </c>
      <c r="H521" t="s">
        <v>128</v>
      </c>
      <c r="I521">
        <v>10</v>
      </c>
      <c r="J521" t="s">
        <v>73</v>
      </c>
      <c r="K521">
        <v>1</v>
      </c>
      <c r="L521" s="3">
        <v>4999</v>
      </c>
      <c r="M521">
        <v>20</v>
      </c>
      <c r="N521" s="3">
        <v>4000</v>
      </c>
      <c r="O521" s="3">
        <v>4000</v>
      </c>
      <c r="P521" t="s">
        <v>50</v>
      </c>
      <c r="Q521" t="s">
        <v>82</v>
      </c>
      <c r="R521" t="s">
        <v>36</v>
      </c>
      <c r="S521" t="s">
        <v>238</v>
      </c>
      <c r="T521" t="s">
        <v>239</v>
      </c>
      <c r="U521" t="s">
        <v>39</v>
      </c>
      <c r="V521" t="s">
        <v>40</v>
      </c>
      <c r="W521">
        <v>4.5</v>
      </c>
      <c r="X521" t="s">
        <v>62</v>
      </c>
      <c r="Y521" t="s">
        <v>42</v>
      </c>
      <c r="Z521">
        <v>4</v>
      </c>
    </row>
    <row r="522" spans="1:26">
      <c r="A522" t="s">
        <v>1202</v>
      </c>
      <c r="B522" t="s">
        <v>1203</v>
      </c>
      <c r="C522" t="s">
        <v>28</v>
      </c>
      <c r="D522" t="s">
        <v>103</v>
      </c>
      <c r="E522" s="1">
        <v>43750</v>
      </c>
      <c r="F522" t="s">
        <v>65</v>
      </c>
      <c r="G522" t="s">
        <v>66</v>
      </c>
      <c r="H522" t="s">
        <v>59</v>
      </c>
      <c r="I522">
        <v>6</v>
      </c>
      <c r="J522" t="s">
        <v>73</v>
      </c>
      <c r="K522">
        <v>1</v>
      </c>
      <c r="L522" s="3">
        <v>8099</v>
      </c>
      <c r="M522">
        <v>20</v>
      </c>
      <c r="N522" s="3">
        <v>6480</v>
      </c>
      <c r="O522" s="3">
        <v>6480</v>
      </c>
      <c r="P522" t="s">
        <v>74</v>
      </c>
      <c r="Q522" t="s">
        <v>35</v>
      </c>
      <c r="R522" t="s">
        <v>36</v>
      </c>
      <c r="S522" t="s">
        <v>182</v>
      </c>
      <c r="T522" t="s">
        <v>503</v>
      </c>
      <c r="U522" t="s">
        <v>61</v>
      </c>
      <c r="V522" t="s">
        <v>40</v>
      </c>
      <c r="W522">
        <v>4.7</v>
      </c>
      <c r="X522" t="s">
        <v>106</v>
      </c>
      <c r="Y522" t="s">
        <v>42</v>
      </c>
      <c r="Z522">
        <v>5</v>
      </c>
    </row>
    <row r="523" spans="1:26">
      <c r="A523" t="s">
        <v>1204</v>
      </c>
      <c r="B523" t="s">
        <v>1205</v>
      </c>
      <c r="C523" t="s">
        <v>45</v>
      </c>
      <c r="D523" t="s">
        <v>103</v>
      </c>
      <c r="E523" s="1">
        <v>43750</v>
      </c>
      <c r="F523" t="s">
        <v>47</v>
      </c>
      <c r="G523" t="s">
        <v>402</v>
      </c>
      <c r="H523" t="s">
        <v>32</v>
      </c>
      <c r="I523">
        <v>9</v>
      </c>
      <c r="J523" t="s">
        <v>33</v>
      </c>
      <c r="K523">
        <v>1</v>
      </c>
      <c r="L523" s="3">
        <v>5099</v>
      </c>
      <c r="M523">
        <v>15</v>
      </c>
      <c r="N523" s="3">
        <v>4330</v>
      </c>
      <c r="O523" s="3">
        <v>4330</v>
      </c>
      <c r="P523" t="s">
        <v>34</v>
      </c>
      <c r="Q523" t="s">
        <v>51</v>
      </c>
      <c r="R523" t="s">
        <v>36</v>
      </c>
      <c r="S523" t="s">
        <v>186</v>
      </c>
      <c r="T523" t="s">
        <v>397</v>
      </c>
      <c r="U523" t="s">
        <v>54</v>
      </c>
      <c r="V523" t="s">
        <v>40</v>
      </c>
      <c r="W523">
        <v>5</v>
      </c>
      <c r="X523" t="s">
        <v>41</v>
      </c>
      <c r="Y523" t="s">
        <v>42</v>
      </c>
      <c r="Z523">
        <v>4</v>
      </c>
    </row>
    <row r="524" spans="1:26">
      <c r="A524" t="s">
        <v>1206</v>
      </c>
      <c r="B524" t="s">
        <v>1207</v>
      </c>
      <c r="C524" t="s">
        <v>45</v>
      </c>
      <c r="D524" t="s">
        <v>29</v>
      </c>
      <c r="E524" s="1">
        <v>43751</v>
      </c>
      <c r="F524" t="s">
        <v>65</v>
      </c>
      <c r="G524" t="s">
        <v>279</v>
      </c>
      <c r="H524" t="s">
        <v>111</v>
      </c>
      <c r="I524">
        <v>9</v>
      </c>
      <c r="J524" t="s">
        <v>98</v>
      </c>
      <c r="K524">
        <v>1</v>
      </c>
      <c r="L524" s="3">
        <v>4399</v>
      </c>
      <c r="M524">
        <v>10</v>
      </c>
      <c r="N524" s="3">
        <v>3960</v>
      </c>
      <c r="O524" s="3">
        <v>3960</v>
      </c>
      <c r="P524" t="s">
        <v>34</v>
      </c>
      <c r="Q524" t="s">
        <v>51</v>
      </c>
      <c r="R524" t="s">
        <v>36</v>
      </c>
      <c r="S524" t="s">
        <v>191</v>
      </c>
      <c r="T524" t="s">
        <v>572</v>
      </c>
      <c r="U524" t="s">
        <v>91</v>
      </c>
      <c r="V524" t="s">
        <v>40</v>
      </c>
      <c r="W524">
        <v>2.8</v>
      </c>
      <c r="X524" t="s">
        <v>41</v>
      </c>
      <c r="Y524" t="s">
        <v>42</v>
      </c>
      <c r="Z524">
        <v>4</v>
      </c>
    </row>
    <row r="525" spans="1:26">
      <c r="A525" t="s">
        <v>1208</v>
      </c>
      <c r="B525" t="s">
        <v>1027</v>
      </c>
      <c r="C525" t="s">
        <v>28</v>
      </c>
      <c r="D525" t="s">
        <v>95</v>
      </c>
      <c r="E525" s="1">
        <v>43753</v>
      </c>
      <c r="F525" t="s">
        <v>65</v>
      </c>
      <c r="G525" t="s">
        <v>72</v>
      </c>
      <c r="H525" t="s">
        <v>59</v>
      </c>
      <c r="I525">
        <v>6</v>
      </c>
      <c r="J525" t="s">
        <v>98</v>
      </c>
      <c r="K525">
        <v>3</v>
      </c>
      <c r="L525" s="3">
        <v>3199</v>
      </c>
      <c r="M525">
        <v>10</v>
      </c>
      <c r="N525" s="3">
        <v>2880</v>
      </c>
      <c r="O525" s="3">
        <v>8640</v>
      </c>
      <c r="P525" t="s">
        <v>34</v>
      </c>
      <c r="Q525" t="s">
        <v>51</v>
      </c>
      <c r="R525" t="s">
        <v>36</v>
      </c>
      <c r="S525" t="s">
        <v>338</v>
      </c>
      <c r="T525" t="s">
        <v>449</v>
      </c>
      <c r="U525" t="s">
        <v>39</v>
      </c>
      <c r="V525" t="s">
        <v>315</v>
      </c>
      <c r="W525">
        <v>3.2</v>
      </c>
      <c r="X525" t="s">
        <v>41</v>
      </c>
      <c r="Y525" t="s">
        <v>55</v>
      </c>
      <c r="Z525">
        <v>3</v>
      </c>
    </row>
    <row r="526" spans="1:26">
      <c r="A526" t="s">
        <v>1209</v>
      </c>
      <c r="B526" t="s">
        <v>1210</v>
      </c>
      <c r="C526" t="s">
        <v>45</v>
      </c>
      <c r="D526" t="s">
        <v>29</v>
      </c>
      <c r="E526" s="1">
        <v>43753</v>
      </c>
      <c r="F526" t="s">
        <v>30</v>
      </c>
      <c r="G526" t="s">
        <v>214</v>
      </c>
      <c r="H526" t="s">
        <v>128</v>
      </c>
      <c r="I526">
        <v>7</v>
      </c>
      <c r="J526" t="s">
        <v>73</v>
      </c>
      <c r="K526">
        <v>1</v>
      </c>
      <c r="L526" s="3">
        <v>4299</v>
      </c>
      <c r="M526">
        <v>30</v>
      </c>
      <c r="N526" s="3">
        <v>3010</v>
      </c>
      <c r="O526" s="3">
        <v>3010</v>
      </c>
      <c r="P526" t="s">
        <v>74</v>
      </c>
      <c r="Q526" t="s">
        <v>51</v>
      </c>
      <c r="R526" t="s">
        <v>36</v>
      </c>
      <c r="S526" t="s">
        <v>418</v>
      </c>
      <c r="T526" t="s">
        <v>613</v>
      </c>
      <c r="U526" t="s">
        <v>124</v>
      </c>
      <c r="V526" t="s">
        <v>40</v>
      </c>
      <c r="W526">
        <v>5</v>
      </c>
      <c r="X526" t="s">
        <v>41</v>
      </c>
      <c r="Y526" t="s">
        <v>42</v>
      </c>
      <c r="Z526">
        <v>2</v>
      </c>
    </row>
    <row r="527" spans="1:26">
      <c r="A527" t="s">
        <v>1211</v>
      </c>
      <c r="B527" t="s">
        <v>120</v>
      </c>
      <c r="C527" t="s">
        <v>45</v>
      </c>
      <c r="D527" t="s">
        <v>95</v>
      </c>
      <c r="E527" s="1">
        <v>43754</v>
      </c>
      <c r="F527" t="s">
        <v>30</v>
      </c>
      <c r="G527" t="s">
        <v>347</v>
      </c>
      <c r="H527" t="s">
        <v>49</v>
      </c>
      <c r="I527">
        <v>10</v>
      </c>
      <c r="J527" t="s">
        <v>73</v>
      </c>
      <c r="K527">
        <v>2</v>
      </c>
      <c r="L527" s="3">
        <v>6399</v>
      </c>
      <c r="M527">
        <v>15</v>
      </c>
      <c r="N527" s="3">
        <v>5440</v>
      </c>
      <c r="O527" s="3">
        <v>10880</v>
      </c>
      <c r="P527" t="s">
        <v>81</v>
      </c>
      <c r="Q527" t="s">
        <v>82</v>
      </c>
      <c r="R527" t="s">
        <v>36</v>
      </c>
      <c r="S527" t="s">
        <v>200</v>
      </c>
      <c r="T527" t="s">
        <v>219</v>
      </c>
      <c r="U527" t="s">
        <v>39</v>
      </c>
      <c r="V527" t="s">
        <v>315</v>
      </c>
      <c r="W527">
        <v>3</v>
      </c>
      <c r="X527" t="s">
        <v>41</v>
      </c>
      <c r="Y527" t="s">
        <v>42</v>
      </c>
      <c r="Z527">
        <v>2</v>
      </c>
    </row>
    <row r="528" spans="1:26">
      <c r="A528" t="s">
        <v>1212</v>
      </c>
      <c r="B528" t="s">
        <v>1213</v>
      </c>
      <c r="C528" t="s">
        <v>28</v>
      </c>
      <c r="D528" t="s">
        <v>103</v>
      </c>
      <c r="E528" s="1">
        <v>43756</v>
      </c>
      <c r="F528" t="s">
        <v>47</v>
      </c>
      <c r="G528" t="s">
        <v>121</v>
      </c>
      <c r="H528" t="s">
        <v>111</v>
      </c>
      <c r="I528">
        <v>7</v>
      </c>
      <c r="J528" t="s">
        <v>88</v>
      </c>
      <c r="K528">
        <v>1</v>
      </c>
      <c r="L528" s="3">
        <v>9099</v>
      </c>
      <c r="M528">
        <v>25</v>
      </c>
      <c r="N528" s="3">
        <v>6820</v>
      </c>
      <c r="O528" s="3">
        <v>6820</v>
      </c>
      <c r="P528" t="s">
        <v>34</v>
      </c>
      <c r="Q528" t="s">
        <v>82</v>
      </c>
      <c r="R528" t="s">
        <v>36</v>
      </c>
      <c r="S528" t="s">
        <v>160</v>
      </c>
      <c r="T528" t="s">
        <v>344</v>
      </c>
      <c r="U528" t="s">
        <v>54</v>
      </c>
      <c r="V528" t="s">
        <v>40</v>
      </c>
      <c r="W528">
        <v>4.0999999999999996</v>
      </c>
      <c r="X528" t="s">
        <v>62</v>
      </c>
      <c r="Y528" t="s">
        <v>42</v>
      </c>
      <c r="Z528">
        <v>3</v>
      </c>
    </row>
    <row r="529" spans="1:26">
      <c r="A529" t="s">
        <v>1214</v>
      </c>
      <c r="B529" t="s">
        <v>115</v>
      </c>
      <c r="C529" t="s">
        <v>45</v>
      </c>
      <c r="D529" t="s">
        <v>29</v>
      </c>
      <c r="E529" s="1">
        <v>43756</v>
      </c>
      <c r="F529" t="s">
        <v>47</v>
      </c>
      <c r="G529" t="s">
        <v>140</v>
      </c>
      <c r="H529" t="s">
        <v>128</v>
      </c>
      <c r="I529">
        <v>7</v>
      </c>
      <c r="J529" t="s">
        <v>73</v>
      </c>
      <c r="K529">
        <v>1</v>
      </c>
      <c r="L529" s="3">
        <v>5099</v>
      </c>
      <c r="M529">
        <v>10</v>
      </c>
      <c r="N529" s="3">
        <v>4590</v>
      </c>
      <c r="O529" s="3">
        <v>4590</v>
      </c>
      <c r="P529" t="s">
        <v>34</v>
      </c>
      <c r="Q529" t="s">
        <v>51</v>
      </c>
      <c r="R529" t="s">
        <v>36</v>
      </c>
      <c r="S529" t="s">
        <v>68</v>
      </c>
      <c r="T529" t="s">
        <v>400</v>
      </c>
      <c r="U529" t="s">
        <v>54</v>
      </c>
      <c r="V529" t="s">
        <v>315</v>
      </c>
      <c r="W529">
        <v>5</v>
      </c>
      <c r="X529" t="s">
        <v>106</v>
      </c>
      <c r="Y529" t="s">
        <v>42</v>
      </c>
      <c r="Z529">
        <v>4</v>
      </c>
    </row>
    <row r="530" spans="1:26">
      <c r="A530" t="s">
        <v>1215</v>
      </c>
      <c r="B530" t="s">
        <v>1216</v>
      </c>
      <c r="C530" t="s">
        <v>28</v>
      </c>
      <c r="D530" t="s">
        <v>46</v>
      </c>
      <c r="E530" s="1">
        <v>43757</v>
      </c>
      <c r="F530" t="s">
        <v>86</v>
      </c>
      <c r="G530" t="s">
        <v>312</v>
      </c>
      <c r="H530" t="s">
        <v>59</v>
      </c>
      <c r="I530">
        <v>9</v>
      </c>
      <c r="J530" t="s">
        <v>73</v>
      </c>
      <c r="K530">
        <v>1</v>
      </c>
      <c r="L530" s="3">
        <v>5399</v>
      </c>
      <c r="M530">
        <v>20</v>
      </c>
      <c r="N530" s="3">
        <v>4320</v>
      </c>
      <c r="O530" s="3">
        <v>4320</v>
      </c>
      <c r="P530" t="s">
        <v>74</v>
      </c>
      <c r="Q530" t="s">
        <v>51</v>
      </c>
      <c r="R530" t="s">
        <v>36</v>
      </c>
      <c r="S530" t="s">
        <v>384</v>
      </c>
      <c r="T530" t="s">
        <v>1217</v>
      </c>
      <c r="U530" t="s">
        <v>91</v>
      </c>
      <c r="V530" t="s">
        <v>40</v>
      </c>
      <c r="W530">
        <v>3.4</v>
      </c>
      <c r="X530" t="s">
        <v>41</v>
      </c>
      <c r="Y530" t="s">
        <v>55</v>
      </c>
      <c r="Z530">
        <v>2</v>
      </c>
    </row>
    <row r="531" spans="1:26">
      <c r="A531" t="s">
        <v>1218</v>
      </c>
      <c r="B531" t="s">
        <v>619</v>
      </c>
      <c r="C531" t="s">
        <v>45</v>
      </c>
      <c r="D531" t="s">
        <v>95</v>
      </c>
      <c r="E531" s="1">
        <v>43757</v>
      </c>
      <c r="F531" t="s">
        <v>65</v>
      </c>
      <c r="G531" t="s">
        <v>365</v>
      </c>
      <c r="H531" t="s">
        <v>49</v>
      </c>
      <c r="I531">
        <v>10</v>
      </c>
      <c r="J531" t="s">
        <v>73</v>
      </c>
      <c r="K531">
        <v>2</v>
      </c>
      <c r="L531" s="3">
        <v>4999</v>
      </c>
      <c r="M531">
        <v>15</v>
      </c>
      <c r="N531" s="3">
        <v>4250</v>
      </c>
      <c r="O531" s="3">
        <v>8500</v>
      </c>
      <c r="P531" t="s">
        <v>74</v>
      </c>
      <c r="Q531" t="s">
        <v>51</v>
      </c>
      <c r="R531" t="s">
        <v>36</v>
      </c>
      <c r="S531" t="s">
        <v>164</v>
      </c>
      <c r="T531" t="s">
        <v>314</v>
      </c>
      <c r="U531" t="s">
        <v>54</v>
      </c>
      <c r="V531" t="s">
        <v>315</v>
      </c>
      <c r="W531">
        <v>3.9</v>
      </c>
      <c r="X531" t="s">
        <v>62</v>
      </c>
      <c r="Y531" t="s">
        <v>42</v>
      </c>
      <c r="Z531">
        <v>4</v>
      </c>
    </row>
    <row r="532" spans="1:26">
      <c r="A532" t="s">
        <v>1219</v>
      </c>
      <c r="B532" t="s">
        <v>1220</v>
      </c>
      <c r="C532" t="s">
        <v>28</v>
      </c>
      <c r="D532" t="s">
        <v>103</v>
      </c>
      <c r="E532" s="1">
        <v>43758</v>
      </c>
      <c r="F532" t="s">
        <v>30</v>
      </c>
      <c r="G532" t="s">
        <v>58</v>
      </c>
      <c r="H532" t="s">
        <v>59</v>
      </c>
      <c r="I532">
        <v>6</v>
      </c>
      <c r="J532" t="s">
        <v>67</v>
      </c>
      <c r="K532">
        <v>1</v>
      </c>
      <c r="L532" s="3">
        <v>4799</v>
      </c>
      <c r="M532">
        <v>10</v>
      </c>
      <c r="N532" s="3">
        <v>4320</v>
      </c>
      <c r="O532" s="3">
        <v>4320</v>
      </c>
      <c r="P532" t="s">
        <v>34</v>
      </c>
      <c r="Q532" t="s">
        <v>35</v>
      </c>
      <c r="R532" t="s">
        <v>36</v>
      </c>
      <c r="S532" t="s">
        <v>129</v>
      </c>
      <c r="T532" t="s">
        <v>282</v>
      </c>
      <c r="U532" t="s">
        <v>54</v>
      </c>
      <c r="V532" t="s">
        <v>40</v>
      </c>
      <c r="W532">
        <v>4.0999999999999996</v>
      </c>
      <c r="X532" t="s">
        <v>62</v>
      </c>
      <c r="Y532" t="s">
        <v>42</v>
      </c>
      <c r="Z532">
        <v>4</v>
      </c>
    </row>
    <row r="533" spans="1:26">
      <c r="A533" t="s">
        <v>1221</v>
      </c>
      <c r="B533" t="s">
        <v>1222</v>
      </c>
      <c r="C533" t="s">
        <v>45</v>
      </c>
      <c r="D533" t="s">
        <v>103</v>
      </c>
      <c r="E533" s="1">
        <v>43760</v>
      </c>
      <c r="F533" t="s">
        <v>47</v>
      </c>
      <c r="G533" t="s">
        <v>121</v>
      </c>
      <c r="H533" t="s">
        <v>111</v>
      </c>
      <c r="I533">
        <v>8</v>
      </c>
      <c r="J533" t="s">
        <v>88</v>
      </c>
      <c r="K533">
        <v>2</v>
      </c>
      <c r="L533" s="3">
        <v>6099</v>
      </c>
      <c r="M533">
        <v>40</v>
      </c>
      <c r="N533" s="3">
        <v>3660</v>
      </c>
      <c r="O533" s="3">
        <v>7320</v>
      </c>
      <c r="P533" t="s">
        <v>74</v>
      </c>
      <c r="Q533" t="s">
        <v>51</v>
      </c>
      <c r="R533" t="s">
        <v>36</v>
      </c>
      <c r="S533" t="s">
        <v>104</v>
      </c>
      <c r="T533" t="s">
        <v>291</v>
      </c>
      <c r="U533" t="s">
        <v>39</v>
      </c>
      <c r="V533" t="s">
        <v>40</v>
      </c>
      <c r="W533">
        <v>3.1</v>
      </c>
      <c r="X533" t="s">
        <v>41</v>
      </c>
      <c r="Y533" t="s">
        <v>42</v>
      </c>
      <c r="Z533">
        <v>6</v>
      </c>
    </row>
    <row r="534" spans="1:26">
      <c r="A534" t="s">
        <v>1223</v>
      </c>
      <c r="B534" t="s">
        <v>839</v>
      </c>
      <c r="C534" t="s">
        <v>28</v>
      </c>
      <c r="D534" t="s">
        <v>46</v>
      </c>
      <c r="E534" s="1">
        <v>43763</v>
      </c>
      <c r="F534" t="s">
        <v>30</v>
      </c>
      <c r="G534" t="s">
        <v>58</v>
      </c>
      <c r="H534" t="s">
        <v>59</v>
      </c>
      <c r="I534">
        <v>6</v>
      </c>
      <c r="J534" t="s">
        <v>88</v>
      </c>
      <c r="K534">
        <v>1</v>
      </c>
      <c r="L534" s="3">
        <v>5699</v>
      </c>
      <c r="M534">
        <v>25</v>
      </c>
      <c r="N534" s="3">
        <v>4270</v>
      </c>
      <c r="O534" s="3">
        <v>4270</v>
      </c>
      <c r="P534" t="s">
        <v>50</v>
      </c>
      <c r="Q534" t="s">
        <v>82</v>
      </c>
      <c r="R534" t="s">
        <v>36</v>
      </c>
      <c r="S534" t="s">
        <v>358</v>
      </c>
      <c r="T534" t="s">
        <v>359</v>
      </c>
      <c r="U534" t="s">
        <v>124</v>
      </c>
      <c r="V534" t="s">
        <v>969</v>
      </c>
      <c r="W534">
        <v>4.4000000000000004</v>
      </c>
      <c r="X534" t="s">
        <v>41</v>
      </c>
      <c r="Y534" t="s">
        <v>55</v>
      </c>
      <c r="Z534">
        <v>2</v>
      </c>
    </row>
    <row r="535" spans="1:26">
      <c r="A535" t="s">
        <v>1224</v>
      </c>
      <c r="B535" t="s">
        <v>1225</v>
      </c>
      <c r="C535" t="s">
        <v>28</v>
      </c>
      <c r="D535" t="s">
        <v>46</v>
      </c>
      <c r="E535" s="1">
        <v>43763</v>
      </c>
      <c r="F535" t="s">
        <v>65</v>
      </c>
      <c r="G535" t="s">
        <v>66</v>
      </c>
      <c r="H535" t="s">
        <v>59</v>
      </c>
      <c r="I535">
        <v>11</v>
      </c>
      <c r="J535" t="s">
        <v>73</v>
      </c>
      <c r="K535">
        <v>2</v>
      </c>
      <c r="L535" s="3">
        <v>4899</v>
      </c>
      <c r="M535">
        <v>5</v>
      </c>
      <c r="N535" s="3">
        <v>4650</v>
      </c>
      <c r="O535" s="3">
        <v>9300</v>
      </c>
      <c r="P535" t="s">
        <v>34</v>
      </c>
      <c r="Q535" t="s">
        <v>51</v>
      </c>
      <c r="R535" t="s">
        <v>36</v>
      </c>
      <c r="S535" t="s">
        <v>117</v>
      </c>
      <c r="T535" t="s">
        <v>253</v>
      </c>
      <c r="U535" t="s">
        <v>54</v>
      </c>
      <c r="V535" t="s">
        <v>40</v>
      </c>
      <c r="W535">
        <v>4.7</v>
      </c>
      <c r="X535" t="s">
        <v>41</v>
      </c>
      <c r="Y535" t="s">
        <v>147</v>
      </c>
      <c r="Z535">
        <v>1</v>
      </c>
    </row>
    <row r="536" spans="1:26">
      <c r="A536" t="s">
        <v>1226</v>
      </c>
      <c r="B536" t="s">
        <v>154</v>
      </c>
      <c r="C536" t="s">
        <v>28</v>
      </c>
      <c r="D536" t="s">
        <v>29</v>
      </c>
      <c r="E536" s="1">
        <v>43764</v>
      </c>
      <c r="F536" t="s">
        <v>47</v>
      </c>
      <c r="G536" t="s">
        <v>48</v>
      </c>
      <c r="H536" t="s">
        <v>49</v>
      </c>
      <c r="I536">
        <v>9</v>
      </c>
      <c r="J536" t="s">
        <v>98</v>
      </c>
      <c r="K536">
        <v>3</v>
      </c>
      <c r="L536" s="3">
        <v>6299</v>
      </c>
      <c r="M536">
        <v>15</v>
      </c>
      <c r="N536" s="3">
        <v>5350</v>
      </c>
      <c r="O536" s="3">
        <v>16050</v>
      </c>
      <c r="P536" t="s">
        <v>74</v>
      </c>
      <c r="Q536" t="s">
        <v>35</v>
      </c>
      <c r="R536" t="s">
        <v>36</v>
      </c>
      <c r="S536" t="s">
        <v>37</v>
      </c>
      <c r="T536" t="s">
        <v>509</v>
      </c>
      <c r="U536" t="s">
        <v>124</v>
      </c>
      <c r="V536" t="s">
        <v>315</v>
      </c>
      <c r="W536">
        <v>5</v>
      </c>
      <c r="X536" t="s">
        <v>41</v>
      </c>
      <c r="Y536" t="s">
        <v>55</v>
      </c>
      <c r="Z536">
        <v>3</v>
      </c>
    </row>
    <row r="537" spans="1:26">
      <c r="A537" t="s">
        <v>1227</v>
      </c>
      <c r="B537" t="s">
        <v>664</v>
      </c>
      <c r="C537" t="s">
        <v>94</v>
      </c>
      <c r="D537" t="s">
        <v>29</v>
      </c>
      <c r="E537" s="1">
        <v>43764</v>
      </c>
      <c r="F537" t="s">
        <v>79</v>
      </c>
      <c r="G537" t="s">
        <v>480</v>
      </c>
      <c r="H537" t="s">
        <v>111</v>
      </c>
      <c r="I537">
        <v>9</v>
      </c>
      <c r="J537" t="s">
        <v>88</v>
      </c>
      <c r="K537">
        <v>1</v>
      </c>
      <c r="L537" s="3">
        <v>8299</v>
      </c>
      <c r="M537">
        <v>5</v>
      </c>
      <c r="N537" s="3">
        <v>7880</v>
      </c>
      <c r="O537" s="3">
        <v>7880</v>
      </c>
      <c r="P537" t="s">
        <v>74</v>
      </c>
      <c r="Q537" t="s">
        <v>35</v>
      </c>
      <c r="R537" t="s">
        <v>36</v>
      </c>
      <c r="S537" t="s">
        <v>52</v>
      </c>
      <c r="T537" t="s">
        <v>235</v>
      </c>
      <c r="U537" t="s">
        <v>39</v>
      </c>
      <c r="V537" t="s">
        <v>315</v>
      </c>
      <c r="W537">
        <v>3.2</v>
      </c>
      <c r="X537" t="s">
        <v>41</v>
      </c>
      <c r="Y537" t="s">
        <v>42</v>
      </c>
      <c r="Z537">
        <v>2</v>
      </c>
    </row>
    <row r="538" spans="1:26">
      <c r="A538" t="s">
        <v>1228</v>
      </c>
      <c r="B538" t="s">
        <v>1229</v>
      </c>
      <c r="C538" t="s">
        <v>94</v>
      </c>
      <c r="D538" t="s">
        <v>46</v>
      </c>
      <c r="E538" s="1">
        <v>43765</v>
      </c>
      <c r="F538" t="s">
        <v>30</v>
      </c>
      <c r="G538" t="s">
        <v>58</v>
      </c>
      <c r="H538" t="s">
        <v>59</v>
      </c>
      <c r="I538">
        <v>9</v>
      </c>
      <c r="J538" t="s">
        <v>33</v>
      </c>
      <c r="K538">
        <v>1</v>
      </c>
      <c r="L538" s="3">
        <v>6799</v>
      </c>
      <c r="M538">
        <v>25</v>
      </c>
      <c r="N538" s="3">
        <v>5100</v>
      </c>
      <c r="O538" s="3">
        <v>5100</v>
      </c>
      <c r="P538" t="s">
        <v>34</v>
      </c>
      <c r="Q538" t="s">
        <v>82</v>
      </c>
      <c r="R538" t="s">
        <v>36</v>
      </c>
      <c r="S538" t="s">
        <v>354</v>
      </c>
      <c r="T538" t="s">
        <v>431</v>
      </c>
      <c r="U538" t="s">
        <v>39</v>
      </c>
      <c r="V538" t="s">
        <v>40</v>
      </c>
      <c r="W538">
        <v>5</v>
      </c>
      <c r="X538" t="s">
        <v>41</v>
      </c>
      <c r="Y538" t="s">
        <v>55</v>
      </c>
      <c r="Z538">
        <v>2</v>
      </c>
    </row>
    <row r="539" spans="1:26">
      <c r="A539" t="s">
        <v>1230</v>
      </c>
      <c r="B539" t="s">
        <v>1231</v>
      </c>
      <c r="C539" t="s">
        <v>28</v>
      </c>
      <c r="D539" t="s">
        <v>103</v>
      </c>
      <c r="E539" s="1">
        <v>43766</v>
      </c>
      <c r="F539" t="s">
        <v>47</v>
      </c>
      <c r="G539" t="s">
        <v>199</v>
      </c>
      <c r="H539" t="s">
        <v>59</v>
      </c>
      <c r="I539">
        <v>8</v>
      </c>
      <c r="J539" t="s">
        <v>150</v>
      </c>
      <c r="K539">
        <v>1</v>
      </c>
      <c r="L539" s="3">
        <v>8799</v>
      </c>
      <c r="M539">
        <v>0</v>
      </c>
      <c r="N539" s="3">
        <v>8800</v>
      </c>
      <c r="O539" s="3">
        <v>8800</v>
      </c>
      <c r="P539" t="s">
        <v>34</v>
      </c>
      <c r="Q539" t="s">
        <v>82</v>
      </c>
      <c r="R539" t="s">
        <v>36</v>
      </c>
      <c r="S539" t="s">
        <v>164</v>
      </c>
      <c r="T539" t="s">
        <v>165</v>
      </c>
      <c r="U539" t="s">
        <v>124</v>
      </c>
      <c r="V539" t="s">
        <v>40</v>
      </c>
      <c r="W539">
        <v>3.5</v>
      </c>
      <c r="X539" t="s">
        <v>41</v>
      </c>
      <c r="Y539" t="s">
        <v>42</v>
      </c>
      <c r="Z539">
        <v>4</v>
      </c>
    </row>
    <row r="540" spans="1:26">
      <c r="A540" t="s">
        <v>1232</v>
      </c>
      <c r="B540" t="s">
        <v>1233</v>
      </c>
      <c r="C540" t="s">
        <v>28</v>
      </c>
      <c r="D540" t="s">
        <v>109</v>
      </c>
      <c r="E540" s="1">
        <v>43770</v>
      </c>
      <c r="F540" t="s">
        <v>65</v>
      </c>
      <c r="G540" t="s">
        <v>256</v>
      </c>
      <c r="H540" t="s">
        <v>32</v>
      </c>
      <c r="I540">
        <v>8</v>
      </c>
      <c r="J540" t="s">
        <v>88</v>
      </c>
      <c r="K540">
        <v>1</v>
      </c>
      <c r="L540" s="3">
        <v>4899</v>
      </c>
      <c r="M540">
        <v>10</v>
      </c>
      <c r="N540" s="3">
        <v>4410</v>
      </c>
      <c r="O540" s="3">
        <v>4410</v>
      </c>
      <c r="P540" t="s">
        <v>34</v>
      </c>
      <c r="Q540" t="s">
        <v>35</v>
      </c>
      <c r="R540" t="s">
        <v>36</v>
      </c>
      <c r="S540" t="s">
        <v>182</v>
      </c>
      <c r="T540" t="s">
        <v>503</v>
      </c>
      <c r="U540" t="s">
        <v>124</v>
      </c>
      <c r="V540" t="s">
        <v>40</v>
      </c>
      <c r="W540">
        <v>4.0999999999999996</v>
      </c>
      <c r="X540" t="s">
        <v>41</v>
      </c>
      <c r="Y540" t="s">
        <v>55</v>
      </c>
      <c r="Z540">
        <v>2</v>
      </c>
    </row>
    <row r="541" spans="1:26">
      <c r="A541" t="s">
        <v>1234</v>
      </c>
      <c r="B541" t="s">
        <v>1235</v>
      </c>
      <c r="C541" t="s">
        <v>28</v>
      </c>
      <c r="D541" t="s">
        <v>46</v>
      </c>
      <c r="E541" s="1">
        <v>43770</v>
      </c>
      <c r="F541" t="s">
        <v>86</v>
      </c>
      <c r="G541" t="s">
        <v>312</v>
      </c>
      <c r="H541" t="s">
        <v>59</v>
      </c>
      <c r="I541">
        <v>10</v>
      </c>
      <c r="J541" t="s">
        <v>73</v>
      </c>
      <c r="K541">
        <v>1</v>
      </c>
      <c r="L541" s="3">
        <v>6599</v>
      </c>
      <c r="M541">
        <v>5</v>
      </c>
      <c r="N541" s="3">
        <v>6270</v>
      </c>
      <c r="O541" s="3">
        <v>6270</v>
      </c>
      <c r="P541" t="s">
        <v>34</v>
      </c>
      <c r="Q541" t="s">
        <v>51</v>
      </c>
      <c r="R541" t="s">
        <v>36</v>
      </c>
      <c r="S541" t="s">
        <v>297</v>
      </c>
      <c r="T541" t="s">
        <v>390</v>
      </c>
      <c r="U541" t="s">
        <v>61</v>
      </c>
      <c r="V541" t="s">
        <v>40</v>
      </c>
      <c r="W541">
        <v>4.3</v>
      </c>
      <c r="X541" t="s">
        <v>62</v>
      </c>
      <c r="Y541" t="s">
        <v>55</v>
      </c>
      <c r="Z541">
        <v>4</v>
      </c>
    </row>
    <row r="542" spans="1:26">
      <c r="A542" t="s">
        <v>1236</v>
      </c>
      <c r="B542" t="s">
        <v>392</v>
      </c>
      <c r="C542" t="s">
        <v>28</v>
      </c>
      <c r="D542" t="s">
        <v>103</v>
      </c>
      <c r="E542" s="1">
        <v>43770</v>
      </c>
      <c r="F542" t="s">
        <v>30</v>
      </c>
      <c r="G542" t="s">
        <v>145</v>
      </c>
      <c r="H542" t="s">
        <v>59</v>
      </c>
      <c r="I542">
        <v>10</v>
      </c>
      <c r="J542" t="s">
        <v>73</v>
      </c>
      <c r="K542">
        <v>1</v>
      </c>
      <c r="L542" s="3">
        <v>5299</v>
      </c>
      <c r="M542">
        <v>15</v>
      </c>
      <c r="N542" s="3">
        <v>4500</v>
      </c>
      <c r="O542" s="3">
        <v>4500</v>
      </c>
      <c r="P542" t="s">
        <v>34</v>
      </c>
      <c r="Q542" t="s">
        <v>51</v>
      </c>
      <c r="R542" t="s">
        <v>36</v>
      </c>
      <c r="S542" t="s">
        <v>89</v>
      </c>
      <c r="T542" t="s">
        <v>425</v>
      </c>
      <c r="U542" t="s">
        <v>54</v>
      </c>
      <c r="V542" t="s">
        <v>315</v>
      </c>
      <c r="W542">
        <v>4.4000000000000004</v>
      </c>
      <c r="X542" t="s">
        <v>41</v>
      </c>
      <c r="Y542" t="s">
        <v>42</v>
      </c>
      <c r="Z542">
        <v>4</v>
      </c>
    </row>
    <row r="543" spans="1:26">
      <c r="A543" t="s">
        <v>1237</v>
      </c>
      <c r="B543" t="s">
        <v>1238</v>
      </c>
      <c r="C543" t="s">
        <v>94</v>
      </c>
      <c r="D543" t="s">
        <v>95</v>
      </c>
      <c r="E543" s="1">
        <v>43771</v>
      </c>
      <c r="F543" t="s">
        <v>79</v>
      </c>
      <c r="G543" t="s">
        <v>80</v>
      </c>
      <c r="H543" t="s">
        <v>59</v>
      </c>
      <c r="I543">
        <v>6</v>
      </c>
      <c r="J543" t="s">
        <v>98</v>
      </c>
      <c r="K543">
        <v>1</v>
      </c>
      <c r="L543" s="3">
        <v>3399</v>
      </c>
      <c r="M543">
        <v>25</v>
      </c>
      <c r="N543" s="3">
        <v>2550</v>
      </c>
      <c r="O543" s="3">
        <v>2550</v>
      </c>
      <c r="P543" t="s">
        <v>74</v>
      </c>
      <c r="Q543" t="s">
        <v>51</v>
      </c>
      <c r="R543" t="s">
        <v>36</v>
      </c>
      <c r="S543" t="s">
        <v>160</v>
      </c>
      <c r="T543" t="s">
        <v>344</v>
      </c>
      <c r="U543" t="s">
        <v>54</v>
      </c>
      <c r="V543" t="s">
        <v>40</v>
      </c>
      <c r="W543">
        <v>4.7</v>
      </c>
      <c r="X543" t="s">
        <v>41</v>
      </c>
      <c r="Y543" t="s">
        <v>55</v>
      </c>
      <c r="Z543">
        <v>2</v>
      </c>
    </row>
    <row r="544" spans="1:26">
      <c r="A544" t="s">
        <v>1239</v>
      </c>
      <c r="B544" t="s">
        <v>1240</v>
      </c>
      <c r="C544" t="s">
        <v>28</v>
      </c>
      <c r="D544" t="s">
        <v>46</v>
      </c>
      <c r="E544" s="1">
        <v>43771</v>
      </c>
      <c r="F544" t="s">
        <v>30</v>
      </c>
      <c r="G544" t="s">
        <v>145</v>
      </c>
      <c r="H544" t="s">
        <v>59</v>
      </c>
      <c r="I544">
        <v>11</v>
      </c>
      <c r="J544" t="s">
        <v>150</v>
      </c>
      <c r="K544">
        <v>1</v>
      </c>
      <c r="L544" s="3">
        <v>5299</v>
      </c>
      <c r="M544">
        <v>25</v>
      </c>
      <c r="N544" s="3">
        <v>3970</v>
      </c>
      <c r="O544" s="3">
        <v>3970</v>
      </c>
      <c r="P544" t="s">
        <v>50</v>
      </c>
      <c r="Q544" t="s">
        <v>51</v>
      </c>
      <c r="R544" t="s">
        <v>36</v>
      </c>
      <c r="S544" t="s">
        <v>117</v>
      </c>
      <c r="T544" t="s">
        <v>118</v>
      </c>
      <c r="U544" t="s">
        <v>54</v>
      </c>
      <c r="V544" t="s">
        <v>40</v>
      </c>
      <c r="W544">
        <v>4.5</v>
      </c>
      <c r="X544" t="s">
        <v>41</v>
      </c>
      <c r="Y544" t="s">
        <v>42</v>
      </c>
      <c r="Z544">
        <v>2</v>
      </c>
    </row>
    <row r="545" spans="1:26">
      <c r="A545" t="s">
        <v>1241</v>
      </c>
      <c r="B545" t="s">
        <v>568</v>
      </c>
      <c r="C545" t="s">
        <v>28</v>
      </c>
      <c r="D545" t="s">
        <v>46</v>
      </c>
      <c r="E545" s="1">
        <v>43772</v>
      </c>
      <c r="F545" t="s">
        <v>47</v>
      </c>
      <c r="G545" t="s">
        <v>48</v>
      </c>
      <c r="H545" t="s">
        <v>49</v>
      </c>
      <c r="I545">
        <v>10</v>
      </c>
      <c r="J545" t="s">
        <v>98</v>
      </c>
      <c r="K545">
        <v>1</v>
      </c>
      <c r="L545" s="3">
        <v>3799</v>
      </c>
      <c r="M545">
        <v>15</v>
      </c>
      <c r="N545" s="3">
        <v>3230</v>
      </c>
      <c r="O545" s="3">
        <v>3230</v>
      </c>
      <c r="P545" t="s">
        <v>81</v>
      </c>
      <c r="Q545" t="s">
        <v>51</v>
      </c>
      <c r="R545" t="s">
        <v>36</v>
      </c>
      <c r="S545" t="s">
        <v>151</v>
      </c>
      <c r="T545" t="s">
        <v>452</v>
      </c>
      <c r="U545" t="s">
        <v>91</v>
      </c>
      <c r="V545" t="s">
        <v>969</v>
      </c>
      <c r="W545">
        <v>5</v>
      </c>
      <c r="X545" t="s">
        <v>106</v>
      </c>
      <c r="Y545" t="s">
        <v>42</v>
      </c>
      <c r="Z545">
        <v>3</v>
      </c>
    </row>
    <row r="546" spans="1:26">
      <c r="A546" t="s">
        <v>1242</v>
      </c>
      <c r="B546" t="s">
        <v>144</v>
      </c>
      <c r="C546" t="s">
        <v>28</v>
      </c>
      <c r="D546" t="s">
        <v>46</v>
      </c>
      <c r="E546" s="1">
        <v>43772</v>
      </c>
      <c r="F546" t="s">
        <v>96</v>
      </c>
      <c r="G546" t="s">
        <v>228</v>
      </c>
      <c r="H546" t="s">
        <v>59</v>
      </c>
      <c r="I546">
        <v>11</v>
      </c>
      <c r="J546" t="s">
        <v>88</v>
      </c>
      <c r="K546">
        <v>2</v>
      </c>
      <c r="L546" s="3">
        <v>8299</v>
      </c>
      <c r="M546">
        <v>10</v>
      </c>
      <c r="N546" s="3">
        <v>7470</v>
      </c>
      <c r="O546" s="3">
        <v>14940</v>
      </c>
      <c r="P546" t="s">
        <v>74</v>
      </c>
      <c r="Q546" t="s">
        <v>82</v>
      </c>
      <c r="R546" t="s">
        <v>36</v>
      </c>
      <c r="S546" t="s">
        <v>75</v>
      </c>
      <c r="T546" t="s">
        <v>796</v>
      </c>
      <c r="U546" t="s">
        <v>61</v>
      </c>
      <c r="V546" t="s">
        <v>315</v>
      </c>
      <c r="W546">
        <v>4.4000000000000004</v>
      </c>
      <c r="X546" t="s">
        <v>41</v>
      </c>
      <c r="Y546" t="s">
        <v>55</v>
      </c>
      <c r="Z546">
        <v>2</v>
      </c>
    </row>
    <row r="547" spans="1:26">
      <c r="A547" t="s">
        <v>1243</v>
      </c>
      <c r="B547" t="s">
        <v>357</v>
      </c>
      <c r="C547" t="s">
        <v>94</v>
      </c>
      <c r="D547" t="s">
        <v>46</v>
      </c>
      <c r="E547" s="1">
        <v>43774</v>
      </c>
      <c r="F547" t="s">
        <v>86</v>
      </c>
      <c r="G547" t="s">
        <v>285</v>
      </c>
      <c r="H547" t="s">
        <v>111</v>
      </c>
      <c r="I547">
        <v>9</v>
      </c>
      <c r="J547" t="s">
        <v>150</v>
      </c>
      <c r="K547">
        <v>4</v>
      </c>
      <c r="L547" s="3">
        <v>8499</v>
      </c>
      <c r="M547">
        <v>35</v>
      </c>
      <c r="N547" s="3">
        <v>5520</v>
      </c>
      <c r="O547" s="3">
        <v>22080</v>
      </c>
      <c r="P547" t="s">
        <v>74</v>
      </c>
      <c r="Q547" t="s">
        <v>51</v>
      </c>
      <c r="R547" t="s">
        <v>36</v>
      </c>
      <c r="S547" t="s">
        <v>141</v>
      </c>
      <c r="T547" t="s">
        <v>728</v>
      </c>
      <c r="U547" t="s">
        <v>54</v>
      </c>
      <c r="V547" t="s">
        <v>315</v>
      </c>
      <c r="W547">
        <v>3.7</v>
      </c>
      <c r="X547" t="s">
        <v>41</v>
      </c>
      <c r="Y547" t="s">
        <v>147</v>
      </c>
      <c r="Z547">
        <v>1</v>
      </c>
    </row>
    <row r="548" spans="1:26">
      <c r="A548" t="s">
        <v>1244</v>
      </c>
      <c r="B548" t="s">
        <v>1245</v>
      </c>
      <c r="C548" t="s">
        <v>28</v>
      </c>
      <c r="D548" t="s">
        <v>103</v>
      </c>
      <c r="E548" s="1">
        <v>43775</v>
      </c>
      <c r="F548" t="s">
        <v>30</v>
      </c>
      <c r="G548" t="s">
        <v>31</v>
      </c>
      <c r="H548" t="s">
        <v>32</v>
      </c>
      <c r="I548">
        <v>8</v>
      </c>
      <c r="J548" t="s">
        <v>73</v>
      </c>
      <c r="K548">
        <v>1</v>
      </c>
      <c r="L548" s="3">
        <v>4499</v>
      </c>
      <c r="M548">
        <v>30</v>
      </c>
      <c r="N548" s="3">
        <v>3150</v>
      </c>
      <c r="O548" s="3">
        <v>3150</v>
      </c>
      <c r="P548" t="s">
        <v>34</v>
      </c>
      <c r="Q548" t="s">
        <v>51</v>
      </c>
      <c r="R548" t="s">
        <v>36</v>
      </c>
      <c r="S548" t="s">
        <v>160</v>
      </c>
      <c r="T548" t="s">
        <v>247</v>
      </c>
      <c r="U548" t="s">
        <v>91</v>
      </c>
      <c r="V548" t="s">
        <v>40</v>
      </c>
      <c r="W548">
        <v>4.7</v>
      </c>
      <c r="X548" t="s">
        <v>41</v>
      </c>
      <c r="Y548" t="s">
        <v>55</v>
      </c>
      <c r="Z548">
        <v>2</v>
      </c>
    </row>
    <row r="549" spans="1:26">
      <c r="A549" t="s">
        <v>1246</v>
      </c>
      <c r="B549" t="s">
        <v>1036</v>
      </c>
      <c r="C549" t="s">
        <v>28</v>
      </c>
      <c r="D549" t="s">
        <v>46</v>
      </c>
      <c r="E549" s="1">
        <v>43777</v>
      </c>
      <c r="F549" t="s">
        <v>65</v>
      </c>
      <c r="G549" t="s">
        <v>72</v>
      </c>
      <c r="H549" t="s">
        <v>59</v>
      </c>
      <c r="I549">
        <v>7</v>
      </c>
      <c r="J549" t="s">
        <v>88</v>
      </c>
      <c r="K549">
        <v>1</v>
      </c>
      <c r="L549" s="3">
        <v>4599</v>
      </c>
      <c r="M549">
        <v>20</v>
      </c>
      <c r="N549" s="3">
        <v>3680</v>
      </c>
      <c r="O549" s="3">
        <v>3680</v>
      </c>
      <c r="P549" t="s">
        <v>74</v>
      </c>
      <c r="Q549" t="s">
        <v>51</v>
      </c>
      <c r="R549" t="s">
        <v>36</v>
      </c>
      <c r="S549" t="s">
        <v>182</v>
      </c>
      <c r="T549" t="s">
        <v>604</v>
      </c>
      <c r="U549" t="s">
        <v>39</v>
      </c>
      <c r="V549" t="s">
        <v>315</v>
      </c>
      <c r="W549">
        <v>5</v>
      </c>
      <c r="X549" t="s">
        <v>62</v>
      </c>
      <c r="Y549" t="s">
        <v>55</v>
      </c>
      <c r="Z549">
        <v>3</v>
      </c>
    </row>
    <row r="550" spans="1:26">
      <c r="A550" t="s">
        <v>1247</v>
      </c>
      <c r="B550" t="s">
        <v>1248</v>
      </c>
      <c r="C550" t="s">
        <v>45</v>
      </c>
      <c r="D550" t="s">
        <v>46</v>
      </c>
      <c r="E550" s="1">
        <v>43777</v>
      </c>
      <c r="F550" t="s">
        <v>47</v>
      </c>
      <c r="G550" t="s">
        <v>121</v>
      </c>
      <c r="H550" t="s">
        <v>111</v>
      </c>
      <c r="I550">
        <v>8</v>
      </c>
      <c r="J550" t="s">
        <v>98</v>
      </c>
      <c r="K550">
        <v>1</v>
      </c>
      <c r="L550" s="3">
        <v>5499</v>
      </c>
      <c r="M550">
        <v>15</v>
      </c>
      <c r="N550" s="3">
        <v>4670</v>
      </c>
      <c r="O550" s="3">
        <v>4670</v>
      </c>
      <c r="P550" t="s">
        <v>34</v>
      </c>
      <c r="Q550" t="s">
        <v>35</v>
      </c>
      <c r="R550" t="s">
        <v>36</v>
      </c>
      <c r="S550" t="s">
        <v>117</v>
      </c>
      <c r="T550" t="s">
        <v>544</v>
      </c>
      <c r="U550" t="s">
        <v>124</v>
      </c>
      <c r="V550" t="s">
        <v>40</v>
      </c>
      <c r="W550">
        <v>4.2</v>
      </c>
      <c r="X550" t="s">
        <v>41</v>
      </c>
      <c r="Y550" t="s">
        <v>42</v>
      </c>
      <c r="Z550">
        <v>2</v>
      </c>
    </row>
    <row r="551" spans="1:26">
      <c r="A551" t="s">
        <v>1249</v>
      </c>
      <c r="B551" t="s">
        <v>1250</v>
      </c>
      <c r="C551" t="s">
        <v>28</v>
      </c>
      <c r="D551" t="s">
        <v>46</v>
      </c>
      <c r="E551" s="1">
        <v>43778</v>
      </c>
      <c r="F551" t="s">
        <v>47</v>
      </c>
      <c r="G551" t="s">
        <v>140</v>
      </c>
      <c r="H551" t="s">
        <v>128</v>
      </c>
      <c r="I551">
        <v>11</v>
      </c>
      <c r="J551" t="s">
        <v>98</v>
      </c>
      <c r="K551">
        <v>2</v>
      </c>
      <c r="L551" s="3">
        <v>3999</v>
      </c>
      <c r="M551">
        <v>10</v>
      </c>
      <c r="N551" s="3">
        <v>3600</v>
      </c>
      <c r="O551" s="3">
        <v>7200</v>
      </c>
      <c r="P551" t="s">
        <v>74</v>
      </c>
      <c r="Q551" t="s">
        <v>82</v>
      </c>
      <c r="R551" t="s">
        <v>36</v>
      </c>
      <c r="S551" t="s">
        <v>460</v>
      </c>
      <c r="T551" t="s">
        <v>525</v>
      </c>
      <c r="U551" t="s">
        <v>61</v>
      </c>
      <c r="V551" t="s">
        <v>40</v>
      </c>
      <c r="W551">
        <v>3.4</v>
      </c>
      <c r="X551" t="s">
        <v>62</v>
      </c>
      <c r="Y551" t="s">
        <v>42</v>
      </c>
      <c r="Z551">
        <v>4</v>
      </c>
    </row>
    <row r="552" spans="1:26">
      <c r="A552" t="s">
        <v>1251</v>
      </c>
      <c r="B552" t="s">
        <v>916</v>
      </c>
      <c r="C552" t="s">
        <v>94</v>
      </c>
      <c r="D552" t="s">
        <v>109</v>
      </c>
      <c r="E552" s="1">
        <v>43780</v>
      </c>
      <c r="F552" t="s">
        <v>79</v>
      </c>
      <c r="G552" t="s">
        <v>127</v>
      </c>
      <c r="H552" t="s">
        <v>128</v>
      </c>
      <c r="I552">
        <v>12</v>
      </c>
      <c r="J552" t="s">
        <v>98</v>
      </c>
      <c r="K552">
        <v>1</v>
      </c>
      <c r="L552" s="3">
        <v>7099</v>
      </c>
      <c r="M552">
        <v>20</v>
      </c>
      <c r="N552" s="3">
        <v>5680</v>
      </c>
      <c r="O552" s="3">
        <v>5680</v>
      </c>
      <c r="P552" t="s">
        <v>34</v>
      </c>
      <c r="Q552" t="s">
        <v>51</v>
      </c>
      <c r="R552" t="s">
        <v>36</v>
      </c>
      <c r="S552" t="s">
        <v>238</v>
      </c>
      <c r="T552" t="s">
        <v>260</v>
      </c>
      <c r="U552" t="s">
        <v>54</v>
      </c>
      <c r="V552" t="s">
        <v>315</v>
      </c>
      <c r="W552">
        <v>4.7</v>
      </c>
      <c r="X552" t="s">
        <v>41</v>
      </c>
      <c r="Y552" t="s">
        <v>55</v>
      </c>
      <c r="Z552">
        <v>2</v>
      </c>
    </row>
    <row r="553" spans="1:26">
      <c r="A553" t="s">
        <v>1252</v>
      </c>
      <c r="B553" t="s">
        <v>1253</v>
      </c>
      <c r="C553" t="s">
        <v>45</v>
      </c>
      <c r="D553" t="s">
        <v>29</v>
      </c>
      <c r="E553" s="1">
        <v>43781</v>
      </c>
      <c r="F553" t="s">
        <v>86</v>
      </c>
      <c r="G553" t="s">
        <v>285</v>
      </c>
      <c r="H553" t="s">
        <v>111</v>
      </c>
      <c r="I553">
        <v>8</v>
      </c>
      <c r="J553" t="s">
        <v>73</v>
      </c>
      <c r="K553">
        <v>2</v>
      </c>
      <c r="L553" s="3">
        <v>8399</v>
      </c>
      <c r="M553">
        <v>20</v>
      </c>
      <c r="N553" s="3">
        <v>6720</v>
      </c>
      <c r="O553" s="3">
        <v>13440</v>
      </c>
      <c r="P553" t="s">
        <v>81</v>
      </c>
      <c r="Q553" t="s">
        <v>82</v>
      </c>
      <c r="R553" t="s">
        <v>36</v>
      </c>
      <c r="S553" t="s">
        <v>129</v>
      </c>
      <c r="T553" t="s">
        <v>146</v>
      </c>
      <c r="U553" t="s">
        <v>39</v>
      </c>
      <c r="V553" t="s">
        <v>40</v>
      </c>
      <c r="W553">
        <v>4.2</v>
      </c>
      <c r="X553" t="s">
        <v>41</v>
      </c>
      <c r="Y553" t="s">
        <v>55</v>
      </c>
      <c r="Z553">
        <v>2</v>
      </c>
    </row>
    <row r="554" spans="1:26">
      <c r="A554" t="s">
        <v>1254</v>
      </c>
      <c r="B554" t="s">
        <v>1255</v>
      </c>
      <c r="C554" t="s">
        <v>45</v>
      </c>
      <c r="D554" t="s">
        <v>103</v>
      </c>
      <c r="E554" s="1">
        <v>43781</v>
      </c>
      <c r="F554" t="s">
        <v>86</v>
      </c>
      <c r="G554" t="s">
        <v>312</v>
      </c>
      <c r="H554" t="s">
        <v>59</v>
      </c>
      <c r="I554">
        <v>10</v>
      </c>
      <c r="J554" t="s">
        <v>67</v>
      </c>
      <c r="K554">
        <v>1</v>
      </c>
      <c r="L554" s="3">
        <v>8299</v>
      </c>
      <c r="M554">
        <v>25</v>
      </c>
      <c r="N554" s="3">
        <v>6220</v>
      </c>
      <c r="O554" s="3">
        <v>6220</v>
      </c>
      <c r="P554" t="s">
        <v>81</v>
      </c>
      <c r="Q554" t="s">
        <v>51</v>
      </c>
      <c r="R554" t="s">
        <v>36</v>
      </c>
      <c r="S554" t="s">
        <v>269</v>
      </c>
      <c r="T554" t="s">
        <v>652</v>
      </c>
      <c r="U554" t="s">
        <v>61</v>
      </c>
      <c r="V554" t="s">
        <v>40</v>
      </c>
      <c r="W554">
        <v>4.5999999999999996</v>
      </c>
      <c r="X554" t="s">
        <v>41</v>
      </c>
      <c r="Y554" t="s">
        <v>42</v>
      </c>
      <c r="Z554">
        <v>1</v>
      </c>
    </row>
    <row r="555" spans="1:26">
      <c r="A555" t="s">
        <v>1256</v>
      </c>
      <c r="B555" t="s">
        <v>392</v>
      </c>
      <c r="C555" t="s">
        <v>45</v>
      </c>
      <c r="D555" t="s">
        <v>103</v>
      </c>
      <c r="E555" s="1">
        <v>43782</v>
      </c>
      <c r="F555" t="s">
        <v>65</v>
      </c>
      <c r="G555" t="s">
        <v>268</v>
      </c>
      <c r="H555" t="s">
        <v>128</v>
      </c>
      <c r="I555">
        <v>9</v>
      </c>
      <c r="J555" t="s">
        <v>33</v>
      </c>
      <c r="K555">
        <v>1</v>
      </c>
      <c r="L555" s="3">
        <v>4899</v>
      </c>
      <c r="M555">
        <v>10</v>
      </c>
      <c r="N555" s="3">
        <v>4410</v>
      </c>
      <c r="O555" s="3">
        <v>4410</v>
      </c>
      <c r="P555" t="s">
        <v>50</v>
      </c>
      <c r="Q555" t="s">
        <v>82</v>
      </c>
      <c r="R555" t="s">
        <v>36</v>
      </c>
      <c r="S555" t="s">
        <v>68</v>
      </c>
      <c r="T555" t="s">
        <v>207</v>
      </c>
      <c r="U555" t="s">
        <v>61</v>
      </c>
      <c r="V555" t="s">
        <v>315</v>
      </c>
      <c r="W555">
        <v>5</v>
      </c>
      <c r="X555" t="s">
        <v>106</v>
      </c>
      <c r="Y555" t="s">
        <v>55</v>
      </c>
      <c r="Z555">
        <v>2</v>
      </c>
    </row>
    <row r="556" spans="1:26">
      <c r="A556" t="s">
        <v>1257</v>
      </c>
      <c r="B556" t="s">
        <v>719</v>
      </c>
      <c r="C556" t="s">
        <v>28</v>
      </c>
      <c r="D556" t="s">
        <v>46</v>
      </c>
      <c r="E556" s="1">
        <v>43785</v>
      </c>
      <c r="F556" t="s">
        <v>30</v>
      </c>
      <c r="G556" t="s">
        <v>214</v>
      </c>
      <c r="H556" t="s">
        <v>128</v>
      </c>
      <c r="I556">
        <v>7</v>
      </c>
      <c r="J556" t="s">
        <v>88</v>
      </c>
      <c r="K556">
        <v>1</v>
      </c>
      <c r="L556" s="3">
        <v>7999</v>
      </c>
      <c r="M556">
        <v>10</v>
      </c>
      <c r="N556" s="3">
        <v>7200</v>
      </c>
      <c r="O556" s="3">
        <v>7200</v>
      </c>
      <c r="P556" t="s">
        <v>74</v>
      </c>
      <c r="Q556" t="s">
        <v>35</v>
      </c>
      <c r="R556" t="s">
        <v>36</v>
      </c>
      <c r="S556" t="s">
        <v>238</v>
      </c>
      <c r="T556" t="s">
        <v>377</v>
      </c>
      <c r="U556" t="s">
        <v>39</v>
      </c>
      <c r="V556" t="s">
        <v>315</v>
      </c>
      <c r="W556">
        <v>5</v>
      </c>
      <c r="X556" t="s">
        <v>62</v>
      </c>
      <c r="Y556" t="s">
        <v>42</v>
      </c>
      <c r="Z556">
        <v>4</v>
      </c>
    </row>
    <row r="557" spans="1:26">
      <c r="A557" t="s">
        <v>1258</v>
      </c>
      <c r="B557" t="s">
        <v>895</v>
      </c>
      <c r="C557" t="s">
        <v>45</v>
      </c>
      <c r="D557" t="s">
        <v>46</v>
      </c>
      <c r="E557" s="1">
        <v>43785</v>
      </c>
      <c r="F557" t="s">
        <v>86</v>
      </c>
      <c r="G557" t="s">
        <v>87</v>
      </c>
      <c r="H557" t="s">
        <v>59</v>
      </c>
      <c r="I557">
        <v>9</v>
      </c>
      <c r="J557" t="s">
        <v>73</v>
      </c>
      <c r="K557">
        <v>1</v>
      </c>
      <c r="L557" s="3">
        <v>7399</v>
      </c>
      <c r="M557">
        <v>15</v>
      </c>
      <c r="N557" s="3">
        <v>6290</v>
      </c>
      <c r="O557" s="3">
        <v>6290</v>
      </c>
      <c r="P557" t="s">
        <v>74</v>
      </c>
      <c r="Q557" t="s">
        <v>82</v>
      </c>
      <c r="R557" t="s">
        <v>36</v>
      </c>
      <c r="S557" t="s">
        <v>286</v>
      </c>
      <c r="T557" t="s">
        <v>737</v>
      </c>
      <c r="U557" t="s">
        <v>61</v>
      </c>
      <c r="V557" t="s">
        <v>315</v>
      </c>
      <c r="W557">
        <v>3.8</v>
      </c>
      <c r="X557" t="s">
        <v>62</v>
      </c>
      <c r="Y557" t="s">
        <v>55</v>
      </c>
      <c r="Z557">
        <v>2</v>
      </c>
    </row>
    <row r="558" spans="1:26">
      <c r="A558" t="s">
        <v>1259</v>
      </c>
      <c r="B558" t="s">
        <v>1260</v>
      </c>
      <c r="C558" t="s">
        <v>28</v>
      </c>
      <c r="D558" t="s">
        <v>46</v>
      </c>
      <c r="E558" s="1">
        <v>43786</v>
      </c>
      <c r="F558" t="s">
        <v>65</v>
      </c>
      <c r="G558" t="s">
        <v>72</v>
      </c>
      <c r="H558" t="s">
        <v>59</v>
      </c>
      <c r="I558">
        <v>7</v>
      </c>
      <c r="J558" t="s">
        <v>88</v>
      </c>
      <c r="K558">
        <v>1</v>
      </c>
      <c r="L558" s="3">
        <v>8399</v>
      </c>
      <c r="M558">
        <v>30</v>
      </c>
      <c r="N558" s="3">
        <v>5880</v>
      </c>
      <c r="O558" s="3">
        <v>5880</v>
      </c>
      <c r="P558" t="s">
        <v>50</v>
      </c>
      <c r="Q558" t="s">
        <v>51</v>
      </c>
      <c r="R558" t="s">
        <v>36</v>
      </c>
      <c r="S558" t="s">
        <v>182</v>
      </c>
      <c r="T558" t="s">
        <v>183</v>
      </c>
      <c r="U558" t="s">
        <v>124</v>
      </c>
      <c r="V558" t="s">
        <v>40</v>
      </c>
      <c r="W558">
        <v>4.5</v>
      </c>
      <c r="X558" t="s">
        <v>41</v>
      </c>
      <c r="Y558" t="s">
        <v>42</v>
      </c>
      <c r="Z558">
        <v>5</v>
      </c>
    </row>
    <row r="559" spans="1:26">
      <c r="A559" t="s">
        <v>1261</v>
      </c>
      <c r="B559" t="s">
        <v>300</v>
      </c>
      <c r="C559" t="s">
        <v>28</v>
      </c>
      <c r="D559" t="s">
        <v>29</v>
      </c>
      <c r="E559" s="1">
        <v>43786</v>
      </c>
      <c r="F559" t="s">
        <v>96</v>
      </c>
      <c r="G559" t="s">
        <v>323</v>
      </c>
      <c r="H559" t="s">
        <v>59</v>
      </c>
      <c r="I559">
        <v>11</v>
      </c>
      <c r="J559" t="s">
        <v>73</v>
      </c>
      <c r="K559">
        <v>2</v>
      </c>
      <c r="L559" s="3">
        <v>8699</v>
      </c>
      <c r="M559">
        <v>30</v>
      </c>
      <c r="N559" s="3">
        <v>6090</v>
      </c>
      <c r="O559" s="3">
        <v>12180</v>
      </c>
      <c r="P559" t="s">
        <v>50</v>
      </c>
      <c r="Q559" t="s">
        <v>51</v>
      </c>
      <c r="R559" t="s">
        <v>36</v>
      </c>
      <c r="S559" t="s">
        <v>164</v>
      </c>
      <c r="T559" t="s">
        <v>314</v>
      </c>
      <c r="U559" t="s">
        <v>61</v>
      </c>
      <c r="V559" t="s">
        <v>315</v>
      </c>
      <c r="W559">
        <v>4.0999999999999996</v>
      </c>
      <c r="X559" t="s">
        <v>41</v>
      </c>
      <c r="Y559" t="s">
        <v>42</v>
      </c>
      <c r="Z559">
        <v>1</v>
      </c>
    </row>
    <row r="560" spans="1:26">
      <c r="A560" t="s">
        <v>1262</v>
      </c>
      <c r="B560" t="s">
        <v>368</v>
      </c>
      <c r="C560" t="s">
        <v>28</v>
      </c>
      <c r="D560" t="s">
        <v>29</v>
      </c>
      <c r="E560" s="1">
        <v>43788</v>
      </c>
      <c r="F560" t="s">
        <v>47</v>
      </c>
      <c r="G560" t="s">
        <v>121</v>
      </c>
      <c r="H560" t="s">
        <v>111</v>
      </c>
      <c r="I560">
        <v>10</v>
      </c>
      <c r="J560" t="s">
        <v>73</v>
      </c>
      <c r="K560">
        <v>1</v>
      </c>
      <c r="L560" s="3">
        <v>4399</v>
      </c>
      <c r="M560">
        <v>20</v>
      </c>
      <c r="N560" s="3">
        <v>3520</v>
      </c>
      <c r="O560" s="3">
        <v>3520</v>
      </c>
      <c r="P560" t="s">
        <v>34</v>
      </c>
      <c r="Q560" t="s">
        <v>82</v>
      </c>
      <c r="R560" t="s">
        <v>36</v>
      </c>
      <c r="S560" t="s">
        <v>243</v>
      </c>
      <c r="T560" t="s">
        <v>244</v>
      </c>
      <c r="U560" t="s">
        <v>39</v>
      </c>
      <c r="V560" t="s">
        <v>315</v>
      </c>
      <c r="W560">
        <v>5</v>
      </c>
      <c r="X560" t="s">
        <v>41</v>
      </c>
      <c r="Y560" t="s">
        <v>42</v>
      </c>
      <c r="Z560">
        <v>5</v>
      </c>
    </row>
    <row r="561" spans="1:26">
      <c r="A561" t="s">
        <v>1263</v>
      </c>
      <c r="B561" t="s">
        <v>1264</v>
      </c>
      <c r="C561" t="s">
        <v>45</v>
      </c>
      <c r="D561" t="s">
        <v>46</v>
      </c>
      <c r="E561" s="1">
        <v>43788</v>
      </c>
      <c r="F561" t="s">
        <v>86</v>
      </c>
      <c r="G561" t="s">
        <v>116</v>
      </c>
      <c r="H561" t="s">
        <v>49</v>
      </c>
      <c r="I561">
        <v>10</v>
      </c>
      <c r="J561" t="s">
        <v>33</v>
      </c>
      <c r="K561">
        <v>1</v>
      </c>
      <c r="L561" s="3">
        <v>7999</v>
      </c>
      <c r="M561">
        <v>0</v>
      </c>
      <c r="N561" s="3">
        <v>8000</v>
      </c>
      <c r="O561" s="3">
        <v>8000</v>
      </c>
      <c r="P561" t="s">
        <v>50</v>
      </c>
      <c r="Q561" t="s">
        <v>51</v>
      </c>
      <c r="R561" t="s">
        <v>36</v>
      </c>
      <c r="S561" t="s">
        <v>186</v>
      </c>
      <c r="T561" t="s">
        <v>341</v>
      </c>
      <c r="U561" t="s">
        <v>124</v>
      </c>
      <c r="V561" t="s">
        <v>40</v>
      </c>
      <c r="W561">
        <v>3.9</v>
      </c>
      <c r="X561" t="s">
        <v>41</v>
      </c>
      <c r="Y561" t="s">
        <v>42</v>
      </c>
      <c r="Z561">
        <v>6</v>
      </c>
    </row>
    <row r="562" spans="1:26">
      <c r="A562" t="s">
        <v>1265</v>
      </c>
      <c r="B562" t="s">
        <v>1266</v>
      </c>
      <c r="C562" t="s">
        <v>28</v>
      </c>
      <c r="D562" t="s">
        <v>103</v>
      </c>
      <c r="E562" s="1">
        <v>43790</v>
      </c>
      <c r="F562" t="s">
        <v>47</v>
      </c>
      <c r="G562" t="s">
        <v>121</v>
      </c>
      <c r="H562" t="s">
        <v>111</v>
      </c>
      <c r="I562">
        <v>9</v>
      </c>
      <c r="J562" t="s">
        <v>67</v>
      </c>
      <c r="K562">
        <v>1</v>
      </c>
      <c r="L562" s="3">
        <v>6299</v>
      </c>
      <c r="M562">
        <v>30</v>
      </c>
      <c r="N562" s="3">
        <v>4410</v>
      </c>
      <c r="O562" s="3">
        <v>4410</v>
      </c>
      <c r="P562" t="s">
        <v>50</v>
      </c>
      <c r="Q562" t="s">
        <v>51</v>
      </c>
      <c r="R562" t="s">
        <v>36</v>
      </c>
      <c r="S562" t="s">
        <v>384</v>
      </c>
      <c r="T562" t="s">
        <v>444</v>
      </c>
      <c r="U562" t="s">
        <v>39</v>
      </c>
      <c r="V562" t="s">
        <v>40</v>
      </c>
      <c r="W562">
        <v>4.7</v>
      </c>
      <c r="X562" t="s">
        <v>106</v>
      </c>
      <c r="Y562" t="s">
        <v>42</v>
      </c>
      <c r="Z562">
        <v>2</v>
      </c>
    </row>
    <row r="563" spans="1:26">
      <c r="A563" t="s">
        <v>1267</v>
      </c>
      <c r="B563" t="s">
        <v>1264</v>
      </c>
      <c r="C563" t="s">
        <v>28</v>
      </c>
      <c r="D563" t="s">
        <v>103</v>
      </c>
      <c r="E563" s="1">
        <v>43791</v>
      </c>
      <c r="F563" t="s">
        <v>30</v>
      </c>
      <c r="G563" t="s">
        <v>145</v>
      </c>
      <c r="H563" t="s">
        <v>59</v>
      </c>
      <c r="I563">
        <v>9</v>
      </c>
      <c r="J563" t="s">
        <v>73</v>
      </c>
      <c r="K563">
        <v>1</v>
      </c>
      <c r="L563" s="3">
        <v>5099</v>
      </c>
      <c r="M563">
        <v>15</v>
      </c>
      <c r="N563" s="3">
        <v>4330</v>
      </c>
      <c r="O563" s="3">
        <v>4330</v>
      </c>
      <c r="P563" t="s">
        <v>81</v>
      </c>
      <c r="Q563" t="s">
        <v>51</v>
      </c>
      <c r="R563" t="s">
        <v>36</v>
      </c>
      <c r="S563" t="s">
        <v>191</v>
      </c>
      <c r="T563" t="s">
        <v>332</v>
      </c>
      <c r="U563" t="s">
        <v>39</v>
      </c>
      <c r="V563" t="s">
        <v>315</v>
      </c>
      <c r="W563">
        <v>3.7</v>
      </c>
      <c r="X563" t="s">
        <v>41</v>
      </c>
      <c r="Y563" t="s">
        <v>42</v>
      </c>
      <c r="Z563">
        <v>5</v>
      </c>
    </row>
    <row r="564" spans="1:26">
      <c r="A564" t="s">
        <v>1268</v>
      </c>
      <c r="B564" t="s">
        <v>1269</v>
      </c>
      <c r="C564" t="s">
        <v>28</v>
      </c>
      <c r="D564" t="s">
        <v>46</v>
      </c>
      <c r="E564" s="1">
        <v>43791</v>
      </c>
      <c r="F564" t="s">
        <v>86</v>
      </c>
      <c r="G564" t="s">
        <v>190</v>
      </c>
      <c r="H564" t="s">
        <v>128</v>
      </c>
      <c r="I564">
        <v>7</v>
      </c>
      <c r="J564" t="s">
        <v>98</v>
      </c>
      <c r="K564">
        <v>1</v>
      </c>
      <c r="L564" s="3">
        <v>4099</v>
      </c>
      <c r="M564">
        <v>10</v>
      </c>
      <c r="N564" s="3">
        <v>3690</v>
      </c>
      <c r="O564" s="3">
        <v>3690</v>
      </c>
      <c r="P564" t="s">
        <v>81</v>
      </c>
      <c r="Q564" t="s">
        <v>35</v>
      </c>
      <c r="R564" t="s">
        <v>36</v>
      </c>
      <c r="S564" t="s">
        <v>186</v>
      </c>
      <c r="T564" t="s">
        <v>341</v>
      </c>
      <c r="U564" t="s">
        <v>91</v>
      </c>
      <c r="V564" t="s">
        <v>40</v>
      </c>
      <c r="W564">
        <v>4.3</v>
      </c>
      <c r="X564" t="s">
        <v>41</v>
      </c>
      <c r="Y564" t="s">
        <v>55</v>
      </c>
      <c r="Z564">
        <v>2</v>
      </c>
    </row>
    <row r="565" spans="1:26">
      <c r="A565" t="s">
        <v>1270</v>
      </c>
      <c r="B565" t="s">
        <v>1271</v>
      </c>
      <c r="C565" t="s">
        <v>45</v>
      </c>
      <c r="D565" t="s">
        <v>46</v>
      </c>
      <c r="E565" s="1">
        <v>43793</v>
      </c>
      <c r="F565" t="s">
        <v>96</v>
      </c>
      <c r="G565" t="s">
        <v>290</v>
      </c>
      <c r="H565" t="s">
        <v>32</v>
      </c>
      <c r="I565">
        <v>8</v>
      </c>
      <c r="J565" t="s">
        <v>98</v>
      </c>
      <c r="K565">
        <v>1</v>
      </c>
      <c r="L565" s="3">
        <v>6299</v>
      </c>
      <c r="M565">
        <v>25</v>
      </c>
      <c r="N565" s="3">
        <v>4720</v>
      </c>
      <c r="O565" s="3">
        <v>4720</v>
      </c>
      <c r="P565" t="s">
        <v>74</v>
      </c>
      <c r="Q565" t="s">
        <v>51</v>
      </c>
      <c r="R565" t="s">
        <v>36</v>
      </c>
      <c r="S565" t="s">
        <v>200</v>
      </c>
      <c r="T565" t="s">
        <v>204</v>
      </c>
      <c r="U565" t="s">
        <v>39</v>
      </c>
      <c r="V565" t="s">
        <v>40</v>
      </c>
      <c r="W565">
        <v>4.2</v>
      </c>
      <c r="X565" t="s">
        <v>41</v>
      </c>
      <c r="Y565" t="s">
        <v>42</v>
      </c>
      <c r="Z565">
        <v>2</v>
      </c>
    </row>
    <row r="566" spans="1:26">
      <c r="A566" t="s">
        <v>1272</v>
      </c>
      <c r="B566" t="s">
        <v>1273</v>
      </c>
      <c r="C566" t="s">
        <v>94</v>
      </c>
      <c r="D566" t="s">
        <v>46</v>
      </c>
      <c r="E566" s="1">
        <v>43795</v>
      </c>
      <c r="F566" t="s">
        <v>65</v>
      </c>
      <c r="G566" t="s">
        <v>72</v>
      </c>
      <c r="H566" t="s">
        <v>59</v>
      </c>
      <c r="I566">
        <v>7</v>
      </c>
      <c r="J566" t="s">
        <v>150</v>
      </c>
      <c r="K566">
        <v>1</v>
      </c>
      <c r="L566" s="3">
        <v>5399</v>
      </c>
      <c r="M566">
        <v>5</v>
      </c>
      <c r="N566" s="3">
        <v>5130</v>
      </c>
      <c r="O566" s="3">
        <v>5130</v>
      </c>
      <c r="P566" t="s">
        <v>34</v>
      </c>
      <c r="Q566" t="s">
        <v>82</v>
      </c>
      <c r="R566" t="s">
        <v>36</v>
      </c>
      <c r="S566" t="s">
        <v>384</v>
      </c>
      <c r="T566" t="s">
        <v>385</v>
      </c>
      <c r="U566" t="s">
        <v>39</v>
      </c>
      <c r="V566" t="s">
        <v>40</v>
      </c>
      <c r="W566">
        <v>5</v>
      </c>
      <c r="X566" t="s">
        <v>41</v>
      </c>
      <c r="Y566" t="s">
        <v>42</v>
      </c>
      <c r="Z566">
        <v>4</v>
      </c>
    </row>
    <row r="567" spans="1:26">
      <c r="A567" t="s">
        <v>1274</v>
      </c>
      <c r="B567" t="s">
        <v>1024</v>
      </c>
      <c r="C567" t="s">
        <v>28</v>
      </c>
      <c r="D567" t="s">
        <v>103</v>
      </c>
      <c r="E567" s="1">
        <v>43795</v>
      </c>
      <c r="F567" t="s">
        <v>79</v>
      </c>
      <c r="G567" t="s">
        <v>480</v>
      </c>
      <c r="H567" t="s">
        <v>111</v>
      </c>
      <c r="I567">
        <v>8</v>
      </c>
      <c r="J567" t="s">
        <v>150</v>
      </c>
      <c r="K567">
        <v>1</v>
      </c>
      <c r="L567" s="3">
        <v>5499</v>
      </c>
      <c r="M567">
        <v>5</v>
      </c>
      <c r="N567" s="3">
        <v>5220</v>
      </c>
      <c r="O567" s="3">
        <v>5220</v>
      </c>
      <c r="P567" t="s">
        <v>34</v>
      </c>
      <c r="Q567" t="s">
        <v>51</v>
      </c>
      <c r="R567" t="s">
        <v>36</v>
      </c>
      <c r="S567" t="s">
        <v>75</v>
      </c>
      <c r="T567" t="s">
        <v>796</v>
      </c>
      <c r="U567" t="s">
        <v>61</v>
      </c>
      <c r="V567" t="s">
        <v>315</v>
      </c>
      <c r="W567">
        <v>3.8</v>
      </c>
      <c r="X567" t="s">
        <v>41</v>
      </c>
      <c r="Y567" t="s">
        <v>42</v>
      </c>
      <c r="Z567">
        <v>1</v>
      </c>
    </row>
    <row r="568" spans="1:26">
      <c r="A568" t="s">
        <v>1275</v>
      </c>
      <c r="B568" t="s">
        <v>1276</v>
      </c>
      <c r="C568" t="s">
        <v>28</v>
      </c>
      <c r="D568" t="s">
        <v>95</v>
      </c>
      <c r="E568" s="1">
        <v>43795</v>
      </c>
      <c r="F568" t="s">
        <v>47</v>
      </c>
      <c r="G568" t="s">
        <v>121</v>
      </c>
      <c r="H568" t="s">
        <v>111</v>
      </c>
      <c r="I568">
        <v>10</v>
      </c>
      <c r="J568" t="s">
        <v>98</v>
      </c>
      <c r="K568">
        <v>1</v>
      </c>
      <c r="L568" s="3">
        <v>4899</v>
      </c>
      <c r="M568">
        <v>25</v>
      </c>
      <c r="N568" s="3">
        <v>3670</v>
      </c>
      <c r="O568" s="3">
        <v>3670</v>
      </c>
      <c r="P568" t="s">
        <v>74</v>
      </c>
      <c r="Q568" t="s">
        <v>51</v>
      </c>
      <c r="R568" t="s">
        <v>36</v>
      </c>
      <c r="S568" t="s">
        <v>129</v>
      </c>
      <c r="T568" t="s">
        <v>282</v>
      </c>
      <c r="U568" t="s">
        <v>124</v>
      </c>
      <c r="V568" t="s">
        <v>40</v>
      </c>
      <c r="W568">
        <v>4.8</v>
      </c>
      <c r="X568" t="s">
        <v>106</v>
      </c>
      <c r="Y568" t="s">
        <v>55</v>
      </c>
      <c r="Z568">
        <v>3</v>
      </c>
    </row>
    <row r="569" spans="1:26">
      <c r="A569" t="s">
        <v>1277</v>
      </c>
      <c r="B569" t="s">
        <v>404</v>
      </c>
      <c r="C569" t="s">
        <v>28</v>
      </c>
      <c r="D569" t="s">
        <v>95</v>
      </c>
      <c r="E569" s="1">
        <v>43796</v>
      </c>
      <c r="F569" t="s">
        <v>65</v>
      </c>
      <c r="G569" t="s">
        <v>256</v>
      </c>
      <c r="H569" t="s">
        <v>32</v>
      </c>
      <c r="I569">
        <v>9</v>
      </c>
      <c r="J569" t="s">
        <v>98</v>
      </c>
      <c r="K569">
        <v>1</v>
      </c>
      <c r="L569" s="3">
        <v>3799</v>
      </c>
      <c r="M569">
        <v>10</v>
      </c>
      <c r="N569" s="3">
        <v>3420</v>
      </c>
      <c r="O569" s="3">
        <v>3420</v>
      </c>
      <c r="P569" t="s">
        <v>34</v>
      </c>
      <c r="Q569" t="s">
        <v>35</v>
      </c>
      <c r="R569" t="s">
        <v>36</v>
      </c>
      <c r="S569" t="s">
        <v>151</v>
      </c>
      <c r="T569" t="s">
        <v>152</v>
      </c>
      <c r="U569" t="s">
        <v>124</v>
      </c>
      <c r="V569" t="s">
        <v>315</v>
      </c>
      <c r="W569">
        <v>4.9000000000000004</v>
      </c>
      <c r="X569" t="s">
        <v>41</v>
      </c>
      <c r="Y569" t="s">
        <v>42</v>
      </c>
      <c r="Z569">
        <v>3</v>
      </c>
    </row>
    <row r="570" spans="1:26">
      <c r="A570" t="s">
        <v>1278</v>
      </c>
      <c r="B570" t="s">
        <v>1279</v>
      </c>
      <c r="C570" t="s">
        <v>45</v>
      </c>
      <c r="D570" t="s">
        <v>46</v>
      </c>
      <c r="E570" s="1">
        <v>43797</v>
      </c>
      <c r="F570" t="s">
        <v>30</v>
      </c>
      <c r="G570" t="s">
        <v>31</v>
      </c>
      <c r="H570" t="s">
        <v>32</v>
      </c>
      <c r="I570">
        <v>10</v>
      </c>
      <c r="J570" t="s">
        <v>67</v>
      </c>
      <c r="K570">
        <v>1</v>
      </c>
      <c r="L570" s="3">
        <v>6099</v>
      </c>
      <c r="M570">
        <v>20</v>
      </c>
      <c r="N570" s="3">
        <v>4880</v>
      </c>
      <c r="O570" s="3">
        <v>4880</v>
      </c>
      <c r="P570" t="s">
        <v>81</v>
      </c>
      <c r="Q570" t="s">
        <v>35</v>
      </c>
      <c r="R570" t="s">
        <v>36</v>
      </c>
      <c r="S570" t="s">
        <v>384</v>
      </c>
      <c r="T570" t="s">
        <v>444</v>
      </c>
      <c r="U570" t="s">
        <v>61</v>
      </c>
      <c r="V570" t="s">
        <v>40</v>
      </c>
      <c r="W570">
        <v>5</v>
      </c>
      <c r="X570" t="s">
        <v>41</v>
      </c>
      <c r="Y570" t="s">
        <v>55</v>
      </c>
      <c r="Z570">
        <v>2</v>
      </c>
    </row>
    <row r="571" spans="1:26">
      <c r="A571" t="s">
        <v>1280</v>
      </c>
      <c r="B571" t="s">
        <v>1281</v>
      </c>
      <c r="C571" t="s">
        <v>45</v>
      </c>
      <c r="D571" t="s">
        <v>103</v>
      </c>
      <c r="E571" s="1">
        <v>43800</v>
      </c>
      <c r="F571" t="s">
        <v>79</v>
      </c>
      <c r="G571" t="s">
        <v>480</v>
      </c>
      <c r="H571" t="s">
        <v>111</v>
      </c>
      <c r="I571">
        <v>8</v>
      </c>
      <c r="J571" t="s">
        <v>33</v>
      </c>
      <c r="K571">
        <v>1</v>
      </c>
      <c r="L571" s="3">
        <v>7199</v>
      </c>
      <c r="M571">
        <v>25</v>
      </c>
      <c r="N571" s="3">
        <v>5400</v>
      </c>
      <c r="O571" s="3">
        <v>5400</v>
      </c>
      <c r="P571" t="s">
        <v>81</v>
      </c>
      <c r="Q571" t="s">
        <v>51</v>
      </c>
      <c r="R571" t="s">
        <v>36</v>
      </c>
      <c r="S571" t="s">
        <v>182</v>
      </c>
      <c r="T571" t="s">
        <v>309</v>
      </c>
      <c r="U571" t="s">
        <v>91</v>
      </c>
      <c r="V571" t="s">
        <v>40</v>
      </c>
      <c r="W571">
        <v>2.9</v>
      </c>
      <c r="X571" t="s">
        <v>62</v>
      </c>
      <c r="Y571" t="s">
        <v>42</v>
      </c>
      <c r="Z571">
        <v>4</v>
      </c>
    </row>
    <row r="572" spans="1:26">
      <c r="A572" t="s">
        <v>1282</v>
      </c>
      <c r="B572" t="s">
        <v>1005</v>
      </c>
      <c r="C572" t="s">
        <v>45</v>
      </c>
      <c r="D572" t="s">
        <v>46</v>
      </c>
      <c r="E572" s="1">
        <v>43800</v>
      </c>
      <c r="F572" t="s">
        <v>65</v>
      </c>
      <c r="G572" t="s">
        <v>256</v>
      </c>
      <c r="H572" t="s">
        <v>32</v>
      </c>
      <c r="I572">
        <v>8</v>
      </c>
      <c r="J572" t="s">
        <v>67</v>
      </c>
      <c r="K572">
        <v>1</v>
      </c>
      <c r="L572" s="3">
        <v>8099</v>
      </c>
      <c r="M572">
        <v>5</v>
      </c>
      <c r="N572" s="3">
        <v>7690</v>
      </c>
      <c r="O572" s="3">
        <v>7690</v>
      </c>
      <c r="P572" t="s">
        <v>74</v>
      </c>
      <c r="Q572" t="s">
        <v>51</v>
      </c>
      <c r="R572" t="s">
        <v>36</v>
      </c>
      <c r="S572" t="s">
        <v>269</v>
      </c>
      <c r="T572" t="s">
        <v>961</v>
      </c>
      <c r="U572" t="s">
        <v>124</v>
      </c>
      <c r="V572" t="s">
        <v>315</v>
      </c>
      <c r="W572">
        <v>2.8</v>
      </c>
      <c r="X572" t="s">
        <v>41</v>
      </c>
      <c r="Y572" t="s">
        <v>55</v>
      </c>
      <c r="Z572">
        <v>2</v>
      </c>
    </row>
    <row r="573" spans="1:26">
      <c r="A573" t="s">
        <v>1283</v>
      </c>
      <c r="B573" t="s">
        <v>446</v>
      </c>
      <c r="C573" t="s">
        <v>45</v>
      </c>
      <c r="D573" t="s">
        <v>95</v>
      </c>
      <c r="E573" s="1">
        <v>43800</v>
      </c>
      <c r="F573" t="s">
        <v>79</v>
      </c>
      <c r="G573" t="s">
        <v>127</v>
      </c>
      <c r="H573" t="s">
        <v>128</v>
      </c>
      <c r="I573">
        <v>7</v>
      </c>
      <c r="J573" t="s">
        <v>150</v>
      </c>
      <c r="K573">
        <v>2</v>
      </c>
      <c r="L573" s="3">
        <v>5999</v>
      </c>
      <c r="M573">
        <v>15</v>
      </c>
      <c r="N573" s="3">
        <v>5100</v>
      </c>
      <c r="O573" s="3">
        <v>10200</v>
      </c>
      <c r="P573" t="s">
        <v>34</v>
      </c>
      <c r="Q573" t="s">
        <v>51</v>
      </c>
      <c r="R573" t="s">
        <v>36</v>
      </c>
      <c r="S573" t="s">
        <v>129</v>
      </c>
      <c r="T573" t="s">
        <v>282</v>
      </c>
      <c r="U573" t="s">
        <v>124</v>
      </c>
      <c r="V573" t="s">
        <v>315</v>
      </c>
      <c r="W573">
        <v>3.5</v>
      </c>
      <c r="X573" t="s">
        <v>62</v>
      </c>
      <c r="Y573" t="s">
        <v>147</v>
      </c>
      <c r="Z573">
        <v>1</v>
      </c>
    </row>
    <row r="574" spans="1:26">
      <c r="A574" t="s">
        <v>1284</v>
      </c>
      <c r="B574" t="s">
        <v>1285</v>
      </c>
      <c r="C574" t="s">
        <v>94</v>
      </c>
      <c r="D574" t="s">
        <v>46</v>
      </c>
      <c r="E574" s="1">
        <v>43801</v>
      </c>
      <c r="F574" t="s">
        <v>79</v>
      </c>
      <c r="G574" t="s">
        <v>517</v>
      </c>
      <c r="H574" t="s">
        <v>59</v>
      </c>
      <c r="I574">
        <v>7</v>
      </c>
      <c r="J574" t="s">
        <v>73</v>
      </c>
      <c r="K574">
        <v>1</v>
      </c>
      <c r="L574" s="3">
        <v>7999</v>
      </c>
      <c r="M574">
        <v>20</v>
      </c>
      <c r="N574" s="3">
        <v>6400</v>
      </c>
      <c r="O574" s="3">
        <v>6400</v>
      </c>
      <c r="P574" t="s">
        <v>50</v>
      </c>
      <c r="Q574" t="s">
        <v>82</v>
      </c>
      <c r="R574" t="s">
        <v>36</v>
      </c>
      <c r="S574" t="s">
        <v>297</v>
      </c>
      <c r="T574" t="s">
        <v>298</v>
      </c>
      <c r="U574" t="s">
        <v>39</v>
      </c>
      <c r="V574" t="s">
        <v>40</v>
      </c>
      <c r="W574">
        <v>5</v>
      </c>
      <c r="X574" t="s">
        <v>106</v>
      </c>
      <c r="Y574" t="s">
        <v>42</v>
      </c>
      <c r="Z574">
        <v>6</v>
      </c>
    </row>
    <row r="575" spans="1:26">
      <c r="A575" t="s">
        <v>1286</v>
      </c>
      <c r="B575" t="s">
        <v>206</v>
      </c>
      <c r="C575" t="s">
        <v>94</v>
      </c>
      <c r="D575" t="s">
        <v>46</v>
      </c>
      <c r="E575" s="1">
        <v>43801</v>
      </c>
      <c r="F575" t="s">
        <v>65</v>
      </c>
      <c r="G575" t="s">
        <v>72</v>
      </c>
      <c r="H575" t="s">
        <v>59</v>
      </c>
      <c r="I575">
        <v>6</v>
      </c>
      <c r="J575" t="s">
        <v>88</v>
      </c>
      <c r="K575">
        <v>1</v>
      </c>
      <c r="L575" s="3">
        <v>4199</v>
      </c>
      <c r="M575">
        <v>15</v>
      </c>
      <c r="N575" s="3">
        <v>3570</v>
      </c>
      <c r="O575" s="3">
        <v>3570</v>
      </c>
      <c r="P575" t="s">
        <v>81</v>
      </c>
      <c r="Q575" t="s">
        <v>51</v>
      </c>
      <c r="R575" t="s">
        <v>36</v>
      </c>
      <c r="S575" t="s">
        <v>160</v>
      </c>
      <c r="T575" t="s">
        <v>247</v>
      </c>
      <c r="U575" t="s">
        <v>91</v>
      </c>
      <c r="V575" t="s">
        <v>315</v>
      </c>
      <c r="W575">
        <v>4.7</v>
      </c>
      <c r="X575" t="s">
        <v>106</v>
      </c>
      <c r="Y575" t="s">
        <v>55</v>
      </c>
      <c r="Z575">
        <v>3</v>
      </c>
    </row>
    <row r="576" spans="1:26">
      <c r="A576" t="s">
        <v>1287</v>
      </c>
      <c r="B576" t="s">
        <v>1288</v>
      </c>
      <c r="C576" t="s">
        <v>28</v>
      </c>
      <c r="D576" t="s">
        <v>46</v>
      </c>
      <c r="E576" s="1">
        <v>43801</v>
      </c>
      <c r="F576" t="s">
        <v>30</v>
      </c>
      <c r="G576" t="s">
        <v>110</v>
      </c>
      <c r="H576" t="s">
        <v>111</v>
      </c>
      <c r="I576">
        <v>11</v>
      </c>
      <c r="J576" t="s">
        <v>88</v>
      </c>
      <c r="K576">
        <v>1</v>
      </c>
      <c r="L576" s="3">
        <v>4499</v>
      </c>
      <c r="M576">
        <v>5</v>
      </c>
      <c r="N576" s="3">
        <v>4270</v>
      </c>
      <c r="O576" s="3">
        <v>4270</v>
      </c>
      <c r="P576" t="s">
        <v>34</v>
      </c>
      <c r="Q576" t="s">
        <v>51</v>
      </c>
      <c r="R576" t="s">
        <v>36</v>
      </c>
      <c r="S576" t="s">
        <v>418</v>
      </c>
      <c r="T576" t="s">
        <v>613</v>
      </c>
      <c r="U576" t="s">
        <v>39</v>
      </c>
      <c r="V576" t="s">
        <v>40</v>
      </c>
      <c r="W576">
        <v>4.3</v>
      </c>
      <c r="X576" t="s">
        <v>41</v>
      </c>
      <c r="Y576" t="s">
        <v>55</v>
      </c>
      <c r="Z576">
        <v>2</v>
      </c>
    </row>
    <row r="577" spans="1:26">
      <c r="A577" t="s">
        <v>1289</v>
      </c>
      <c r="B577" t="s">
        <v>1290</v>
      </c>
      <c r="C577" t="s">
        <v>28</v>
      </c>
      <c r="D577" t="s">
        <v>109</v>
      </c>
      <c r="E577" s="1">
        <v>43801</v>
      </c>
      <c r="F577" t="s">
        <v>47</v>
      </c>
      <c r="G577" t="s">
        <v>140</v>
      </c>
      <c r="H577" t="s">
        <v>128</v>
      </c>
      <c r="I577">
        <v>9</v>
      </c>
      <c r="J577" t="s">
        <v>33</v>
      </c>
      <c r="K577">
        <v>1</v>
      </c>
      <c r="L577" s="3">
        <v>5599</v>
      </c>
      <c r="M577">
        <v>15</v>
      </c>
      <c r="N577" s="3">
        <v>4760</v>
      </c>
      <c r="O577" s="3">
        <v>4760</v>
      </c>
      <c r="P577" t="s">
        <v>81</v>
      </c>
      <c r="Q577" t="s">
        <v>51</v>
      </c>
      <c r="R577" t="s">
        <v>36</v>
      </c>
      <c r="S577" t="s">
        <v>156</v>
      </c>
      <c r="T577" t="s">
        <v>157</v>
      </c>
      <c r="U577" t="s">
        <v>61</v>
      </c>
      <c r="V577" t="s">
        <v>40</v>
      </c>
      <c r="W577">
        <v>3.7</v>
      </c>
      <c r="X577" t="s">
        <v>106</v>
      </c>
      <c r="Y577" t="s">
        <v>42</v>
      </c>
      <c r="Z577">
        <v>3</v>
      </c>
    </row>
    <row r="578" spans="1:26">
      <c r="A578" t="s">
        <v>1291</v>
      </c>
      <c r="B578" t="s">
        <v>1292</v>
      </c>
      <c r="C578" t="s">
        <v>28</v>
      </c>
      <c r="D578" t="s">
        <v>46</v>
      </c>
      <c r="E578" s="1">
        <v>43801</v>
      </c>
      <c r="F578" t="s">
        <v>65</v>
      </c>
      <c r="G578" t="s">
        <v>279</v>
      </c>
      <c r="H578" t="s">
        <v>111</v>
      </c>
      <c r="I578">
        <v>8</v>
      </c>
      <c r="J578" t="s">
        <v>98</v>
      </c>
      <c r="K578">
        <v>1</v>
      </c>
      <c r="L578" s="3">
        <v>4899</v>
      </c>
      <c r="M578">
        <v>10</v>
      </c>
      <c r="N578" s="3">
        <v>4410</v>
      </c>
      <c r="O578" s="3">
        <v>4410</v>
      </c>
      <c r="P578" t="s">
        <v>81</v>
      </c>
      <c r="Q578" t="s">
        <v>51</v>
      </c>
      <c r="R578" t="s">
        <v>36</v>
      </c>
      <c r="S578" t="s">
        <v>99</v>
      </c>
      <c r="T578" t="s">
        <v>335</v>
      </c>
      <c r="U578" t="s">
        <v>61</v>
      </c>
      <c r="V578" t="s">
        <v>40</v>
      </c>
      <c r="W578">
        <v>4.5</v>
      </c>
      <c r="X578" t="s">
        <v>41</v>
      </c>
      <c r="Y578" t="s">
        <v>42</v>
      </c>
      <c r="Z578">
        <v>2</v>
      </c>
    </row>
    <row r="579" spans="1:26">
      <c r="A579" t="s">
        <v>1293</v>
      </c>
      <c r="B579" t="s">
        <v>1294</v>
      </c>
      <c r="C579" t="s">
        <v>28</v>
      </c>
      <c r="D579" t="s">
        <v>95</v>
      </c>
      <c r="E579" s="1">
        <v>43803</v>
      </c>
      <c r="F579" t="s">
        <v>96</v>
      </c>
      <c r="G579" t="s">
        <v>97</v>
      </c>
      <c r="H579" t="s">
        <v>49</v>
      </c>
      <c r="I579">
        <v>10</v>
      </c>
      <c r="J579" t="s">
        <v>98</v>
      </c>
      <c r="K579">
        <v>1</v>
      </c>
      <c r="L579" s="3">
        <v>6299</v>
      </c>
      <c r="M579">
        <v>30</v>
      </c>
      <c r="N579" s="3">
        <v>4410</v>
      </c>
      <c r="O579" s="3">
        <v>4410</v>
      </c>
      <c r="P579" t="s">
        <v>74</v>
      </c>
      <c r="Q579" t="s">
        <v>35</v>
      </c>
      <c r="R579" t="s">
        <v>36</v>
      </c>
      <c r="S579" t="s">
        <v>238</v>
      </c>
      <c r="T579" t="s">
        <v>377</v>
      </c>
      <c r="U579" t="s">
        <v>39</v>
      </c>
      <c r="V579" t="s">
        <v>40</v>
      </c>
      <c r="W579">
        <v>4.9000000000000004</v>
      </c>
      <c r="X579" t="s">
        <v>106</v>
      </c>
      <c r="Y579" t="s">
        <v>55</v>
      </c>
      <c r="Z579">
        <v>3</v>
      </c>
    </row>
    <row r="580" spans="1:26">
      <c r="A580" t="s">
        <v>1295</v>
      </c>
      <c r="B580" t="s">
        <v>774</v>
      </c>
      <c r="C580" t="s">
        <v>94</v>
      </c>
      <c r="D580" t="s">
        <v>103</v>
      </c>
      <c r="E580" s="1">
        <v>43803</v>
      </c>
      <c r="F580" t="s">
        <v>47</v>
      </c>
      <c r="G580" t="s">
        <v>48</v>
      </c>
      <c r="H580" t="s">
        <v>49</v>
      </c>
      <c r="I580">
        <v>9</v>
      </c>
      <c r="J580" t="s">
        <v>88</v>
      </c>
      <c r="K580">
        <v>1</v>
      </c>
      <c r="L580" s="3">
        <v>4099</v>
      </c>
      <c r="M580">
        <v>20</v>
      </c>
      <c r="N580" s="3">
        <v>3280</v>
      </c>
      <c r="O580" s="3">
        <v>3280</v>
      </c>
      <c r="P580" t="s">
        <v>74</v>
      </c>
      <c r="Q580" t="s">
        <v>82</v>
      </c>
      <c r="R580" t="s">
        <v>36</v>
      </c>
      <c r="S580" t="s">
        <v>141</v>
      </c>
      <c r="T580" t="s">
        <v>294</v>
      </c>
      <c r="U580" t="s">
        <v>54</v>
      </c>
      <c r="V580" t="s">
        <v>315</v>
      </c>
      <c r="W580">
        <v>4.3</v>
      </c>
      <c r="X580" t="s">
        <v>41</v>
      </c>
      <c r="Y580" t="s">
        <v>42</v>
      </c>
      <c r="Z580">
        <v>4</v>
      </c>
    </row>
    <row r="581" spans="1:26">
      <c r="A581" t="s">
        <v>1296</v>
      </c>
      <c r="B581" t="s">
        <v>1297</v>
      </c>
      <c r="C581" t="s">
        <v>94</v>
      </c>
      <c r="D581" t="s">
        <v>103</v>
      </c>
      <c r="E581" s="1">
        <v>43804</v>
      </c>
      <c r="F581" t="s">
        <v>30</v>
      </c>
      <c r="G581" t="s">
        <v>214</v>
      </c>
      <c r="H581" t="s">
        <v>128</v>
      </c>
      <c r="I581">
        <v>11</v>
      </c>
      <c r="J581" t="s">
        <v>67</v>
      </c>
      <c r="K581">
        <v>1</v>
      </c>
      <c r="L581" s="3">
        <v>8099</v>
      </c>
      <c r="M581">
        <v>0</v>
      </c>
      <c r="N581" s="3">
        <v>8100</v>
      </c>
      <c r="O581" s="3">
        <v>8100</v>
      </c>
      <c r="P581" t="s">
        <v>74</v>
      </c>
      <c r="Q581" t="s">
        <v>51</v>
      </c>
      <c r="R581" t="s">
        <v>36</v>
      </c>
      <c r="S581" t="s">
        <v>164</v>
      </c>
      <c r="T581" t="s">
        <v>348</v>
      </c>
      <c r="U581" t="s">
        <v>124</v>
      </c>
      <c r="V581" t="s">
        <v>40</v>
      </c>
      <c r="W581">
        <v>4.0999999999999996</v>
      </c>
      <c r="X581" t="s">
        <v>41</v>
      </c>
      <c r="Y581" t="s">
        <v>147</v>
      </c>
      <c r="Z581">
        <v>1</v>
      </c>
    </row>
    <row r="582" spans="1:26">
      <c r="A582" t="s">
        <v>1298</v>
      </c>
      <c r="B582" t="s">
        <v>1197</v>
      </c>
      <c r="C582" t="s">
        <v>45</v>
      </c>
      <c r="D582" t="s">
        <v>46</v>
      </c>
      <c r="E582" s="1">
        <v>43804</v>
      </c>
      <c r="F582" t="s">
        <v>86</v>
      </c>
      <c r="G582" t="s">
        <v>87</v>
      </c>
      <c r="H582" t="s">
        <v>59</v>
      </c>
      <c r="I582">
        <v>9</v>
      </c>
      <c r="J582" t="s">
        <v>150</v>
      </c>
      <c r="K582">
        <v>1</v>
      </c>
      <c r="L582" s="3">
        <v>8899</v>
      </c>
      <c r="M582">
        <v>15</v>
      </c>
      <c r="N582" s="3">
        <v>7560</v>
      </c>
      <c r="O582" s="3">
        <v>7560</v>
      </c>
      <c r="P582" t="s">
        <v>34</v>
      </c>
      <c r="Q582" t="s">
        <v>51</v>
      </c>
      <c r="R582" t="s">
        <v>36</v>
      </c>
      <c r="S582" t="s">
        <v>37</v>
      </c>
      <c r="T582" t="s">
        <v>1122</v>
      </c>
      <c r="U582" t="s">
        <v>39</v>
      </c>
      <c r="V582" t="s">
        <v>315</v>
      </c>
      <c r="W582">
        <v>5</v>
      </c>
      <c r="X582" t="s">
        <v>106</v>
      </c>
      <c r="Y582" t="s">
        <v>55</v>
      </c>
      <c r="Z582">
        <v>3</v>
      </c>
    </row>
    <row r="583" spans="1:26">
      <c r="A583" t="s">
        <v>1299</v>
      </c>
      <c r="B583" t="s">
        <v>1300</v>
      </c>
      <c r="C583" t="s">
        <v>45</v>
      </c>
      <c r="D583" t="s">
        <v>103</v>
      </c>
      <c r="E583" s="1">
        <v>43805</v>
      </c>
      <c r="F583" t="s">
        <v>96</v>
      </c>
      <c r="G583" t="s">
        <v>290</v>
      </c>
      <c r="H583" t="s">
        <v>32</v>
      </c>
      <c r="I583">
        <v>7</v>
      </c>
      <c r="J583" t="s">
        <v>98</v>
      </c>
      <c r="K583">
        <v>1</v>
      </c>
      <c r="L583" s="3">
        <v>6299</v>
      </c>
      <c r="M583">
        <v>20</v>
      </c>
      <c r="N583" s="3">
        <v>5040</v>
      </c>
      <c r="O583" s="3">
        <v>5040</v>
      </c>
      <c r="P583" t="s">
        <v>50</v>
      </c>
      <c r="Q583" t="s">
        <v>51</v>
      </c>
      <c r="R583" t="s">
        <v>36</v>
      </c>
      <c r="S583" t="s">
        <v>164</v>
      </c>
      <c r="T583" t="s">
        <v>165</v>
      </c>
      <c r="U583" t="s">
        <v>39</v>
      </c>
      <c r="V583" t="s">
        <v>40</v>
      </c>
      <c r="W583">
        <v>2.6</v>
      </c>
      <c r="X583" t="s">
        <v>41</v>
      </c>
      <c r="Y583" t="s">
        <v>55</v>
      </c>
      <c r="Z583">
        <v>3</v>
      </c>
    </row>
    <row r="584" spans="1:26">
      <c r="A584" t="s">
        <v>1301</v>
      </c>
      <c r="B584" t="s">
        <v>1302</v>
      </c>
      <c r="C584" t="s">
        <v>28</v>
      </c>
      <c r="D584" t="s">
        <v>29</v>
      </c>
      <c r="E584" s="1">
        <v>43805</v>
      </c>
      <c r="F584" t="s">
        <v>86</v>
      </c>
      <c r="G584" t="s">
        <v>312</v>
      </c>
      <c r="H584" t="s">
        <v>59</v>
      </c>
      <c r="I584">
        <v>8</v>
      </c>
      <c r="J584" t="s">
        <v>73</v>
      </c>
      <c r="K584">
        <v>1</v>
      </c>
      <c r="L584" s="3">
        <v>6299</v>
      </c>
      <c r="M584">
        <v>25</v>
      </c>
      <c r="N584" s="3">
        <v>4720</v>
      </c>
      <c r="O584" s="3">
        <v>4720</v>
      </c>
      <c r="P584" t="s">
        <v>74</v>
      </c>
      <c r="Q584" t="s">
        <v>35</v>
      </c>
      <c r="R584" t="s">
        <v>36</v>
      </c>
      <c r="S584" t="s">
        <v>384</v>
      </c>
      <c r="T584" t="s">
        <v>1217</v>
      </c>
      <c r="U584" t="s">
        <v>91</v>
      </c>
      <c r="V584" t="s">
        <v>40</v>
      </c>
      <c r="W584">
        <v>4.2</v>
      </c>
      <c r="X584" t="s">
        <v>41</v>
      </c>
      <c r="Y584" t="s">
        <v>42</v>
      </c>
      <c r="Z584">
        <v>4</v>
      </c>
    </row>
    <row r="585" spans="1:26">
      <c r="A585" t="s">
        <v>1303</v>
      </c>
      <c r="B585" t="s">
        <v>1304</v>
      </c>
      <c r="C585" t="s">
        <v>28</v>
      </c>
      <c r="D585" t="s">
        <v>46</v>
      </c>
      <c r="E585" s="1">
        <v>43806</v>
      </c>
      <c r="F585" t="s">
        <v>65</v>
      </c>
      <c r="G585" t="s">
        <v>256</v>
      </c>
      <c r="H585" t="s">
        <v>32</v>
      </c>
      <c r="I585">
        <v>12</v>
      </c>
      <c r="J585" t="s">
        <v>98</v>
      </c>
      <c r="K585">
        <v>1</v>
      </c>
      <c r="L585" s="3">
        <v>6599</v>
      </c>
      <c r="M585">
        <v>15</v>
      </c>
      <c r="N585" s="3">
        <v>5610</v>
      </c>
      <c r="O585" s="3">
        <v>5610</v>
      </c>
      <c r="P585" t="s">
        <v>81</v>
      </c>
      <c r="Q585" t="s">
        <v>82</v>
      </c>
      <c r="R585" t="s">
        <v>36</v>
      </c>
      <c r="S585" t="s">
        <v>160</v>
      </c>
      <c r="T585" t="s">
        <v>344</v>
      </c>
      <c r="U585" t="s">
        <v>39</v>
      </c>
      <c r="V585" t="s">
        <v>40</v>
      </c>
      <c r="W585">
        <v>4.5</v>
      </c>
      <c r="X585" t="s">
        <v>41</v>
      </c>
      <c r="Y585" t="s">
        <v>42</v>
      </c>
      <c r="Z585">
        <v>2</v>
      </c>
    </row>
    <row r="586" spans="1:26">
      <c r="A586" t="s">
        <v>1305</v>
      </c>
      <c r="B586" t="s">
        <v>1306</v>
      </c>
      <c r="C586" t="s">
        <v>94</v>
      </c>
      <c r="D586" t="s">
        <v>46</v>
      </c>
      <c r="E586" s="1">
        <v>43807</v>
      </c>
      <c r="F586" t="s">
        <v>30</v>
      </c>
      <c r="G586" t="s">
        <v>110</v>
      </c>
      <c r="H586" t="s">
        <v>111</v>
      </c>
      <c r="I586">
        <v>9</v>
      </c>
      <c r="J586" t="s">
        <v>98</v>
      </c>
      <c r="K586">
        <v>1</v>
      </c>
      <c r="L586" s="3">
        <v>4199</v>
      </c>
      <c r="M586">
        <v>30</v>
      </c>
      <c r="N586" s="3">
        <v>2940</v>
      </c>
      <c r="O586" s="3">
        <v>2940</v>
      </c>
      <c r="P586" t="s">
        <v>74</v>
      </c>
      <c r="Q586" t="s">
        <v>35</v>
      </c>
      <c r="R586" t="s">
        <v>36</v>
      </c>
      <c r="S586" t="s">
        <v>182</v>
      </c>
      <c r="T586" t="s">
        <v>604</v>
      </c>
      <c r="U586" t="s">
        <v>61</v>
      </c>
      <c r="V586" t="s">
        <v>40</v>
      </c>
      <c r="W586">
        <v>4.2</v>
      </c>
      <c r="X586" t="s">
        <v>41</v>
      </c>
      <c r="Y586" t="s">
        <v>55</v>
      </c>
      <c r="Z586">
        <v>3</v>
      </c>
    </row>
    <row r="587" spans="1:26">
      <c r="A587" t="s">
        <v>1307</v>
      </c>
      <c r="B587" t="s">
        <v>1308</v>
      </c>
      <c r="C587" t="s">
        <v>45</v>
      </c>
      <c r="D587" t="s">
        <v>103</v>
      </c>
      <c r="E587" s="1">
        <v>43808</v>
      </c>
      <c r="F587" t="s">
        <v>96</v>
      </c>
      <c r="G587" t="s">
        <v>290</v>
      </c>
      <c r="H587" t="s">
        <v>32</v>
      </c>
      <c r="I587">
        <v>9</v>
      </c>
      <c r="J587" t="s">
        <v>98</v>
      </c>
      <c r="K587">
        <v>1</v>
      </c>
      <c r="L587" s="3">
        <v>9199</v>
      </c>
      <c r="M587">
        <v>20</v>
      </c>
      <c r="N587" s="3">
        <v>7360</v>
      </c>
      <c r="O587" s="3">
        <v>7360</v>
      </c>
      <c r="P587" t="s">
        <v>81</v>
      </c>
      <c r="Q587" t="s">
        <v>82</v>
      </c>
      <c r="R587" t="s">
        <v>36</v>
      </c>
      <c r="S587" t="s">
        <v>75</v>
      </c>
      <c r="T587" t="s">
        <v>215</v>
      </c>
      <c r="U587" t="s">
        <v>61</v>
      </c>
      <c r="V587" t="s">
        <v>40</v>
      </c>
      <c r="W587">
        <v>4.0999999999999996</v>
      </c>
      <c r="X587" t="s">
        <v>41</v>
      </c>
      <c r="Y587" t="s">
        <v>42</v>
      </c>
      <c r="Z587">
        <v>6</v>
      </c>
    </row>
    <row r="588" spans="1:26">
      <c r="A588" t="s">
        <v>1309</v>
      </c>
      <c r="B588" t="s">
        <v>1310</v>
      </c>
      <c r="C588" t="s">
        <v>45</v>
      </c>
      <c r="D588" t="s">
        <v>103</v>
      </c>
      <c r="E588" s="1">
        <v>43808</v>
      </c>
      <c r="F588" t="s">
        <v>86</v>
      </c>
      <c r="G588" t="s">
        <v>87</v>
      </c>
      <c r="H588" t="s">
        <v>59</v>
      </c>
      <c r="I588">
        <v>6</v>
      </c>
      <c r="J588" t="s">
        <v>98</v>
      </c>
      <c r="K588">
        <v>1</v>
      </c>
      <c r="L588" s="3">
        <v>5399</v>
      </c>
      <c r="M588">
        <v>15</v>
      </c>
      <c r="N588" s="3">
        <v>4590</v>
      </c>
      <c r="O588" s="3">
        <v>4590</v>
      </c>
      <c r="P588" t="s">
        <v>74</v>
      </c>
      <c r="Q588" t="s">
        <v>51</v>
      </c>
      <c r="R588" t="s">
        <v>36</v>
      </c>
      <c r="S588" t="s">
        <v>175</v>
      </c>
      <c r="T588" t="s">
        <v>437</v>
      </c>
      <c r="U588" t="s">
        <v>61</v>
      </c>
      <c r="V588" t="s">
        <v>40</v>
      </c>
      <c r="W588">
        <v>2.9</v>
      </c>
      <c r="X588" t="s">
        <v>106</v>
      </c>
      <c r="Y588" t="s">
        <v>55</v>
      </c>
      <c r="Z588">
        <v>1</v>
      </c>
    </row>
    <row r="589" spans="1:26">
      <c r="A589" t="s">
        <v>1311</v>
      </c>
      <c r="B589" t="s">
        <v>1312</v>
      </c>
      <c r="C589" t="s">
        <v>28</v>
      </c>
      <c r="D589" t="s">
        <v>29</v>
      </c>
      <c r="E589" s="1">
        <v>43808</v>
      </c>
      <c r="F589" t="s">
        <v>86</v>
      </c>
      <c r="G589" t="s">
        <v>116</v>
      </c>
      <c r="H589" t="s">
        <v>49</v>
      </c>
      <c r="I589">
        <v>8</v>
      </c>
      <c r="J589" t="s">
        <v>33</v>
      </c>
      <c r="K589">
        <v>1</v>
      </c>
      <c r="L589" s="3">
        <v>8699</v>
      </c>
      <c r="M589">
        <v>15</v>
      </c>
      <c r="N589" s="3">
        <v>7390</v>
      </c>
      <c r="O589" s="3">
        <v>7390</v>
      </c>
      <c r="P589" t="s">
        <v>34</v>
      </c>
      <c r="Q589" t="s">
        <v>51</v>
      </c>
      <c r="R589" t="s">
        <v>36</v>
      </c>
      <c r="S589" t="s">
        <v>99</v>
      </c>
      <c r="T589" t="s">
        <v>759</v>
      </c>
      <c r="U589" t="s">
        <v>91</v>
      </c>
      <c r="V589" t="s">
        <v>40</v>
      </c>
      <c r="W589">
        <v>3.7</v>
      </c>
      <c r="X589" t="s">
        <v>106</v>
      </c>
      <c r="Y589" t="s">
        <v>55</v>
      </c>
      <c r="Z589">
        <v>2</v>
      </c>
    </row>
    <row r="590" spans="1:26">
      <c r="A590" t="s">
        <v>1313</v>
      </c>
      <c r="B590" t="s">
        <v>930</v>
      </c>
      <c r="C590" t="s">
        <v>28</v>
      </c>
      <c r="D590" t="s">
        <v>46</v>
      </c>
      <c r="E590" s="1">
        <v>43808</v>
      </c>
      <c r="F590" t="s">
        <v>30</v>
      </c>
      <c r="G590" t="s">
        <v>110</v>
      </c>
      <c r="H590" t="s">
        <v>111</v>
      </c>
      <c r="I590">
        <v>8</v>
      </c>
      <c r="J590" t="s">
        <v>98</v>
      </c>
      <c r="K590">
        <v>2</v>
      </c>
      <c r="L590" s="3">
        <v>6099</v>
      </c>
      <c r="M590">
        <v>35</v>
      </c>
      <c r="N590" s="3">
        <v>3960</v>
      </c>
      <c r="O590" s="3">
        <v>7920</v>
      </c>
      <c r="P590" t="s">
        <v>34</v>
      </c>
      <c r="Q590" t="s">
        <v>51</v>
      </c>
      <c r="R590" t="s">
        <v>36</v>
      </c>
      <c r="S590" t="s">
        <v>338</v>
      </c>
      <c r="T590" t="s">
        <v>779</v>
      </c>
      <c r="U590" t="s">
        <v>54</v>
      </c>
      <c r="V590" t="s">
        <v>315</v>
      </c>
      <c r="W590">
        <v>4.4000000000000004</v>
      </c>
      <c r="X590" t="s">
        <v>41</v>
      </c>
      <c r="Y590" t="s">
        <v>42</v>
      </c>
      <c r="Z590">
        <v>3</v>
      </c>
    </row>
    <row r="591" spans="1:26">
      <c r="A591" t="s">
        <v>1314</v>
      </c>
      <c r="B591" t="s">
        <v>1315</v>
      </c>
      <c r="C591" t="s">
        <v>28</v>
      </c>
      <c r="D591" t="s">
        <v>29</v>
      </c>
      <c r="E591" s="1">
        <v>43810</v>
      </c>
      <c r="F591" t="s">
        <v>47</v>
      </c>
      <c r="G591" t="s">
        <v>48</v>
      </c>
      <c r="H591" t="s">
        <v>49</v>
      </c>
      <c r="I591">
        <v>8</v>
      </c>
      <c r="J591" t="s">
        <v>73</v>
      </c>
      <c r="K591">
        <v>1</v>
      </c>
      <c r="L591" s="3">
        <v>8299</v>
      </c>
      <c r="M591">
        <v>5</v>
      </c>
      <c r="N591" s="3">
        <v>7880</v>
      </c>
      <c r="O591" s="3">
        <v>7880</v>
      </c>
      <c r="P591" t="s">
        <v>74</v>
      </c>
      <c r="Q591" t="s">
        <v>51</v>
      </c>
      <c r="R591" t="s">
        <v>36</v>
      </c>
      <c r="S591" t="s">
        <v>151</v>
      </c>
      <c r="T591" t="s">
        <v>152</v>
      </c>
      <c r="U591" t="s">
        <v>61</v>
      </c>
      <c r="V591" t="s">
        <v>40</v>
      </c>
      <c r="W591">
        <v>4.0999999999999996</v>
      </c>
      <c r="X591" t="s">
        <v>62</v>
      </c>
      <c r="Y591" t="s">
        <v>55</v>
      </c>
      <c r="Z591">
        <v>2</v>
      </c>
    </row>
    <row r="592" spans="1:26">
      <c r="A592" t="s">
        <v>1316</v>
      </c>
      <c r="B592" t="s">
        <v>739</v>
      </c>
      <c r="C592" t="s">
        <v>45</v>
      </c>
      <c r="D592" t="s">
        <v>95</v>
      </c>
      <c r="E592" s="1">
        <v>43811</v>
      </c>
      <c r="F592" t="s">
        <v>47</v>
      </c>
      <c r="G592" t="s">
        <v>48</v>
      </c>
      <c r="H592" t="s">
        <v>49</v>
      </c>
      <c r="I592">
        <v>8</v>
      </c>
      <c r="J592" t="s">
        <v>73</v>
      </c>
      <c r="K592">
        <v>3</v>
      </c>
      <c r="L592" s="3">
        <v>4099</v>
      </c>
      <c r="M592">
        <v>5</v>
      </c>
      <c r="N592" s="3">
        <v>3890</v>
      </c>
      <c r="O592" s="3">
        <v>11670</v>
      </c>
      <c r="P592" t="s">
        <v>50</v>
      </c>
      <c r="Q592" t="s">
        <v>51</v>
      </c>
      <c r="R592" t="s">
        <v>36</v>
      </c>
      <c r="S592" t="s">
        <v>122</v>
      </c>
      <c r="T592" t="s">
        <v>382</v>
      </c>
      <c r="U592" t="s">
        <v>54</v>
      </c>
      <c r="V592" t="s">
        <v>315</v>
      </c>
      <c r="W592">
        <v>4.5999999999999996</v>
      </c>
      <c r="X592" t="s">
        <v>62</v>
      </c>
      <c r="Y592" t="s">
        <v>55</v>
      </c>
      <c r="Z592">
        <v>2</v>
      </c>
    </row>
    <row r="593" spans="1:26">
      <c r="A593" t="s">
        <v>1317</v>
      </c>
      <c r="B593" t="s">
        <v>903</v>
      </c>
      <c r="C593" t="s">
        <v>28</v>
      </c>
      <c r="D593" t="s">
        <v>46</v>
      </c>
      <c r="E593" s="1">
        <v>43811</v>
      </c>
      <c r="F593" t="s">
        <v>30</v>
      </c>
      <c r="G593" t="s">
        <v>145</v>
      </c>
      <c r="H593" t="s">
        <v>59</v>
      </c>
      <c r="I593">
        <v>7</v>
      </c>
      <c r="J593" t="s">
        <v>98</v>
      </c>
      <c r="K593">
        <v>1</v>
      </c>
      <c r="L593" s="3">
        <v>6399</v>
      </c>
      <c r="M593">
        <v>20</v>
      </c>
      <c r="N593" s="3">
        <v>5120</v>
      </c>
      <c r="O593" s="3">
        <v>5120</v>
      </c>
      <c r="P593" t="s">
        <v>34</v>
      </c>
      <c r="Q593" t="s">
        <v>35</v>
      </c>
      <c r="R593" t="s">
        <v>36</v>
      </c>
      <c r="S593" t="s">
        <v>168</v>
      </c>
      <c r="T593" t="s">
        <v>714</v>
      </c>
      <c r="U593" t="s">
        <v>54</v>
      </c>
      <c r="V593" t="s">
        <v>315</v>
      </c>
      <c r="W593">
        <v>4.5999999999999996</v>
      </c>
      <c r="X593" t="s">
        <v>41</v>
      </c>
      <c r="Y593" t="s">
        <v>42</v>
      </c>
      <c r="Z593">
        <v>4</v>
      </c>
    </row>
    <row r="594" spans="1:26">
      <c r="A594" t="s">
        <v>1318</v>
      </c>
      <c r="B594" t="s">
        <v>552</v>
      </c>
      <c r="C594" t="s">
        <v>28</v>
      </c>
      <c r="D594" t="s">
        <v>103</v>
      </c>
      <c r="E594" s="1">
        <v>43812</v>
      </c>
      <c r="F594" t="s">
        <v>86</v>
      </c>
      <c r="G594" t="s">
        <v>285</v>
      </c>
      <c r="H594" t="s">
        <v>111</v>
      </c>
      <c r="I594">
        <v>9</v>
      </c>
      <c r="J594" t="s">
        <v>67</v>
      </c>
      <c r="K594">
        <v>1</v>
      </c>
      <c r="L594" s="3">
        <v>5799</v>
      </c>
      <c r="M594">
        <v>15</v>
      </c>
      <c r="N594" s="3">
        <v>4930</v>
      </c>
      <c r="O594" s="3">
        <v>4930</v>
      </c>
      <c r="P594" t="s">
        <v>50</v>
      </c>
      <c r="Q594" t="s">
        <v>82</v>
      </c>
      <c r="R594" t="s">
        <v>36</v>
      </c>
      <c r="S594" t="s">
        <v>286</v>
      </c>
      <c r="T594" t="s">
        <v>737</v>
      </c>
      <c r="U594" t="s">
        <v>39</v>
      </c>
      <c r="V594" t="s">
        <v>315</v>
      </c>
      <c r="W594">
        <v>3.7</v>
      </c>
      <c r="X594" t="s">
        <v>41</v>
      </c>
      <c r="Y594" t="s">
        <v>42</v>
      </c>
      <c r="Z594">
        <v>4</v>
      </c>
    </row>
    <row r="595" spans="1:26">
      <c r="A595" t="s">
        <v>1319</v>
      </c>
      <c r="B595" t="s">
        <v>284</v>
      </c>
      <c r="C595" t="s">
        <v>45</v>
      </c>
      <c r="D595" t="s">
        <v>95</v>
      </c>
      <c r="E595" s="1">
        <v>43812</v>
      </c>
      <c r="F595" t="s">
        <v>96</v>
      </c>
      <c r="G595" t="s">
        <v>97</v>
      </c>
      <c r="H595" t="s">
        <v>49</v>
      </c>
      <c r="I595">
        <v>8</v>
      </c>
      <c r="J595" t="s">
        <v>67</v>
      </c>
      <c r="K595">
        <v>1</v>
      </c>
      <c r="L595" s="3">
        <v>7999</v>
      </c>
      <c r="M595">
        <v>20</v>
      </c>
      <c r="N595" s="3">
        <v>6400</v>
      </c>
      <c r="O595" s="3">
        <v>6400</v>
      </c>
      <c r="P595" t="s">
        <v>50</v>
      </c>
      <c r="Q595" t="s">
        <v>35</v>
      </c>
      <c r="R595" t="s">
        <v>36</v>
      </c>
      <c r="S595" t="s">
        <v>286</v>
      </c>
      <c r="T595" t="s">
        <v>287</v>
      </c>
      <c r="U595" t="s">
        <v>91</v>
      </c>
      <c r="V595" t="s">
        <v>969</v>
      </c>
      <c r="W595">
        <v>4.0999999999999996</v>
      </c>
      <c r="X595" t="s">
        <v>41</v>
      </c>
      <c r="Y595" t="s">
        <v>42</v>
      </c>
      <c r="Z595">
        <v>3</v>
      </c>
    </row>
    <row r="596" spans="1:26">
      <c r="A596" t="s">
        <v>1320</v>
      </c>
      <c r="B596" t="s">
        <v>987</v>
      </c>
      <c r="C596" t="s">
        <v>45</v>
      </c>
      <c r="D596" t="s">
        <v>29</v>
      </c>
      <c r="E596" s="1">
        <v>43812</v>
      </c>
      <c r="F596" t="s">
        <v>96</v>
      </c>
      <c r="G596" t="s">
        <v>97</v>
      </c>
      <c r="H596" t="s">
        <v>49</v>
      </c>
      <c r="I596">
        <v>7</v>
      </c>
      <c r="J596" t="s">
        <v>73</v>
      </c>
      <c r="K596">
        <v>1</v>
      </c>
      <c r="L596" s="3">
        <v>5899</v>
      </c>
      <c r="M596">
        <v>20</v>
      </c>
      <c r="N596" s="3">
        <v>4720</v>
      </c>
      <c r="O596" s="3">
        <v>4720</v>
      </c>
      <c r="P596" t="s">
        <v>81</v>
      </c>
      <c r="Q596" t="s">
        <v>82</v>
      </c>
      <c r="R596" t="s">
        <v>36</v>
      </c>
      <c r="S596" t="s">
        <v>418</v>
      </c>
      <c r="T596" t="s">
        <v>924</v>
      </c>
      <c r="U596" t="s">
        <v>91</v>
      </c>
      <c r="V596" t="s">
        <v>315</v>
      </c>
      <c r="W596">
        <v>3.7</v>
      </c>
      <c r="X596" t="s">
        <v>41</v>
      </c>
      <c r="Y596" t="s">
        <v>42</v>
      </c>
      <c r="Z596">
        <v>6</v>
      </c>
    </row>
    <row r="597" spans="1:26">
      <c r="A597" t="s">
        <v>1321</v>
      </c>
      <c r="B597" t="s">
        <v>912</v>
      </c>
      <c r="C597" t="s">
        <v>28</v>
      </c>
      <c r="D597" t="s">
        <v>95</v>
      </c>
      <c r="E597" s="1">
        <v>43814</v>
      </c>
      <c r="F597" t="s">
        <v>86</v>
      </c>
      <c r="G597" t="s">
        <v>312</v>
      </c>
      <c r="H597" t="s">
        <v>59</v>
      </c>
      <c r="I597">
        <v>7</v>
      </c>
      <c r="J597" t="s">
        <v>150</v>
      </c>
      <c r="K597">
        <v>1</v>
      </c>
      <c r="L597" s="3">
        <v>9799</v>
      </c>
      <c r="M597">
        <v>10</v>
      </c>
      <c r="N597" s="3">
        <v>8820</v>
      </c>
      <c r="O597" s="3">
        <v>8820</v>
      </c>
      <c r="P597" t="s">
        <v>34</v>
      </c>
      <c r="Q597" t="s">
        <v>51</v>
      </c>
      <c r="R597" t="s">
        <v>36</v>
      </c>
      <c r="S597" t="s">
        <v>117</v>
      </c>
      <c r="T597" t="s">
        <v>751</v>
      </c>
      <c r="U597" t="s">
        <v>39</v>
      </c>
      <c r="V597" t="s">
        <v>315</v>
      </c>
      <c r="W597">
        <v>4.7</v>
      </c>
      <c r="X597" t="s">
        <v>106</v>
      </c>
      <c r="Y597" t="s">
        <v>55</v>
      </c>
      <c r="Z597">
        <v>3</v>
      </c>
    </row>
    <row r="598" spans="1:26">
      <c r="A598" t="s">
        <v>1322</v>
      </c>
      <c r="B598" t="s">
        <v>1323</v>
      </c>
      <c r="C598" t="s">
        <v>28</v>
      </c>
      <c r="D598" t="s">
        <v>46</v>
      </c>
      <c r="E598" s="1">
        <v>43814</v>
      </c>
      <c r="F598" t="s">
        <v>65</v>
      </c>
      <c r="G598" t="s">
        <v>72</v>
      </c>
      <c r="H598" t="s">
        <v>59</v>
      </c>
      <c r="I598">
        <v>7</v>
      </c>
      <c r="J598" t="s">
        <v>33</v>
      </c>
      <c r="K598">
        <v>2</v>
      </c>
      <c r="L598" s="3">
        <v>5099</v>
      </c>
      <c r="M598">
        <v>20</v>
      </c>
      <c r="N598" s="3">
        <v>4080</v>
      </c>
      <c r="O598" s="3">
        <v>8160</v>
      </c>
      <c r="P598" t="s">
        <v>81</v>
      </c>
      <c r="Q598" t="s">
        <v>82</v>
      </c>
      <c r="R598" t="s">
        <v>36</v>
      </c>
      <c r="S598" t="s">
        <v>200</v>
      </c>
      <c r="T598" t="s">
        <v>201</v>
      </c>
      <c r="U598" t="s">
        <v>54</v>
      </c>
      <c r="V598" t="s">
        <v>40</v>
      </c>
      <c r="W598">
        <v>4.0999999999999996</v>
      </c>
      <c r="X598" t="s">
        <v>41</v>
      </c>
      <c r="Y598" t="s">
        <v>42</v>
      </c>
      <c r="Z598">
        <v>3</v>
      </c>
    </row>
    <row r="599" spans="1:26">
      <c r="A599" t="s">
        <v>1324</v>
      </c>
      <c r="B599" t="s">
        <v>941</v>
      </c>
      <c r="C599" t="s">
        <v>94</v>
      </c>
      <c r="D599" t="s">
        <v>46</v>
      </c>
      <c r="E599" s="1">
        <v>43815</v>
      </c>
      <c r="F599" t="s">
        <v>65</v>
      </c>
      <c r="G599" t="s">
        <v>66</v>
      </c>
      <c r="H599" t="s">
        <v>59</v>
      </c>
      <c r="I599">
        <v>7</v>
      </c>
      <c r="J599" t="s">
        <v>33</v>
      </c>
      <c r="K599">
        <v>1</v>
      </c>
      <c r="L599" s="3">
        <v>8099</v>
      </c>
      <c r="M599">
        <v>30</v>
      </c>
      <c r="N599" s="3">
        <v>5670</v>
      </c>
      <c r="O599" s="3">
        <v>5670</v>
      </c>
      <c r="P599" t="s">
        <v>50</v>
      </c>
      <c r="Q599" t="s">
        <v>82</v>
      </c>
      <c r="R599" t="s">
        <v>36</v>
      </c>
      <c r="S599" t="s">
        <v>418</v>
      </c>
      <c r="T599" t="s">
        <v>549</v>
      </c>
      <c r="U599" t="s">
        <v>39</v>
      </c>
      <c r="V599" t="s">
        <v>315</v>
      </c>
      <c r="W599">
        <v>5</v>
      </c>
      <c r="X599" t="s">
        <v>41</v>
      </c>
      <c r="Y599" t="s">
        <v>147</v>
      </c>
      <c r="Z599">
        <v>1</v>
      </c>
    </row>
    <row r="600" spans="1:26">
      <c r="A600" t="s">
        <v>1325</v>
      </c>
      <c r="B600" t="s">
        <v>1326</v>
      </c>
      <c r="C600" t="s">
        <v>28</v>
      </c>
      <c r="D600" t="s">
        <v>46</v>
      </c>
      <c r="E600" s="1">
        <v>43816</v>
      </c>
      <c r="F600" t="s">
        <v>65</v>
      </c>
      <c r="G600" t="s">
        <v>279</v>
      </c>
      <c r="H600" t="s">
        <v>111</v>
      </c>
      <c r="I600">
        <v>10</v>
      </c>
      <c r="J600" t="s">
        <v>73</v>
      </c>
      <c r="K600">
        <v>2</v>
      </c>
      <c r="L600" s="3">
        <v>3699</v>
      </c>
      <c r="M600">
        <v>10</v>
      </c>
      <c r="N600" s="3">
        <v>3330</v>
      </c>
      <c r="O600" s="3">
        <v>6660</v>
      </c>
      <c r="P600" t="s">
        <v>50</v>
      </c>
      <c r="Q600" t="s">
        <v>51</v>
      </c>
      <c r="R600" t="s">
        <v>36</v>
      </c>
      <c r="S600" t="s">
        <v>418</v>
      </c>
      <c r="T600" t="s">
        <v>924</v>
      </c>
      <c r="U600" t="s">
        <v>91</v>
      </c>
      <c r="V600" t="s">
        <v>40</v>
      </c>
      <c r="W600">
        <v>5</v>
      </c>
      <c r="X600" t="s">
        <v>41</v>
      </c>
      <c r="Y600" t="s">
        <v>55</v>
      </c>
      <c r="Z600">
        <v>2</v>
      </c>
    </row>
    <row r="601" spans="1:26">
      <c r="A601" t="s">
        <v>1327</v>
      </c>
      <c r="B601" t="s">
        <v>1328</v>
      </c>
      <c r="C601" t="s">
        <v>28</v>
      </c>
      <c r="D601" t="s">
        <v>46</v>
      </c>
      <c r="E601" s="1">
        <v>43816</v>
      </c>
      <c r="F601" t="s">
        <v>79</v>
      </c>
      <c r="G601" t="s">
        <v>480</v>
      </c>
      <c r="H601" t="s">
        <v>111</v>
      </c>
      <c r="I601">
        <v>10</v>
      </c>
      <c r="J601" t="s">
        <v>33</v>
      </c>
      <c r="K601">
        <v>1</v>
      </c>
      <c r="L601" s="3">
        <v>5899</v>
      </c>
      <c r="M601">
        <v>35</v>
      </c>
      <c r="N601" s="3">
        <v>3830</v>
      </c>
      <c r="O601" s="3">
        <v>3830</v>
      </c>
      <c r="P601" t="s">
        <v>50</v>
      </c>
      <c r="Q601" t="s">
        <v>82</v>
      </c>
      <c r="R601" t="s">
        <v>36</v>
      </c>
      <c r="S601" t="s">
        <v>354</v>
      </c>
      <c r="T601" t="s">
        <v>431</v>
      </c>
      <c r="U601" t="s">
        <v>54</v>
      </c>
      <c r="V601" t="s">
        <v>40</v>
      </c>
      <c r="W601">
        <v>3.7</v>
      </c>
      <c r="X601" t="s">
        <v>106</v>
      </c>
      <c r="Y601" t="s">
        <v>55</v>
      </c>
      <c r="Z601">
        <v>2</v>
      </c>
    </row>
    <row r="602" spans="1:26">
      <c r="A602" t="s">
        <v>1329</v>
      </c>
      <c r="B602" t="s">
        <v>673</v>
      </c>
      <c r="C602" t="s">
        <v>94</v>
      </c>
      <c r="D602" t="s">
        <v>46</v>
      </c>
      <c r="E602" s="1">
        <v>43817</v>
      </c>
      <c r="F602" t="s">
        <v>96</v>
      </c>
      <c r="G602" t="s">
        <v>155</v>
      </c>
      <c r="H602" t="s">
        <v>111</v>
      </c>
      <c r="I602">
        <v>9</v>
      </c>
      <c r="J602" t="s">
        <v>33</v>
      </c>
      <c r="K602">
        <v>1</v>
      </c>
      <c r="L602" s="3">
        <v>5199</v>
      </c>
      <c r="M602">
        <v>10</v>
      </c>
      <c r="N602" s="3">
        <v>4680</v>
      </c>
      <c r="O602" s="3">
        <v>4680</v>
      </c>
      <c r="P602" t="s">
        <v>74</v>
      </c>
      <c r="Q602" t="s">
        <v>82</v>
      </c>
      <c r="R602" t="s">
        <v>36</v>
      </c>
      <c r="S602" t="s">
        <v>117</v>
      </c>
      <c r="T602" t="s">
        <v>253</v>
      </c>
      <c r="U602" t="s">
        <v>39</v>
      </c>
      <c r="V602" t="s">
        <v>315</v>
      </c>
      <c r="W602">
        <v>3.3</v>
      </c>
      <c r="X602" t="s">
        <v>41</v>
      </c>
      <c r="Y602" t="s">
        <v>42</v>
      </c>
      <c r="Z602">
        <v>5</v>
      </c>
    </row>
    <row r="603" spans="1:26">
      <c r="A603" t="s">
        <v>1330</v>
      </c>
      <c r="B603" t="s">
        <v>559</v>
      </c>
      <c r="C603" t="s">
        <v>45</v>
      </c>
      <c r="D603" t="s">
        <v>29</v>
      </c>
      <c r="E603" s="1">
        <v>43817</v>
      </c>
      <c r="F603" t="s">
        <v>86</v>
      </c>
      <c r="G603" t="s">
        <v>242</v>
      </c>
      <c r="H603" t="s">
        <v>32</v>
      </c>
      <c r="I603">
        <v>10</v>
      </c>
      <c r="J603" t="s">
        <v>33</v>
      </c>
      <c r="K603">
        <v>1</v>
      </c>
      <c r="L603" s="3">
        <v>4599</v>
      </c>
      <c r="M603">
        <v>20</v>
      </c>
      <c r="N603" s="3">
        <v>3680</v>
      </c>
      <c r="O603" s="3">
        <v>3680</v>
      </c>
      <c r="P603" t="s">
        <v>74</v>
      </c>
      <c r="Q603" t="s">
        <v>82</v>
      </c>
      <c r="R603" t="s">
        <v>36</v>
      </c>
      <c r="S603" t="s">
        <v>75</v>
      </c>
      <c r="T603" t="s">
        <v>215</v>
      </c>
      <c r="U603" t="s">
        <v>124</v>
      </c>
      <c r="V603" t="s">
        <v>315</v>
      </c>
      <c r="W603">
        <v>3.3</v>
      </c>
      <c r="X603" t="s">
        <v>106</v>
      </c>
      <c r="Y603" t="s">
        <v>42</v>
      </c>
      <c r="Z603">
        <v>5</v>
      </c>
    </row>
    <row r="604" spans="1:26">
      <c r="A604" t="s">
        <v>1331</v>
      </c>
      <c r="B604" t="s">
        <v>1332</v>
      </c>
      <c r="C604" t="s">
        <v>28</v>
      </c>
      <c r="D604" t="s">
        <v>46</v>
      </c>
      <c r="E604" s="1">
        <v>43818</v>
      </c>
      <c r="F604" t="s">
        <v>86</v>
      </c>
      <c r="G604" t="s">
        <v>242</v>
      </c>
      <c r="H604" t="s">
        <v>32</v>
      </c>
      <c r="I604">
        <v>10</v>
      </c>
      <c r="J604" t="s">
        <v>150</v>
      </c>
      <c r="K604">
        <v>2</v>
      </c>
      <c r="L604" s="3">
        <v>5099</v>
      </c>
      <c r="M604">
        <v>0</v>
      </c>
      <c r="N604" s="3">
        <v>5100</v>
      </c>
      <c r="O604" s="3">
        <v>10200</v>
      </c>
      <c r="P604" t="s">
        <v>81</v>
      </c>
      <c r="Q604" t="s">
        <v>35</v>
      </c>
      <c r="R604" t="s">
        <v>36</v>
      </c>
      <c r="S604" t="s">
        <v>200</v>
      </c>
      <c r="T604" t="s">
        <v>204</v>
      </c>
      <c r="U604" t="s">
        <v>54</v>
      </c>
      <c r="V604" t="s">
        <v>40</v>
      </c>
      <c r="W604">
        <v>4.4000000000000004</v>
      </c>
      <c r="X604" t="s">
        <v>41</v>
      </c>
      <c r="Y604" t="s">
        <v>42</v>
      </c>
      <c r="Z604">
        <v>3</v>
      </c>
    </row>
    <row r="605" spans="1:26">
      <c r="A605" t="s">
        <v>1333</v>
      </c>
      <c r="B605" t="s">
        <v>1334</v>
      </c>
      <c r="C605" t="s">
        <v>94</v>
      </c>
      <c r="D605" t="s">
        <v>29</v>
      </c>
      <c r="E605" s="1">
        <v>43818</v>
      </c>
      <c r="F605" t="s">
        <v>86</v>
      </c>
      <c r="G605" t="s">
        <v>116</v>
      </c>
      <c r="H605" t="s">
        <v>49</v>
      </c>
      <c r="I605">
        <v>8</v>
      </c>
      <c r="J605" t="s">
        <v>88</v>
      </c>
      <c r="K605">
        <v>2</v>
      </c>
      <c r="L605" s="3">
        <v>3999</v>
      </c>
      <c r="M605">
        <v>0</v>
      </c>
      <c r="N605" s="3">
        <v>4000</v>
      </c>
      <c r="O605" s="3">
        <v>8000</v>
      </c>
      <c r="P605" t="s">
        <v>81</v>
      </c>
      <c r="Q605" t="s">
        <v>82</v>
      </c>
      <c r="R605" t="s">
        <v>36</v>
      </c>
      <c r="S605" t="s">
        <v>238</v>
      </c>
      <c r="T605" t="s">
        <v>239</v>
      </c>
      <c r="U605" t="s">
        <v>91</v>
      </c>
      <c r="V605" t="s">
        <v>40</v>
      </c>
      <c r="W605">
        <v>4.0999999999999996</v>
      </c>
      <c r="X605" t="s">
        <v>41</v>
      </c>
      <c r="Y605" t="s">
        <v>147</v>
      </c>
      <c r="Z605">
        <v>1</v>
      </c>
    </row>
    <row r="606" spans="1:26">
      <c r="A606" t="s">
        <v>1335</v>
      </c>
      <c r="B606" t="s">
        <v>1336</v>
      </c>
      <c r="C606" t="s">
        <v>28</v>
      </c>
      <c r="D606" t="s">
        <v>103</v>
      </c>
      <c r="E606" s="1">
        <v>43818</v>
      </c>
      <c r="F606" t="s">
        <v>79</v>
      </c>
      <c r="G606" t="s">
        <v>80</v>
      </c>
      <c r="H606" t="s">
        <v>59</v>
      </c>
      <c r="I606">
        <v>9</v>
      </c>
      <c r="J606" t="s">
        <v>67</v>
      </c>
      <c r="K606">
        <v>1</v>
      </c>
      <c r="L606" s="3">
        <v>6099</v>
      </c>
      <c r="M606">
        <v>15</v>
      </c>
      <c r="N606" s="3">
        <v>5180</v>
      </c>
      <c r="O606" s="3">
        <v>5180</v>
      </c>
      <c r="P606" t="s">
        <v>50</v>
      </c>
      <c r="Q606" t="s">
        <v>51</v>
      </c>
      <c r="R606" t="s">
        <v>36</v>
      </c>
      <c r="S606" t="s">
        <v>418</v>
      </c>
      <c r="T606" t="s">
        <v>924</v>
      </c>
      <c r="U606" t="s">
        <v>61</v>
      </c>
      <c r="V606" t="s">
        <v>40</v>
      </c>
      <c r="W606">
        <v>5</v>
      </c>
      <c r="X606" t="s">
        <v>41</v>
      </c>
      <c r="Y606" t="s">
        <v>42</v>
      </c>
      <c r="Z606">
        <v>7</v>
      </c>
    </row>
    <row r="607" spans="1:26">
      <c r="A607" t="s">
        <v>1337</v>
      </c>
      <c r="B607" t="s">
        <v>483</v>
      </c>
      <c r="C607" t="s">
        <v>45</v>
      </c>
      <c r="D607" t="s">
        <v>29</v>
      </c>
      <c r="E607" s="1">
        <v>43818</v>
      </c>
      <c r="F607" t="s">
        <v>96</v>
      </c>
      <c r="G607" t="s">
        <v>171</v>
      </c>
      <c r="H607" t="s">
        <v>128</v>
      </c>
      <c r="I607">
        <v>11</v>
      </c>
      <c r="J607" t="s">
        <v>98</v>
      </c>
      <c r="K607">
        <v>1</v>
      </c>
      <c r="L607" s="3">
        <v>7099</v>
      </c>
      <c r="M607">
        <v>10</v>
      </c>
      <c r="N607" s="3">
        <v>6390</v>
      </c>
      <c r="O607" s="3">
        <v>6390</v>
      </c>
      <c r="P607" t="s">
        <v>74</v>
      </c>
      <c r="Q607" t="s">
        <v>51</v>
      </c>
      <c r="R607" t="s">
        <v>36</v>
      </c>
      <c r="S607" t="s">
        <v>112</v>
      </c>
      <c r="T607" t="s">
        <v>250</v>
      </c>
      <c r="U607" t="s">
        <v>124</v>
      </c>
      <c r="V607" t="s">
        <v>315</v>
      </c>
      <c r="W607">
        <v>5</v>
      </c>
      <c r="X607" t="s">
        <v>106</v>
      </c>
      <c r="Y607" t="s">
        <v>42</v>
      </c>
      <c r="Z607">
        <v>4</v>
      </c>
    </row>
    <row r="608" spans="1:26">
      <c r="A608" t="s">
        <v>1338</v>
      </c>
      <c r="B608" t="s">
        <v>1339</v>
      </c>
      <c r="C608" t="s">
        <v>28</v>
      </c>
      <c r="D608" t="s">
        <v>46</v>
      </c>
      <c r="E608" s="1">
        <v>43819</v>
      </c>
      <c r="F608" t="s">
        <v>96</v>
      </c>
      <c r="G608" t="s">
        <v>323</v>
      </c>
      <c r="H608" t="s">
        <v>59</v>
      </c>
      <c r="I608">
        <v>8</v>
      </c>
      <c r="J608" t="s">
        <v>98</v>
      </c>
      <c r="K608">
        <v>1</v>
      </c>
      <c r="L608" s="3">
        <v>6199</v>
      </c>
      <c r="M608">
        <v>15</v>
      </c>
      <c r="N608" s="3">
        <v>5270</v>
      </c>
      <c r="O608" s="3">
        <v>5270</v>
      </c>
      <c r="P608" t="s">
        <v>50</v>
      </c>
      <c r="Q608" t="s">
        <v>82</v>
      </c>
      <c r="R608" t="s">
        <v>36</v>
      </c>
      <c r="S608" t="s">
        <v>156</v>
      </c>
      <c r="T608" t="s">
        <v>369</v>
      </c>
      <c r="U608" t="s">
        <v>39</v>
      </c>
      <c r="V608" t="s">
        <v>40</v>
      </c>
      <c r="W608">
        <v>4</v>
      </c>
      <c r="X608" t="s">
        <v>41</v>
      </c>
      <c r="Y608" t="s">
        <v>42</v>
      </c>
      <c r="Z608">
        <v>4</v>
      </c>
    </row>
    <row r="609" spans="1:26">
      <c r="A609" t="s">
        <v>1340</v>
      </c>
      <c r="B609" t="s">
        <v>1107</v>
      </c>
      <c r="C609" t="s">
        <v>28</v>
      </c>
      <c r="D609" t="s">
        <v>95</v>
      </c>
      <c r="E609" s="1">
        <v>43821</v>
      </c>
      <c r="F609" t="s">
        <v>79</v>
      </c>
      <c r="G609" t="s">
        <v>174</v>
      </c>
      <c r="H609" t="s">
        <v>32</v>
      </c>
      <c r="I609">
        <v>11</v>
      </c>
      <c r="J609" t="s">
        <v>33</v>
      </c>
      <c r="K609">
        <v>1</v>
      </c>
      <c r="L609" s="3">
        <v>7199</v>
      </c>
      <c r="M609">
        <v>10</v>
      </c>
      <c r="N609" s="3">
        <v>6480</v>
      </c>
      <c r="O609" s="3">
        <v>6480</v>
      </c>
      <c r="P609" t="s">
        <v>74</v>
      </c>
      <c r="Q609" t="s">
        <v>51</v>
      </c>
      <c r="R609" t="s">
        <v>36</v>
      </c>
      <c r="S609" t="s">
        <v>354</v>
      </c>
      <c r="T609" t="s">
        <v>434</v>
      </c>
      <c r="U609" t="s">
        <v>39</v>
      </c>
      <c r="V609" t="s">
        <v>315</v>
      </c>
      <c r="W609">
        <v>4.0999999999999996</v>
      </c>
      <c r="X609" t="s">
        <v>41</v>
      </c>
      <c r="Y609" t="s">
        <v>42</v>
      </c>
      <c r="Z609">
        <v>5</v>
      </c>
    </row>
    <row r="610" spans="1:26">
      <c r="A610" t="s">
        <v>1341</v>
      </c>
      <c r="B610" t="s">
        <v>1342</v>
      </c>
      <c r="C610" t="s">
        <v>28</v>
      </c>
      <c r="D610" t="s">
        <v>46</v>
      </c>
      <c r="E610" s="1">
        <v>43821</v>
      </c>
      <c r="F610" t="s">
        <v>47</v>
      </c>
      <c r="G610" t="s">
        <v>140</v>
      </c>
      <c r="H610" t="s">
        <v>128</v>
      </c>
      <c r="I610">
        <v>11</v>
      </c>
      <c r="J610" t="s">
        <v>88</v>
      </c>
      <c r="K610">
        <v>1</v>
      </c>
      <c r="L610" s="3">
        <v>5999</v>
      </c>
      <c r="M610">
        <v>0</v>
      </c>
      <c r="N610" s="3">
        <v>6000</v>
      </c>
      <c r="O610" s="3">
        <v>6000</v>
      </c>
      <c r="P610" t="s">
        <v>74</v>
      </c>
      <c r="Q610" t="s">
        <v>51</v>
      </c>
      <c r="R610" t="s">
        <v>36</v>
      </c>
      <c r="S610" t="s">
        <v>195</v>
      </c>
      <c r="T610" t="s">
        <v>428</v>
      </c>
      <c r="U610" t="s">
        <v>54</v>
      </c>
      <c r="V610" t="s">
        <v>40</v>
      </c>
      <c r="W610">
        <v>5</v>
      </c>
      <c r="X610" t="s">
        <v>41</v>
      </c>
      <c r="Y610" t="s">
        <v>42</v>
      </c>
      <c r="Z610">
        <v>4</v>
      </c>
    </row>
    <row r="611" spans="1:26">
      <c r="A611" t="s">
        <v>1343</v>
      </c>
      <c r="B611" t="s">
        <v>411</v>
      </c>
      <c r="C611" t="s">
        <v>28</v>
      </c>
      <c r="D611" t="s">
        <v>29</v>
      </c>
      <c r="E611" s="1">
        <v>43822</v>
      </c>
      <c r="F611" t="s">
        <v>65</v>
      </c>
      <c r="G611" t="s">
        <v>279</v>
      </c>
      <c r="H611" t="s">
        <v>111</v>
      </c>
      <c r="I611">
        <v>10</v>
      </c>
      <c r="J611" t="s">
        <v>88</v>
      </c>
      <c r="K611">
        <v>3</v>
      </c>
      <c r="L611" s="3">
        <v>4999</v>
      </c>
      <c r="M611">
        <v>10</v>
      </c>
      <c r="N611" s="3">
        <v>4500</v>
      </c>
      <c r="O611" s="3">
        <v>13500</v>
      </c>
      <c r="P611" t="s">
        <v>74</v>
      </c>
      <c r="Q611" t="s">
        <v>51</v>
      </c>
      <c r="R611" t="s">
        <v>36</v>
      </c>
      <c r="S611" t="s">
        <v>297</v>
      </c>
      <c r="T611" t="s">
        <v>390</v>
      </c>
      <c r="U611" t="s">
        <v>124</v>
      </c>
      <c r="V611" t="s">
        <v>315</v>
      </c>
      <c r="W611">
        <v>4.5</v>
      </c>
      <c r="X611" t="s">
        <v>106</v>
      </c>
      <c r="Y611" t="s">
        <v>42</v>
      </c>
      <c r="Z611">
        <v>5</v>
      </c>
    </row>
    <row r="612" spans="1:26">
      <c r="A612" t="s">
        <v>1344</v>
      </c>
      <c r="B612" t="s">
        <v>886</v>
      </c>
      <c r="C612" t="s">
        <v>28</v>
      </c>
      <c r="D612" t="s">
        <v>109</v>
      </c>
      <c r="E612" s="1">
        <v>43822</v>
      </c>
      <c r="F612" t="s">
        <v>79</v>
      </c>
      <c r="G612" t="s">
        <v>174</v>
      </c>
      <c r="H612" t="s">
        <v>32</v>
      </c>
      <c r="I612">
        <v>10</v>
      </c>
      <c r="J612" t="s">
        <v>88</v>
      </c>
      <c r="K612">
        <v>1</v>
      </c>
      <c r="L612" s="3">
        <v>4099</v>
      </c>
      <c r="M612">
        <v>20</v>
      </c>
      <c r="N612" s="3">
        <v>3280</v>
      </c>
      <c r="O612" s="3">
        <v>3280</v>
      </c>
      <c r="P612" t="s">
        <v>81</v>
      </c>
      <c r="Q612" t="s">
        <v>35</v>
      </c>
      <c r="R612" t="s">
        <v>36</v>
      </c>
      <c r="S612" t="s">
        <v>156</v>
      </c>
      <c r="T612" t="s">
        <v>369</v>
      </c>
      <c r="U612" t="s">
        <v>39</v>
      </c>
      <c r="V612" t="s">
        <v>315</v>
      </c>
      <c r="W612">
        <v>5</v>
      </c>
      <c r="X612" t="s">
        <v>41</v>
      </c>
      <c r="Y612" t="s">
        <v>55</v>
      </c>
      <c r="Z612">
        <v>3</v>
      </c>
    </row>
    <row r="613" spans="1:26">
      <c r="A613" t="s">
        <v>1345</v>
      </c>
      <c r="B613" t="s">
        <v>203</v>
      </c>
      <c r="C613" t="s">
        <v>28</v>
      </c>
      <c r="D613" t="s">
        <v>109</v>
      </c>
      <c r="E613" s="1">
        <v>43823</v>
      </c>
      <c r="F613" t="s">
        <v>30</v>
      </c>
      <c r="G613" t="s">
        <v>58</v>
      </c>
      <c r="H613" t="s">
        <v>59</v>
      </c>
      <c r="I613">
        <v>10</v>
      </c>
      <c r="J613" t="s">
        <v>73</v>
      </c>
      <c r="K613">
        <v>1</v>
      </c>
      <c r="L613" s="3">
        <v>6899</v>
      </c>
      <c r="M613">
        <v>15</v>
      </c>
      <c r="N613" s="3">
        <v>5860</v>
      </c>
      <c r="O613" s="3">
        <v>5860</v>
      </c>
      <c r="P613" t="s">
        <v>34</v>
      </c>
      <c r="Q613" t="s">
        <v>82</v>
      </c>
      <c r="R613" t="s">
        <v>36</v>
      </c>
      <c r="S613" t="s">
        <v>156</v>
      </c>
      <c r="T613" t="s">
        <v>257</v>
      </c>
      <c r="U613" t="s">
        <v>61</v>
      </c>
      <c r="V613" t="s">
        <v>315</v>
      </c>
      <c r="W613">
        <v>4</v>
      </c>
      <c r="X613" t="s">
        <v>41</v>
      </c>
      <c r="Y613" t="s">
        <v>42</v>
      </c>
      <c r="Z613">
        <v>4</v>
      </c>
    </row>
    <row r="614" spans="1:26">
      <c r="A614" t="s">
        <v>1346</v>
      </c>
      <c r="B614" t="s">
        <v>1347</v>
      </c>
      <c r="C614" t="s">
        <v>28</v>
      </c>
      <c r="D614" t="s">
        <v>95</v>
      </c>
      <c r="E614" s="1">
        <v>43824</v>
      </c>
      <c r="F614" t="s">
        <v>47</v>
      </c>
      <c r="G614" t="s">
        <v>48</v>
      </c>
      <c r="H614" t="s">
        <v>49</v>
      </c>
      <c r="I614">
        <v>7</v>
      </c>
      <c r="J614" t="s">
        <v>98</v>
      </c>
      <c r="K614">
        <v>1</v>
      </c>
      <c r="L614" s="3">
        <v>5799</v>
      </c>
      <c r="M614">
        <v>40</v>
      </c>
      <c r="N614" s="3">
        <v>3480</v>
      </c>
      <c r="O614" s="3">
        <v>3480</v>
      </c>
      <c r="P614" t="s">
        <v>74</v>
      </c>
      <c r="Q614" t="s">
        <v>35</v>
      </c>
      <c r="R614" t="s">
        <v>36</v>
      </c>
      <c r="S614" t="s">
        <v>37</v>
      </c>
      <c r="T614" t="s">
        <v>38</v>
      </c>
      <c r="U614" t="s">
        <v>91</v>
      </c>
      <c r="V614" t="s">
        <v>40</v>
      </c>
      <c r="W614">
        <v>4.0999999999999996</v>
      </c>
      <c r="X614" t="s">
        <v>41</v>
      </c>
      <c r="Y614" t="s">
        <v>55</v>
      </c>
      <c r="Z614">
        <v>1</v>
      </c>
    </row>
    <row r="615" spans="1:26">
      <c r="A615" t="s">
        <v>1348</v>
      </c>
      <c r="B615" t="s">
        <v>1349</v>
      </c>
      <c r="C615" t="s">
        <v>28</v>
      </c>
      <c r="D615" t="s">
        <v>46</v>
      </c>
      <c r="E615" s="1">
        <v>43824</v>
      </c>
      <c r="F615" t="s">
        <v>96</v>
      </c>
      <c r="G615" t="s">
        <v>171</v>
      </c>
      <c r="H615" t="s">
        <v>128</v>
      </c>
      <c r="I615">
        <v>12</v>
      </c>
      <c r="J615" t="s">
        <v>98</v>
      </c>
      <c r="K615">
        <v>3</v>
      </c>
      <c r="L615" s="3">
        <v>5499</v>
      </c>
      <c r="M615">
        <v>25</v>
      </c>
      <c r="N615" s="3">
        <v>4120</v>
      </c>
      <c r="O615" s="3">
        <v>12360</v>
      </c>
      <c r="P615" t="s">
        <v>81</v>
      </c>
      <c r="Q615" t="s">
        <v>51</v>
      </c>
      <c r="R615" t="s">
        <v>36</v>
      </c>
      <c r="S615" t="s">
        <v>89</v>
      </c>
      <c r="T615" t="s">
        <v>515</v>
      </c>
      <c r="U615" t="s">
        <v>54</v>
      </c>
      <c r="V615" t="s">
        <v>40</v>
      </c>
      <c r="W615">
        <v>5</v>
      </c>
      <c r="X615" t="s">
        <v>41</v>
      </c>
      <c r="Y615" t="s">
        <v>147</v>
      </c>
      <c r="Z615">
        <v>2</v>
      </c>
    </row>
    <row r="616" spans="1:26">
      <c r="A616" t="s">
        <v>1350</v>
      </c>
      <c r="B616" t="s">
        <v>78</v>
      </c>
      <c r="C616" t="s">
        <v>45</v>
      </c>
      <c r="D616" t="s">
        <v>103</v>
      </c>
      <c r="E616" s="1">
        <v>43825</v>
      </c>
      <c r="F616" t="s">
        <v>79</v>
      </c>
      <c r="G616" t="s">
        <v>80</v>
      </c>
      <c r="H616" t="s">
        <v>59</v>
      </c>
      <c r="I616">
        <v>11</v>
      </c>
      <c r="J616" t="s">
        <v>33</v>
      </c>
      <c r="K616">
        <v>2</v>
      </c>
      <c r="L616" s="3">
        <v>3399</v>
      </c>
      <c r="M616">
        <v>20</v>
      </c>
      <c r="N616" s="3">
        <v>2720</v>
      </c>
      <c r="O616" s="3">
        <v>5440</v>
      </c>
      <c r="P616" t="s">
        <v>34</v>
      </c>
      <c r="Q616" t="s">
        <v>51</v>
      </c>
      <c r="R616" t="s">
        <v>36</v>
      </c>
      <c r="S616" t="s">
        <v>156</v>
      </c>
      <c r="T616" t="s">
        <v>369</v>
      </c>
      <c r="U616" t="s">
        <v>39</v>
      </c>
      <c r="V616" t="s">
        <v>315</v>
      </c>
      <c r="W616">
        <v>3.6</v>
      </c>
      <c r="X616" t="s">
        <v>41</v>
      </c>
      <c r="Y616" t="s">
        <v>42</v>
      </c>
      <c r="Z616">
        <v>2</v>
      </c>
    </row>
    <row r="617" spans="1:26">
      <c r="A617" t="s">
        <v>1351</v>
      </c>
      <c r="B617" t="s">
        <v>847</v>
      </c>
      <c r="C617" t="s">
        <v>45</v>
      </c>
      <c r="D617" t="s">
        <v>46</v>
      </c>
      <c r="E617" s="1">
        <v>43825</v>
      </c>
      <c r="F617" t="s">
        <v>96</v>
      </c>
      <c r="G617" t="s">
        <v>171</v>
      </c>
      <c r="H617" t="s">
        <v>128</v>
      </c>
      <c r="I617">
        <v>7</v>
      </c>
      <c r="J617" t="s">
        <v>67</v>
      </c>
      <c r="K617">
        <v>3</v>
      </c>
      <c r="L617" s="3">
        <v>8599</v>
      </c>
      <c r="M617">
        <v>10</v>
      </c>
      <c r="N617" s="3">
        <v>7740</v>
      </c>
      <c r="O617" s="3">
        <v>23220</v>
      </c>
      <c r="P617" t="s">
        <v>50</v>
      </c>
      <c r="Q617" t="s">
        <v>51</v>
      </c>
      <c r="R617" t="s">
        <v>36</v>
      </c>
      <c r="S617" t="s">
        <v>160</v>
      </c>
      <c r="T617" t="s">
        <v>247</v>
      </c>
      <c r="U617" t="s">
        <v>91</v>
      </c>
      <c r="V617" t="s">
        <v>315</v>
      </c>
      <c r="W617">
        <v>4.0999999999999996</v>
      </c>
      <c r="X617" t="s">
        <v>62</v>
      </c>
      <c r="Y617" t="s">
        <v>42</v>
      </c>
      <c r="Z617">
        <v>5</v>
      </c>
    </row>
    <row r="618" spans="1:26">
      <c r="A618" t="s">
        <v>1352</v>
      </c>
      <c r="B618" t="s">
        <v>644</v>
      </c>
      <c r="C618" t="s">
        <v>28</v>
      </c>
      <c r="D618" t="s">
        <v>95</v>
      </c>
      <c r="E618" s="1">
        <v>43825</v>
      </c>
      <c r="F618" t="s">
        <v>86</v>
      </c>
      <c r="G618" t="s">
        <v>285</v>
      </c>
      <c r="H618" t="s">
        <v>111</v>
      </c>
      <c r="I618">
        <v>9</v>
      </c>
      <c r="J618" t="s">
        <v>67</v>
      </c>
      <c r="K618">
        <v>1</v>
      </c>
      <c r="L618" s="3">
        <v>6899</v>
      </c>
      <c r="M618">
        <v>25</v>
      </c>
      <c r="N618" s="3">
        <v>5170</v>
      </c>
      <c r="O618" s="3">
        <v>5170</v>
      </c>
      <c r="P618" t="s">
        <v>34</v>
      </c>
      <c r="Q618" t="s">
        <v>35</v>
      </c>
      <c r="R618" t="s">
        <v>36</v>
      </c>
      <c r="S618" t="s">
        <v>200</v>
      </c>
      <c r="T618" t="s">
        <v>219</v>
      </c>
      <c r="U618" t="s">
        <v>91</v>
      </c>
      <c r="V618" t="s">
        <v>315</v>
      </c>
      <c r="W618">
        <v>5</v>
      </c>
      <c r="X618" t="s">
        <v>41</v>
      </c>
      <c r="Y618" t="s">
        <v>42</v>
      </c>
      <c r="Z618">
        <v>5</v>
      </c>
    </row>
    <row r="619" spans="1:26">
      <c r="A619" t="s">
        <v>1353</v>
      </c>
      <c r="B619" t="s">
        <v>1354</v>
      </c>
      <c r="C619" t="s">
        <v>28</v>
      </c>
      <c r="D619" t="s">
        <v>46</v>
      </c>
      <c r="E619" s="1">
        <v>43825</v>
      </c>
      <c r="F619" t="s">
        <v>30</v>
      </c>
      <c r="G619" t="s">
        <v>58</v>
      </c>
      <c r="H619" t="s">
        <v>59</v>
      </c>
      <c r="I619">
        <v>6</v>
      </c>
      <c r="J619" t="s">
        <v>98</v>
      </c>
      <c r="K619">
        <v>2</v>
      </c>
      <c r="L619" s="3">
        <v>4299</v>
      </c>
      <c r="M619">
        <v>5</v>
      </c>
      <c r="N619" s="3">
        <v>4080</v>
      </c>
      <c r="O619" s="3">
        <v>8160</v>
      </c>
      <c r="P619" t="s">
        <v>34</v>
      </c>
      <c r="Q619" t="s">
        <v>51</v>
      </c>
      <c r="R619" t="s">
        <v>36</v>
      </c>
      <c r="S619" t="s">
        <v>89</v>
      </c>
      <c r="T619" t="s">
        <v>425</v>
      </c>
      <c r="U619" t="s">
        <v>61</v>
      </c>
      <c r="V619" t="s">
        <v>40</v>
      </c>
      <c r="W619">
        <v>2.7</v>
      </c>
      <c r="X619" t="s">
        <v>41</v>
      </c>
      <c r="Y619" t="s">
        <v>42</v>
      </c>
      <c r="Z619">
        <v>4</v>
      </c>
    </row>
    <row r="620" spans="1:26">
      <c r="A620" t="s">
        <v>1355</v>
      </c>
      <c r="B620" t="s">
        <v>1356</v>
      </c>
      <c r="C620" t="s">
        <v>28</v>
      </c>
      <c r="D620" t="s">
        <v>46</v>
      </c>
      <c r="E620" s="1">
        <v>43826</v>
      </c>
      <c r="F620" t="s">
        <v>30</v>
      </c>
      <c r="G620" t="s">
        <v>31</v>
      </c>
      <c r="H620" t="s">
        <v>32</v>
      </c>
      <c r="I620">
        <v>8</v>
      </c>
      <c r="J620" t="s">
        <v>67</v>
      </c>
      <c r="K620">
        <v>1</v>
      </c>
      <c r="L620" s="3">
        <v>7899</v>
      </c>
      <c r="M620">
        <v>20</v>
      </c>
      <c r="N620" s="3">
        <v>6320</v>
      </c>
      <c r="O620" s="3">
        <v>6320</v>
      </c>
      <c r="P620" t="s">
        <v>50</v>
      </c>
      <c r="Q620" t="s">
        <v>51</v>
      </c>
      <c r="R620" t="s">
        <v>36</v>
      </c>
      <c r="S620" t="s">
        <v>210</v>
      </c>
      <c r="T620" t="s">
        <v>680</v>
      </c>
      <c r="U620" t="s">
        <v>39</v>
      </c>
      <c r="V620" t="s">
        <v>40</v>
      </c>
      <c r="W620">
        <v>3.2</v>
      </c>
      <c r="X620" t="s">
        <v>106</v>
      </c>
      <c r="Y620" t="s">
        <v>55</v>
      </c>
      <c r="Z620">
        <v>2</v>
      </c>
    </row>
    <row r="621" spans="1:26">
      <c r="A621" t="s">
        <v>1357</v>
      </c>
      <c r="B621" t="s">
        <v>1235</v>
      </c>
      <c r="C621" t="s">
        <v>28</v>
      </c>
      <c r="D621" t="s">
        <v>109</v>
      </c>
      <c r="E621" s="1">
        <v>43826</v>
      </c>
      <c r="F621" t="s">
        <v>79</v>
      </c>
      <c r="G621" t="s">
        <v>480</v>
      </c>
      <c r="H621" t="s">
        <v>111</v>
      </c>
      <c r="I621">
        <v>10</v>
      </c>
      <c r="J621" t="s">
        <v>98</v>
      </c>
      <c r="K621">
        <v>1</v>
      </c>
      <c r="L621" s="3">
        <v>7499</v>
      </c>
      <c r="M621">
        <v>10</v>
      </c>
      <c r="N621" s="3">
        <v>6750</v>
      </c>
      <c r="O621" s="3">
        <v>6750</v>
      </c>
      <c r="P621" t="s">
        <v>74</v>
      </c>
      <c r="Q621" t="s">
        <v>51</v>
      </c>
      <c r="R621" t="s">
        <v>36</v>
      </c>
      <c r="S621" t="s">
        <v>460</v>
      </c>
      <c r="T621" t="s">
        <v>461</v>
      </c>
      <c r="U621" t="s">
        <v>124</v>
      </c>
      <c r="V621" t="s">
        <v>315</v>
      </c>
      <c r="W621">
        <v>3.7</v>
      </c>
      <c r="X621" t="s">
        <v>41</v>
      </c>
      <c r="Y621" t="s">
        <v>42</v>
      </c>
      <c r="Z621">
        <v>6</v>
      </c>
    </row>
    <row r="622" spans="1:26">
      <c r="A622" t="s">
        <v>1358</v>
      </c>
      <c r="B622" t="s">
        <v>1359</v>
      </c>
      <c r="C622" t="s">
        <v>45</v>
      </c>
      <c r="D622" t="s">
        <v>95</v>
      </c>
      <c r="E622" s="1">
        <v>43826</v>
      </c>
      <c r="F622" t="s">
        <v>86</v>
      </c>
      <c r="G622" t="s">
        <v>116</v>
      </c>
      <c r="H622" t="s">
        <v>49</v>
      </c>
      <c r="I622">
        <v>6</v>
      </c>
      <c r="J622" t="s">
        <v>150</v>
      </c>
      <c r="K622">
        <v>1</v>
      </c>
      <c r="L622" s="3">
        <v>7499</v>
      </c>
      <c r="M622">
        <v>10</v>
      </c>
      <c r="N622" s="3">
        <v>6750</v>
      </c>
      <c r="O622" s="3">
        <v>6750</v>
      </c>
      <c r="P622" t="s">
        <v>34</v>
      </c>
      <c r="Q622" t="s">
        <v>82</v>
      </c>
      <c r="R622" t="s">
        <v>36</v>
      </c>
      <c r="S622" t="s">
        <v>160</v>
      </c>
      <c r="T622" t="s">
        <v>160</v>
      </c>
      <c r="U622" t="s">
        <v>61</v>
      </c>
      <c r="V622" t="s">
        <v>40</v>
      </c>
      <c r="W622">
        <v>4.3</v>
      </c>
      <c r="X622" t="s">
        <v>41</v>
      </c>
      <c r="Y622" t="s">
        <v>147</v>
      </c>
      <c r="Z622">
        <v>1</v>
      </c>
    </row>
    <row r="623" spans="1:26">
      <c r="A623" t="s">
        <v>1360</v>
      </c>
      <c r="B623" t="s">
        <v>1361</v>
      </c>
      <c r="C623" t="s">
        <v>28</v>
      </c>
      <c r="D623" t="s">
        <v>109</v>
      </c>
      <c r="E623" s="1">
        <v>43827</v>
      </c>
      <c r="F623" t="s">
        <v>86</v>
      </c>
      <c r="G623" t="s">
        <v>87</v>
      </c>
      <c r="H623" t="s">
        <v>59</v>
      </c>
      <c r="I623">
        <v>9</v>
      </c>
      <c r="J623" t="s">
        <v>67</v>
      </c>
      <c r="K623">
        <v>1</v>
      </c>
      <c r="L623" s="3">
        <v>8799</v>
      </c>
      <c r="M623">
        <v>25</v>
      </c>
      <c r="N623" s="3">
        <v>6600</v>
      </c>
      <c r="O623" s="3">
        <v>6600</v>
      </c>
      <c r="P623" t="s">
        <v>81</v>
      </c>
      <c r="Q623" t="s">
        <v>51</v>
      </c>
      <c r="R623" t="s">
        <v>36</v>
      </c>
      <c r="S623" t="s">
        <v>384</v>
      </c>
      <c r="T623" t="s">
        <v>1217</v>
      </c>
      <c r="U623" t="s">
        <v>39</v>
      </c>
      <c r="V623" t="s">
        <v>40</v>
      </c>
      <c r="W623">
        <v>4.3</v>
      </c>
      <c r="X623" t="s">
        <v>41</v>
      </c>
      <c r="Y623" t="s">
        <v>147</v>
      </c>
      <c r="Z623">
        <v>1</v>
      </c>
    </row>
    <row r="624" spans="1:26">
      <c r="A624" t="s">
        <v>1362</v>
      </c>
      <c r="B624" t="s">
        <v>1363</v>
      </c>
      <c r="C624" t="s">
        <v>45</v>
      </c>
      <c r="D624" t="s">
        <v>103</v>
      </c>
      <c r="E624" s="1">
        <v>43827</v>
      </c>
      <c r="F624" t="s">
        <v>30</v>
      </c>
      <c r="G624" t="s">
        <v>214</v>
      </c>
      <c r="H624" t="s">
        <v>128</v>
      </c>
      <c r="I624">
        <v>6</v>
      </c>
      <c r="J624" t="s">
        <v>67</v>
      </c>
      <c r="K624">
        <v>1</v>
      </c>
      <c r="L624" s="3">
        <v>7699</v>
      </c>
      <c r="M624">
        <v>35</v>
      </c>
      <c r="N624" s="3">
        <v>5000</v>
      </c>
      <c r="O624" s="3">
        <v>5000</v>
      </c>
      <c r="P624" t="s">
        <v>74</v>
      </c>
      <c r="Q624" t="s">
        <v>51</v>
      </c>
      <c r="R624" t="s">
        <v>36</v>
      </c>
      <c r="S624" t="s">
        <v>136</v>
      </c>
      <c r="T624" t="s">
        <v>137</v>
      </c>
      <c r="U624" t="s">
        <v>61</v>
      </c>
      <c r="V624" t="s">
        <v>40</v>
      </c>
      <c r="W624">
        <v>2.7</v>
      </c>
      <c r="X624" t="s">
        <v>106</v>
      </c>
      <c r="Y624" t="s">
        <v>42</v>
      </c>
      <c r="Z624">
        <v>3</v>
      </c>
    </row>
    <row r="625" spans="1:26">
      <c r="A625" t="s">
        <v>1364</v>
      </c>
      <c r="B625" t="s">
        <v>1365</v>
      </c>
      <c r="C625" t="s">
        <v>94</v>
      </c>
      <c r="D625" t="s">
        <v>46</v>
      </c>
      <c r="E625" s="1">
        <v>43831</v>
      </c>
      <c r="F625" t="s">
        <v>30</v>
      </c>
      <c r="G625" t="s">
        <v>145</v>
      </c>
      <c r="H625" t="s">
        <v>59</v>
      </c>
      <c r="I625">
        <v>9</v>
      </c>
      <c r="J625" t="s">
        <v>98</v>
      </c>
      <c r="K625">
        <v>1</v>
      </c>
      <c r="L625" s="3">
        <v>7999</v>
      </c>
      <c r="M625">
        <v>15</v>
      </c>
      <c r="N625" s="3">
        <v>6800</v>
      </c>
      <c r="O625" s="3">
        <v>6800</v>
      </c>
      <c r="P625" t="s">
        <v>74</v>
      </c>
      <c r="Q625" t="s">
        <v>51</v>
      </c>
      <c r="R625" t="s">
        <v>36</v>
      </c>
      <c r="S625" t="s">
        <v>460</v>
      </c>
      <c r="T625" t="s">
        <v>525</v>
      </c>
      <c r="U625" t="s">
        <v>54</v>
      </c>
      <c r="V625" t="s">
        <v>40</v>
      </c>
      <c r="W625">
        <v>3.9</v>
      </c>
      <c r="X625" t="s">
        <v>62</v>
      </c>
      <c r="Y625" t="s">
        <v>42</v>
      </c>
      <c r="Z625">
        <v>5</v>
      </c>
    </row>
    <row r="626" spans="1:26">
      <c r="A626" t="s">
        <v>1366</v>
      </c>
      <c r="B626" t="s">
        <v>1367</v>
      </c>
      <c r="C626" t="s">
        <v>28</v>
      </c>
      <c r="D626" t="s">
        <v>29</v>
      </c>
      <c r="E626" s="1">
        <v>43832</v>
      </c>
      <c r="F626" t="s">
        <v>65</v>
      </c>
      <c r="G626" t="s">
        <v>279</v>
      </c>
      <c r="H626" t="s">
        <v>111</v>
      </c>
      <c r="I626">
        <v>7</v>
      </c>
      <c r="J626" t="s">
        <v>67</v>
      </c>
      <c r="K626">
        <v>1</v>
      </c>
      <c r="L626" s="3">
        <v>8699</v>
      </c>
      <c r="M626">
        <v>25</v>
      </c>
      <c r="N626" s="3">
        <v>6520</v>
      </c>
      <c r="O626" s="3">
        <v>6520</v>
      </c>
      <c r="P626" t="s">
        <v>74</v>
      </c>
      <c r="Q626" t="s">
        <v>82</v>
      </c>
      <c r="R626" t="s">
        <v>36</v>
      </c>
      <c r="S626" t="s">
        <v>238</v>
      </c>
      <c r="T626" t="s">
        <v>239</v>
      </c>
      <c r="U626" t="s">
        <v>54</v>
      </c>
      <c r="V626" t="s">
        <v>40</v>
      </c>
      <c r="W626">
        <v>4</v>
      </c>
      <c r="X626" t="s">
        <v>41</v>
      </c>
      <c r="Y626" t="s">
        <v>55</v>
      </c>
      <c r="Z626">
        <v>2</v>
      </c>
    </row>
    <row r="627" spans="1:26">
      <c r="A627" t="s">
        <v>1368</v>
      </c>
      <c r="B627" t="s">
        <v>1369</v>
      </c>
      <c r="C627" t="s">
        <v>94</v>
      </c>
      <c r="D627" t="s">
        <v>29</v>
      </c>
      <c r="E627" s="1">
        <v>43834</v>
      </c>
      <c r="F627" t="s">
        <v>96</v>
      </c>
      <c r="G627" t="s">
        <v>290</v>
      </c>
      <c r="H627" t="s">
        <v>32</v>
      </c>
      <c r="I627">
        <v>8</v>
      </c>
      <c r="J627" t="s">
        <v>150</v>
      </c>
      <c r="K627">
        <v>1</v>
      </c>
      <c r="L627" s="3">
        <v>9899</v>
      </c>
      <c r="M627">
        <v>25</v>
      </c>
      <c r="N627" s="3">
        <v>7420</v>
      </c>
      <c r="O627" s="3">
        <v>7420</v>
      </c>
      <c r="P627" t="s">
        <v>74</v>
      </c>
      <c r="Q627" t="s">
        <v>51</v>
      </c>
      <c r="R627" t="s">
        <v>36</v>
      </c>
      <c r="S627" t="s">
        <v>156</v>
      </c>
      <c r="T627" t="s">
        <v>324</v>
      </c>
      <c r="U627" t="s">
        <v>39</v>
      </c>
      <c r="V627" t="s">
        <v>40</v>
      </c>
      <c r="W627">
        <v>3.5</v>
      </c>
      <c r="X627" t="s">
        <v>41</v>
      </c>
      <c r="Y627" t="s">
        <v>42</v>
      </c>
      <c r="Z627">
        <v>3</v>
      </c>
    </row>
    <row r="628" spans="1:26">
      <c r="A628" t="s">
        <v>1370</v>
      </c>
      <c r="B628" t="s">
        <v>1371</v>
      </c>
      <c r="C628" t="s">
        <v>45</v>
      </c>
      <c r="D628" t="s">
        <v>95</v>
      </c>
      <c r="E628" s="1">
        <v>43835</v>
      </c>
      <c r="F628" t="s">
        <v>96</v>
      </c>
      <c r="G628" t="s">
        <v>290</v>
      </c>
      <c r="H628" t="s">
        <v>32</v>
      </c>
      <c r="I628">
        <v>8</v>
      </c>
      <c r="J628" t="s">
        <v>150</v>
      </c>
      <c r="K628">
        <v>1</v>
      </c>
      <c r="L628" s="3">
        <v>9099</v>
      </c>
      <c r="M628">
        <v>30</v>
      </c>
      <c r="N628" s="3">
        <v>6370</v>
      </c>
      <c r="O628" s="3">
        <v>6370</v>
      </c>
      <c r="P628" t="s">
        <v>74</v>
      </c>
      <c r="Q628" t="s">
        <v>51</v>
      </c>
      <c r="R628" t="s">
        <v>36</v>
      </c>
      <c r="S628" t="s">
        <v>418</v>
      </c>
      <c r="T628" t="s">
        <v>924</v>
      </c>
      <c r="U628" t="s">
        <v>124</v>
      </c>
      <c r="V628" t="s">
        <v>40</v>
      </c>
      <c r="W628">
        <v>4</v>
      </c>
      <c r="X628" t="s">
        <v>62</v>
      </c>
      <c r="Y628" t="s">
        <v>42</v>
      </c>
      <c r="Z628">
        <v>7</v>
      </c>
    </row>
    <row r="629" spans="1:26">
      <c r="A629" t="s">
        <v>1372</v>
      </c>
      <c r="B629" t="s">
        <v>85</v>
      </c>
      <c r="C629" t="s">
        <v>45</v>
      </c>
      <c r="D629" t="s">
        <v>103</v>
      </c>
      <c r="E629" s="1">
        <v>43835</v>
      </c>
      <c r="F629" t="s">
        <v>65</v>
      </c>
      <c r="G629" t="s">
        <v>365</v>
      </c>
      <c r="H629" t="s">
        <v>49</v>
      </c>
      <c r="I629">
        <v>9</v>
      </c>
      <c r="J629" t="s">
        <v>33</v>
      </c>
      <c r="K629">
        <v>1</v>
      </c>
      <c r="L629" s="3">
        <v>6399</v>
      </c>
      <c r="M629">
        <v>15</v>
      </c>
      <c r="N629" s="3">
        <v>5440</v>
      </c>
      <c r="O629" s="3">
        <v>5440</v>
      </c>
      <c r="P629" t="s">
        <v>74</v>
      </c>
      <c r="Q629" t="s">
        <v>82</v>
      </c>
      <c r="R629" t="s">
        <v>36</v>
      </c>
      <c r="S629" t="s">
        <v>338</v>
      </c>
      <c r="T629" t="s">
        <v>449</v>
      </c>
      <c r="U629" t="s">
        <v>54</v>
      </c>
      <c r="V629" t="s">
        <v>315</v>
      </c>
      <c r="W629">
        <v>3.7</v>
      </c>
      <c r="X629" t="s">
        <v>41</v>
      </c>
      <c r="Y629" t="s">
        <v>42</v>
      </c>
      <c r="Z629">
        <v>4</v>
      </c>
    </row>
    <row r="630" spans="1:26">
      <c r="A630" t="s">
        <v>1373</v>
      </c>
      <c r="B630" t="s">
        <v>1374</v>
      </c>
      <c r="C630" t="s">
        <v>28</v>
      </c>
      <c r="D630" t="s">
        <v>29</v>
      </c>
      <c r="E630" s="1">
        <v>43835</v>
      </c>
      <c r="F630" t="s">
        <v>86</v>
      </c>
      <c r="G630" t="s">
        <v>242</v>
      </c>
      <c r="H630" t="s">
        <v>32</v>
      </c>
      <c r="I630">
        <v>8</v>
      </c>
      <c r="J630" t="s">
        <v>98</v>
      </c>
      <c r="K630">
        <v>2</v>
      </c>
      <c r="L630" s="3">
        <v>5299</v>
      </c>
      <c r="M630">
        <v>5</v>
      </c>
      <c r="N630" s="3">
        <v>5030</v>
      </c>
      <c r="O630" s="3">
        <v>10060</v>
      </c>
      <c r="P630" t="s">
        <v>50</v>
      </c>
      <c r="Q630" t="s">
        <v>51</v>
      </c>
      <c r="R630" t="s">
        <v>36</v>
      </c>
      <c r="S630" t="s">
        <v>418</v>
      </c>
      <c r="T630" t="s">
        <v>419</v>
      </c>
      <c r="U630" t="s">
        <v>39</v>
      </c>
      <c r="V630" t="s">
        <v>40</v>
      </c>
      <c r="W630">
        <v>4.5</v>
      </c>
      <c r="X630" t="s">
        <v>41</v>
      </c>
      <c r="Y630" t="s">
        <v>55</v>
      </c>
      <c r="Z630">
        <v>3</v>
      </c>
    </row>
    <row r="631" spans="1:26">
      <c r="A631" t="s">
        <v>1375</v>
      </c>
      <c r="B631" t="s">
        <v>1376</v>
      </c>
      <c r="C631" t="s">
        <v>28</v>
      </c>
      <c r="D631" t="s">
        <v>46</v>
      </c>
      <c r="E631" s="1">
        <v>43838</v>
      </c>
      <c r="F631" t="s">
        <v>65</v>
      </c>
      <c r="G631" t="s">
        <v>72</v>
      </c>
      <c r="H631" t="s">
        <v>59</v>
      </c>
      <c r="I631">
        <v>11</v>
      </c>
      <c r="J631" t="s">
        <v>150</v>
      </c>
      <c r="K631">
        <v>1</v>
      </c>
      <c r="L631" s="3">
        <v>6999</v>
      </c>
      <c r="M631">
        <v>15</v>
      </c>
      <c r="N631" s="3">
        <v>5950</v>
      </c>
      <c r="O631" s="3">
        <v>5950</v>
      </c>
      <c r="P631" t="s">
        <v>74</v>
      </c>
      <c r="Q631" t="s">
        <v>51</v>
      </c>
      <c r="R631" t="s">
        <v>36</v>
      </c>
      <c r="S631" t="s">
        <v>210</v>
      </c>
      <c r="T631" t="s">
        <v>415</v>
      </c>
      <c r="U631" t="s">
        <v>54</v>
      </c>
      <c r="V631" t="s">
        <v>40</v>
      </c>
      <c r="W631">
        <v>4.9000000000000004</v>
      </c>
      <c r="X631" t="s">
        <v>41</v>
      </c>
      <c r="Y631" t="s">
        <v>42</v>
      </c>
      <c r="Z631">
        <v>5</v>
      </c>
    </row>
    <row r="632" spans="1:26">
      <c r="A632" t="s">
        <v>1377</v>
      </c>
      <c r="B632" t="s">
        <v>1378</v>
      </c>
      <c r="C632" t="s">
        <v>94</v>
      </c>
      <c r="D632" t="s">
        <v>46</v>
      </c>
      <c r="E632" s="1">
        <v>43841</v>
      </c>
      <c r="F632" t="s">
        <v>30</v>
      </c>
      <c r="G632" t="s">
        <v>58</v>
      </c>
      <c r="H632" t="s">
        <v>59</v>
      </c>
      <c r="I632">
        <v>6</v>
      </c>
      <c r="J632" t="s">
        <v>150</v>
      </c>
      <c r="K632">
        <v>1</v>
      </c>
      <c r="L632" s="3">
        <v>8799</v>
      </c>
      <c r="M632">
        <v>10</v>
      </c>
      <c r="N632" s="3">
        <v>7920</v>
      </c>
      <c r="O632" s="3">
        <v>7920</v>
      </c>
      <c r="P632" t="s">
        <v>34</v>
      </c>
      <c r="Q632" t="s">
        <v>51</v>
      </c>
      <c r="R632" t="s">
        <v>36</v>
      </c>
      <c r="S632" t="s">
        <v>191</v>
      </c>
      <c r="T632" t="s">
        <v>572</v>
      </c>
      <c r="U632" t="s">
        <v>61</v>
      </c>
      <c r="V632" t="s">
        <v>40</v>
      </c>
      <c r="W632">
        <v>3.6</v>
      </c>
      <c r="X632" t="s">
        <v>41</v>
      </c>
      <c r="Y632" t="s">
        <v>42</v>
      </c>
      <c r="Z632">
        <v>3</v>
      </c>
    </row>
    <row r="633" spans="1:26">
      <c r="A633" t="s">
        <v>1379</v>
      </c>
      <c r="B633" t="s">
        <v>267</v>
      </c>
      <c r="C633" t="s">
        <v>45</v>
      </c>
      <c r="D633" t="s">
        <v>29</v>
      </c>
      <c r="E633" s="1">
        <v>43843</v>
      </c>
      <c r="F633" t="s">
        <v>86</v>
      </c>
      <c r="G633" t="s">
        <v>242</v>
      </c>
      <c r="H633" t="s">
        <v>32</v>
      </c>
      <c r="I633">
        <v>7</v>
      </c>
      <c r="J633" t="s">
        <v>67</v>
      </c>
      <c r="K633">
        <v>2</v>
      </c>
      <c r="L633" s="3">
        <v>8899</v>
      </c>
      <c r="M633">
        <v>15</v>
      </c>
      <c r="N633" s="3">
        <v>7560</v>
      </c>
      <c r="O633" s="3">
        <v>15120</v>
      </c>
      <c r="P633" t="s">
        <v>81</v>
      </c>
      <c r="Q633" t="s">
        <v>82</v>
      </c>
      <c r="R633" t="s">
        <v>36</v>
      </c>
      <c r="S633" t="s">
        <v>117</v>
      </c>
      <c r="T633" t="s">
        <v>118</v>
      </c>
      <c r="U633" t="s">
        <v>61</v>
      </c>
      <c r="V633" t="s">
        <v>315</v>
      </c>
      <c r="W633">
        <v>4.4000000000000004</v>
      </c>
      <c r="X633" t="s">
        <v>41</v>
      </c>
      <c r="Y633" t="s">
        <v>42</v>
      </c>
      <c r="Z633">
        <v>2</v>
      </c>
    </row>
    <row r="634" spans="1:26">
      <c r="A634" t="s">
        <v>1380</v>
      </c>
      <c r="B634" t="s">
        <v>1381</v>
      </c>
      <c r="C634" t="s">
        <v>28</v>
      </c>
      <c r="D634" t="s">
        <v>46</v>
      </c>
      <c r="E634" s="1">
        <v>43843</v>
      </c>
      <c r="F634" t="s">
        <v>79</v>
      </c>
      <c r="G634" t="s">
        <v>127</v>
      </c>
      <c r="H634" t="s">
        <v>128</v>
      </c>
      <c r="I634">
        <v>10</v>
      </c>
      <c r="J634" t="s">
        <v>150</v>
      </c>
      <c r="K634">
        <v>3</v>
      </c>
      <c r="L634" s="3">
        <v>8399</v>
      </c>
      <c r="M634">
        <v>10</v>
      </c>
      <c r="N634" s="3">
        <v>7560</v>
      </c>
      <c r="O634" s="3">
        <v>22680</v>
      </c>
      <c r="P634" t="s">
        <v>34</v>
      </c>
      <c r="Q634" t="s">
        <v>51</v>
      </c>
      <c r="R634" t="s">
        <v>36</v>
      </c>
      <c r="S634" t="s">
        <v>243</v>
      </c>
      <c r="T634" t="s">
        <v>244</v>
      </c>
      <c r="U634" t="s">
        <v>54</v>
      </c>
      <c r="V634" t="s">
        <v>40</v>
      </c>
      <c r="W634">
        <v>4</v>
      </c>
      <c r="X634" t="s">
        <v>106</v>
      </c>
      <c r="Y634" t="s">
        <v>55</v>
      </c>
      <c r="Z634">
        <v>3</v>
      </c>
    </row>
    <row r="635" spans="1:26">
      <c r="A635" t="s">
        <v>1382</v>
      </c>
      <c r="B635" t="s">
        <v>1383</v>
      </c>
      <c r="C635" t="s">
        <v>28</v>
      </c>
      <c r="D635" t="s">
        <v>46</v>
      </c>
      <c r="E635" s="1">
        <v>43844</v>
      </c>
      <c r="F635" t="s">
        <v>65</v>
      </c>
      <c r="G635" t="s">
        <v>268</v>
      </c>
      <c r="H635" t="s">
        <v>128</v>
      </c>
      <c r="I635">
        <v>6</v>
      </c>
      <c r="J635" t="s">
        <v>98</v>
      </c>
      <c r="K635">
        <v>1</v>
      </c>
      <c r="L635" s="3">
        <v>3599</v>
      </c>
      <c r="M635">
        <v>25</v>
      </c>
      <c r="N635" s="3">
        <v>2700</v>
      </c>
      <c r="O635" s="3">
        <v>2700</v>
      </c>
      <c r="P635" t="s">
        <v>34</v>
      </c>
      <c r="Q635" t="s">
        <v>82</v>
      </c>
      <c r="R635" t="s">
        <v>36</v>
      </c>
      <c r="S635" t="s">
        <v>52</v>
      </c>
      <c r="T635" t="s">
        <v>235</v>
      </c>
      <c r="U635" t="s">
        <v>124</v>
      </c>
      <c r="V635" t="s">
        <v>40</v>
      </c>
      <c r="W635">
        <v>3.5</v>
      </c>
      <c r="X635" t="s">
        <v>41</v>
      </c>
      <c r="Y635" t="s">
        <v>42</v>
      </c>
      <c r="Z635">
        <v>3</v>
      </c>
    </row>
    <row r="636" spans="1:26">
      <c r="A636" t="s">
        <v>1384</v>
      </c>
      <c r="B636" t="s">
        <v>1385</v>
      </c>
      <c r="C636" t="s">
        <v>45</v>
      </c>
      <c r="D636" t="s">
        <v>46</v>
      </c>
      <c r="E636" s="1">
        <v>43847</v>
      </c>
      <c r="F636" t="s">
        <v>79</v>
      </c>
      <c r="G636" t="s">
        <v>127</v>
      </c>
      <c r="H636" t="s">
        <v>128</v>
      </c>
      <c r="I636">
        <v>10</v>
      </c>
      <c r="J636" t="s">
        <v>73</v>
      </c>
      <c r="K636">
        <v>1</v>
      </c>
      <c r="L636" s="3">
        <v>3399</v>
      </c>
      <c r="M636">
        <v>0</v>
      </c>
      <c r="N636" s="3">
        <v>3400</v>
      </c>
      <c r="O636" s="3">
        <v>3400</v>
      </c>
      <c r="P636" t="s">
        <v>34</v>
      </c>
      <c r="Q636" t="s">
        <v>51</v>
      </c>
      <c r="R636" t="s">
        <v>36</v>
      </c>
      <c r="S636" t="s">
        <v>117</v>
      </c>
      <c r="T636" t="s">
        <v>118</v>
      </c>
      <c r="U636" t="s">
        <v>61</v>
      </c>
      <c r="V636" t="s">
        <v>40</v>
      </c>
      <c r="W636">
        <v>5</v>
      </c>
      <c r="X636" t="s">
        <v>41</v>
      </c>
      <c r="Y636" t="s">
        <v>55</v>
      </c>
      <c r="Z636">
        <v>2</v>
      </c>
    </row>
    <row r="637" spans="1:26">
      <c r="A637" t="s">
        <v>1386</v>
      </c>
      <c r="B637" t="s">
        <v>1387</v>
      </c>
      <c r="C637" t="s">
        <v>45</v>
      </c>
      <c r="D637" t="s">
        <v>46</v>
      </c>
      <c r="E637" s="1">
        <v>43849</v>
      </c>
      <c r="F637" t="s">
        <v>96</v>
      </c>
      <c r="G637" t="s">
        <v>323</v>
      </c>
      <c r="H637" t="s">
        <v>59</v>
      </c>
      <c r="I637">
        <v>9</v>
      </c>
      <c r="J637" t="s">
        <v>73</v>
      </c>
      <c r="K637">
        <v>2</v>
      </c>
      <c r="L637" s="3">
        <v>8799</v>
      </c>
      <c r="M637">
        <v>10</v>
      </c>
      <c r="N637" s="3">
        <v>7920</v>
      </c>
      <c r="O637" s="3">
        <v>15840</v>
      </c>
      <c r="P637" t="s">
        <v>81</v>
      </c>
      <c r="Q637" t="s">
        <v>82</v>
      </c>
      <c r="R637" t="s">
        <v>36</v>
      </c>
      <c r="S637" t="s">
        <v>136</v>
      </c>
      <c r="T637" t="s">
        <v>137</v>
      </c>
      <c r="U637" t="s">
        <v>91</v>
      </c>
      <c r="V637" t="s">
        <v>40</v>
      </c>
      <c r="W637">
        <v>4.3</v>
      </c>
      <c r="X637" t="s">
        <v>41</v>
      </c>
      <c r="Y637" t="s">
        <v>55</v>
      </c>
      <c r="Z637">
        <v>3</v>
      </c>
    </row>
    <row r="638" spans="1:26">
      <c r="A638" t="s">
        <v>1388</v>
      </c>
      <c r="B638" t="s">
        <v>1255</v>
      </c>
      <c r="C638" t="s">
        <v>28</v>
      </c>
      <c r="D638" t="s">
        <v>95</v>
      </c>
      <c r="E638" s="1">
        <v>43850</v>
      </c>
      <c r="F638" t="s">
        <v>79</v>
      </c>
      <c r="G638" t="s">
        <v>480</v>
      </c>
      <c r="H638" t="s">
        <v>111</v>
      </c>
      <c r="I638">
        <v>10</v>
      </c>
      <c r="J638" t="s">
        <v>67</v>
      </c>
      <c r="K638">
        <v>2</v>
      </c>
      <c r="L638" s="3">
        <v>5799</v>
      </c>
      <c r="M638">
        <v>30</v>
      </c>
      <c r="N638" s="3">
        <v>4060</v>
      </c>
      <c r="O638" s="3">
        <v>8120</v>
      </c>
      <c r="P638" t="s">
        <v>74</v>
      </c>
      <c r="Q638" t="s">
        <v>35</v>
      </c>
      <c r="R638" t="s">
        <v>36</v>
      </c>
      <c r="S638" t="s">
        <v>136</v>
      </c>
      <c r="T638" t="s">
        <v>638</v>
      </c>
      <c r="U638" t="s">
        <v>54</v>
      </c>
      <c r="V638" t="s">
        <v>315</v>
      </c>
      <c r="W638">
        <v>3.3</v>
      </c>
      <c r="X638" t="s">
        <v>41</v>
      </c>
      <c r="Y638" t="s">
        <v>55</v>
      </c>
      <c r="Z638">
        <v>3</v>
      </c>
    </row>
    <row r="639" spans="1:26">
      <c r="A639" t="s">
        <v>1389</v>
      </c>
      <c r="B639" t="s">
        <v>1390</v>
      </c>
      <c r="C639" t="s">
        <v>45</v>
      </c>
      <c r="D639" t="s">
        <v>46</v>
      </c>
      <c r="E639" s="1">
        <v>43853</v>
      </c>
      <c r="F639" t="s">
        <v>79</v>
      </c>
      <c r="G639" t="s">
        <v>80</v>
      </c>
      <c r="H639" t="s">
        <v>59</v>
      </c>
      <c r="I639">
        <v>10</v>
      </c>
      <c r="J639" t="s">
        <v>67</v>
      </c>
      <c r="K639">
        <v>2</v>
      </c>
      <c r="L639" s="3">
        <v>3999</v>
      </c>
      <c r="M639">
        <v>30</v>
      </c>
      <c r="N639" s="3">
        <v>2800</v>
      </c>
      <c r="O639" s="3">
        <v>5600</v>
      </c>
      <c r="P639" t="s">
        <v>81</v>
      </c>
      <c r="Q639" t="s">
        <v>35</v>
      </c>
      <c r="R639" t="s">
        <v>36</v>
      </c>
      <c r="S639" t="s">
        <v>104</v>
      </c>
      <c r="T639" t="s">
        <v>291</v>
      </c>
      <c r="U639" t="s">
        <v>39</v>
      </c>
      <c r="V639" t="s">
        <v>40</v>
      </c>
      <c r="W639">
        <v>2.8</v>
      </c>
      <c r="X639" t="s">
        <v>62</v>
      </c>
      <c r="Y639" t="s">
        <v>42</v>
      </c>
      <c r="Z639">
        <v>6</v>
      </c>
    </row>
    <row r="640" spans="1:26">
      <c r="A640" t="s">
        <v>1391</v>
      </c>
      <c r="B640" t="s">
        <v>1392</v>
      </c>
      <c r="C640" t="s">
        <v>45</v>
      </c>
      <c r="D640" t="s">
        <v>46</v>
      </c>
      <c r="E640" s="1">
        <v>43854</v>
      </c>
      <c r="F640" t="s">
        <v>47</v>
      </c>
      <c r="G640" t="s">
        <v>218</v>
      </c>
      <c r="H640" t="s">
        <v>59</v>
      </c>
      <c r="I640">
        <v>6</v>
      </c>
      <c r="J640" t="s">
        <v>73</v>
      </c>
      <c r="K640">
        <v>2</v>
      </c>
      <c r="L640" s="3">
        <v>8899</v>
      </c>
      <c r="M640">
        <v>10</v>
      </c>
      <c r="N640" s="3">
        <v>8010</v>
      </c>
      <c r="O640" s="3">
        <v>16020</v>
      </c>
      <c r="P640" t="s">
        <v>74</v>
      </c>
      <c r="Q640" t="s">
        <v>82</v>
      </c>
      <c r="R640" t="s">
        <v>36</v>
      </c>
      <c r="S640" t="s">
        <v>122</v>
      </c>
      <c r="T640" t="s">
        <v>382</v>
      </c>
      <c r="U640" t="s">
        <v>39</v>
      </c>
      <c r="V640" t="s">
        <v>40</v>
      </c>
      <c r="W640">
        <v>3.9</v>
      </c>
      <c r="X640" t="s">
        <v>106</v>
      </c>
      <c r="Y640" t="s">
        <v>55</v>
      </c>
      <c r="Z640">
        <v>4</v>
      </c>
    </row>
    <row r="641" spans="1:26">
      <c r="A641" t="s">
        <v>1393</v>
      </c>
      <c r="B641" t="s">
        <v>317</v>
      </c>
      <c r="C641" t="s">
        <v>45</v>
      </c>
      <c r="D641" t="s">
        <v>46</v>
      </c>
      <c r="E641" s="1">
        <v>43855</v>
      </c>
      <c r="F641" t="s">
        <v>79</v>
      </c>
      <c r="G641" t="s">
        <v>301</v>
      </c>
      <c r="H641" t="s">
        <v>49</v>
      </c>
      <c r="I641">
        <v>9</v>
      </c>
      <c r="J641" t="s">
        <v>88</v>
      </c>
      <c r="K641">
        <v>1</v>
      </c>
      <c r="L641" s="3">
        <v>8099</v>
      </c>
      <c r="M641">
        <v>10</v>
      </c>
      <c r="N641" s="3">
        <v>7290</v>
      </c>
      <c r="O641" s="3">
        <v>7290</v>
      </c>
      <c r="P641" t="s">
        <v>74</v>
      </c>
      <c r="Q641" t="s">
        <v>35</v>
      </c>
      <c r="R641" t="s">
        <v>36</v>
      </c>
      <c r="S641" t="s">
        <v>418</v>
      </c>
      <c r="T641" t="s">
        <v>613</v>
      </c>
      <c r="U641" t="s">
        <v>124</v>
      </c>
      <c r="V641" t="s">
        <v>969</v>
      </c>
      <c r="W641">
        <v>4.5</v>
      </c>
      <c r="X641" t="s">
        <v>41</v>
      </c>
      <c r="Y641" t="s">
        <v>42</v>
      </c>
      <c r="Z641">
        <v>4</v>
      </c>
    </row>
    <row r="642" spans="1:26">
      <c r="A642" t="s">
        <v>1394</v>
      </c>
      <c r="B642" t="s">
        <v>1395</v>
      </c>
      <c r="C642" t="s">
        <v>28</v>
      </c>
      <c r="D642" t="s">
        <v>109</v>
      </c>
      <c r="E642" s="1">
        <v>43855</v>
      </c>
      <c r="F642" t="s">
        <v>79</v>
      </c>
      <c r="G642" t="s">
        <v>174</v>
      </c>
      <c r="H642" t="s">
        <v>32</v>
      </c>
      <c r="I642">
        <v>11</v>
      </c>
      <c r="J642" t="s">
        <v>150</v>
      </c>
      <c r="K642">
        <v>1</v>
      </c>
      <c r="L642" s="3">
        <v>4699</v>
      </c>
      <c r="M642">
        <v>5</v>
      </c>
      <c r="N642" s="3">
        <v>4460</v>
      </c>
      <c r="O642" s="3">
        <v>4460</v>
      </c>
      <c r="P642" t="s">
        <v>74</v>
      </c>
      <c r="Q642" t="s">
        <v>82</v>
      </c>
      <c r="R642" t="s">
        <v>36</v>
      </c>
      <c r="S642" t="s">
        <v>52</v>
      </c>
      <c r="T642" t="s">
        <v>60</v>
      </c>
      <c r="U642" t="s">
        <v>39</v>
      </c>
      <c r="V642" t="s">
        <v>40</v>
      </c>
      <c r="W642">
        <v>4.3</v>
      </c>
      <c r="X642" t="s">
        <v>41</v>
      </c>
      <c r="Y642" t="s">
        <v>42</v>
      </c>
      <c r="Z642">
        <v>5</v>
      </c>
    </row>
    <row r="643" spans="1:26">
      <c r="A643" t="s">
        <v>1396</v>
      </c>
      <c r="B643" t="s">
        <v>1105</v>
      </c>
      <c r="C643" t="s">
        <v>28</v>
      </c>
      <c r="D643" t="s">
        <v>103</v>
      </c>
      <c r="E643" s="1">
        <v>43855</v>
      </c>
      <c r="F643" t="s">
        <v>79</v>
      </c>
      <c r="G643" t="s">
        <v>127</v>
      </c>
      <c r="H643" t="s">
        <v>128</v>
      </c>
      <c r="I643">
        <v>12</v>
      </c>
      <c r="J643" t="s">
        <v>33</v>
      </c>
      <c r="K643">
        <v>1</v>
      </c>
      <c r="L643" s="3">
        <v>4599</v>
      </c>
      <c r="M643">
        <v>5</v>
      </c>
      <c r="N643" s="3">
        <v>4370</v>
      </c>
      <c r="O643" s="3">
        <v>4370</v>
      </c>
      <c r="P643" t="s">
        <v>50</v>
      </c>
      <c r="Q643" t="s">
        <v>51</v>
      </c>
      <c r="R643" t="s">
        <v>36</v>
      </c>
      <c r="S643" t="s">
        <v>460</v>
      </c>
      <c r="T643" t="s">
        <v>580</v>
      </c>
      <c r="U643" t="s">
        <v>54</v>
      </c>
      <c r="V643" t="s">
        <v>315</v>
      </c>
      <c r="W643">
        <v>5</v>
      </c>
      <c r="X643" t="s">
        <v>106</v>
      </c>
      <c r="Y643" t="s">
        <v>42</v>
      </c>
      <c r="Z643">
        <v>3</v>
      </c>
    </row>
    <row r="644" spans="1:26">
      <c r="A644" t="s">
        <v>1397</v>
      </c>
      <c r="B644" t="s">
        <v>1376</v>
      </c>
      <c r="C644" t="s">
        <v>45</v>
      </c>
      <c r="D644" t="s">
        <v>46</v>
      </c>
      <c r="E644" s="1">
        <v>43856</v>
      </c>
      <c r="F644" t="s">
        <v>96</v>
      </c>
      <c r="G644" t="s">
        <v>323</v>
      </c>
      <c r="H644" t="s">
        <v>59</v>
      </c>
      <c r="I644">
        <v>9</v>
      </c>
      <c r="J644" t="s">
        <v>98</v>
      </c>
      <c r="K644">
        <v>1</v>
      </c>
      <c r="L644" s="3">
        <v>6199</v>
      </c>
      <c r="M644">
        <v>10</v>
      </c>
      <c r="N644" s="3">
        <v>5580</v>
      </c>
      <c r="O644" s="3">
        <v>5580</v>
      </c>
      <c r="P644" t="s">
        <v>34</v>
      </c>
      <c r="Q644" t="s">
        <v>35</v>
      </c>
      <c r="R644" t="s">
        <v>36</v>
      </c>
      <c r="S644" t="s">
        <v>112</v>
      </c>
      <c r="T644" t="s">
        <v>113</v>
      </c>
      <c r="U644" t="s">
        <v>91</v>
      </c>
      <c r="V644" t="s">
        <v>315</v>
      </c>
      <c r="W644">
        <v>4</v>
      </c>
      <c r="X644" t="s">
        <v>62</v>
      </c>
      <c r="Y644" t="s">
        <v>42</v>
      </c>
      <c r="Z644">
        <v>5</v>
      </c>
    </row>
    <row r="645" spans="1:26">
      <c r="A645" t="s">
        <v>1398</v>
      </c>
      <c r="B645" t="s">
        <v>1399</v>
      </c>
      <c r="C645" t="s">
        <v>45</v>
      </c>
      <c r="D645" t="s">
        <v>29</v>
      </c>
      <c r="E645" s="1">
        <v>43858</v>
      </c>
      <c r="F645" t="s">
        <v>47</v>
      </c>
      <c r="G645" t="s">
        <v>218</v>
      </c>
      <c r="H645" t="s">
        <v>59</v>
      </c>
      <c r="I645">
        <v>8</v>
      </c>
      <c r="J645" t="s">
        <v>67</v>
      </c>
      <c r="K645">
        <v>1</v>
      </c>
      <c r="L645" s="3">
        <v>6699</v>
      </c>
      <c r="M645">
        <v>15</v>
      </c>
      <c r="N645" s="3">
        <v>5690</v>
      </c>
      <c r="O645" s="3">
        <v>5690</v>
      </c>
      <c r="P645" t="s">
        <v>34</v>
      </c>
      <c r="Q645" t="s">
        <v>51</v>
      </c>
      <c r="R645" t="s">
        <v>36</v>
      </c>
      <c r="S645" t="s">
        <v>164</v>
      </c>
      <c r="T645" t="s">
        <v>314</v>
      </c>
      <c r="U645" t="s">
        <v>61</v>
      </c>
      <c r="V645" t="s">
        <v>40</v>
      </c>
      <c r="W645">
        <v>3.6</v>
      </c>
      <c r="X645" t="s">
        <v>106</v>
      </c>
      <c r="Y645" t="s">
        <v>42</v>
      </c>
      <c r="Z645">
        <v>2</v>
      </c>
    </row>
    <row r="646" spans="1:26">
      <c r="A646" t="s">
        <v>1400</v>
      </c>
      <c r="B646" t="s">
        <v>642</v>
      </c>
      <c r="C646" t="s">
        <v>28</v>
      </c>
      <c r="D646" t="s">
        <v>46</v>
      </c>
      <c r="E646" s="1">
        <v>43863</v>
      </c>
      <c r="F646" t="s">
        <v>96</v>
      </c>
      <c r="G646" t="s">
        <v>155</v>
      </c>
      <c r="H646" t="s">
        <v>111</v>
      </c>
      <c r="I646">
        <v>9</v>
      </c>
      <c r="J646" t="s">
        <v>67</v>
      </c>
      <c r="K646">
        <v>1</v>
      </c>
      <c r="L646" s="3">
        <v>6699</v>
      </c>
      <c r="M646">
        <v>25</v>
      </c>
      <c r="N646" s="3">
        <v>5020</v>
      </c>
      <c r="O646" s="3">
        <v>5020</v>
      </c>
      <c r="P646" t="s">
        <v>81</v>
      </c>
      <c r="Q646" t="s">
        <v>82</v>
      </c>
      <c r="R646" t="s">
        <v>36</v>
      </c>
      <c r="S646" t="s">
        <v>129</v>
      </c>
      <c r="T646" t="s">
        <v>282</v>
      </c>
      <c r="U646" t="s">
        <v>61</v>
      </c>
      <c r="V646" t="s">
        <v>315</v>
      </c>
      <c r="W646">
        <v>4.3</v>
      </c>
      <c r="X646" t="s">
        <v>41</v>
      </c>
      <c r="Y646" t="s">
        <v>42</v>
      </c>
      <c r="Z646">
        <v>5</v>
      </c>
    </row>
    <row r="647" spans="1:26">
      <c r="A647" t="s">
        <v>1401</v>
      </c>
      <c r="B647" t="s">
        <v>730</v>
      </c>
      <c r="C647" t="s">
        <v>45</v>
      </c>
      <c r="D647" t="s">
        <v>95</v>
      </c>
      <c r="E647" s="1">
        <v>43864</v>
      </c>
      <c r="F647" t="s">
        <v>47</v>
      </c>
      <c r="G647" t="s">
        <v>402</v>
      </c>
      <c r="H647" t="s">
        <v>32</v>
      </c>
      <c r="I647">
        <v>10</v>
      </c>
      <c r="J647" t="s">
        <v>67</v>
      </c>
      <c r="K647">
        <v>1</v>
      </c>
      <c r="L647" s="3">
        <v>5299</v>
      </c>
      <c r="M647">
        <v>20</v>
      </c>
      <c r="N647" s="3">
        <v>4240</v>
      </c>
      <c r="O647" s="3">
        <v>4240</v>
      </c>
      <c r="P647" t="s">
        <v>74</v>
      </c>
      <c r="Q647" t="s">
        <v>51</v>
      </c>
      <c r="R647" t="s">
        <v>36</v>
      </c>
      <c r="S647" t="s">
        <v>37</v>
      </c>
      <c r="T647" t="s">
        <v>509</v>
      </c>
      <c r="U647" t="s">
        <v>61</v>
      </c>
      <c r="V647" t="s">
        <v>315</v>
      </c>
      <c r="W647">
        <v>4.5999999999999996</v>
      </c>
      <c r="X647" t="s">
        <v>41</v>
      </c>
      <c r="Y647" t="s">
        <v>55</v>
      </c>
      <c r="Z647">
        <v>2</v>
      </c>
    </row>
    <row r="648" spans="1:26">
      <c r="A648" t="s">
        <v>1402</v>
      </c>
      <c r="B648" t="s">
        <v>1288</v>
      </c>
      <c r="C648" t="s">
        <v>28</v>
      </c>
      <c r="D648" t="s">
        <v>109</v>
      </c>
      <c r="E648" s="1">
        <v>43865</v>
      </c>
      <c r="F648" t="s">
        <v>96</v>
      </c>
      <c r="G648" t="s">
        <v>323</v>
      </c>
      <c r="H648" t="s">
        <v>59</v>
      </c>
      <c r="I648">
        <v>8</v>
      </c>
      <c r="J648" t="s">
        <v>67</v>
      </c>
      <c r="K648">
        <v>1</v>
      </c>
      <c r="L648" s="3">
        <v>7099</v>
      </c>
      <c r="M648">
        <v>10</v>
      </c>
      <c r="N648" s="3">
        <v>6390</v>
      </c>
      <c r="O648" s="3">
        <v>6390</v>
      </c>
      <c r="P648" t="s">
        <v>34</v>
      </c>
      <c r="Q648" t="s">
        <v>82</v>
      </c>
      <c r="R648" t="s">
        <v>36</v>
      </c>
      <c r="S648" t="s">
        <v>186</v>
      </c>
      <c r="T648" t="s">
        <v>341</v>
      </c>
      <c r="U648" t="s">
        <v>91</v>
      </c>
      <c r="V648" t="s">
        <v>315</v>
      </c>
      <c r="W648">
        <v>3.6</v>
      </c>
      <c r="X648" t="s">
        <v>41</v>
      </c>
      <c r="Y648" t="s">
        <v>55</v>
      </c>
      <c r="Z648">
        <v>2</v>
      </c>
    </row>
    <row r="649" spans="1:26">
      <c r="A649" t="s">
        <v>1403</v>
      </c>
      <c r="B649" t="s">
        <v>1027</v>
      </c>
      <c r="C649" t="s">
        <v>28</v>
      </c>
      <c r="D649" t="s">
        <v>46</v>
      </c>
      <c r="E649" s="1">
        <v>43865</v>
      </c>
      <c r="F649" t="s">
        <v>86</v>
      </c>
      <c r="G649" t="s">
        <v>87</v>
      </c>
      <c r="H649" t="s">
        <v>59</v>
      </c>
      <c r="I649">
        <v>9</v>
      </c>
      <c r="J649" t="s">
        <v>150</v>
      </c>
      <c r="K649">
        <v>2</v>
      </c>
      <c r="L649" s="3">
        <v>5999</v>
      </c>
      <c r="M649">
        <v>15</v>
      </c>
      <c r="N649" s="3">
        <v>5100</v>
      </c>
      <c r="O649" s="3">
        <v>10200</v>
      </c>
      <c r="P649" t="s">
        <v>74</v>
      </c>
      <c r="Q649" t="s">
        <v>51</v>
      </c>
      <c r="R649" t="s">
        <v>36</v>
      </c>
      <c r="S649" t="s">
        <v>89</v>
      </c>
      <c r="T649" t="s">
        <v>425</v>
      </c>
      <c r="U649" t="s">
        <v>61</v>
      </c>
      <c r="V649" t="s">
        <v>315</v>
      </c>
      <c r="W649">
        <v>3.9</v>
      </c>
      <c r="X649" t="s">
        <v>41</v>
      </c>
      <c r="Y649" t="s">
        <v>42</v>
      </c>
      <c r="Z649">
        <v>6</v>
      </c>
    </row>
    <row r="650" spans="1:26">
      <c r="A650" t="s">
        <v>1404</v>
      </c>
      <c r="B650" t="s">
        <v>1405</v>
      </c>
      <c r="C650" t="s">
        <v>28</v>
      </c>
      <c r="D650" t="s">
        <v>29</v>
      </c>
      <c r="E650" s="1">
        <v>43865</v>
      </c>
      <c r="F650" t="s">
        <v>30</v>
      </c>
      <c r="G650" t="s">
        <v>145</v>
      </c>
      <c r="H650" t="s">
        <v>59</v>
      </c>
      <c r="I650">
        <v>7</v>
      </c>
      <c r="J650" t="s">
        <v>67</v>
      </c>
      <c r="K650">
        <v>1</v>
      </c>
      <c r="L650" s="3">
        <v>8799</v>
      </c>
      <c r="M650">
        <v>10</v>
      </c>
      <c r="N650" s="3">
        <v>7920</v>
      </c>
      <c r="O650" s="3">
        <v>7920</v>
      </c>
      <c r="P650" t="s">
        <v>34</v>
      </c>
      <c r="Q650" t="s">
        <v>35</v>
      </c>
      <c r="R650" t="s">
        <v>36</v>
      </c>
      <c r="S650" t="s">
        <v>151</v>
      </c>
      <c r="T650" t="s">
        <v>890</v>
      </c>
      <c r="U650" t="s">
        <v>39</v>
      </c>
      <c r="V650" t="s">
        <v>40</v>
      </c>
      <c r="W650">
        <v>5</v>
      </c>
      <c r="X650" t="s">
        <v>41</v>
      </c>
      <c r="Y650" t="s">
        <v>42</v>
      </c>
      <c r="Z650">
        <v>5</v>
      </c>
    </row>
    <row r="651" spans="1:26">
      <c r="A651" t="s">
        <v>1406</v>
      </c>
      <c r="B651" t="s">
        <v>340</v>
      </c>
      <c r="C651" t="s">
        <v>28</v>
      </c>
      <c r="D651" t="s">
        <v>29</v>
      </c>
      <c r="E651" s="1">
        <v>43867</v>
      </c>
      <c r="F651" t="s">
        <v>79</v>
      </c>
      <c r="G651" t="s">
        <v>174</v>
      </c>
      <c r="H651" t="s">
        <v>32</v>
      </c>
      <c r="I651">
        <v>9</v>
      </c>
      <c r="J651" t="s">
        <v>67</v>
      </c>
      <c r="K651">
        <v>1</v>
      </c>
      <c r="L651" s="3">
        <v>7799</v>
      </c>
      <c r="M651">
        <v>15</v>
      </c>
      <c r="N651" s="3">
        <v>6630</v>
      </c>
      <c r="O651" s="3">
        <v>6630</v>
      </c>
      <c r="P651" t="s">
        <v>34</v>
      </c>
      <c r="Q651" t="s">
        <v>51</v>
      </c>
      <c r="R651" t="s">
        <v>36</v>
      </c>
      <c r="S651" t="s">
        <v>243</v>
      </c>
      <c r="T651" t="s">
        <v>276</v>
      </c>
      <c r="U651" t="s">
        <v>54</v>
      </c>
      <c r="V651" t="s">
        <v>315</v>
      </c>
      <c r="W651">
        <v>4.9000000000000004</v>
      </c>
      <c r="X651" t="s">
        <v>41</v>
      </c>
      <c r="Y651" t="s">
        <v>55</v>
      </c>
      <c r="Z651">
        <v>3</v>
      </c>
    </row>
    <row r="652" spans="1:26">
      <c r="A652" t="s">
        <v>1407</v>
      </c>
      <c r="B652" t="s">
        <v>756</v>
      </c>
      <c r="C652" t="s">
        <v>28</v>
      </c>
      <c r="D652" t="s">
        <v>95</v>
      </c>
      <c r="E652" s="1">
        <v>43869</v>
      </c>
      <c r="F652" t="s">
        <v>47</v>
      </c>
      <c r="G652" t="s">
        <v>199</v>
      </c>
      <c r="H652" t="s">
        <v>59</v>
      </c>
      <c r="I652">
        <v>9</v>
      </c>
      <c r="J652" t="s">
        <v>150</v>
      </c>
      <c r="K652">
        <v>2</v>
      </c>
      <c r="L652" s="3">
        <v>8599</v>
      </c>
      <c r="M652">
        <v>10</v>
      </c>
      <c r="N652" s="3">
        <v>7740</v>
      </c>
      <c r="O652" s="3">
        <v>15480</v>
      </c>
      <c r="P652" t="s">
        <v>81</v>
      </c>
      <c r="Q652" t="s">
        <v>51</v>
      </c>
      <c r="R652" t="s">
        <v>36</v>
      </c>
      <c r="S652" t="s">
        <v>210</v>
      </c>
      <c r="T652" t="s">
        <v>415</v>
      </c>
      <c r="U652" t="s">
        <v>124</v>
      </c>
      <c r="V652" t="s">
        <v>315</v>
      </c>
      <c r="W652">
        <v>4</v>
      </c>
      <c r="X652" t="s">
        <v>41</v>
      </c>
      <c r="Y652" t="s">
        <v>55</v>
      </c>
      <c r="Z652">
        <v>4</v>
      </c>
    </row>
    <row r="653" spans="1:26">
      <c r="A653" t="s">
        <v>1408</v>
      </c>
      <c r="B653" t="s">
        <v>1409</v>
      </c>
      <c r="C653" t="s">
        <v>28</v>
      </c>
      <c r="D653" t="s">
        <v>95</v>
      </c>
      <c r="E653" s="1">
        <v>43870</v>
      </c>
      <c r="F653" t="s">
        <v>79</v>
      </c>
      <c r="G653" t="s">
        <v>80</v>
      </c>
      <c r="H653" t="s">
        <v>59</v>
      </c>
      <c r="I653">
        <v>9</v>
      </c>
      <c r="J653" t="s">
        <v>98</v>
      </c>
      <c r="K653">
        <v>1</v>
      </c>
      <c r="L653" s="3">
        <v>7199</v>
      </c>
      <c r="M653">
        <v>25</v>
      </c>
      <c r="N653" s="3">
        <v>5400</v>
      </c>
      <c r="O653" s="3">
        <v>5400</v>
      </c>
      <c r="P653" t="s">
        <v>34</v>
      </c>
      <c r="Q653" t="s">
        <v>82</v>
      </c>
      <c r="R653" t="s">
        <v>36</v>
      </c>
      <c r="S653" t="s">
        <v>164</v>
      </c>
      <c r="T653" t="s">
        <v>409</v>
      </c>
      <c r="U653" t="s">
        <v>124</v>
      </c>
      <c r="V653" t="s">
        <v>40</v>
      </c>
      <c r="W653">
        <v>4.2</v>
      </c>
      <c r="X653" t="s">
        <v>106</v>
      </c>
      <c r="Y653" t="s">
        <v>147</v>
      </c>
      <c r="Z653">
        <v>1</v>
      </c>
    </row>
    <row r="654" spans="1:26">
      <c r="A654" t="s">
        <v>1410</v>
      </c>
      <c r="B654" t="s">
        <v>1411</v>
      </c>
      <c r="C654" t="s">
        <v>45</v>
      </c>
      <c r="D654" t="s">
        <v>29</v>
      </c>
      <c r="E654" s="1">
        <v>43871</v>
      </c>
      <c r="F654" t="s">
        <v>65</v>
      </c>
      <c r="G654" t="s">
        <v>365</v>
      </c>
      <c r="H654" t="s">
        <v>49</v>
      </c>
      <c r="I654">
        <v>11</v>
      </c>
      <c r="J654" t="s">
        <v>67</v>
      </c>
      <c r="K654">
        <v>1</v>
      </c>
      <c r="L654" s="3">
        <v>3999</v>
      </c>
      <c r="M654">
        <v>0</v>
      </c>
      <c r="N654" s="3">
        <v>4000</v>
      </c>
      <c r="O654" s="3">
        <v>4000</v>
      </c>
      <c r="P654" t="s">
        <v>74</v>
      </c>
      <c r="Q654" t="s">
        <v>82</v>
      </c>
      <c r="R654" t="s">
        <v>36</v>
      </c>
      <c r="S654" t="s">
        <v>117</v>
      </c>
      <c r="T654" t="s">
        <v>118</v>
      </c>
      <c r="U654" t="s">
        <v>39</v>
      </c>
      <c r="V654" t="s">
        <v>40</v>
      </c>
      <c r="W654">
        <v>5</v>
      </c>
      <c r="X654" t="s">
        <v>41</v>
      </c>
      <c r="Y654" t="s">
        <v>42</v>
      </c>
      <c r="Z654">
        <v>3</v>
      </c>
    </row>
    <row r="655" spans="1:26">
      <c r="A655" t="s">
        <v>1412</v>
      </c>
      <c r="B655" t="s">
        <v>693</v>
      </c>
      <c r="C655" t="s">
        <v>28</v>
      </c>
      <c r="D655" t="s">
        <v>103</v>
      </c>
      <c r="E655" s="1">
        <v>43871</v>
      </c>
      <c r="F655" t="s">
        <v>65</v>
      </c>
      <c r="G655" t="s">
        <v>256</v>
      </c>
      <c r="H655" t="s">
        <v>32</v>
      </c>
      <c r="I655">
        <v>7</v>
      </c>
      <c r="J655" t="s">
        <v>67</v>
      </c>
      <c r="K655">
        <v>2</v>
      </c>
      <c r="L655" s="3">
        <v>4999</v>
      </c>
      <c r="M655">
        <v>20</v>
      </c>
      <c r="N655" s="3">
        <v>4000</v>
      </c>
      <c r="O655" s="3">
        <v>8000</v>
      </c>
      <c r="P655" t="s">
        <v>74</v>
      </c>
      <c r="Q655" t="s">
        <v>82</v>
      </c>
      <c r="R655" t="s">
        <v>36</v>
      </c>
      <c r="S655" t="s">
        <v>141</v>
      </c>
      <c r="T655" t="s">
        <v>362</v>
      </c>
      <c r="U655" t="s">
        <v>54</v>
      </c>
      <c r="V655" t="s">
        <v>969</v>
      </c>
      <c r="W655">
        <v>4.5</v>
      </c>
      <c r="X655" t="s">
        <v>41</v>
      </c>
      <c r="Y655" t="s">
        <v>55</v>
      </c>
      <c r="Z655">
        <v>2</v>
      </c>
    </row>
    <row r="656" spans="1:26">
      <c r="A656" t="s">
        <v>1413</v>
      </c>
      <c r="B656" t="s">
        <v>1302</v>
      </c>
      <c r="C656" t="s">
        <v>45</v>
      </c>
      <c r="D656" t="s">
        <v>29</v>
      </c>
      <c r="E656" s="1">
        <v>43873</v>
      </c>
      <c r="F656" t="s">
        <v>86</v>
      </c>
      <c r="G656" t="s">
        <v>87</v>
      </c>
      <c r="H656" t="s">
        <v>59</v>
      </c>
      <c r="I656">
        <v>8</v>
      </c>
      <c r="J656" t="s">
        <v>150</v>
      </c>
      <c r="K656">
        <v>1</v>
      </c>
      <c r="L656" s="3">
        <v>6099</v>
      </c>
      <c r="M656">
        <v>25</v>
      </c>
      <c r="N656" s="3">
        <v>4570</v>
      </c>
      <c r="O656" s="3">
        <v>4570</v>
      </c>
      <c r="P656" t="s">
        <v>74</v>
      </c>
      <c r="Q656" t="s">
        <v>35</v>
      </c>
      <c r="R656" t="s">
        <v>36</v>
      </c>
      <c r="S656" t="s">
        <v>286</v>
      </c>
      <c r="T656" t="s">
        <v>737</v>
      </c>
      <c r="U656" t="s">
        <v>91</v>
      </c>
      <c r="V656" t="s">
        <v>315</v>
      </c>
      <c r="W656">
        <v>3.6</v>
      </c>
      <c r="X656" t="s">
        <v>41</v>
      </c>
      <c r="Y656" t="s">
        <v>55</v>
      </c>
      <c r="Z656">
        <v>2</v>
      </c>
    </row>
    <row r="657" spans="1:26">
      <c r="A657" t="s">
        <v>1414</v>
      </c>
      <c r="B657" t="s">
        <v>1415</v>
      </c>
      <c r="C657" t="s">
        <v>28</v>
      </c>
      <c r="D657" t="s">
        <v>29</v>
      </c>
      <c r="E657" s="1">
        <v>43873</v>
      </c>
      <c r="F657" t="s">
        <v>86</v>
      </c>
      <c r="G657" t="s">
        <v>116</v>
      </c>
      <c r="H657" t="s">
        <v>49</v>
      </c>
      <c r="I657">
        <v>9</v>
      </c>
      <c r="J657" t="s">
        <v>33</v>
      </c>
      <c r="K657">
        <v>1</v>
      </c>
      <c r="L657" s="3">
        <v>7599</v>
      </c>
      <c r="M657">
        <v>25</v>
      </c>
      <c r="N657" s="3">
        <v>5700</v>
      </c>
      <c r="O657" s="3">
        <v>5700</v>
      </c>
      <c r="P657" t="s">
        <v>74</v>
      </c>
      <c r="Q657" t="s">
        <v>51</v>
      </c>
      <c r="R657" t="s">
        <v>36</v>
      </c>
      <c r="S657" t="s">
        <v>117</v>
      </c>
      <c r="T657" t="s">
        <v>253</v>
      </c>
      <c r="U657" t="s">
        <v>91</v>
      </c>
      <c r="V657" t="s">
        <v>40</v>
      </c>
      <c r="W657">
        <v>3.6</v>
      </c>
      <c r="X657" t="s">
        <v>41</v>
      </c>
      <c r="Y657" t="s">
        <v>55</v>
      </c>
      <c r="Z657">
        <v>2</v>
      </c>
    </row>
    <row r="658" spans="1:26">
      <c r="A658" t="s">
        <v>1416</v>
      </c>
      <c r="B658" t="s">
        <v>1417</v>
      </c>
      <c r="C658" t="s">
        <v>45</v>
      </c>
      <c r="D658" t="s">
        <v>46</v>
      </c>
      <c r="E658" s="1">
        <v>43873</v>
      </c>
      <c r="F658" t="s">
        <v>79</v>
      </c>
      <c r="G658" t="s">
        <v>80</v>
      </c>
      <c r="H658" t="s">
        <v>59</v>
      </c>
      <c r="I658">
        <v>9</v>
      </c>
      <c r="J658" t="s">
        <v>98</v>
      </c>
      <c r="K658">
        <v>2</v>
      </c>
      <c r="L658" s="3">
        <v>6399</v>
      </c>
      <c r="M658">
        <v>10</v>
      </c>
      <c r="N658" s="3">
        <v>5760</v>
      </c>
      <c r="O658" s="3">
        <v>11520</v>
      </c>
      <c r="P658" t="s">
        <v>74</v>
      </c>
      <c r="Q658" t="s">
        <v>51</v>
      </c>
      <c r="R658" t="s">
        <v>36</v>
      </c>
      <c r="S658" t="s">
        <v>112</v>
      </c>
      <c r="T658" t="s">
        <v>250</v>
      </c>
      <c r="U658" t="s">
        <v>124</v>
      </c>
      <c r="V658" t="s">
        <v>40</v>
      </c>
      <c r="W658">
        <v>4.2</v>
      </c>
      <c r="X658" t="s">
        <v>41</v>
      </c>
      <c r="Y658" t="s">
        <v>55</v>
      </c>
      <c r="Z658">
        <v>3</v>
      </c>
    </row>
    <row r="659" spans="1:26">
      <c r="A659" t="s">
        <v>1418</v>
      </c>
      <c r="B659" t="s">
        <v>1419</v>
      </c>
      <c r="C659" t="s">
        <v>45</v>
      </c>
      <c r="D659" t="s">
        <v>95</v>
      </c>
      <c r="E659" s="1">
        <v>43875</v>
      </c>
      <c r="F659" t="s">
        <v>79</v>
      </c>
      <c r="G659" t="s">
        <v>301</v>
      </c>
      <c r="H659" t="s">
        <v>49</v>
      </c>
      <c r="I659">
        <v>8</v>
      </c>
      <c r="J659" t="s">
        <v>150</v>
      </c>
      <c r="K659">
        <v>1</v>
      </c>
      <c r="L659" s="3">
        <v>7499</v>
      </c>
      <c r="M659">
        <v>10</v>
      </c>
      <c r="N659" s="3">
        <v>6750</v>
      </c>
      <c r="O659" s="3">
        <v>6750</v>
      </c>
      <c r="P659" t="s">
        <v>74</v>
      </c>
      <c r="Q659" t="s">
        <v>82</v>
      </c>
      <c r="R659" t="s">
        <v>36</v>
      </c>
      <c r="S659" t="s">
        <v>122</v>
      </c>
      <c r="T659" t="s">
        <v>123</v>
      </c>
      <c r="U659" t="s">
        <v>39</v>
      </c>
      <c r="V659" t="s">
        <v>40</v>
      </c>
      <c r="W659">
        <v>4.3</v>
      </c>
      <c r="X659" t="s">
        <v>41</v>
      </c>
      <c r="Y659" t="s">
        <v>42</v>
      </c>
      <c r="Z659">
        <v>2</v>
      </c>
    </row>
    <row r="660" spans="1:26">
      <c r="A660" t="s">
        <v>1420</v>
      </c>
      <c r="B660" t="s">
        <v>1421</v>
      </c>
      <c r="C660" t="s">
        <v>28</v>
      </c>
      <c r="D660" t="s">
        <v>29</v>
      </c>
      <c r="E660" s="1">
        <v>43876</v>
      </c>
      <c r="F660" t="s">
        <v>96</v>
      </c>
      <c r="G660" t="s">
        <v>323</v>
      </c>
      <c r="H660" t="s">
        <v>59</v>
      </c>
      <c r="I660">
        <v>7</v>
      </c>
      <c r="J660" t="s">
        <v>98</v>
      </c>
      <c r="K660">
        <v>1</v>
      </c>
      <c r="L660" s="3">
        <v>9099</v>
      </c>
      <c r="M660">
        <v>10</v>
      </c>
      <c r="N660" s="3">
        <v>8190</v>
      </c>
      <c r="O660" s="3">
        <v>8190</v>
      </c>
      <c r="P660" t="s">
        <v>74</v>
      </c>
      <c r="Q660" t="s">
        <v>82</v>
      </c>
      <c r="R660" t="s">
        <v>36</v>
      </c>
      <c r="S660" t="s">
        <v>68</v>
      </c>
      <c r="T660" t="s">
        <v>69</v>
      </c>
      <c r="U660" t="s">
        <v>91</v>
      </c>
      <c r="V660" t="s">
        <v>40</v>
      </c>
      <c r="W660">
        <v>3.8</v>
      </c>
      <c r="X660" t="s">
        <v>41</v>
      </c>
      <c r="Y660" t="s">
        <v>42</v>
      </c>
      <c r="Z660">
        <v>4</v>
      </c>
    </row>
    <row r="661" spans="1:26">
      <c r="A661" t="s">
        <v>1422</v>
      </c>
      <c r="B661" t="s">
        <v>1423</v>
      </c>
      <c r="C661" t="s">
        <v>45</v>
      </c>
      <c r="D661" t="s">
        <v>29</v>
      </c>
      <c r="E661" s="1">
        <v>43877</v>
      </c>
      <c r="F661" t="s">
        <v>65</v>
      </c>
      <c r="G661" t="s">
        <v>72</v>
      </c>
      <c r="H661" t="s">
        <v>59</v>
      </c>
      <c r="I661">
        <v>12</v>
      </c>
      <c r="J661" t="s">
        <v>150</v>
      </c>
      <c r="K661">
        <v>1</v>
      </c>
      <c r="L661" s="3">
        <v>3399</v>
      </c>
      <c r="M661">
        <v>10</v>
      </c>
      <c r="N661" s="3">
        <v>3060</v>
      </c>
      <c r="O661" s="3">
        <v>3060</v>
      </c>
      <c r="P661" t="s">
        <v>34</v>
      </c>
      <c r="Q661" t="s">
        <v>35</v>
      </c>
      <c r="R661" t="s">
        <v>36</v>
      </c>
      <c r="S661" t="s">
        <v>354</v>
      </c>
      <c r="T661" t="s">
        <v>434</v>
      </c>
      <c r="U661" t="s">
        <v>124</v>
      </c>
      <c r="V661" t="s">
        <v>40</v>
      </c>
      <c r="W661">
        <v>3.9</v>
      </c>
      <c r="X661" t="s">
        <v>41</v>
      </c>
      <c r="Y661" t="s">
        <v>42</v>
      </c>
      <c r="Z661">
        <v>5</v>
      </c>
    </row>
    <row r="662" spans="1:26">
      <c r="A662" t="s">
        <v>1424</v>
      </c>
      <c r="B662" t="s">
        <v>1425</v>
      </c>
      <c r="C662" t="s">
        <v>45</v>
      </c>
      <c r="D662" t="s">
        <v>103</v>
      </c>
      <c r="E662" s="1">
        <v>43877</v>
      </c>
      <c r="F662" t="s">
        <v>86</v>
      </c>
      <c r="G662" t="s">
        <v>190</v>
      </c>
      <c r="H662" t="s">
        <v>128</v>
      </c>
      <c r="I662">
        <v>10</v>
      </c>
      <c r="J662" t="s">
        <v>73</v>
      </c>
      <c r="K662">
        <v>1</v>
      </c>
      <c r="L662" s="3">
        <v>8899</v>
      </c>
      <c r="M662">
        <v>5</v>
      </c>
      <c r="N662" s="3">
        <v>8450</v>
      </c>
      <c r="O662" s="3">
        <v>8450</v>
      </c>
      <c r="P662" t="s">
        <v>34</v>
      </c>
      <c r="Q662" t="s">
        <v>51</v>
      </c>
      <c r="R662" t="s">
        <v>36</v>
      </c>
      <c r="S662" t="s">
        <v>297</v>
      </c>
      <c r="T662" t="s">
        <v>351</v>
      </c>
      <c r="U662" t="s">
        <v>124</v>
      </c>
      <c r="V662" t="s">
        <v>40</v>
      </c>
      <c r="W662">
        <v>3.7</v>
      </c>
      <c r="X662" t="s">
        <v>41</v>
      </c>
      <c r="Y662" t="s">
        <v>147</v>
      </c>
      <c r="Z662">
        <v>2</v>
      </c>
    </row>
    <row r="663" spans="1:26">
      <c r="A663" t="s">
        <v>1426</v>
      </c>
      <c r="B663" t="s">
        <v>1427</v>
      </c>
      <c r="C663" t="s">
        <v>45</v>
      </c>
      <c r="D663" t="s">
        <v>109</v>
      </c>
      <c r="E663" s="1">
        <v>43878</v>
      </c>
      <c r="F663" t="s">
        <v>47</v>
      </c>
      <c r="G663" t="s">
        <v>402</v>
      </c>
      <c r="H663" t="s">
        <v>32</v>
      </c>
      <c r="I663">
        <v>10</v>
      </c>
      <c r="J663" t="s">
        <v>98</v>
      </c>
      <c r="K663">
        <v>1</v>
      </c>
      <c r="L663" s="3">
        <v>8199</v>
      </c>
      <c r="M663">
        <v>20</v>
      </c>
      <c r="N663" s="3">
        <v>6560</v>
      </c>
      <c r="O663" s="3">
        <v>6560</v>
      </c>
      <c r="P663" t="s">
        <v>34</v>
      </c>
      <c r="Q663" t="s">
        <v>35</v>
      </c>
      <c r="R663" t="s">
        <v>36</v>
      </c>
      <c r="S663" t="s">
        <v>338</v>
      </c>
      <c r="T663" t="s">
        <v>394</v>
      </c>
      <c r="U663" t="s">
        <v>124</v>
      </c>
      <c r="V663" t="s">
        <v>40</v>
      </c>
      <c r="W663">
        <v>4.3</v>
      </c>
      <c r="X663" t="s">
        <v>41</v>
      </c>
      <c r="Y663" t="s">
        <v>42</v>
      </c>
      <c r="Z663">
        <v>4</v>
      </c>
    </row>
    <row r="664" spans="1:26">
      <c r="A664" t="s">
        <v>1428</v>
      </c>
      <c r="B664" t="s">
        <v>1429</v>
      </c>
      <c r="C664" t="s">
        <v>28</v>
      </c>
      <c r="D664" t="s">
        <v>103</v>
      </c>
      <c r="E664" s="1">
        <v>43878</v>
      </c>
      <c r="F664" t="s">
        <v>86</v>
      </c>
      <c r="G664" t="s">
        <v>242</v>
      </c>
      <c r="H664" t="s">
        <v>32</v>
      </c>
      <c r="I664">
        <v>7</v>
      </c>
      <c r="J664" t="s">
        <v>73</v>
      </c>
      <c r="K664">
        <v>2</v>
      </c>
      <c r="L664" s="3">
        <v>9599</v>
      </c>
      <c r="M664">
        <v>5</v>
      </c>
      <c r="N664" s="3">
        <v>9120</v>
      </c>
      <c r="O664" s="3">
        <v>18240</v>
      </c>
      <c r="P664" t="s">
        <v>74</v>
      </c>
      <c r="Q664" t="s">
        <v>82</v>
      </c>
      <c r="R664" t="s">
        <v>36</v>
      </c>
      <c r="S664" t="s">
        <v>151</v>
      </c>
      <c r="T664" t="s">
        <v>506</v>
      </c>
      <c r="U664" t="s">
        <v>54</v>
      </c>
      <c r="V664" t="s">
        <v>40</v>
      </c>
      <c r="W664">
        <v>4.5</v>
      </c>
      <c r="X664" t="s">
        <v>62</v>
      </c>
      <c r="Y664" t="s">
        <v>42</v>
      </c>
      <c r="Z664">
        <v>5</v>
      </c>
    </row>
    <row r="665" spans="1:26">
      <c r="A665" t="s">
        <v>1430</v>
      </c>
      <c r="B665" t="s">
        <v>1431</v>
      </c>
      <c r="C665" t="s">
        <v>28</v>
      </c>
      <c r="D665" t="s">
        <v>29</v>
      </c>
      <c r="E665" s="1">
        <v>43878</v>
      </c>
      <c r="F665" t="s">
        <v>47</v>
      </c>
      <c r="G665" t="s">
        <v>48</v>
      </c>
      <c r="H665" t="s">
        <v>49</v>
      </c>
      <c r="I665">
        <v>8</v>
      </c>
      <c r="J665" t="s">
        <v>33</v>
      </c>
      <c r="K665">
        <v>1</v>
      </c>
      <c r="L665" s="3">
        <v>4299</v>
      </c>
      <c r="M665">
        <v>20</v>
      </c>
      <c r="N665" s="3">
        <v>3440</v>
      </c>
      <c r="O665" s="3">
        <v>3440</v>
      </c>
      <c r="P665" t="s">
        <v>34</v>
      </c>
      <c r="Q665" t="s">
        <v>51</v>
      </c>
      <c r="R665" t="s">
        <v>36</v>
      </c>
      <c r="S665" t="s">
        <v>168</v>
      </c>
      <c r="T665" t="s">
        <v>557</v>
      </c>
      <c r="U665" t="s">
        <v>39</v>
      </c>
      <c r="V665" t="s">
        <v>40</v>
      </c>
      <c r="W665">
        <v>3.6</v>
      </c>
      <c r="X665" t="s">
        <v>62</v>
      </c>
      <c r="Y665" t="s">
        <v>55</v>
      </c>
      <c r="Z665">
        <v>1</v>
      </c>
    </row>
    <row r="666" spans="1:26">
      <c r="A666" t="s">
        <v>1432</v>
      </c>
      <c r="B666" t="s">
        <v>1433</v>
      </c>
      <c r="C666" t="s">
        <v>28</v>
      </c>
      <c r="D666" t="s">
        <v>29</v>
      </c>
      <c r="E666" s="1">
        <v>43880</v>
      </c>
      <c r="F666" t="s">
        <v>86</v>
      </c>
      <c r="G666" t="s">
        <v>190</v>
      </c>
      <c r="H666" t="s">
        <v>128</v>
      </c>
      <c r="I666">
        <v>12</v>
      </c>
      <c r="J666" t="s">
        <v>88</v>
      </c>
      <c r="K666">
        <v>4</v>
      </c>
      <c r="L666" s="3">
        <v>8799</v>
      </c>
      <c r="M666">
        <v>10</v>
      </c>
      <c r="N666" s="3">
        <v>7920</v>
      </c>
      <c r="O666" s="3">
        <v>31680</v>
      </c>
      <c r="P666" t="s">
        <v>74</v>
      </c>
      <c r="Q666" t="s">
        <v>51</v>
      </c>
      <c r="R666" t="s">
        <v>36</v>
      </c>
      <c r="S666" t="s">
        <v>384</v>
      </c>
      <c r="T666" t="s">
        <v>385</v>
      </c>
      <c r="U666" t="s">
        <v>54</v>
      </c>
      <c r="V666" t="s">
        <v>40</v>
      </c>
      <c r="W666">
        <v>3.3</v>
      </c>
      <c r="X666" t="s">
        <v>41</v>
      </c>
      <c r="Y666" t="s">
        <v>42</v>
      </c>
      <c r="Z666">
        <v>2</v>
      </c>
    </row>
    <row r="667" spans="1:26">
      <c r="A667" t="s">
        <v>1434</v>
      </c>
      <c r="B667" t="s">
        <v>1435</v>
      </c>
      <c r="C667" t="s">
        <v>94</v>
      </c>
      <c r="D667" t="s">
        <v>46</v>
      </c>
      <c r="E667" s="1">
        <v>43881</v>
      </c>
      <c r="F667" t="s">
        <v>79</v>
      </c>
      <c r="G667" t="s">
        <v>480</v>
      </c>
      <c r="H667" t="s">
        <v>111</v>
      </c>
      <c r="I667">
        <v>11</v>
      </c>
      <c r="J667" t="s">
        <v>98</v>
      </c>
      <c r="K667">
        <v>1</v>
      </c>
      <c r="L667" s="3">
        <v>8099</v>
      </c>
      <c r="M667">
        <v>20</v>
      </c>
      <c r="N667" s="3">
        <v>6480</v>
      </c>
      <c r="O667" s="3">
        <v>6480</v>
      </c>
      <c r="P667" t="s">
        <v>74</v>
      </c>
      <c r="Q667" t="s">
        <v>51</v>
      </c>
      <c r="R667" t="s">
        <v>36</v>
      </c>
      <c r="S667" t="s">
        <v>269</v>
      </c>
      <c r="T667" t="s">
        <v>652</v>
      </c>
      <c r="U667" t="s">
        <v>61</v>
      </c>
      <c r="V667" t="s">
        <v>40</v>
      </c>
      <c r="W667">
        <v>4.5</v>
      </c>
      <c r="X667" t="s">
        <v>62</v>
      </c>
      <c r="Y667" t="s">
        <v>55</v>
      </c>
      <c r="Z667">
        <v>1</v>
      </c>
    </row>
    <row r="668" spans="1:26">
      <c r="A668" t="s">
        <v>1436</v>
      </c>
      <c r="B668" t="s">
        <v>546</v>
      </c>
      <c r="C668" t="s">
        <v>45</v>
      </c>
      <c r="D668" t="s">
        <v>29</v>
      </c>
      <c r="E668" s="1">
        <v>43881</v>
      </c>
      <c r="F668" t="s">
        <v>86</v>
      </c>
      <c r="G668" t="s">
        <v>87</v>
      </c>
      <c r="H668" t="s">
        <v>59</v>
      </c>
      <c r="I668">
        <v>7</v>
      </c>
      <c r="J668" t="s">
        <v>98</v>
      </c>
      <c r="K668">
        <v>1</v>
      </c>
      <c r="L668" s="3">
        <v>5899</v>
      </c>
      <c r="M668">
        <v>30</v>
      </c>
      <c r="N668" s="3">
        <v>4130</v>
      </c>
      <c r="O668" s="3">
        <v>4130</v>
      </c>
      <c r="P668" t="s">
        <v>34</v>
      </c>
      <c r="Q668" t="s">
        <v>82</v>
      </c>
      <c r="R668" t="s">
        <v>36</v>
      </c>
      <c r="S668" t="s">
        <v>182</v>
      </c>
      <c r="T668" t="s">
        <v>604</v>
      </c>
      <c r="U668" t="s">
        <v>91</v>
      </c>
      <c r="V668" t="s">
        <v>315</v>
      </c>
      <c r="W668">
        <v>3.9</v>
      </c>
      <c r="X668" t="s">
        <v>41</v>
      </c>
      <c r="Y668" t="s">
        <v>55</v>
      </c>
      <c r="Z668">
        <v>2</v>
      </c>
    </row>
    <row r="669" spans="1:26">
      <c r="A669" t="s">
        <v>1437</v>
      </c>
      <c r="B669" t="s">
        <v>935</v>
      </c>
      <c r="C669" t="s">
        <v>45</v>
      </c>
      <c r="D669" t="s">
        <v>109</v>
      </c>
      <c r="E669" s="1">
        <v>43884</v>
      </c>
      <c r="F669" t="s">
        <v>79</v>
      </c>
      <c r="G669" t="s">
        <v>301</v>
      </c>
      <c r="H669" t="s">
        <v>49</v>
      </c>
      <c r="I669">
        <v>8</v>
      </c>
      <c r="J669" t="s">
        <v>150</v>
      </c>
      <c r="K669">
        <v>1</v>
      </c>
      <c r="L669" s="3">
        <v>7699</v>
      </c>
      <c r="M669">
        <v>5</v>
      </c>
      <c r="N669" s="3">
        <v>7310</v>
      </c>
      <c r="O669" s="3">
        <v>7310</v>
      </c>
      <c r="P669" t="s">
        <v>50</v>
      </c>
      <c r="Q669" t="s">
        <v>35</v>
      </c>
      <c r="R669" t="s">
        <v>36</v>
      </c>
      <c r="S669" t="s">
        <v>99</v>
      </c>
      <c r="T669" t="s">
        <v>229</v>
      </c>
      <c r="U669" t="s">
        <v>54</v>
      </c>
      <c r="V669" t="s">
        <v>315</v>
      </c>
      <c r="W669">
        <v>5</v>
      </c>
      <c r="X669" t="s">
        <v>106</v>
      </c>
      <c r="Y669" t="s">
        <v>42</v>
      </c>
      <c r="Z669">
        <v>4</v>
      </c>
    </row>
    <row r="670" spans="1:26">
      <c r="A670" t="s">
        <v>1438</v>
      </c>
      <c r="B670" t="s">
        <v>592</v>
      </c>
      <c r="C670" t="s">
        <v>28</v>
      </c>
      <c r="D670" t="s">
        <v>95</v>
      </c>
      <c r="E670" s="1">
        <v>43885</v>
      </c>
      <c r="F670" t="s">
        <v>65</v>
      </c>
      <c r="G670" t="s">
        <v>279</v>
      </c>
      <c r="H670" t="s">
        <v>111</v>
      </c>
      <c r="I670">
        <v>12</v>
      </c>
      <c r="J670" t="s">
        <v>98</v>
      </c>
      <c r="K670">
        <v>1</v>
      </c>
      <c r="L670" s="3">
        <v>6199</v>
      </c>
      <c r="M670">
        <v>10</v>
      </c>
      <c r="N670" s="3">
        <v>5580</v>
      </c>
      <c r="O670" s="3">
        <v>5580</v>
      </c>
      <c r="P670" t="s">
        <v>74</v>
      </c>
      <c r="Q670" t="s">
        <v>35</v>
      </c>
      <c r="R670" t="s">
        <v>36</v>
      </c>
      <c r="S670" t="s">
        <v>354</v>
      </c>
      <c r="T670" t="s">
        <v>355</v>
      </c>
      <c r="U670" t="s">
        <v>54</v>
      </c>
      <c r="V670" t="s">
        <v>315</v>
      </c>
      <c r="W670">
        <v>4.4000000000000004</v>
      </c>
      <c r="X670" t="s">
        <v>41</v>
      </c>
      <c r="Y670" t="s">
        <v>55</v>
      </c>
      <c r="Z670">
        <v>1</v>
      </c>
    </row>
    <row r="671" spans="1:26">
      <c r="A671" t="s">
        <v>1439</v>
      </c>
      <c r="B671" t="s">
        <v>1440</v>
      </c>
      <c r="C671" t="s">
        <v>45</v>
      </c>
      <c r="D671" t="s">
        <v>46</v>
      </c>
      <c r="E671" s="1">
        <v>43888</v>
      </c>
      <c r="F671" t="s">
        <v>47</v>
      </c>
      <c r="G671" t="s">
        <v>402</v>
      </c>
      <c r="H671" t="s">
        <v>32</v>
      </c>
      <c r="I671">
        <v>9</v>
      </c>
      <c r="J671" t="s">
        <v>67</v>
      </c>
      <c r="K671">
        <v>1</v>
      </c>
      <c r="L671" s="3">
        <v>4899</v>
      </c>
      <c r="M671">
        <v>25</v>
      </c>
      <c r="N671" s="3">
        <v>3670</v>
      </c>
      <c r="O671" s="3">
        <v>3670</v>
      </c>
      <c r="P671" t="s">
        <v>34</v>
      </c>
      <c r="Q671" t="s">
        <v>82</v>
      </c>
      <c r="R671" t="s">
        <v>36</v>
      </c>
      <c r="S671" t="s">
        <v>104</v>
      </c>
      <c r="T671" t="s">
        <v>179</v>
      </c>
      <c r="U671" t="s">
        <v>54</v>
      </c>
      <c r="V671" t="s">
        <v>40</v>
      </c>
      <c r="W671">
        <v>4.9000000000000004</v>
      </c>
      <c r="X671" t="s">
        <v>62</v>
      </c>
      <c r="Y671" t="s">
        <v>42</v>
      </c>
      <c r="Z671">
        <v>2</v>
      </c>
    </row>
    <row r="672" spans="1:26">
      <c r="A672" t="s">
        <v>1441</v>
      </c>
      <c r="B672" t="s">
        <v>1273</v>
      </c>
      <c r="C672" t="s">
        <v>94</v>
      </c>
      <c r="D672" t="s">
        <v>95</v>
      </c>
      <c r="E672" s="1">
        <v>43888</v>
      </c>
      <c r="F672" t="s">
        <v>96</v>
      </c>
      <c r="G672" t="s">
        <v>323</v>
      </c>
      <c r="H672" t="s">
        <v>59</v>
      </c>
      <c r="I672">
        <v>9</v>
      </c>
      <c r="J672" t="s">
        <v>98</v>
      </c>
      <c r="K672">
        <v>2</v>
      </c>
      <c r="L672" s="3">
        <v>8699</v>
      </c>
      <c r="M672">
        <v>10</v>
      </c>
      <c r="N672" s="3">
        <v>7830</v>
      </c>
      <c r="O672" s="3">
        <v>15660</v>
      </c>
      <c r="P672" t="s">
        <v>34</v>
      </c>
      <c r="Q672" t="s">
        <v>51</v>
      </c>
      <c r="R672" t="s">
        <v>36</v>
      </c>
      <c r="S672" t="s">
        <v>164</v>
      </c>
      <c r="T672" t="s">
        <v>165</v>
      </c>
      <c r="U672" t="s">
        <v>39</v>
      </c>
      <c r="V672" t="s">
        <v>315</v>
      </c>
      <c r="W672">
        <v>3.2</v>
      </c>
      <c r="X672" t="s">
        <v>41</v>
      </c>
      <c r="Y672" t="s">
        <v>147</v>
      </c>
      <c r="Z672">
        <v>1</v>
      </c>
    </row>
    <row r="673" spans="1:26">
      <c r="A673" t="s">
        <v>1442</v>
      </c>
      <c r="B673" t="s">
        <v>1443</v>
      </c>
      <c r="C673" t="s">
        <v>28</v>
      </c>
      <c r="D673" t="s">
        <v>46</v>
      </c>
      <c r="E673" s="1">
        <v>43891</v>
      </c>
      <c r="F673" t="s">
        <v>65</v>
      </c>
      <c r="G673" t="s">
        <v>279</v>
      </c>
      <c r="H673" t="s">
        <v>111</v>
      </c>
      <c r="I673">
        <v>8</v>
      </c>
      <c r="J673" t="s">
        <v>33</v>
      </c>
      <c r="K673">
        <v>1</v>
      </c>
      <c r="L673" s="3">
        <v>3499</v>
      </c>
      <c r="M673">
        <v>25</v>
      </c>
      <c r="N673" s="3">
        <v>2620</v>
      </c>
      <c r="O673" s="3">
        <v>2620</v>
      </c>
      <c r="P673" t="s">
        <v>74</v>
      </c>
      <c r="Q673" t="s">
        <v>51</v>
      </c>
      <c r="R673" t="s">
        <v>36</v>
      </c>
      <c r="S673" t="s">
        <v>136</v>
      </c>
      <c r="T673" t="s">
        <v>638</v>
      </c>
      <c r="U673" t="s">
        <v>54</v>
      </c>
      <c r="V673" t="s">
        <v>40</v>
      </c>
      <c r="W673">
        <v>4.8</v>
      </c>
      <c r="X673" t="s">
        <v>41</v>
      </c>
      <c r="Y673" t="s">
        <v>55</v>
      </c>
      <c r="Z673">
        <v>1</v>
      </c>
    </row>
    <row r="674" spans="1:26">
      <c r="A674" t="s">
        <v>1444</v>
      </c>
      <c r="B674" t="s">
        <v>1445</v>
      </c>
      <c r="C674" t="s">
        <v>94</v>
      </c>
      <c r="D674" t="s">
        <v>103</v>
      </c>
      <c r="E674" s="1">
        <v>43898</v>
      </c>
      <c r="F674" t="s">
        <v>65</v>
      </c>
      <c r="G674" t="s">
        <v>66</v>
      </c>
      <c r="H674" t="s">
        <v>59</v>
      </c>
      <c r="I674">
        <v>7</v>
      </c>
      <c r="J674" t="s">
        <v>98</v>
      </c>
      <c r="K674">
        <v>1</v>
      </c>
      <c r="L674" s="3">
        <v>5399</v>
      </c>
      <c r="M674">
        <v>25</v>
      </c>
      <c r="N674" s="3">
        <v>4050</v>
      </c>
      <c r="O674" s="3">
        <v>4050</v>
      </c>
      <c r="P674" t="s">
        <v>34</v>
      </c>
      <c r="Q674" t="s">
        <v>51</v>
      </c>
      <c r="R674" t="s">
        <v>36</v>
      </c>
      <c r="S674" t="s">
        <v>168</v>
      </c>
      <c r="T674" t="s">
        <v>557</v>
      </c>
      <c r="U674" t="s">
        <v>61</v>
      </c>
      <c r="V674" t="s">
        <v>40</v>
      </c>
      <c r="W674">
        <v>3.8</v>
      </c>
      <c r="X674" t="s">
        <v>41</v>
      </c>
      <c r="Y674" t="s">
        <v>147</v>
      </c>
      <c r="Z674">
        <v>1</v>
      </c>
    </row>
    <row r="675" spans="1:26">
      <c r="A675" t="s">
        <v>1446</v>
      </c>
      <c r="B675" t="s">
        <v>1447</v>
      </c>
      <c r="C675" t="s">
        <v>45</v>
      </c>
      <c r="D675" t="s">
        <v>46</v>
      </c>
      <c r="E675" s="1">
        <v>43901</v>
      </c>
      <c r="F675" t="s">
        <v>30</v>
      </c>
      <c r="G675" t="s">
        <v>145</v>
      </c>
      <c r="H675" t="s">
        <v>59</v>
      </c>
      <c r="I675">
        <v>8</v>
      </c>
      <c r="J675" t="s">
        <v>67</v>
      </c>
      <c r="K675">
        <v>1</v>
      </c>
      <c r="L675" s="3">
        <v>8999</v>
      </c>
      <c r="M675">
        <v>25</v>
      </c>
      <c r="N675" s="3">
        <v>6750</v>
      </c>
      <c r="O675" s="3">
        <v>6750</v>
      </c>
      <c r="P675" t="s">
        <v>81</v>
      </c>
      <c r="Q675" t="s">
        <v>51</v>
      </c>
      <c r="R675" t="s">
        <v>36</v>
      </c>
      <c r="S675" t="s">
        <v>186</v>
      </c>
      <c r="T675" t="s">
        <v>222</v>
      </c>
      <c r="U675" t="s">
        <v>54</v>
      </c>
      <c r="V675" t="s">
        <v>40</v>
      </c>
      <c r="W675">
        <v>3.3</v>
      </c>
      <c r="X675" t="s">
        <v>41</v>
      </c>
      <c r="Y675" t="s">
        <v>42</v>
      </c>
      <c r="Z675">
        <v>5</v>
      </c>
    </row>
    <row r="676" spans="1:26">
      <c r="A676" t="s">
        <v>1448</v>
      </c>
      <c r="B676" t="s">
        <v>1449</v>
      </c>
      <c r="C676" t="s">
        <v>28</v>
      </c>
      <c r="D676" t="s">
        <v>46</v>
      </c>
      <c r="E676" s="1">
        <v>43903</v>
      </c>
      <c r="F676" t="s">
        <v>79</v>
      </c>
      <c r="G676" t="s">
        <v>127</v>
      </c>
      <c r="H676" t="s">
        <v>128</v>
      </c>
      <c r="I676">
        <v>9</v>
      </c>
      <c r="J676" t="s">
        <v>150</v>
      </c>
      <c r="K676">
        <v>1</v>
      </c>
      <c r="L676" s="3">
        <v>3399</v>
      </c>
      <c r="M676">
        <v>25</v>
      </c>
      <c r="N676" s="3">
        <v>2550</v>
      </c>
      <c r="O676" s="3">
        <v>2550</v>
      </c>
      <c r="P676" t="s">
        <v>74</v>
      </c>
      <c r="Q676" t="s">
        <v>82</v>
      </c>
      <c r="R676" t="s">
        <v>36</v>
      </c>
      <c r="S676" t="s">
        <v>175</v>
      </c>
      <c r="T676" t="s">
        <v>437</v>
      </c>
      <c r="U676" t="s">
        <v>61</v>
      </c>
      <c r="V676" t="s">
        <v>40</v>
      </c>
      <c r="W676">
        <v>3.5</v>
      </c>
      <c r="X676" t="s">
        <v>41</v>
      </c>
      <c r="Y676" t="s">
        <v>55</v>
      </c>
      <c r="Z676">
        <v>2</v>
      </c>
    </row>
    <row r="677" spans="1:26">
      <c r="A677" t="s">
        <v>1450</v>
      </c>
      <c r="B677" t="s">
        <v>1451</v>
      </c>
      <c r="C677" t="s">
        <v>45</v>
      </c>
      <c r="D677" t="s">
        <v>29</v>
      </c>
      <c r="E677" s="1">
        <v>43905</v>
      </c>
      <c r="F677" t="s">
        <v>30</v>
      </c>
      <c r="G677" t="s">
        <v>347</v>
      </c>
      <c r="H677" t="s">
        <v>49</v>
      </c>
      <c r="I677">
        <v>9</v>
      </c>
      <c r="J677" t="s">
        <v>150</v>
      </c>
      <c r="K677">
        <v>1</v>
      </c>
      <c r="L677" s="3">
        <v>5799</v>
      </c>
      <c r="M677">
        <v>30</v>
      </c>
      <c r="N677" s="3">
        <v>4060</v>
      </c>
      <c r="O677" s="3">
        <v>4060</v>
      </c>
      <c r="P677" t="s">
        <v>34</v>
      </c>
      <c r="Q677" t="s">
        <v>82</v>
      </c>
      <c r="R677" t="s">
        <v>36</v>
      </c>
      <c r="S677" t="s">
        <v>75</v>
      </c>
      <c r="T677" t="s">
        <v>76</v>
      </c>
      <c r="U677" t="s">
        <v>124</v>
      </c>
      <c r="V677" t="s">
        <v>40</v>
      </c>
      <c r="W677">
        <v>4.5999999999999996</v>
      </c>
      <c r="X677" t="s">
        <v>41</v>
      </c>
      <c r="Y677" t="s">
        <v>42</v>
      </c>
      <c r="Z677">
        <v>4</v>
      </c>
    </row>
    <row r="678" spans="1:26">
      <c r="A678" t="s">
        <v>1452</v>
      </c>
      <c r="B678" t="s">
        <v>1453</v>
      </c>
      <c r="C678" t="s">
        <v>45</v>
      </c>
      <c r="D678" t="s">
        <v>29</v>
      </c>
      <c r="E678" s="1">
        <v>43905</v>
      </c>
      <c r="F678" t="s">
        <v>47</v>
      </c>
      <c r="G678" t="s">
        <v>218</v>
      </c>
      <c r="H678" t="s">
        <v>59</v>
      </c>
      <c r="I678">
        <v>7</v>
      </c>
      <c r="J678" t="s">
        <v>33</v>
      </c>
      <c r="K678">
        <v>1</v>
      </c>
      <c r="L678" s="3">
        <v>4699</v>
      </c>
      <c r="M678">
        <v>10</v>
      </c>
      <c r="N678" s="3">
        <v>4230</v>
      </c>
      <c r="O678" s="3">
        <v>4230</v>
      </c>
      <c r="P678" t="s">
        <v>74</v>
      </c>
      <c r="Q678" t="s">
        <v>82</v>
      </c>
      <c r="R678" t="s">
        <v>36</v>
      </c>
      <c r="S678" t="s">
        <v>186</v>
      </c>
      <c r="T678" t="s">
        <v>341</v>
      </c>
      <c r="U678" t="s">
        <v>39</v>
      </c>
      <c r="V678" t="s">
        <v>40</v>
      </c>
      <c r="W678">
        <v>3.5</v>
      </c>
      <c r="X678" t="s">
        <v>41</v>
      </c>
      <c r="Y678" t="s">
        <v>42</v>
      </c>
      <c r="Z678">
        <v>3</v>
      </c>
    </row>
    <row r="679" spans="1:26">
      <c r="A679" t="s">
        <v>1454</v>
      </c>
      <c r="B679" t="s">
        <v>1455</v>
      </c>
      <c r="C679" t="s">
        <v>28</v>
      </c>
      <c r="D679" t="s">
        <v>95</v>
      </c>
      <c r="E679" s="1">
        <v>43905</v>
      </c>
      <c r="F679" t="s">
        <v>30</v>
      </c>
      <c r="G679" t="s">
        <v>110</v>
      </c>
      <c r="H679" t="s">
        <v>111</v>
      </c>
      <c r="I679">
        <v>9</v>
      </c>
      <c r="J679" t="s">
        <v>73</v>
      </c>
      <c r="K679">
        <v>1</v>
      </c>
      <c r="L679" s="3">
        <v>6699</v>
      </c>
      <c r="M679">
        <v>5</v>
      </c>
      <c r="N679" s="3">
        <v>6360</v>
      </c>
      <c r="O679" s="3">
        <v>6360</v>
      </c>
      <c r="P679" t="s">
        <v>74</v>
      </c>
      <c r="Q679" t="s">
        <v>51</v>
      </c>
      <c r="R679" t="s">
        <v>36</v>
      </c>
      <c r="S679" t="s">
        <v>164</v>
      </c>
      <c r="T679" t="s">
        <v>165</v>
      </c>
      <c r="U679" t="s">
        <v>124</v>
      </c>
      <c r="V679" t="s">
        <v>40</v>
      </c>
      <c r="W679">
        <v>4.0999999999999996</v>
      </c>
      <c r="X679" t="s">
        <v>41</v>
      </c>
      <c r="Y679" t="s">
        <v>42</v>
      </c>
      <c r="Z679">
        <v>3</v>
      </c>
    </row>
    <row r="680" spans="1:26">
      <c r="A680" t="s">
        <v>1456</v>
      </c>
      <c r="B680" t="s">
        <v>508</v>
      </c>
      <c r="C680" t="s">
        <v>28</v>
      </c>
      <c r="D680" t="s">
        <v>29</v>
      </c>
      <c r="E680" s="1">
        <v>43907</v>
      </c>
      <c r="F680" t="s">
        <v>65</v>
      </c>
      <c r="G680" t="s">
        <v>66</v>
      </c>
      <c r="H680" t="s">
        <v>59</v>
      </c>
      <c r="I680">
        <v>10</v>
      </c>
      <c r="J680" t="s">
        <v>98</v>
      </c>
      <c r="K680">
        <v>4</v>
      </c>
      <c r="L680" s="3">
        <v>7499</v>
      </c>
      <c r="M680">
        <v>15</v>
      </c>
      <c r="N680" s="3">
        <v>6370</v>
      </c>
      <c r="O680" s="3">
        <v>25480</v>
      </c>
      <c r="P680" t="s">
        <v>50</v>
      </c>
      <c r="Q680" t="s">
        <v>82</v>
      </c>
      <c r="R680" t="s">
        <v>36</v>
      </c>
      <c r="S680" t="s">
        <v>182</v>
      </c>
      <c r="T680" t="s">
        <v>604</v>
      </c>
      <c r="U680" t="s">
        <v>54</v>
      </c>
      <c r="V680" t="s">
        <v>315</v>
      </c>
      <c r="W680">
        <v>4.2</v>
      </c>
      <c r="X680" t="s">
        <v>41</v>
      </c>
      <c r="Y680" t="s">
        <v>42</v>
      </c>
      <c r="Z680">
        <v>4</v>
      </c>
    </row>
    <row r="681" spans="1:26">
      <c r="A681" t="s">
        <v>1457</v>
      </c>
      <c r="B681" t="s">
        <v>642</v>
      </c>
      <c r="C681" t="s">
        <v>45</v>
      </c>
      <c r="D681" t="s">
        <v>46</v>
      </c>
      <c r="E681" s="1">
        <v>43907</v>
      </c>
      <c r="F681" t="s">
        <v>96</v>
      </c>
      <c r="G681" t="s">
        <v>290</v>
      </c>
      <c r="H681" t="s">
        <v>32</v>
      </c>
      <c r="I681">
        <v>9</v>
      </c>
      <c r="J681" t="s">
        <v>98</v>
      </c>
      <c r="K681">
        <v>2</v>
      </c>
      <c r="L681" s="3">
        <v>5599</v>
      </c>
      <c r="M681">
        <v>35</v>
      </c>
      <c r="N681" s="3">
        <v>3640</v>
      </c>
      <c r="O681" s="3">
        <v>7280</v>
      </c>
      <c r="P681" t="s">
        <v>74</v>
      </c>
      <c r="Q681" t="s">
        <v>51</v>
      </c>
      <c r="R681" t="s">
        <v>36</v>
      </c>
      <c r="S681" t="s">
        <v>122</v>
      </c>
      <c r="T681" t="s">
        <v>372</v>
      </c>
      <c r="U681" t="s">
        <v>39</v>
      </c>
      <c r="V681" t="s">
        <v>315</v>
      </c>
      <c r="W681">
        <v>4.9000000000000004</v>
      </c>
      <c r="X681" t="s">
        <v>106</v>
      </c>
      <c r="Y681" t="s">
        <v>42</v>
      </c>
      <c r="Z681">
        <v>4</v>
      </c>
    </row>
    <row r="682" spans="1:26">
      <c r="A682" t="s">
        <v>1458</v>
      </c>
      <c r="B682" t="s">
        <v>1459</v>
      </c>
      <c r="C682" t="s">
        <v>28</v>
      </c>
      <c r="D682" t="s">
        <v>46</v>
      </c>
      <c r="E682" s="1">
        <v>43907</v>
      </c>
      <c r="F682" t="s">
        <v>79</v>
      </c>
      <c r="G682" t="s">
        <v>301</v>
      </c>
      <c r="H682" t="s">
        <v>49</v>
      </c>
      <c r="I682">
        <v>9</v>
      </c>
      <c r="J682" t="s">
        <v>73</v>
      </c>
      <c r="K682">
        <v>1</v>
      </c>
      <c r="L682" s="3">
        <v>7599</v>
      </c>
      <c r="M682">
        <v>25</v>
      </c>
      <c r="N682" s="3">
        <v>5700</v>
      </c>
      <c r="O682" s="3">
        <v>5700</v>
      </c>
      <c r="P682" t="s">
        <v>81</v>
      </c>
      <c r="Q682" t="s">
        <v>51</v>
      </c>
      <c r="R682" t="s">
        <v>36</v>
      </c>
      <c r="S682" t="s">
        <v>156</v>
      </c>
      <c r="T682" t="s">
        <v>324</v>
      </c>
      <c r="U682" t="s">
        <v>91</v>
      </c>
      <c r="V682" t="s">
        <v>40</v>
      </c>
      <c r="W682">
        <v>4.4000000000000004</v>
      </c>
      <c r="X682" t="s">
        <v>41</v>
      </c>
      <c r="Y682" t="s">
        <v>42</v>
      </c>
      <c r="Z682">
        <v>6</v>
      </c>
    </row>
    <row r="683" spans="1:26">
      <c r="A683" t="s">
        <v>1460</v>
      </c>
      <c r="B683" t="s">
        <v>1419</v>
      </c>
      <c r="C683" t="s">
        <v>94</v>
      </c>
      <c r="D683" t="s">
        <v>46</v>
      </c>
      <c r="E683" s="1">
        <v>43909</v>
      </c>
      <c r="F683" t="s">
        <v>96</v>
      </c>
      <c r="G683" t="s">
        <v>155</v>
      </c>
      <c r="H683" t="s">
        <v>111</v>
      </c>
      <c r="I683">
        <v>11</v>
      </c>
      <c r="J683" t="s">
        <v>150</v>
      </c>
      <c r="K683">
        <v>2</v>
      </c>
      <c r="L683" s="3">
        <v>8399</v>
      </c>
      <c r="M683">
        <v>5</v>
      </c>
      <c r="N683" s="3">
        <v>7980</v>
      </c>
      <c r="O683" s="3">
        <v>15960</v>
      </c>
      <c r="P683" t="s">
        <v>74</v>
      </c>
      <c r="Q683" t="s">
        <v>51</v>
      </c>
      <c r="R683" t="s">
        <v>36</v>
      </c>
      <c r="S683" t="s">
        <v>191</v>
      </c>
      <c r="T683" t="s">
        <v>521</v>
      </c>
      <c r="U683" t="s">
        <v>39</v>
      </c>
      <c r="V683" t="s">
        <v>315</v>
      </c>
      <c r="W683">
        <v>3.4</v>
      </c>
      <c r="X683" t="s">
        <v>41</v>
      </c>
      <c r="Y683" t="s">
        <v>147</v>
      </c>
      <c r="Z683">
        <v>1</v>
      </c>
    </row>
    <row r="684" spans="1:26">
      <c r="A684" t="s">
        <v>1461</v>
      </c>
      <c r="B684" t="s">
        <v>387</v>
      </c>
      <c r="C684" t="s">
        <v>94</v>
      </c>
      <c r="D684" t="s">
        <v>29</v>
      </c>
      <c r="E684" s="1">
        <v>43910</v>
      </c>
      <c r="F684" t="s">
        <v>30</v>
      </c>
      <c r="G684" t="s">
        <v>214</v>
      </c>
      <c r="H684" t="s">
        <v>128</v>
      </c>
      <c r="I684">
        <v>9</v>
      </c>
      <c r="J684" t="s">
        <v>88</v>
      </c>
      <c r="K684">
        <v>1</v>
      </c>
      <c r="L684" s="3">
        <v>4699</v>
      </c>
      <c r="M684">
        <v>25</v>
      </c>
      <c r="N684" s="3">
        <v>3520</v>
      </c>
      <c r="O684" s="3">
        <v>3520</v>
      </c>
      <c r="P684" t="s">
        <v>50</v>
      </c>
      <c r="Q684" t="s">
        <v>51</v>
      </c>
      <c r="R684" t="s">
        <v>36</v>
      </c>
      <c r="S684" t="s">
        <v>75</v>
      </c>
      <c r="T684" t="s">
        <v>318</v>
      </c>
      <c r="U684" t="s">
        <v>61</v>
      </c>
      <c r="V684" t="s">
        <v>315</v>
      </c>
      <c r="W684">
        <v>4</v>
      </c>
      <c r="X684" t="s">
        <v>41</v>
      </c>
      <c r="Y684" t="s">
        <v>42</v>
      </c>
      <c r="Z684">
        <v>3</v>
      </c>
    </row>
    <row r="685" spans="1:26">
      <c r="A685" t="s">
        <v>1462</v>
      </c>
      <c r="B685" t="s">
        <v>1463</v>
      </c>
      <c r="C685" t="s">
        <v>28</v>
      </c>
      <c r="D685" t="s">
        <v>95</v>
      </c>
      <c r="E685" s="1">
        <v>43910</v>
      </c>
      <c r="F685" t="s">
        <v>30</v>
      </c>
      <c r="G685" t="s">
        <v>58</v>
      </c>
      <c r="H685" t="s">
        <v>59</v>
      </c>
      <c r="I685">
        <v>12</v>
      </c>
      <c r="J685" t="s">
        <v>33</v>
      </c>
      <c r="K685">
        <v>2</v>
      </c>
      <c r="L685" s="3">
        <v>8099</v>
      </c>
      <c r="M685">
        <v>0</v>
      </c>
      <c r="N685" s="3">
        <v>8100</v>
      </c>
      <c r="O685" s="3">
        <v>16200</v>
      </c>
      <c r="P685" t="s">
        <v>74</v>
      </c>
      <c r="Q685" t="s">
        <v>82</v>
      </c>
      <c r="R685" t="s">
        <v>36</v>
      </c>
      <c r="S685" t="s">
        <v>186</v>
      </c>
      <c r="T685" t="s">
        <v>222</v>
      </c>
      <c r="U685" t="s">
        <v>124</v>
      </c>
      <c r="V685" t="s">
        <v>40</v>
      </c>
      <c r="W685">
        <v>4.5999999999999996</v>
      </c>
      <c r="X685" t="s">
        <v>41</v>
      </c>
      <c r="Y685" t="s">
        <v>147</v>
      </c>
      <c r="Z685">
        <v>1</v>
      </c>
    </row>
    <row r="686" spans="1:26">
      <c r="A686" t="s">
        <v>1464</v>
      </c>
      <c r="B686" t="s">
        <v>1465</v>
      </c>
      <c r="C686" t="s">
        <v>45</v>
      </c>
      <c r="D686" t="s">
        <v>29</v>
      </c>
      <c r="E686" s="1">
        <v>43911</v>
      </c>
      <c r="F686" t="s">
        <v>30</v>
      </c>
      <c r="G686" t="s">
        <v>214</v>
      </c>
      <c r="H686" t="s">
        <v>128</v>
      </c>
      <c r="I686">
        <v>12</v>
      </c>
      <c r="J686" t="s">
        <v>33</v>
      </c>
      <c r="K686">
        <v>1</v>
      </c>
      <c r="L686" s="3">
        <v>6999</v>
      </c>
      <c r="M686">
        <v>15</v>
      </c>
      <c r="N686" s="3">
        <v>5950</v>
      </c>
      <c r="O686" s="3">
        <v>5950</v>
      </c>
      <c r="P686" t="s">
        <v>34</v>
      </c>
      <c r="Q686" t="s">
        <v>35</v>
      </c>
      <c r="R686" t="s">
        <v>36</v>
      </c>
      <c r="S686" t="s">
        <v>200</v>
      </c>
      <c r="T686" t="s">
        <v>204</v>
      </c>
      <c r="U686" t="s">
        <v>39</v>
      </c>
      <c r="V686" t="s">
        <v>40</v>
      </c>
      <c r="W686">
        <v>4.3</v>
      </c>
      <c r="X686" t="s">
        <v>41</v>
      </c>
      <c r="Y686" t="s">
        <v>42</v>
      </c>
      <c r="Z686">
        <v>2</v>
      </c>
    </row>
    <row r="687" spans="1:26">
      <c r="A687" t="s">
        <v>1466</v>
      </c>
      <c r="B687" t="s">
        <v>457</v>
      </c>
      <c r="C687" t="s">
        <v>45</v>
      </c>
      <c r="D687" t="s">
        <v>103</v>
      </c>
      <c r="E687" s="1">
        <v>43912</v>
      </c>
      <c r="F687" t="s">
        <v>79</v>
      </c>
      <c r="G687" t="s">
        <v>127</v>
      </c>
      <c r="H687" t="s">
        <v>128</v>
      </c>
      <c r="I687">
        <v>9</v>
      </c>
      <c r="J687" t="s">
        <v>98</v>
      </c>
      <c r="K687">
        <v>1</v>
      </c>
      <c r="L687" s="3">
        <v>3899</v>
      </c>
      <c r="M687">
        <v>20</v>
      </c>
      <c r="N687" s="3">
        <v>3120</v>
      </c>
      <c r="O687" s="3">
        <v>3120</v>
      </c>
      <c r="P687" t="s">
        <v>74</v>
      </c>
      <c r="Q687" t="s">
        <v>51</v>
      </c>
      <c r="R687" t="s">
        <v>36</v>
      </c>
      <c r="S687" t="s">
        <v>164</v>
      </c>
      <c r="T687" t="s">
        <v>165</v>
      </c>
      <c r="U687" t="s">
        <v>39</v>
      </c>
      <c r="V687" t="s">
        <v>315</v>
      </c>
      <c r="W687">
        <v>3.5</v>
      </c>
      <c r="X687" t="s">
        <v>41</v>
      </c>
      <c r="Y687" t="s">
        <v>55</v>
      </c>
      <c r="Z687">
        <v>2</v>
      </c>
    </row>
    <row r="688" spans="1:26">
      <c r="A688" t="s">
        <v>1467</v>
      </c>
      <c r="B688" t="s">
        <v>732</v>
      </c>
      <c r="C688" t="s">
        <v>94</v>
      </c>
      <c r="D688" t="s">
        <v>95</v>
      </c>
      <c r="E688" s="1">
        <v>43914</v>
      </c>
      <c r="F688" t="s">
        <v>65</v>
      </c>
      <c r="G688" t="s">
        <v>279</v>
      </c>
      <c r="H688" t="s">
        <v>111</v>
      </c>
      <c r="I688">
        <v>12</v>
      </c>
      <c r="J688" t="s">
        <v>150</v>
      </c>
      <c r="K688">
        <v>3</v>
      </c>
      <c r="L688" s="3">
        <v>5499</v>
      </c>
      <c r="M688">
        <v>15</v>
      </c>
      <c r="N688" s="3">
        <v>4670</v>
      </c>
      <c r="O688" s="3">
        <v>14010</v>
      </c>
      <c r="P688" t="s">
        <v>50</v>
      </c>
      <c r="Q688" t="s">
        <v>51</v>
      </c>
      <c r="R688" t="s">
        <v>36</v>
      </c>
      <c r="S688" t="s">
        <v>164</v>
      </c>
      <c r="T688" t="s">
        <v>348</v>
      </c>
      <c r="U688" t="s">
        <v>91</v>
      </c>
      <c r="V688" t="s">
        <v>315</v>
      </c>
      <c r="W688">
        <v>4.5</v>
      </c>
      <c r="X688" t="s">
        <v>41</v>
      </c>
      <c r="Y688" t="s">
        <v>42</v>
      </c>
      <c r="Z688">
        <v>1</v>
      </c>
    </row>
    <row r="689" spans="1:26">
      <c r="A689" t="s">
        <v>1468</v>
      </c>
      <c r="B689" t="s">
        <v>475</v>
      </c>
      <c r="C689" t="s">
        <v>28</v>
      </c>
      <c r="D689" t="s">
        <v>103</v>
      </c>
      <c r="E689" s="1">
        <v>43915</v>
      </c>
      <c r="F689" t="s">
        <v>30</v>
      </c>
      <c r="G689" t="s">
        <v>58</v>
      </c>
      <c r="H689" t="s">
        <v>59</v>
      </c>
      <c r="I689">
        <v>9</v>
      </c>
      <c r="J689" t="s">
        <v>150</v>
      </c>
      <c r="K689">
        <v>1</v>
      </c>
      <c r="L689" s="3">
        <v>6299</v>
      </c>
      <c r="M689">
        <v>20</v>
      </c>
      <c r="N689" s="3">
        <v>5040</v>
      </c>
      <c r="O689" s="3">
        <v>5040</v>
      </c>
      <c r="P689" t="s">
        <v>74</v>
      </c>
      <c r="Q689" t="s">
        <v>82</v>
      </c>
      <c r="R689" t="s">
        <v>36</v>
      </c>
      <c r="S689" t="s">
        <v>68</v>
      </c>
      <c r="T689" t="s">
        <v>811</v>
      </c>
      <c r="U689" t="s">
        <v>61</v>
      </c>
      <c r="V689" t="s">
        <v>315</v>
      </c>
      <c r="W689">
        <v>4.9000000000000004</v>
      </c>
      <c r="X689" t="s">
        <v>41</v>
      </c>
      <c r="Y689" t="s">
        <v>42</v>
      </c>
      <c r="Z689">
        <v>5</v>
      </c>
    </row>
    <row r="690" spans="1:26">
      <c r="A690" t="s">
        <v>1469</v>
      </c>
      <c r="B690" t="s">
        <v>1105</v>
      </c>
      <c r="C690" t="s">
        <v>45</v>
      </c>
      <c r="D690" t="s">
        <v>46</v>
      </c>
      <c r="E690" s="1">
        <v>43918</v>
      </c>
      <c r="F690" t="s">
        <v>47</v>
      </c>
      <c r="G690" t="s">
        <v>218</v>
      </c>
      <c r="H690" t="s">
        <v>59</v>
      </c>
      <c r="I690">
        <v>8</v>
      </c>
      <c r="J690" t="s">
        <v>33</v>
      </c>
      <c r="K690">
        <v>1</v>
      </c>
      <c r="L690" s="3">
        <v>6299</v>
      </c>
      <c r="M690">
        <v>10</v>
      </c>
      <c r="N690" s="3">
        <v>5670</v>
      </c>
      <c r="O690" s="3">
        <v>5670</v>
      </c>
      <c r="P690" t="s">
        <v>50</v>
      </c>
      <c r="Q690" t="s">
        <v>35</v>
      </c>
      <c r="R690" t="s">
        <v>36</v>
      </c>
      <c r="S690" t="s">
        <v>269</v>
      </c>
      <c r="T690" t="s">
        <v>575</v>
      </c>
      <c r="U690" t="s">
        <v>39</v>
      </c>
      <c r="V690" t="s">
        <v>315</v>
      </c>
      <c r="W690">
        <v>3</v>
      </c>
      <c r="X690" t="s">
        <v>62</v>
      </c>
      <c r="Y690" t="s">
        <v>55</v>
      </c>
      <c r="Z690">
        <v>1</v>
      </c>
    </row>
    <row r="691" spans="1:26">
      <c r="A691" t="s">
        <v>1470</v>
      </c>
      <c r="B691" t="s">
        <v>910</v>
      </c>
      <c r="C691" t="s">
        <v>28</v>
      </c>
      <c r="D691" t="s">
        <v>46</v>
      </c>
      <c r="E691" s="1">
        <v>43927</v>
      </c>
      <c r="F691" t="s">
        <v>86</v>
      </c>
      <c r="G691" t="s">
        <v>312</v>
      </c>
      <c r="H691" t="s">
        <v>59</v>
      </c>
      <c r="I691">
        <v>10</v>
      </c>
      <c r="J691" t="s">
        <v>67</v>
      </c>
      <c r="K691">
        <v>1</v>
      </c>
      <c r="L691" s="3">
        <v>6699</v>
      </c>
      <c r="M691">
        <v>0</v>
      </c>
      <c r="N691" s="3">
        <v>6700</v>
      </c>
      <c r="O691" s="3">
        <v>6700</v>
      </c>
      <c r="P691" t="s">
        <v>34</v>
      </c>
      <c r="Q691" t="s">
        <v>51</v>
      </c>
      <c r="R691" t="s">
        <v>36</v>
      </c>
      <c r="S691" t="s">
        <v>104</v>
      </c>
      <c r="T691" t="s">
        <v>105</v>
      </c>
      <c r="U691" t="s">
        <v>61</v>
      </c>
      <c r="V691" t="s">
        <v>315</v>
      </c>
      <c r="W691">
        <v>3.9</v>
      </c>
      <c r="X691" t="s">
        <v>41</v>
      </c>
      <c r="Y691" t="s">
        <v>42</v>
      </c>
      <c r="Z691">
        <v>6</v>
      </c>
    </row>
    <row r="692" spans="1:26">
      <c r="A692" t="s">
        <v>1471</v>
      </c>
      <c r="B692" t="s">
        <v>1378</v>
      </c>
      <c r="C692" t="s">
        <v>45</v>
      </c>
      <c r="D692" t="s">
        <v>103</v>
      </c>
      <c r="E692" s="1">
        <v>43927</v>
      </c>
      <c r="F692" t="s">
        <v>47</v>
      </c>
      <c r="G692" t="s">
        <v>140</v>
      </c>
      <c r="H692" t="s">
        <v>128</v>
      </c>
      <c r="I692">
        <v>9</v>
      </c>
      <c r="J692" t="s">
        <v>73</v>
      </c>
      <c r="K692">
        <v>3</v>
      </c>
      <c r="L692" s="3">
        <v>6599</v>
      </c>
      <c r="M692">
        <v>20</v>
      </c>
      <c r="N692" s="3">
        <v>5280</v>
      </c>
      <c r="O692" s="3">
        <v>15840</v>
      </c>
      <c r="P692" t="s">
        <v>34</v>
      </c>
      <c r="Q692" t="s">
        <v>51</v>
      </c>
      <c r="R692" t="s">
        <v>36</v>
      </c>
      <c r="S692" t="s">
        <v>195</v>
      </c>
      <c r="T692" t="s">
        <v>428</v>
      </c>
      <c r="U692" t="s">
        <v>54</v>
      </c>
      <c r="V692" t="s">
        <v>315</v>
      </c>
      <c r="W692">
        <v>4.3</v>
      </c>
      <c r="X692" t="s">
        <v>41</v>
      </c>
      <c r="Y692" t="s">
        <v>42</v>
      </c>
      <c r="Z692">
        <v>4</v>
      </c>
    </row>
    <row r="693" spans="1:26">
      <c r="A693" t="s">
        <v>1472</v>
      </c>
      <c r="B693" t="s">
        <v>579</v>
      </c>
      <c r="C693" t="s">
        <v>28</v>
      </c>
      <c r="D693" t="s">
        <v>103</v>
      </c>
      <c r="E693" s="1">
        <v>43928</v>
      </c>
      <c r="F693" t="s">
        <v>79</v>
      </c>
      <c r="G693" t="s">
        <v>174</v>
      </c>
      <c r="H693" t="s">
        <v>32</v>
      </c>
      <c r="I693">
        <v>11</v>
      </c>
      <c r="J693" t="s">
        <v>150</v>
      </c>
      <c r="K693">
        <v>1</v>
      </c>
      <c r="L693" s="3">
        <v>5899</v>
      </c>
      <c r="M693">
        <v>25</v>
      </c>
      <c r="N693" s="3">
        <v>4420</v>
      </c>
      <c r="O693" s="3">
        <v>4420</v>
      </c>
      <c r="P693" t="s">
        <v>34</v>
      </c>
      <c r="Q693" t="s">
        <v>51</v>
      </c>
      <c r="R693" t="s">
        <v>36</v>
      </c>
      <c r="S693" t="s">
        <v>384</v>
      </c>
      <c r="T693" t="s">
        <v>385</v>
      </c>
      <c r="U693" t="s">
        <v>54</v>
      </c>
      <c r="V693" t="s">
        <v>315</v>
      </c>
      <c r="W693">
        <v>3.8</v>
      </c>
      <c r="X693" t="s">
        <v>106</v>
      </c>
      <c r="Y693" t="s">
        <v>42</v>
      </c>
      <c r="Z693">
        <v>3</v>
      </c>
    </row>
    <row r="694" spans="1:26">
      <c r="A694" t="s">
        <v>1473</v>
      </c>
      <c r="B694" t="s">
        <v>1474</v>
      </c>
      <c r="C694" t="s">
        <v>28</v>
      </c>
      <c r="D694" t="s">
        <v>95</v>
      </c>
      <c r="E694" s="1">
        <v>43930</v>
      </c>
      <c r="F694" t="s">
        <v>47</v>
      </c>
      <c r="G694" t="s">
        <v>218</v>
      </c>
      <c r="H694" t="s">
        <v>59</v>
      </c>
      <c r="I694">
        <v>9</v>
      </c>
      <c r="J694" t="s">
        <v>33</v>
      </c>
      <c r="K694">
        <v>1</v>
      </c>
      <c r="L694" s="3">
        <v>5799</v>
      </c>
      <c r="M694">
        <v>15</v>
      </c>
      <c r="N694" s="3">
        <v>4930</v>
      </c>
      <c r="O694" s="3">
        <v>4930</v>
      </c>
      <c r="P694" t="s">
        <v>34</v>
      </c>
      <c r="Q694" t="s">
        <v>82</v>
      </c>
      <c r="R694" t="s">
        <v>36</v>
      </c>
      <c r="S694" t="s">
        <v>129</v>
      </c>
      <c r="T694" t="s">
        <v>130</v>
      </c>
      <c r="U694" t="s">
        <v>54</v>
      </c>
      <c r="V694" t="s">
        <v>40</v>
      </c>
      <c r="W694">
        <v>4.8</v>
      </c>
      <c r="X694" t="s">
        <v>106</v>
      </c>
      <c r="Y694" t="s">
        <v>42</v>
      </c>
      <c r="Z694">
        <v>4</v>
      </c>
    </row>
    <row r="695" spans="1:26">
      <c r="A695" t="s">
        <v>1475</v>
      </c>
      <c r="B695" t="s">
        <v>1431</v>
      </c>
      <c r="C695" t="s">
        <v>45</v>
      </c>
      <c r="D695" t="s">
        <v>29</v>
      </c>
      <c r="E695" s="1">
        <v>43931</v>
      </c>
      <c r="F695" t="s">
        <v>65</v>
      </c>
      <c r="G695" t="s">
        <v>72</v>
      </c>
      <c r="H695" t="s">
        <v>59</v>
      </c>
      <c r="I695">
        <v>10</v>
      </c>
      <c r="J695" t="s">
        <v>33</v>
      </c>
      <c r="K695">
        <v>2</v>
      </c>
      <c r="L695" s="3">
        <v>7899</v>
      </c>
      <c r="M695">
        <v>15</v>
      </c>
      <c r="N695" s="3">
        <v>6710</v>
      </c>
      <c r="O695" s="3">
        <v>13420</v>
      </c>
      <c r="P695" t="s">
        <v>74</v>
      </c>
      <c r="Q695" t="s">
        <v>82</v>
      </c>
      <c r="R695" t="s">
        <v>36</v>
      </c>
      <c r="S695" t="s">
        <v>117</v>
      </c>
      <c r="T695" t="s">
        <v>751</v>
      </c>
      <c r="U695" t="s">
        <v>91</v>
      </c>
      <c r="V695" t="s">
        <v>315</v>
      </c>
      <c r="W695">
        <v>3.4</v>
      </c>
      <c r="X695" t="s">
        <v>62</v>
      </c>
      <c r="Y695" t="s">
        <v>42</v>
      </c>
      <c r="Z695">
        <v>2</v>
      </c>
    </row>
    <row r="696" spans="1:26">
      <c r="A696" t="s">
        <v>1476</v>
      </c>
      <c r="B696" t="s">
        <v>1477</v>
      </c>
      <c r="C696" t="s">
        <v>45</v>
      </c>
      <c r="D696" t="s">
        <v>95</v>
      </c>
      <c r="E696" s="1">
        <v>43934</v>
      </c>
      <c r="F696" t="s">
        <v>30</v>
      </c>
      <c r="G696" t="s">
        <v>145</v>
      </c>
      <c r="H696" t="s">
        <v>59</v>
      </c>
      <c r="I696">
        <v>7</v>
      </c>
      <c r="J696" t="s">
        <v>98</v>
      </c>
      <c r="K696">
        <v>1</v>
      </c>
      <c r="L696" s="3">
        <v>7499</v>
      </c>
      <c r="M696">
        <v>20</v>
      </c>
      <c r="N696" s="3">
        <v>6000</v>
      </c>
      <c r="O696" s="3">
        <v>6000</v>
      </c>
      <c r="P696" t="s">
        <v>34</v>
      </c>
      <c r="Q696" t="s">
        <v>51</v>
      </c>
      <c r="R696" t="s">
        <v>36</v>
      </c>
      <c r="S696" t="s">
        <v>136</v>
      </c>
      <c r="T696" t="s">
        <v>137</v>
      </c>
      <c r="U696" t="s">
        <v>54</v>
      </c>
      <c r="V696" t="s">
        <v>40</v>
      </c>
      <c r="W696">
        <v>3.7</v>
      </c>
      <c r="X696" t="s">
        <v>41</v>
      </c>
      <c r="Y696" t="s">
        <v>42</v>
      </c>
      <c r="Z696">
        <v>2</v>
      </c>
    </row>
    <row r="697" spans="1:26">
      <c r="A697" t="s">
        <v>1478</v>
      </c>
      <c r="B697" t="s">
        <v>1336</v>
      </c>
      <c r="C697" t="s">
        <v>28</v>
      </c>
      <c r="D697" t="s">
        <v>29</v>
      </c>
      <c r="E697" s="1">
        <v>43937</v>
      </c>
      <c r="F697" t="s">
        <v>47</v>
      </c>
      <c r="G697" t="s">
        <v>218</v>
      </c>
      <c r="H697" t="s">
        <v>59</v>
      </c>
      <c r="I697">
        <v>11</v>
      </c>
      <c r="J697" t="s">
        <v>67</v>
      </c>
      <c r="K697">
        <v>4</v>
      </c>
      <c r="L697" s="3">
        <v>4099</v>
      </c>
      <c r="M697">
        <v>15</v>
      </c>
      <c r="N697" s="3">
        <v>3480</v>
      </c>
      <c r="O697" s="3">
        <v>13920</v>
      </c>
      <c r="P697" t="s">
        <v>74</v>
      </c>
      <c r="Q697" t="s">
        <v>82</v>
      </c>
      <c r="R697" t="s">
        <v>36</v>
      </c>
      <c r="S697" t="s">
        <v>136</v>
      </c>
      <c r="T697" t="s">
        <v>225</v>
      </c>
      <c r="U697" t="s">
        <v>39</v>
      </c>
      <c r="V697" t="s">
        <v>315</v>
      </c>
      <c r="W697">
        <v>5</v>
      </c>
      <c r="X697" t="s">
        <v>41</v>
      </c>
      <c r="Y697" t="s">
        <v>55</v>
      </c>
      <c r="Z697">
        <v>4</v>
      </c>
    </row>
    <row r="698" spans="1:26">
      <c r="A698" t="s">
        <v>1479</v>
      </c>
      <c r="B698" t="s">
        <v>1480</v>
      </c>
      <c r="C698" t="s">
        <v>28</v>
      </c>
      <c r="D698" t="s">
        <v>103</v>
      </c>
      <c r="E698" s="1">
        <v>43937</v>
      </c>
      <c r="F698" t="s">
        <v>86</v>
      </c>
      <c r="G698" t="s">
        <v>87</v>
      </c>
      <c r="H698" t="s">
        <v>59</v>
      </c>
      <c r="I698">
        <v>8</v>
      </c>
      <c r="J698" t="s">
        <v>33</v>
      </c>
      <c r="K698">
        <v>1</v>
      </c>
      <c r="L698" s="3">
        <v>9399</v>
      </c>
      <c r="M698">
        <v>15</v>
      </c>
      <c r="N698" s="3">
        <v>7990</v>
      </c>
      <c r="O698" s="3">
        <v>7990</v>
      </c>
      <c r="P698" t="s">
        <v>74</v>
      </c>
      <c r="Q698" t="s">
        <v>35</v>
      </c>
      <c r="R698" t="s">
        <v>36</v>
      </c>
      <c r="S698" t="s">
        <v>182</v>
      </c>
      <c r="T698" t="s">
        <v>604</v>
      </c>
      <c r="U698" t="s">
        <v>61</v>
      </c>
      <c r="V698" t="s">
        <v>40</v>
      </c>
      <c r="W698">
        <v>4.5999999999999996</v>
      </c>
      <c r="X698" t="s">
        <v>41</v>
      </c>
      <c r="Y698" t="s">
        <v>42</v>
      </c>
      <c r="Z698">
        <v>6</v>
      </c>
    </row>
    <row r="699" spans="1:26">
      <c r="A699" t="s">
        <v>1481</v>
      </c>
      <c r="B699" t="s">
        <v>1392</v>
      </c>
      <c r="C699" t="s">
        <v>94</v>
      </c>
      <c r="D699" t="s">
        <v>46</v>
      </c>
      <c r="E699" s="1">
        <v>43937</v>
      </c>
      <c r="F699" t="s">
        <v>86</v>
      </c>
      <c r="G699" t="s">
        <v>285</v>
      </c>
      <c r="H699" t="s">
        <v>111</v>
      </c>
      <c r="I699">
        <v>7</v>
      </c>
      <c r="J699" t="s">
        <v>88</v>
      </c>
      <c r="K699">
        <v>2</v>
      </c>
      <c r="L699" s="3">
        <v>6299</v>
      </c>
      <c r="M699">
        <v>0</v>
      </c>
      <c r="N699" s="3">
        <v>6300</v>
      </c>
      <c r="O699" s="3">
        <v>12600</v>
      </c>
      <c r="P699" t="s">
        <v>74</v>
      </c>
      <c r="Q699" t="s">
        <v>82</v>
      </c>
      <c r="R699" t="s">
        <v>36</v>
      </c>
      <c r="S699" t="s">
        <v>418</v>
      </c>
      <c r="T699" t="s">
        <v>613</v>
      </c>
      <c r="U699" t="s">
        <v>54</v>
      </c>
      <c r="V699" t="s">
        <v>315</v>
      </c>
      <c r="W699">
        <v>4.2</v>
      </c>
      <c r="X699" t="s">
        <v>41</v>
      </c>
      <c r="Y699" t="s">
        <v>55</v>
      </c>
      <c r="Z699">
        <v>3</v>
      </c>
    </row>
    <row r="700" spans="1:26">
      <c r="A700" t="s">
        <v>1482</v>
      </c>
      <c r="B700" t="s">
        <v>1483</v>
      </c>
      <c r="C700" t="s">
        <v>94</v>
      </c>
      <c r="D700" t="s">
        <v>103</v>
      </c>
      <c r="E700" s="1">
        <v>43939</v>
      </c>
      <c r="F700" t="s">
        <v>65</v>
      </c>
      <c r="G700" t="s">
        <v>256</v>
      </c>
      <c r="H700" t="s">
        <v>32</v>
      </c>
      <c r="I700">
        <v>7</v>
      </c>
      <c r="J700" t="s">
        <v>73</v>
      </c>
      <c r="K700">
        <v>1</v>
      </c>
      <c r="L700" s="3">
        <v>8199</v>
      </c>
      <c r="M700">
        <v>5</v>
      </c>
      <c r="N700" s="3">
        <v>7790</v>
      </c>
      <c r="O700" s="3">
        <v>7790</v>
      </c>
      <c r="P700" t="s">
        <v>34</v>
      </c>
      <c r="Q700" t="s">
        <v>51</v>
      </c>
      <c r="R700" t="s">
        <v>36</v>
      </c>
      <c r="S700" t="s">
        <v>210</v>
      </c>
      <c r="T700" t="s">
        <v>680</v>
      </c>
      <c r="U700" t="s">
        <v>54</v>
      </c>
      <c r="V700" t="s">
        <v>40</v>
      </c>
      <c r="W700">
        <v>3.7</v>
      </c>
      <c r="X700" t="s">
        <v>106</v>
      </c>
      <c r="Y700" t="s">
        <v>55</v>
      </c>
      <c r="Z700">
        <v>1</v>
      </c>
    </row>
    <row r="701" spans="1:26">
      <c r="A701" t="s">
        <v>1484</v>
      </c>
      <c r="B701" t="s">
        <v>1485</v>
      </c>
      <c r="C701" t="s">
        <v>94</v>
      </c>
      <c r="D701" t="s">
        <v>46</v>
      </c>
      <c r="E701" s="1">
        <v>43939</v>
      </c>
      <c r="F701" t="s">
        <v>47</v>
      </c>
      <c r="G701" t="s">
        <v>48</v>
      </c>
      <c r="H701" t="s">
        <v>49</v>
      </c>
      <c r="I701">
        <v>8</v>
      </c>
      <c r="J701" t="s">
        <v>73</v>
      </c>
      <c r="K701">
        <v>1</v>
      </c>
      <c r="L701" s="3">
        <v>8199</v>
      </c>
      <c r="M701">
        <v>20</v>
      </c>
      <c r="N701" s="3">
        <v>6560</v>
      </c>
      <c r="O701" s="3">
        <v>6560</v>
      </c>
      <c r="P701" t="s">
        <v>34</v>
      </c>
      <c r="Q701" t="s">
        <v>51</v>
      </c>
      <c r="R701" t="s">
        <v>36</v>
      </c>
      <c r="S701" t="s">
        <v>68</v>
      </c>
      <c r="T701" t="s">
        <v>207</v>
      </c>
      <c r="U701" t="s">
        <v>39</v>
      </c>
      <c r="V701" t="s">
        <v>40</v>
      </c>
      <c r="W701">
        <v>3.6</v>
      </c>
      <c r="X701" t="s">
        <v>41</v>
      </c>
      <c r="Y701" t="s">
        <v>42</v>
      </c>
      <c r="Z701">
        <v>4</v>
      </c>
    </row>
    <row r="702" spans="1:26">
      <c r="A702" t="s">
        <v>1486</v>
      </c>
      <c r="B702" t="s">
        <v>1487</v>
      </c>
      <c r="C702" t="s">
        <v>45</v>
      </c>
      <c r="D702" t="s">
        <v>103</v>
      </c>
      <c r="E702" s="1">
        <v>43940</v>
      </c>
      <c r="F702" t="s">
        <v>96</v>
      </c>
      <c r="G702" t="s">
        <v>323</v>
      </c>
      <c r="H702" t="s">
        <v>59</v>
      </c>
      <c r="I702">
        <v>7</v>
      </c>
      <c r="J702" t="s">
        <v>33</v>
      </c>
      <c r="K702">
        <v>2</v>
      </c>
      <c r="L702" s="3">
        <v>9899</v>
      </c>
      <c r="M702">
        <v>25</v>
      </c>
      <c r="N702" s="3">
        <v>7420</v>
      </c>
      <c r="O702" s="3">
        <v>14840</v>
      </c>
      <c r="P702" t="s">
        <v>34</v>
      </c>
      <c r="Q702" t="s">
        <v>51</v>
      </c>
      <c r="R702" t="s">
        <v>36</v>
      </c>
      <c r="S702" t="s">
        <v>75</v>
      </c>
      <c r="T702" t="s">
        <v>796</v>
      </c>
      <c r="U702" t="s">
        <v>39</v>
      </c>
      <c r="V702" t="s">
        <v>40</v>
      </c>
      <c r="W702">
        <v>2.9</v>
      </c>
      <c r="X702" t="s">
        <v>41</v>
      </c>
      <c r="Y702" t="s">
        <v>55</v>
      </c>
      <c r="Z702">
        <v>2</v>
      </c>
    </row>
    <row r="703" spans="1:26">
      <c r="A703" t="s">
        <v>1488</v>
      </c>
      <c r="B703" t="s">
        <v>436</v>
      </c>
      <c r="C703" t="s">
        <v>28</v>
      </c>
      <c r="D703" t="s">
        <v>46</v>
      </c>
      <c r="E703" s="1">
        <v>43941</v>
      </c>
      <c r="F703" t="s">
        <v>47</v>
      </c>
      <c r="G703" t="s">
        <v>121</v>
      </c>
      <c r="H703" t="s">
        <v>111</v>
      </c>
      <c r="I703">
        <v>8</v>
      </c>
      <c r="J703" t="s">
        <v>150</v>
      </c>
      <c r="K703">
        <v>1</v>
      </c>
      <c r="L703" s="3">
        <v>8399</v>
      </c>
      <c r="M703">
        <v>5</v>
      </c>
      <c r="N703" s="3">
        <v>7980</v>
      </c>
      <c r="O703" s="3">
        <v>7980</v>
      </c>
      <c r="P703" t="s">
        <v>74</v>
      </c>
      <c r="Q703" t="s">
        <v>51</v>
      </c>
      <c r="R703" t="s">
        <v>36</v>
      </c>
      <c r="S703" t="s">
        <v>354</v>
      </c>
      <c r="T703" t="s">
        <v>355</v>
      </c>
      <c r="U703" t="s">
        <v>54</v>
      </c>
      <c r="V703" t="s">
        <v>315</v>
      </c>
      <c r="W703">
        <v>4.3</v>
      </c>
      <c r="X703" t="s">
        <v>62</v>
      </c>
      <c r="Y703" t="s">
        <v>42</v>
      </c>
      <c r="Z703">
        <v>3</v>
      </c>
    </row>
    <row r="704" spans="1:26">
      <c r="A704" t="s">
        <v>1489</v>
      </c>
      <c r="B704" t="s">
        <v>1367</v>
      </c>
      <c r="C704" t="s">
        <v>28</v>
      </c>
      <c r="D704" t="s">
        <v>103</v>
      </c>
      <c r="E704" s="1">
        <v>43942</v>
      </c>
      <c r="F704" t="s">
        <v>86</v>
      </c>
      <c r="G704" t="s">
        <v>87</v>
      </c>
      <c r="H704" t="s">
        <v>59</v>
      </c>
      <c r="I704">
        <v>7</v>
      </c>
      <c r="J704" t="s">
        <v>88</v>
      </c>
      <c r="K704">
        <v>1</v>
      </c>
      <c r="L704" s="3">
        <v>8099</v>
      </c>
      <c r="M704">
        <v>5</v>
      </c>
      <c r="N704" s="3">
        <v>7690</v>
      </c>
      <c r="O704" s="3">
        <v>7690</v>
      </c>
      <c r="P704" t="s">
        <v>74</v>
      </c>
      <c r="Q704" t="s">
        <v>51</v>
      </c>
      <c r="R704" t="s">
        <v>36</v>
      </c>
      <c r="S704" t="s">
        <v>358</v>
      </c>
      <c r="T704" t="s">
        <v>359</v>
      </c>
      <c r="U704" t="s">
        <v>124</v>
      </c>
      <c r="V704" t="s">
        <v>315</v>
      </c>
      <c r="W704">
        <v>5</v>
      </c>
      <c r="X704" t="s">
        <v>41</v>
      </c>
      <c r="Y704" t="s">
        <v>42</v>
      </c>
      <c r="Z704">
        <v>4</v>
      </c>
    </row>
    <row r="705" spans="1:26">
      <c r="A705" t="s">
        <v>1490</v>
      </c>
      <c r="B705" t="s">
        <v>1491</v>
      </c>
      <c r="C705" t="s">
        <v>28</v>
      </c>
      <c r="D705" t="s">
        <v>95</v>
      </c>
      <c r="E705" s="1">
        <v>43945</v>
      </c>
      <c r="F705" t="s">
        <v>86</v>
      </c>
      <c r="G705" t="s">
        <v>116</v>
      </c>
      <c r="H705" t="s">
        <v>49</v>
      </c>
      <c r="I705">
        <v>7</v>
      </c>
      <c r="J705" t="s">
        <v>67</v>
      </c>
      <c r="K705">
        <v>1</v>
      </c>
      <c r="L705" s="3">
        <v>7899</v>
      </c>
      <c r="M705">
        <v>35</v>
      </c>
      <c r="N705" s="3">
        <v>5130</v>
      </c>
      <c r="O705" s="3">
        <v>5130</v>
      </c>
      <c r="P705" t="s">
        <v>74</v>
      </c>
      <c r="Q705" t="s">
        <v>51</v>
      </c>
      <c r="R705" t="s">
        <v>36</v>
      </c>
      <c r="S705" t="s">
        <v>384</v>
      </c>
      <c r="T705" t="s">
        <v>444</v>
      </c>
      <c r="U705" t="s">
        <v>124</v>
      </c>
      <c r="V705" t="s">
        <v>40</v>
      </c>
      <c r="W705">
        <v>4.5999999999999996</v>
      </c>
      <c r="X705" t="s">
        <v>41</v>
      </c>
      <c r="Y705" t="s">
        <v>42</v>
      </c>
      <c r="Z705">
        <v>4</v>
      </c>
    </row>
    <row r="706" spans="1:26">
      <c r="A706" t="s">
        <v>1492</v>
      </c>
      <c r="B706" t="s">
        <v>1493</v>
      </c>
      <c r="C706" t="s">
        <v>94</v>
      </c>
      <c r="D706" t="s">
        <v>109</v>
      </c>
      <c r="E706" s="1">
        <v>43946</v>
      </c>
      <c r="F706" t="s">
        <v>30</v>
      </c>
      <c r="G706" t="s">
        <v>58</v>
      </c>
      <c r="H706" t="s">
        <v>59</v>
      </c>
      <c r="I706">
        <v>11</v>
      </c>
      <c r="J706" t="s">
        <v>150</v>
      </c>
      <c r="K706">
        <v>1</v>
      </c>
      <c r="L706" s="3">
        <v>9499</v>
      </c>
      <c r="M706">
        <v>20</v>
      </c>
      <c r="N706" s="3">
        <v>7600</v>
      </c>
      <c r="O706" s="3">
        <v>7600</v>
      </c>
      <c r="P706" t="s">
        <v>34</v>
      </c>
      <c r="Q706" t="s">
        <v>82</v>
      </c>
      <c r="R706" t="s">
        <v>36</v>
      </c>
      <c r="S706" t="s">
        <v>269</v>
      </c>
      <c r="T706" t="s">
        <v>652</v>
      </c>
      <c r="U706" t="s">
        <v>124</v>
      </c>
      <c r="V706" t="s">
        <v>40</v>
      </c>
      <c r="W706">
        <v>4.4000000000000004</v>
      </c>
      <c r="X706" t="s">
        <v>41</v>
      </c>
      <c r="Y706" t="s">
        <v>42</v>
      </c>
      <c r="Z706">
        <v>3</v>
      </c>
    </row>
    <row r="707" spans="1:26">
      <c r="A707" t="s">
        <v>1494</v>
      </c>
      <c r="B707" t="s">
        <v>1495</v>
      </c>
      <c r="C707" t="s">
        <v>45</v>
      </c>
      <c r="D707" t="s">
        <v>103</v>
      </c>
      <c r="E707" s="1">
        <v>43948</v>
      </c>
      <c r="F707" t="s">
        <v>86</v>
      </c>
      <c r="G707" t="s">
        <v>312</v>
      </c>
      <c r="H707" t="s">
        <v>59</v>
      </c>
      <c r="I707">
        <v>11</v>
      </c>
      <c r="J707" t="s">
        <v>98</v>
      </c>
      <c r="K707">
        <v>1</v>
      </c>
      <c r="L707" s="3">
        <v>7099</v>
      </c>
      <c r="M707">
        <v>25</v>
      </c>
      <c r="N707" s="3">
        <v>5320</v>
      </c>
      <c r="O707" s="3">
        <v>5320</v>
      </c>
      <c r="P707" t="s">
        <v>74</v>
      </c>
      <c r="Q707" t="s">
        <v>51</v>
      </c>
      <c r="R707" t="s">
        <v>36</v>
      </c>
      <c r="S707" t="s">
        <v>156</v>
      </c>
      <c r="T707" t="s">
        <v>257</v>
      </c>
      <c r="U707" t="s">
        <v>39</v>
      </c>
      <c r="V707" t="s">
        <v>40</v>
      </c>
      <c r="W707">
        <v>4.5999999999999996</v>
      </c>
      <c r="X707" t="s">
        <v>41</v>
      </c>
      <c r="Y707" t="s">
        <v>55</v>
      </c>
      <c r="Z707">
        <v>2</v>
      </c>
    </row>
    <row r="708" spans="1:26">
      <c r="A708" t="s">
        <v>1496</v>
      </c>
      <c r="B708" t="s">
        <v>1497</v>
      </c>
      <c r="C708" t="s">
        <v>28</v>
      </c>
      <c r="D708" t="s">
        <v>46</v>
      </c>
      <c r="E708" s="1">
        <v>43954</v>
      </c>
      <c r="F708" t="s">
        <v>65</v>
      </c>
      <c r="G708" t="s">
        <v>268</v>
      </c>
      <c r="H708" t="s">
        <v>128</v>
      </c>
      <c r="I708">
        <v>9</v>
      </c>
      <c r="J708" t="s">
        <v>73</v>
      </c>
      <c r="K708">
        <v>1</v>
      </c>
      <c r="L708" s="3">
        <v>6899</v>
      </c>
      <c r="M708">
        <v>20</v>
      </c>
      <c r="N708" s="3">
        <v>5520</v>
      </c>
      <c r="O708" s="3">
        <v>5520</v>
      </c>
      <c r="P708" t="s">
        <v>74</v>
      </c>
      <c r="Q708" t="s">
        <v>82</v>
      </c>
      <c r="R708" t="s">
        <v>36</v>
      </c>
      <c r="S708" t="s">
        <v>117</v>
      </c>
      <c r="T708" t="s">
        <v>751</v>
      </c>
      <c r="U708" t="s">
        <v>54</v>
      </c>
      <c r="V708" t="s">
        <v>40</v>
      </c>
      <c r="W708">
        <v>4.9000000000000004</v>
      </c>
      <c r="X708" t="s">
        <v>41</v>
      </c>
      <c r="Y708" t="s">
        <v>42</v>
      </c>
      <c r="Z708">
        <v>4</v>
      </c>
    </row>
    <row r="709" spans="1:26">
      <c r="A709" t="s">
        <v>1498</v>
      </c>
      <c r="B709" t="s">
        <v>471</v>
      </c>
      <c r="C709" t="s">
        <v>28</v>
      </c>
      <c r="D709" t="s">
        <v>103</v>
      </c>
      <c r="E709" s="1">
        <v>43956</v>
      </c>
      <c r="F709" t="s">
        <v>96</v>
      </c>
      <c r="G709" t="s">
        <v>323</v>
      </c>
      <c r="H709" t="s">
        <v>59</v>
      </c>
      <c r="I709">
        <v>8</v>
      </c>
      <c r="J709" t="s">
        <v>33</v>
      </c>
      <c r="K709">
        <v>1</v>
      </c>
      <c r="L709" s="3">
        <v>9799</v>
      </c>
      <c r="M709">
        <v>10</v>
      </c>
      <c r="N709" s="3">
        <v>8820</v>
      </c>
      <c r="O709" s="3">
        <v>8820</v>
      </c>
      <c r="P709" t="s">
        <v>50</v>
      </c>
      <c r="Q709" t="s">
        <v>35</v>
      </c>
      <c r="R709" t="s">
        <v>36</v>
      </c>
      <c r="S709" t="s">
        <v>117</v>
      </c>
      <c r="T709" t="s">
        <v>751</v>
      </c>
      <c r="U709" t="s">
        <v>54</v>
      </c>
      <c r="V709" t="s">
        <v>969</v>
      </c>
      <c r="W709">
        <v>3.2</v>
      </c>
      <c r="X709" t="s">
        <v>41</v>
      </c>
      <c r="Y709" t="s">
        <v>55</v>
      </c>
      <c r="Z709">
        <v>2</v>
      </c>
    </row>
    <row r="710" spans="1:26">
      <c r="A710" t="s">
        <v>1499</v>
      </c>
      <c r="B710" t="s">
        <v>1500</v>
      </c>
      <c r="C710" t="s">
        <v>28</v>
      </c>
      <c r="D710" t="s">
        <v>29</v>
      </c>
      <c r="E710" s="1">
        <v>43957</v>
      </c>
      <c r="F710" t="s">
        <v>30</v>
      </c>
      <c r="G710" t="s">
        <v>58</v>
      </c>
      <c r="H710" t="s">
        <v>59</v>
      </c>
      <c r="I710">
        <v>10</v>
      </c>
      <c r="J710" t="s">
        <v>150</v>
      </c>
      <c r="K710">
        <v>2</v>
      </c>
      <c r="L710" s="3">
        <v>5899</v>
      </c>
      <c r="M710">
        <v>25</v>
      </c>
      <c r="N710" s="3">
        <v>4420</v>
      </c>
      <c r="O710" s="3">
        <v>8840</v>
      </c>
      <c r="P710" t="s">
        <v>74</v>
      </c>
      <c r="Q710" t="s">
        <v>51</v>
      </c>
      <c r="R710" t="s">
        <v>36</v>
      </c>
      <c r="S710" t="s">
        <v>168</v>
      </c>
      <c r="T710" t="s">
        <v>714</v>
      </c>
      <c r="U710" t="s">
        <v>124</v>
      </c>
      <c r="V710" t="s">
        <v>40</v>
      </c>
      <c r="W710">
        <v>3.4</v>
      </c>
      <c r="X710" t="s">
        <v>41</v>
      </c>
      <c r="Y710" t="s">
        <v>147</v>
      </c>
      <c r="Z710">
        <v>1</v>
      </c>
    </row>
    <row r="711" spans="1:26">
      <c r="A711" t="s">
        <v>1501</v>
      </c>
      <c r="B711" t="s">
        <v>1502</v>
      </c>
      <c r="C711" t="s">
        <v>94</v>
      </c>
      <c r="D711" t="s">
        <v>103</v>
      </c>
      <c r="E711" s="1">
        <v>43957</v>
      </c>
      <c r="F711" t="s">
        <v>65</v>
      </c>
      <c r="G711" t="s">
        <v>279</v>
      </c>
      <c r="H711" t="s">
        <v>111</v>
      </c>
      <c r="I711">
        <v>10</v>
      </c>
      <c r="J711" t="s">
        <v>67</v>
      </c>
      <c r="K711">
        <v>1</v>
      </c>
      <c r="L711" s="3">
        <v>6299</v>
      </c>
      <c r="M711">
        <v>20</v>
      </c>
      <c r="N711" s="3">
        <v>5040</v>
      </c>
      <c r="O711" s="3">
        <v>5040</v>
      </c>
      <c r="P711" t="s">
        <v>34</v>
      </c>
      <c r="Q711" t="s">
        <v>51</v>
      </c>
      <c r="R711" t="s">
        <v>36</v>
      </c>
      <c r="S711" t="s">
        <v>297</v>
      </c>
      <c r="T711" t="s">
        <v>566</v>
      </c>
      <c r="U711" t="s">
        <v>39</v>
      </c>
      <c r="V711" t="s">
        <v>40</v>
      </c>
      <c r="W711">
        <v>4.8</v>
      </c>
      <c r="X711" t="s">
        <v>41</v>
      </c>
      <c r="Y711" t="s">
        <v>42</v>
      </c>
      <c r="Z711">
        <v>1</v>
      </c>
    </row>
    <row r="712" spans="1:26">
      <c r="A712" t="s">
        <v>1503</v>
      </c>
      <c r="B712" t="s">
        <v>691</v>
      </c>
      <c r="C712" t="s">
        <v>28</v>
      </c>
      <c r="D712" t="s">
        <v>46</v>
      </c>
      <c r="E712" s="1">
        <v>43959</v>
      </c>
      <c r="F712" t="s">
        <v>47</v>
      </c>
      <c r="G712" t="s">
        <v>218</v>
      </c>
      <c r="H712" t="s">
        <v>59</v>
      </c>
      <c r="I712">
        <v>7</v>
      </c>
      <c r="J712" t="s">
        <v>33</v>
      </c>
      <c r="K712">
        <v>1</v>
      </c>
      <c r="L712" s="3">
        <v>8199</v>
      </c>
      <c r="M712">
        <v>5</v>
      </c>
      <c r="N712" s="3">
        <v>7790</v>
      </c>
      <c r="O712" s="3">
        <v>7790</v>
      </c>
      <c r="P712" t="s">
        <v>50</v>
      </c>
      <c r="Q712" t="s">
        <v>82</v>
      </c>
      <c r="R712" t="s">
        <v>36</v>
      </c>
      <c r="S712" t="s">
        <v>122</v>
      </c>
      <c r="T712" t="s">
        <v>382</v>
      </c>
      <c r="U712" t="s">
        <v>91</v>
      </c>
      <c r="V712" t="s">
        <v>315</v>
      </c>
      <c r="W712">
        <v>4.3</v>
      </c>
      <c r="X712" t="s">
        <v>41</v>
      </c>
      <c r="Y712" t="s">
        <v>55</v>
      </c>
      <c r="Z712">
        <v>2</v>
      </c>
    </row>
    <row r="713" spans="1:26">
      <c r="A713" t="s">
        <v>1504</v>
      </c>
      <c r="B713" t="s">
        <v>1505</v>
      </c>
      <c r="C713" t="s">
        <v>28</v>
      </c>
      <c r="D713" t="s">
        <v>29</v>
      </c>
      <c r="E713" s="1">
        <v>43960</v>
      </c>
      <c r="F713" t="s">
        <v>96</v>
      </c>
      <c r="G713" t="s">
        <v>97</v>
      </c>
      <c r="H713" t="s">
        <v>49</v>
      </c>
      <c r="I713">
        <v>9</v>
      </c>
      <c r="J713" t="s">
        <v>98</v>
      </c>
      <c r="K713">
        <v>1</v>
      </c>
      <c r="L713" s="3">
        <v>6799</v>
      </c>
      <c r="M713">
        <v>0</v>
      </c>
      <c r="N713" s="3">
        <v>6800</v>
      </c>
      <c r="O713" s="3">
        <v>6800</v>
      </c>
      <c r="P713" t="s">
        <v>74</v>
      </c>
      <c r="Q713" t="s">
        <v>51</v>
      </c>
      <c r="R713" t="s">
        <v>36</v>
      </c>
      <c r="S713" t="s">
        <v>460</v>
      </c>
      <c r="T713" t="s">
        <v>525</v>
      </c>
      <c r="U713" t="s">
        <v>54</v>
      </c>
      <c r="V713" t="s">
        <v>40</v>
      </c>
      <c r="W713">
        <v>3.9</v>
      </c>
      <c r="X713" t="s">
        <v>62</v>
      </c>
      <c r="Y713" t="s">
        <v>55</v>
      </c>
      <c r="Z713">
        <v>3</v>
      </c>
    </row>
    <row r="714" spans="1:26">
      <c r="A714" t="s">
        <v>1506</v>
      </c>
      <c r="B714" t="s">
        <v>1507</v>
      </c>
      <c r="C714" t="s">
        <v>28</v>
      </c>
      <c r="D714" t="s">
        <v>103</v>
      </c>
      <c r="E714" s="1">
        <v>43961</v>
      </c>
      <c r="F714" t="s">
        <v>47</v>
      </c>
      <c r="G714" t="s">
        <v>48</v>
      </c>
      <c r="H714" t="s">
        <v>49</v>
      </c>
      <c r="I714">
        <v>7</v>
      </c>
      <c r="J714" t="s">
        <v>150</v>
      </c>
      <c r="K714">
        <v>3</v>
      </c>
      <c r="L714" s="3">
        <v>8399</v>
      </c>
      <c r="M714">
        <v>15</v>
      </c>
      <c r="N714" s="3">
        <v>7140</v>
      </c>
      <c r="O714" s="3">
        <v>21420</v>
      </c>
      <c r="P714" t="s">
        <v>34</v>
      </c>
      <c r="Q714" t="s">
        <v>51</v>
      </c>
      <c r="R714" t="s">
        <v>36</v>
      </c>
      <c r="S714" t="s">
        <v>37</v>
      </c>
      <c r="T714" t="s">
        <v>1122</v>
      </c>
      <c r="U714" t="s">
        <v>61</v>
      </c>
      <c r="V714" t="s">
        <v>40</v>
      </c>
      <c r="W714">
        <v>4.9000000000000004</v>
      </c>
      <c r="X714" t="s">
        <v>62</v>
      </c>
      <c r="Y714" t="s">
        <v>55</v>
      </c>
      <c r="Z714">
        <v>3</v>
      </c>
    </row>
    <row r="715" spans="1:26">
      <c r="A715" t="s">
        <v>1508</v>
      </c>
      <c r="B715" t="s">
        <v>1509</v>
      </c>
      <c r="C715" t="s">
        <v>45</v>
      </c>
      <c r="D715" t="s">
        <v>29</v>
      </c>
      <c r="E715" s="1">
        <v>43961</v>
      </c>
      <c r="F715" t="s">
        <v>30</v>
      </c>
      <c r="G715" t="s">
        <v>58</v>
      </c>
      <c r="H715" t="s">
        <v>59</v>
      </c>
      <c r="I715">
        <v>8</v>
      </c>
      <c r="J715" t="s">
        <v>67</v>
      </c>
      <c r="K715">
        <v>2</v>
      </c>
      <c r="L715" s="3">
        <v>6899</v>
      </c>
      <c r="M715">
        <v>0</v>
      </c>
      <c r="N715" s="3">
        <v>6900</v>
      </c>
      <c r="O715" s="3">
        <v>13800</v>
      </c>
      <c r="P715" t="s">
        <v>74</v>
      </c>
      <c r="Q715" t="s">
        <v>35</v>
      </c>
      <c r="R715" t="s">
        <v>36</v>
      </c>
      <c r="S715" t="s">
        <v>354</v>
      </c>
      <c r="T715" t="s">
        <v>431</v>
      </c>
      <c r="U715" t="s">
        <v>91</v>
      </c>
      <c r="V715" t="s">
        <v>40</v>
      </c>
      <c r="W715">
        <v>4.5999999999999996</v>
      </c>
      <c r="X715" t="s">
        <v>41</v>
      </c>
      <c r="Y715" t="s">
        <v>42</v>
      </c>
      <c r="Z715">
        <v>7</v>
      </c>
    </row>
    <row r="716" spans="1:26">
      <c r="A716" t="s">
        <v>1510</v>
      </c>
      <c r="B716" t="s">
        <v>1511</v>
      </c>
      <c r="C716" t="s">
        <v>45</v>
      </c>
      <c r="D716" t="s">
        <v>29</v>
      </c>
      <c r="E716" s="1">
        <v>43961</v>
      </c>
      <c r="F716" t="s">
        <v>86</v>
      </c>
      <c r="G716" t="s">
        <v>312</v>
      </c>
      <c r="H716" t="s">
        <v>59</v>
      </c>
      <c r="I716">
        <v>9</v>
      </c>
      <c r="J716" t="s">
        <v>150</v>
      </c>
      <c r="K716">
        <v>2</v>
      </c>
      <c r="L716" s="3">
        <v>9799</v>
      </c>
      <c r="M716">
        <v>15</v>
      </c>
      <c r="N716" s="3">
        <v>8330</v>
      </c>
      <c r="O716" s="3">
        <v>16660</v>
      </c>
      <c r="P716" t="s">
        <v>74</v>
      </c>
      <c r="Q716" t="s">
        <v>35</v>
      </c>
      <c r="R716" t="s">
        <v>36</v>
      </c>
      <c r="S716" t="s">
        <v>168</v>
      </c>
      <c r="T716" t="s">
        <v>714</v>
      </c>
      <c r="U716" t="s">
        <v>39</v>
      </c>
      <c r="V716" t="s">
        <v>40</v>
      </c>
      <c r="W716">
        <v>4.5999999999999996</v>
      </c>
      <c r="X716" t="s">
        <v>106</v>
      </c>
      <c r="Y716" t="s">
        <v>42</v>
      </c>
      <c r="Z716">
        <v>3</v>
      </c>
    </row>
    <row r="717" spans="1:26">
      <c r="A717" t="s">
        <v>1512</v>
      </c>
      <c r="B717" t="s">
        <v>739</v>
      </c>
      <c r="C717" t="s">
        <v>45</v>
      </c>
      <c r="D717" t="s">
        <v>46</v>
      </c>
      <c r="E717" s="1">
        <v>43965</v>
      </c>
      <c r="F717" t="s">
        <v>96</v>
      </c>
      <c r="G717" t="s">
        <v>97</v>
      </c>
      <c r="H717" t="s">
        <v>49</v>
      </c>
      <c r="I717">
        <v>10</v>
      </c>
      <c r="J717" t="s">
        <v>33</v>
      </c>
      <c r="K717">
        <v>1</v>
      </c>
      <c r="L717" s="3">
        <v>7999</v>
      </c>
      <c r="M717">
        <v>20</v>
      </c>
      <c r="N717" s="3">
        <v>6400</v>
      </c>
      <c r="O717" s="3">
        <v>6400</v>
      </c>
      <c r="P717" t="s">
        <v>81</v>
      </c>
      <c r="Q717" t="s">
        <v>82</v>
      </c>
      <c r="R717" t="s">
        <v>36</v>
      </c>
      <c r="S717" t="s">
        <v>122</v>
      </c>
      <c r="T717" t="s">
        <v>123</v>
      </c>
      <c r="U717" t="s">
        <v>54</v>
      </c>
      <c r="V717" t="s">
        <v>315</v>
      </c>
      <c r="W717">
        <v>4.2</v>
      </c>
      <c r="X717" t="s">
        <v>41</v>
      </c>
      <c r="Y717" t="s">
        <v>42</v>
      </c>
      <c r="Z717">
        <v>3</v>
      </c>
    </row>
    <row r="718" spans="1:26">
      <c r="A718" t="s">
        <v>1513</v>
      </c>
      <c r="B718" t="s">
        <v>654</v>
      </c>
      <c r="C718" t="s">
        <v>94</v>
      </c>
      <c r="D718" t="s">
        <v>103</v>
      </c>
      <c r="E718" s="1">
        <v>43966</v>
      </c>
      <c r="F718" t="s">
        <v>30</v>
      </c>
      <c r="G718" t="s">
        <v>214</v>
      </c>
      <c r="H718" t="s">
        <v>128</v>
      </c>
      <c r="I718">
        <v>10</v>
      </c>
      <c r="J718" t="s">
        <v>88</v>
      </c>
      <c r="K718">
        <v>1</v>
      </c>
      <c r="L718" s="3">
        <v>3399</v>
      </c>
      <c r="M718">
        <v>15</v>
      </c>
      <c r="N718" s="3">
        <v>2890</v>
      </c>
      <c r="O718" s="3">
        <v>2890</v>
      </c>
      <c r="P718" t="s">
        <v>34</v>
      </c>
      <c r="Q718" t="s">
        <v>82</v>
      </c>
      <c r="R718" t="s">
        <v>36</v>
      </c>
      <c r="S718" t="s">
        <v>182</v>
      </c>
      <c r="T718" t="s">
        <v>604</v>
      </c>
      <c r="U718" t="s">
        <v>39</v>
      </c>
      <c r="V718" t="s">
        <v>315</v>
      </c>
      <c r="W718">
        <v>3.8</v>
      </c>
      <c r="X718" t="s">
        <v>106</v>
      </c>
      <c r="Y718" t="s">
        <v>42</v>
      </c>
      <c r="Z718">
        <v>2</v>
      </c>
    </row>
    <row r="719" spans="1:26">
      <c r="A719" t="s">
        <v>1514</v>
      </c>
      <c r="B719" t="s">
        <v>1376</v>
      </c>
      <c r="C719" t="s">
        <v>45</v>
      </c>
      <c r="D719" t="s">
        <v>95</v>
      </c>
      <c r="E719" s="1">
        <v>43968</v>
      </c>
      <c r="F719" t="s">
        <v>47</v>
      </c>
      <c r="G719" t="s">
        <v>218</v>
      </c>
      <c r="H719" t="s">
        <v>59</v>
      </c>
      <c r="I719">
        <v>10</v>
      </c>
      <c r="J719" t="s">
        <v>73</v>
      </c>
      <c r="K719">
        <v>1</v>
      </c>
      <c r="L719" s="3">
        <v>6399</v>
      </c>
      <c r="M719">
        <v>15</v>
      </c>
      <c r="N719" s="3">
        <v>5440</v>
      </c>
      <c r="O719" s="3">
        <v>5440</v>
      </c>
      <c r="P719" t="s">
        <v>34</v>
      </c>
      <c r="Q719" t="s">
        <v>35</v>
      </c>
      <c r="R719" t="s">
        <v>36</v>
      </c>
      <c r="S719" t="s">
        <v>186</v>
      </c>
      <c r="T719" t="s">
        <v>222</v>
      </c>
      <c r="U719" t="s">
        <v>39</v>
      </c>
      <c r="V719" t="s">
        <v>315</v>
      </c>
      <c r="W719">
        <v>3.2</v>
      </c>
      <c r="X719" t="s">
        <v>41</v>
      </c>
      <c r="Y719" t="s">
        <v>55</v>
      </c>
      <c r="Z719">
        <v>3</v>
      </c>
    </row>
    <row r="720" spans="1:26">
      <c r="A720" t="s">
        <v>1515</v>
      </c>
      <c r="B720" t="s">
        <v>1516</v>
      </c>
      <c r="C720" t="s">
        <v>28</v>
      </c>
      <c r="D720" t="s">
        <v>95</v>
      </c>
      <c r="E720" s="1">
        <v>43968</v>
      </c>
      <c r="F720" t="s">
        <v>86</v>
      </c>
      <c r="G720" t="s">
        <v>87</v>
      </c>
      <c r="H720" t="s">
        <v>59</v>
      </c>
      <c r="I720">
        <v>9</v>
      </c>
      <c r="J720" t="s">
        <v>67</v>
      </c>
      <c r="K720">
        <v>2</v>
      </c>
      <c r="L720" s="3">
        <v>8499</v>
      </c>
      <c r="M720">
        <v>15</v>
      </c>
      <c r="N720" s="3">
        <v>7220</v>
      </c>
      <c r="O720" s="3">
        <v>14440</v>
      </c>
      <c r="P720" t="s">
        <v>74</v>
      </c>
      <c r="Q720" t="s">
        <v>51</v>
      </c>
      <c r="R720" t="s">
        <v>36</v>
      </c>
      <c r="S720" t="s">
        <v>168</v>
      </c>
      <c r="T720" t="s">
        <v>168</v>
      </c>
      <c r="U720" t="s">
        <v>61</v>
      </c>
      <c r="V720" t="s">
        <v>40</v>
      </c>
      <c r="W720">
        <v>3.6</v>
      </c>
      <c r="X720" t="s">
        <v>41</v>
      </c>
      <c r="Y720" t="s">
        <v>42</v>
      </c>
      <c r="Z720">
        <v>6</v>
      </c>
    </row>
    <row r="721" spans="1:26">
      <c r="A721" t="s">
        <v>1517</v>
      </c>
      <c r="B721" t="s">
        <v>1238</v>
      </c>
      <c r="C721" t="s">
        <v>94</v>
      </c>
      <c r="D721" t="s">
        <v>46</v>
      </c>
      <c r="E721" s="1">
        <v>43968</v>
      </c>
      <c r="F721" t="s">
        <v>96</v>
      </c>
      <c r="G721" t="s">
        <v>323</v>
      </c>
      <c r="H721" t="s">
        <v>59</v>
      </c>
      <c r="I721">
        <v>7</v>
      </c>
      <c r="J721" t="s">
        <v>33</v>
      </c>
      <c r="K721">
        <v>1</v>
      </c>
      <c r="L721" s="3">
        <v>7199</v>
      </c>
      <c r="M721">
        <v>10</v>
      </c>
      <c r="N721" s="3">
        <v>6480</v>
      </c>
      <c r="O721" s="3">
        <v>6480</v>
      </c>
      <c r="P721" t="s">
        <v>74</v>
      </c>
      <c r="Q721" t="s">
        <v>35</v>
      </c>
      <c r="R721" t="s">
        <v>36</v>
      </c>
      <c r="S721" t="s">
        <v>129</v>
      </c>
      <c r="T721" t="s">
        <v>655</v>
      </c>
      <c r="U721" t="s">
        <v>54</v>
      </c>
      <c r="V721" t="s">
        <v>315</v>
      </c>
      <c r="W721">
        <v>4.8</v>
      </c>
      <c r="X721" t="s">
        <v>41</v>
      </c>
      <c r="Y721" t="s">
        <v>42</v>
      </c>
      <c r="Z721">
        <v>3</v>
      </c>
    </row>
    <row r="722" spans="1:26">
      <c r="A722" t="s">
        <v>1518</v>
      </c>
      <c r="B722" t="s">
        <v>546</v>
      </c>
      <c r="C722" t="s">
        <v>94</v>
      </c>
      <c r="D722" t="s">
        <v>103</v>
      </c>
      <c r="E722" s="1">
        <v>43968</v>
      </c>
      <c r="F722" t="s">
        <v>96</v>
      </c>
      <c r="G722" t="s">
        <v>155</v>
      </c>
      <c r="H722" t="s">
        <v>111</v>
      </c>
      <c r="I722">
        <v>8</v>
      </c>
      <c r="J722" t="s">
        <v>150</v>
      </c>
      <c r="K722">
        <v>1</v>
      </c>
      <c r="L722" s="3">
        <v>7699</v>
      </c>
      <c r="M722">
        <v>15</v>
      </c>
      <c r="N722" s="3">
        <v>6540</v>
      </c>
      <c r="O722" s="3">
        <v>6540</v>
      </c>
      <c r="P722" t="s">
        <v>81</v>
      </c>
      <c r="Q722" t="s">
        <v>82</v>
      </c>
      <c r="R722" t="s">
        <v>36</v>
      </c>
      <c r="S722" t="s">
        <v>418</v>
      </c>
      <c r="T722" t="s">
        <v>613</v>
      </c>
      <c r="U722" t="s">
        <v>91</v>
      </c>
      <c r="V722" t="s">
        <v>969</v>
      </c>
      <c r="W722">
        <v>3.9</v>
      </c>
      <c r="X722" t="s">
        <v>106</v>
      </c>
      <c r="Y722" t="s">
        <v>42</v>
      </c>
      <c r="Z722">
        <v>3</v>
      </c>
    </row>
    <row r="723" spans="1:26">
      <c r="A723" t="s">
        <v>1519</v>
      </c>
      <c r="B723" t="s">
        <v>371</v>
      </c>
      <c r="C723" t="s">
        <v>28</v>
      </c>
      <c r="D723" t="s">
        <v>46</v>
      </c>
      <c r="E723" s="1">
        <v>43971</v>
      </c>
      <c r="F723" t="s">
        <v>96</v>
      </c>
      <c r="G723" t="s">
        <v>155</v>
      </c>
      <c r="H723" t="s">
        <v>111</v>
      </c>
      <c r="I723">
        <v>6</v>
      </c>
      <c r="J723" t="s">
        <v>67</v>
      </c>
      <c r="K723">
        <v>1</v>
      </c>
      <c r="L723" s="3">
        <v>5199</v>
      </c>
      <c r="M723">
        <v>25</v>
      </c>
      <c r="N723" s="3">
        <v>3900</v>
      </c>
      <c r="O723" s="3">
        <v>3900</v>
      </c>
      <c r="P723" t="s">
        <v>74</v>
      </c>
      <c r="Q723" t="s">
        <v>35</v>
      </c>
      <c r="R723" t="s">
        <v>36</v>
      </c>
      <c r="S723" t="s">
        <v>384</v>
      </c>
      <c r="T723" t="s">
        <v>481</v>
      </c>
      <c r="U723" t="s">
        <v>61</v>
      </c>
      <c r="V723" t="s">
        <v>969</v>
      </c>
      <c r="W723">
        <v>4.2</v>
      </c>
      <c r="X723" t="s">
        <v>41</v>
      </c>
      <c r="Y723" t="s">
        <v>55</v>
      </c>
      <c r="Z723">
        <v>3</v>
      </c>
    </row>
    <row r="724" spans="1:26">
      <c r="A724" t="s">
        <v>1520</v>
      </c>
      <c r="B724" t="s">
        <v>1150</v>
      </c>
      <c r="C724" t="s">
        <v>28</v>
      </c>
      <c r="D724" t="s">
        <v>46</v>
      </c>
      <c r="E724" s="1">
        <v>43973</v>
      </c>
      <c r="F724" t="s">
        <v>79</v>
      </c>
      <c r="G724" t="s">
        <v>127</v>
      </c>
      <c r="H724" t="s">
        <v>128</v>
      </c>
      <c r="I724">
        <v>11</v>
      </c>
      <c r="J724" t="s">
        <v>67</v>
      </c>
      <c r="K724">
        <v>3</v>
      </c>
      <c r="L724" s="3">
        <v>6599</v>
      </c>
      <c r="M724">
        <v>15</v>
      </c>
      <c r="N724" s="3">
        <v>5610</v>
      </c>
      <c r="O724" s="3">
        <v>16830</v>
      </c>
      <c r="P724" t="s">
        <v>81</v>
      </c>
      <c r="Q724" t="s">
        <v>51</v>
      </c>
      <c r="R724" t="s">
        <v>36</v>
      </c>
      <c r="S724" t="s">
        <v>168</v>
      </c>
      <c r="T724" t="s">
        <v>168</v>
      </c>
      <c r="U724" t="s">
        <v>54</v>
      </c>
      <c r="V724" t="s">
        <v>315</v>
      </c>
      <c r="W724">
        <v>4.9000000000000004</v>
      </c>
      <c r="X724" t="s">
        <v>41</v>
      </c>
      <c r="Y724" t="s">
        <v>42</v>
      </c>
      <c r="Z724">
        <v>4</v>
      </c>
    </row>
    <row r="725" spans="1:26">
      <c r="A725" t="s">
        <v>1521</v>
      </c>
      <c r="B725" t="s">
        <v>1046</v>
      </c>
      <c r="C725" t="s">
        <v>45</v>
      </c>
      <c r="D725" t="s">
        <v>95</v>
      </c>
      <c r="E725" s="1">
        <v>43979</v>
      </c>
      <c r="F725" t="s">
        <v>86</v>
      </c>
      <c r="G725" t="s">
        <v>285</v>
      </c>
      <c r="H725" t="s">
        <v>111</v>
      </c>
      <c r="I725">
        <v>10</v>
      </c>
      <c r="J725" t="s">
        <v>33</v>
      </c>
      <c r="K725">
        <v>1</v>
      </c>
      <c r="L725" s="3">
        <v>4499</v>
      </c>
      <c r="M725">
        <v>0</v>
      </c>
      <c r="N725" s="3">
        <v>4500</v>
      </c>
      <c r="O725" s="3">
        <v>4500</v>
      </c>
      <c r="P725" t="s">
        <v>74</v>
      </c>
      <c r="Q725" t="s">
        <v>51</v>
      </c>
      <c r="R725" t="s">
        <v>36</v>
      </c>
      <c r="S725" t="s">
        <v>418</v>
      </c>
      <c r="T725" t="s">
        <v>924</v>
      </c>
      <c r="U725" t="s">
        <v>124</v>
      </c>
      <c r="V725" t="s">
        <v>315</v>
      </c>
      <c r="W725">
        <v>4.5</v>
      </c>
      <c r="X725" t="s">
        <v>41</v>
      </c>
      <c r="Y725" t="s">
        <v>42</v>
      </c>
      <c r="Z725">
        <v>3</v>
      </c>
    </row>
    <row r="726" spans="1:26">
      <c r="A726" t="s">
        <v>1522</v>
      </c>
      <c r="B726" t="s">
        <v>1523</v>
      </c>
      <c r="C726" t="s">
        <v>28</v>
      </c>
      <c r="D726" t="s">
        <v>46</v>
      </c>
      <c r="E726" s="1">
        <v>43984</v>
      </c>
      <c r="F726" t="s">
        <v>86</v>
      </c>
      <c r="G726" t="s">
        <v>116</v>
      </c>
      <c r="H726" t="s">
        <v>49</v>
      </c>
      <c r="I726">
        <v>11</v>
      </c>
      <c r="J726" t="s">
        <v>88</v>
      </c>
      <c r="K726">
        <v>1</v>
      </c>
      <c r="L726" s="3">
        <v>3899</v>
      </c>
      <c r="M726">
        <v>35</v>
      </c>
      <c r="N726" s="3">
        <v>2530</v>
      </c>
      <c r="O726" s="3">
        <v>2530</v>
      </c>
      <c r="P726" t="s">
        <v>74</v>
      </c>
      <c r="Q726" t="s">
        <v>82</v>
      </c>
      <c r="R726" t="s">
        <v>36</v>
      </c>
      <c r="S726" t="s">
        <v>210</v>
      </c>
      <c r="T726" t="s">
        <v>415</v>
      </c>
      <c r="U726" t="s">
        <v>91</v>
      </c>
      <c r="V726" t="s">
        <v>40</v>
      </c>
      <c r="W726">
        <v>3.2</v>
      </c>
      <c r="X726" t="s">
        <v>41</v>
      </c>
      <c r="Y726" t="s">
        <v>55</v>
      </c>
      <c r="Z726">
        <v>2</v>
      </c>
    </row>
    <row r="727" spans="1:26">
      <c r="A727" t="s">
        <v>1524</v>
      </c>
      <c r="B727" t="s">
        <v>1525</v>
      </c>
      <c r="C727" t="s">
        <v>28</v>
      </c>
      <c r="D727" t="s">
        <v>95</v>
      </c>
      <c r="E727" s="1">
        <v>43985</v>
      </c>
      <c r="F727" t="s">
        <v>65</v>
      </c>
      <c r="G727" t="s">
        <v>256</v>
      </c>
      <c r="H727" t="s">
        <v>32</v>
      </c>
      <c r="I727">
        <v>8</v>
      </c>
      <c r="J727" t="s">
        <v>88</v>
      </c>
      <c r="K727">
        <v>2</v>
      </c>
      <c r="L727" s="3">
        <v>3699</v>
      </c>
      <c r="M727">
        <v>15</v>
      </c>
      <c r="N727" s="3">
        <v>3140</v>
      </c>
      <c r="O727" s="3">
        <v>6280</v>
      </c>
      <c r="P727" t="s">
        <v>81</v>
      </c>
      <c r="Q727" t="s">
        <v>35</v>
      </c>
      <c r="R727" t="s">
        <v>36</v>
      </c>
      <c r="S727" t="s">
        <v>151</v>
      </c>
      <c r="T727" t="s">
        <v>452</v>
      </c>
      <c r="U727" t="s">
        <v>91</v>
      </c>
      <c r="V727" t="s">
        <v>40</v>
      </c>
      <c r="W727">
        <v>4.2</v>
      </c>
      <c r="X727" t="s">
        <v>62</v>
      </c>
      <c r="Y727" t="s">
        <v>42</v>
      </c>
      <c r="Z727">
        <v>7</v>
      </c>
    </row>
    <row r="728" spans="1:26">
      <c r="A728" t="s">
        <v>1526</v>
      </c>
      <c r="B728" t="s">
        <v>744</v>
      </c>
      <c r="C728" t="s">
        <v>45</v>
      </c>
      <c r="D728" t="s">
        <v>46</v>
      </c>
      <c r="E728" s="1">
        <v>43986</v>
      </c>
      <c r="F728" t="s">
        <v>65</v>
      </c>
      <c r="G728" t="s">
        <v>268</v>
      </c>
      <c r="H728" t="s">
        <v>128</v>
      </c>
      <c r="I728">
        <v>6</v>
      </c>
      <c r="J728" t="s">
        <v>150</v>
      </c>
      <c r="K728">
        <v>2</v>
      </c>
      <c r="L728" s="3">
        <v>7599</v>
      </c>
      <c r="M728">
        <v>5</v>
      </c>
      <c r="N728" s="3">
        <v>7220</v>
      </c>
      <c r="O728" s="3">
        <v>14440</v>
      </c>
      <c r="P728" t="s">
        <v>50</v>
      </c>
      <c r="Q728" t="s">
        <v>82</v>
      </c>
      <c r="R728" t="s">
        <v>36</v>
      </c>
      <c r="S728" t="s">
        <v>243</v>
      </c>
      <c r="T728" t="s">
        <v>328</v>
      </c>
      <c r="U728" t="s">
        <v>124</v>
      </c>
      <c r="V728" t="s">
        <v>315</v>
      </c>
      <c r="W728">
        <v>4</v>
      </c>
      <c r="X728" t="s">
        <v>106</v>
      </c>
      <c r="Y728" t="s">
        <v>55</v>
      </c>
      <c r="Z728">
        <v>2</v>
      </c>
    </row>
    <row r="729" spans="1:26">
      <c r="A729" t="s">
        <v>1527</v>
      </c>
      <c r="B729" t="s">
        <v>1528</v>
      </c>
      <c r="C729" t="s">
        <v>45</v>
      </c>
      <c r="D729" t="s">
        <v>103</v>
      </c>
      <c r="E729" s="1">
        <v>43988</v>
      </c>
      <c r="F729" t="s">
        <v>30</v>
      </c>
      <c r="G729" t="s">
        <v>347</v>
      </c>
      <c r="H729" t="s">
        <v>49</v>
      </c>
      <c r="I729">
        <v>7</v>
      </c>
      <c r="J729" t="s">
        <v>73</v>
      </c>
      <c r="K729">
        <v>3</v>
      </c>
      <c r="L729" s="3">
        <v>5199</v>
      </c>
      <c r="M729">
        <v>20</v>
      </c>
      <c r="N729" s="3">
        <v>4160</v>
      </c>
      <c r="O729" s="3">
        <v>12480</v>
      </c>
      <c r="P729" t="s">
        <v>74</v>
      </c>
      <c r="Q729" t="s">
        <v>51</v>
      </c>
      <c r="R729" t="s">
        <v>36</v>
      </c>
      <c r="S729" t="s">
        <v>286</v>
      </c>
      <c r="T729" t="s">
        <v>366</v>
      </c>
      <c r="U729" t="s">
        <v>39</v>
      </c>
      <c r="V729" t="s">
        <v>40</v>
      </c>
      <c r="W729">
        <v>4.7</v>
      </c>
      <c r="X729" t="s">
        <v>41</v>
      </c>
      <c r="Y729" t="s">
        <v>147</v>
      </c>
      <c r="Z729">
        <v>2</v>
      </c>
    </row>
    <row r="730" spans="1:26">
      <c r="A730" t="s">
        <v>1529</v>
      </c>
      <c r="B730" t="s">
        <v>1354</v>
      </c>
      <c r="C730" t="s">
        <v>45</v>
      </c>
      <c r="D730" t="s">
        <v>95</v>
      </c>
      <c r="E730" s="1">
        <v>43989</v>
      </c>
      <c r="F730" t="s">
        <v>79</v>
      </c>
      <c r="G730" t="s">
        <v>301</v>
      </c>
      <c r="H730" t="s">
        <v>49</v>
      </c>
      <c r="I730">
        <v>10</v>
      </c>
      <c r="J730" t="s">
        <v>67</v>
      </c>
      <c r="K730">
        <v>1</v>
      </c>
      <c r="L730" s="3">
        <v>5499</v>
      </c>
      <c r="M730">
        <v>35</v>
      </c>
      <c r="N730" s="3">
        <v>3570</v>
      </c>
      <c r="O730" s="3">
        <v>3570</v>
      </c>
      <c r="P730" t="s">
        <v>74</v>
      </c>
      <c r="Q730" t="s">
        <v>51</v>
      </c>
      <c r="R730" t="s">
        <v>36</v>
      </c>
      <c r="S730" t="s">
        <v>99</v>
      </c>
      <c r="T730" t="s">
        <v>229</v>
      </c>
      <c r="U730" t="s">
        <v>39</v>
      </c>
      <c r="V730" t="s">
        <v>315</v>
      </c>
      <c r="W730">
        <v>4.5999999999999996</v>
      </c>
      <c r="X730" t="s">
        <v>41</v>
      </c>
      <c r="Y730" t="s">
        <v>42</v>
      </c>
      <c r="Z730">
        <v>4</v>
      </c>
    </row>
    <row r="731" spans="1:26">
      <c r="A731" t="s">
        <v>1530</v>
      </c>
      <c r="B731" t="s">
        <v>1531</v>
      </c>
      <c r="C731" t="s">
        <v>28</v>
      </c>
      <c r="D731" t="s">
        <v>103</v>
      </c>
      <c r="E731" s="1">
        <v>43989</v>
      </c>
      <c r="F731" t="s">
        <v>47</v>
      </c>
      <c r="G731" t="s">
        <v>402</v>
      </c>
      <c r="H731" t="s">
        <v>32</v>
      </c>
      <c r="I731">
        <v>10</v>
      </c>
      <c r="J731" t="s">
        <v>150</v>
      </c>
      <c r="K731">
        <v>1</v>
      </c>
      <c r="L731" s="3">
        <v>6499</v>
      </c>
      <c r="M731">
        <v>20</v>
      </c>
      <c r="N731" s="3">
        <v>5200</v>
      </c>
      <c r="O731" s="3">
        <v>5200</v>
      </c>
      <c r="P731" t="s">
        <v>34</v>
      </c>
      <c r="Q731" t="s">
        <v>51</v>
      </c>
      <c r="R731" t="s">
        <v>36</v>
      </c>
      <c r="S731" t="s">
        <v>129</v>
      </c>
      <c r="T731" t="s">
        <v>146</v>
      </c>
      <c r="U731" t="s">
        <v>54</v>
      </c>
      <c r="V731" t="s">
        <v>40</v>
      </c>
      <c r="W731">
        <v>5</v>
      </c>
      <c r="X731" t="s">
        <v>41</v>
      </c>
      <c r="Y731" t="s">
        <v>42</v>
      </c>
      <c r="Z731">
        <v>6</v>
      </c>
    </row>
    <row r="732" spans="1:26">
      <c r="A732" t="s">
        <v>1532</v>
      </c>
      <c r="B732" t="s">
        <v>427</v>
      </c>
      <c r="C732" t="s">
        <v>94</v>
      </c>
      <c r="D732" t="s">
        <v>29</v>
      </c>
      <c r="E732" s="1">
        <v>43989</v>
      </c>
      <c r="F732" t="s">
        <v>79</v>
      </c>
      <c r="G732" t="s">
        <v>174</v>
      </c>
      <c r="H732" t="s">
        <v>32</v>
      </c>
      <c r="I732">
        <v>7</v>
      </c>
      <c r="J732" t="s">
        <v>98</v>
      </c>
      <c r="K732">
        <v>1</v>
      </c>
      <c r="L732" s="3">
        <v>5599</v>
      </c>
      <c r="M732">
        <v>5</v>
      </c>
      <c r="N732" s="3">
        <v>5320</v>
      </c>
      <c r="O732" s="3">
        <v>5320</v>
      </c>
      <c r="P732" t="s">
        <v>74</v>
      </c>
      <c r="Q732" t="s">
        <v>35</v>
      </c>
      <c r="R732" t="s">
        <v>36</v>
      </c>
      <c r="S732" t="s">
        <v>243</v>
      </c>
      <c r="T732" t="s">
        <v>328</v>
      </c>
      <c r="U732" t="s">
        <v>61</v>
      </c>
      <c r="V732" t="s">
        <v>315</v>
      </c>
      <c r="W732">
        <v>3.5</v>
      </c>
      <c r="X732" t="s">
        <v>41</v>
      </c>
      <c r="Y732" t="s">
        <v>42</v>
      </c>
      <c r="Z732">
        <v>5</v>
      </c>
    </row>
    <row r="733" spans="1:26">
      <c r="A733" t="s">
        <v>1533</v>
      </c>
      <c r="B733" t="s">
        <v>571</v>
      </c>
      <c r="C733" t="s">
        <v>28</v>
      </c>
      <c r="D733" t="s">
        <v>103</v>
      </c>
      <c r="E733" s="1">
        <v>43994</v>
      </c>
      <c r="F733" t="s">
        <v>47</v>
      </c>
      <c r="G733" t="s">
        <v>48</v>
      </c>
      <c r="H733" t="s">
        <v>49</v>
      </c>
      <c r="I733">
        <v>8</v>
      </c>
      <c r="J733" t="s">
        <v>67</v>
      </c>
      <c r="K733">
        <v>1</v>
      </c>
      <c r="L733" s="3">
        <v>7499</v>
      </c>
      <c r="M733">
        <v>10</v>
      </c>
      <c r="N733" s="3">
        <v>6750</v>
      </c>
      <c r="O733" s="3">
        <v>6750</v>
      </c>
      <c r="P733" t="s">
        <v>34</v>
      </c>
      <c r="Q733" t="s">
        <v>35</v>
      </c>
      <c r="R733" t="s">
        <v>36</v>
      </c>
      <c r="S733" t="s">
        <v>151</v>
      </c>
      <c r="T733" t="s">
        <v>506</v>
      </c>
      <c r="U733" t="s">
        <v>54</v>
      </c>
      <c r="V733" t="s">
        <v>315</v>
      </c>
      <c r="W733">
        <v>4.7</v>
      </c>
      <c r="X733" t="s">
        <v>41</v>
      </c>
      <c r="Y733" t="s">
        <v>42</v>
      </c>
      <c r="Z733">
        <v>2</v>
      </c>
    </row>
    <row r="734" spans="1:26">
      <c r="A734" t="s">
        <v>1534</v>
      </c>
      <c r="B734" t="s">
        <v>1535</v>
      </c>
      <c r="C734" t="s">
        <v>28</v>
      </c>
      <c r="D734" t="s">
        <v>29</v>
      </c>
      <c r="E734" s="1">
        <v>43994</v>
      </c>
      <c r="F734" t="s">
        <v>96</v>
      </c>
      <c r="G734" t="s">
        <v>228</v>
      </c>
      <c r="H734" t="s">
        <v>59</v>
      </c>
      <c r="I734">
        <v>10</v>
      </c>
      <c r="J734" t="s">
        <v>88</v>
      </c>
      <c r="K734">
        <v>1</v>
      </c>
      <c r="L734" s="3">
        <v>6499</v>
      </c>
      <c r="M734">
        <v>35</v>
      </c>
      <c r="N734" s="3">
        <v>4220</v>
      </c>
      <c r="O734" s="3">
        <v>4220</v>
      </c>
      <c r="P734" t="s">
        <v>74</v>
      </c>
      <c r="Q734" t="s">
        <v>51</v>
      </c>
      <c r="R734" t="s">
        <v>36</v>
      </c>
      <c r="S734" t="s">
        <v>122</v>
      </c>
      <c r="T734" t="s">
        <v>382</v>
      </c>
      <c r="U734" t="s">
        <v>61</v>
      </c>
      <c r="V734" t="s">
        <v>40</v>
      </c>
      <c r="W734">
        <v>4.5</v>
      </c>
      <c r="X734" t="s">
        <v>41</v>
      </c>
      <c r="Y734" t="s">
        <v>55</v>
      </c>
      <c r="Z734">
        <v>2</v>
      </c>
    </row>
    <row r="735" spans="1:26">
      <c r="A735" t="s">
        <v>1536</v>
      </c>
      <c r="B735" t="s">
        <v>1537</v>
      </c>
      <c r="C735" t="s">
        <v>45</v>
      </c>
      <c r="D735" t="s">
        <v>103</v>
      </c>
      <c r="E735" s="1">
        <v>43994</v>
      </c>
      <c r="F735" t="s">
        <v>96</v>
      </c>
      <c r="G735" t="s">
        <v>228</v>
      </c>
      <c r="H735" t="s">
        <v>59</v>
      </c>
      <c r="I735">
        <v>8</v>
      </c>
      <c r="J735" t="s">
        <v>33</v>
      </c>
      <c r="K735">
        <v>1</v>
      </c>
      <c r="L735" s="3">
        <v>6999</v>
      </c>
      <c r="M735">
        <v>10</v>
      </c>
      <c r="N735" s="3">
        <v>6300</v>
      </c>
      <c r="O735" s="3">
        <v>6300</v>
      </c>
      <c r="P735" t="s">
        <v>81</v>
      </c>
      <c r="Q735" t="s">
        <v>51</v>
      </c>
      <c r="R735" t="s">
        <v>36</v>
      </c>
      <c r="S735" t="s">
        <v>175</v>
      </c>
      <c r="T735" t="s">
        <v>176</v>
      </c>
      <c r="U735" t="s">
        <v>39</v>
      </c>
      <c r="V735" t="s">
        <v>40</v>
      </c>
      <c r="W735">
        <v>4.2</v>
      </c>
      <c r="X735" t="s">
        <v>62</v>
      </c>
      <c r="Y735" t="s">
        <v>42</v>
      </c>
      <c r="Z735">
        <v>3</v>
      </c>
    </row>
    <row r="736" spans="1:26">
      <c r="A736" t="s">
        <v>1538</v>
      </c>
      <c r="B736" t="s">
        <v>1516</v>
      </c>
      <c r="C736" t="s">
        <v>45</v>
      </c>
      <c r="D736" t="s">
        <v>29</v>
      </c>
      <c r="E736" s="1">
        <v>43994</v>
      </c>
      <c r="F736" t="s">
        <v>47</v>
      </c>
      <c r="G736" t="s">
        <v>48</v>
      </c>
      <c r="H736" t="s">
        <v>49</v>
      </c>
      <c r="I736">
        <v>10</v>
      </c>
      <c r="J736" t="s">
        <v>33</v>
      </c>
      <c r="K736">
        <v>1</v>
      </c>
      <c r="L736" s="3">
        <v>6999</v>
      </c>
      <c r="M736">
        <v>25</v>
      </c>
      <c r="N736" s="3">
        <v>5250</v>
      </c>
      <c r="O736" s="3">
        <v>5250</v>
      </c>
      <c r="P736" t="s">
        <v>81</v>
      </c>
      <c r="Q736" t="s">
        <v>35</v>
      </c>
      <c r="R736" t="s">
        <v>36</v>
      </c>
      <c r="S736" t="s">
        <v>112</v>
      </c>
      <c r="T736" t="s">
        <v>265</v>
      </c>
      <c r="U736" t="s">
        <v>124</v>
      </c>
      <c r="V736" t="s">
        <v>315</v>
      </c>
      <c r="W736">
        <v>4.3</v>
      </c>
      <c r="X736" t="s">
        <v>41</v>
      </c>
      <c r="Y736" t="s">
        <v>42</v>
      </c>
      <c r="Z736">
        <v>1</v>
      </c>
    </row>
    <row r="737" spans="1:26">
      <c r="A737" t="s">
        <v>1539</v>
      </c>
      <c r="B737" t="s">
        <v>1266</v>
      </c>
      <c r="C737" t="s">
        <v>45</v>
      </c>
      <c r="D737" t="s">
        <v>46</v>
      </c>
      <c r="E737" s="1">
        <v>43995</v>
      </c>
      <c r="F737" t="s">
        <v>86</v>
      </c>
      <c r="G737" t="s">
        <v>190</v>
      </c>
      <c r="H737" t="s">
        <v>128</v>
      </c>
      <c r="I737">
        <v>11</v>
      </c>
      <c r="J737" t="s">
        <v>98</v>
      </c>
      <c r="K737">
        <v>1</v>
      </c>
      <c r="L737" s="3">
        <v>7699</v>
      </c>
      <c r="M737">
        <v>15</v>
      </c>
      <c r="N737" s="3">
        <v>6540</v>
      </c>
      <c r="O737" s="3">
        <v>6540</v>
      </c>
      <c r="P737" t="s">
        <v>74</v>
      </c>
      <c r="Q737" t="s">
        <v>82</v>
      </c>
      <c r="R737" t="s">
        <v>36</v>
      </c>
      <c r="S737" t="s">
        <v>186</v>
      </c>
      <c r="T737" t="s">
        <v>341</v>
      </c>
      <c r="U737" t="s">
        <v>54</v>
      </c>
      <c r="V737" t="s">
        <v>315</v>
      </c>
      <c r="W737">
        <v>3.7</v>
      </c>
      <c r="X737" t="s">
        <v>41</v>
      </c>
      <c r="Y737" t="s">
        <v>55</v>
      </c>
      <c r="Z737">
        <v>1</v>
      </c>
    </row>
    <row r="738" spans="1:26">
      <c r="A738" t="s">
        <v>1540</v>
      </c>
      <c r="B738" t="s">
        <v>835</v>
      </c>
      <c r="C738" t="s">
        <v>28</v>
      </c>
      <c r="D738" t="s">
        <v>46</v>
      </c>
      <c r="E738" s="1">
        <v>43996</v>
      </c>
      <c r="F738" t="s">
        <v>86</v>
      </c>
      <c r="G738" t="s">
        <v>242</v>
      </c>
      <c r="H738" t="s">
        <v>32</v>
      </c>
      <c r="I738">
        <v>9</v>
      </c>
      <c r="J738" t="s">
        <v>33</v>
      </c>
      <c r="K738">
        <v>1</v>
      </c>
      <c r="L738" s="3">
        <v>9099</v>
      </c>
      <c r="M738">
        <v>30</v>
      </c>
      <c r="N738" s="3">
        <v>6370</v>
      </c>
      <c r="O738" s="3">
        <v>6370</v>
      </c>
      <c r="P738" t="s">
        <v>34</v>
      </c>
      <c r="Q738" t="s">
        <v>51</v>
      </c>
      <c r="R738" t="s">
        <v>36</v>
      </c>
      <c r="S738" t="s">
        <v>37</v>
      </c>
      <c r="T738" t="s">
        <v>509</v>
      </c>
      <c r="U738" t="s">
        <v>124</v>
      </c>
      <c r="V738" t="s">
        <v>315</v>
      </c>
      <c r="W738">
        <v>3.2</v>
      </c>
      <c r="X738" t="s">
        <v>106</v>
      </c>
      <c r="Y738" t="s">
        <v>55</v>
      </c>
      <c r="Z738">
        <v>2</v>
      </c>
    </row>
    <row r="739" spans="1:26">
      <c r="A739" t="s">
        <v>1541</v>
      </c>
      <c r="B739" t="s">
        <v>1109</v>
      </c>
      <c r="C739" t="s">
        <v>94</v>
      </c>
      <c r="D739" t="s">
        <v>29</v>
      </c>
      <c r="E739" s="1">
        <v>43998</v>
      </c>
      <c r="F739" t="s">
        <v>30</v>
      </c>
      <c r="G739" t="s">
        <v>31</v>
      </c>
      <c r="H739" t="s">
        <v>32</v>
      </c>
      <c r="I739">
        <v>9</v>
      </c>
      <c r="J739" t="s">
        <v>88</v>
      </c>
      <c r="K739">
        <v>1</v>
      </c>
      <c r="L739" s="3">
        <v>8799</v>
      </c>
      <c r="M739">
        <v>10</v>
      </c>
      <c r="N739" s="3">
        <v>7920</v>
      </c>
      <c r="O739" s="3">
        <v>7920</v>
      </c>
      <c r="P739" t="s">
        <v>74</v>
      </c>
      <c r="Q739" t="s">
        <v>35</v>
      </c>
      <c r="R739" t="s">
        <v>36</v>
      </c>
      <c r="S739" t="s">
        <v>151</v>
      </c>
      <c r="T739" t="s">
        <v>890</v>
      </c>
      <c r="U739" t="s">
        <v>54</v>
      </c>
      <c r="V739" t="s">
        <v>315</v>
      </c>
      <c r="W739">
        <v>3.6</v>
      </c>
      <c r="X739" t="s">
        <v>41</v>
      </c>
      <c r="Y739" t="s">
        <v>55</v>
      </c>
      <c r="Z739">
        <v>2</v>
      </c>
    </row>
    <row r="740" spans="1:26">
      <c r="A740" t="s">
        <v>1542</v>
      </c>
      <c r="B740" t="s">
        <v>167</v>
      </c>
      <c r="C740" t="s">
        <v>28</v>
      </c>
      <c r="D740" t="s">
        <v>103</v>
      </c>
      <c r="E740" s="1">
        <v>43999</v>
      </c>
      <c r="F740" t="s">
        <v>30</v>
      </c>
      <c r="G740" t="s">
        <v>31</v>
      </c>
      <c r="H740" t="s">
        <v>32</v>
      </c>
      <c r="I740">
        <v>11</v>
      </c>
      <c r="J740" t="s">
        <v>150</v>
      </c>
      <c r="K740">
        <v>1</v>
      </c>
      <c r="L740" s="3">
        <v>7299</v>
      </c>
      <c r="M740">
        <v>10</v>
      </c>
      <c r="N740" s="3">
        <v>6570</v>
      </c>
      <c r="O740" s="3">
        <v>6570</v>
      </c>
      <c r="P740" t="s">
        <v>34</v>
      </c>
      <c r="Q740" t="s">
        <v>51</v>
      </c>
      <c r="R740" t="s">
        <v>36</v>
      </c>
      <c r="S740" t="s">
        <v>418</v>
      </c>
      <c r="T740" t="s">
        <v>419</v>
      </c>
      <c r="U740" t="s">
        <v>39</v>
      </c>
      <c r="V740" t="s">
        <v>315</v>
      </c>
      <c r="W740">
        <v>3.3</v>
      </c>
      <c r="X740" t="s">
        <v>41</v>
      </c>
      <c r="Y740" t="s">
        <v>55</v>
      </c>
      <c r="Z740">
        <v>2</v>
      </c>
    </row>
    <row r="741" spans="1:26">
      <c r="A741" t="s">
        <v>1543</v>
      </c>
      <c r="B741" t="s">
        <v>1245</v>
      </c>
      <c r="C741" t="s">
        <v>28</v>
      </c>
      <c r="D741" t="s">
        <v>29</v>
      </c>
      <c r="E741" s="1">
        <v>44000</v>
      </c>
      <c r="F741" t="s">
        <v>79</v>
      </c>
      <c r="G741" t="s">
        <v>80</v>
      </c>
      <c r="H741" t="s">
        <v>59</v>
      </c>
      <c r="I741">
        <v>11</v>
      </c>
      <c r="J741" t="s">
        <v>67</v>
      </c>
      <c r="K741">
        <v>1</v>
      </c>
      <c r="L741" s="3">
        <v>4299</v>
      </c>
      <c r="M741">
        <v>0</v>
      </c>
      <c r="N741" s="3">
        <v>4300</v>
      </c>
      <c r="O741" s="3">
        <v>4300</v>
      </c>
      <c r="P741" t="s">
        <v>34</v>
      </c>
      <c r="Q741" t="s">
        <v>82</v>
      </c>
      <c r="R741" t="s">
        <v>36</v>
      </c>
      <c r="S741" t="s">
        <v>286</v>
      </c>
      <c r="T741" t="s">
        <v>768</v>
      </c>
      <c r="U741" t="s">
        <v>91</v>
      </c>
      <c r="V741" t="s">
        <v>315</v>
      </c>
      <c r="W741">
        <v>4.0999999999999996</v>
      </c>
      <c r="X741" t="s">
        <v>41</v>
      </c>
      <c r="Y741" t="s">
        <v>42</v>
      </c>
      <c r="Z741">
        <v>4</v>
      </c>
    </row>
    <row r="742" spans="1:26">
      <c r="A742" t="s">
        <v>1544</v>
      </c>
      <c r="B742" t="s">
        <v>1545</v>
      </c>
      <c r="C742" t="s">
        <v>45</v>
      </c>
      <c r="D742" t="s">
        <v>46</v>
      </c>
      <c r="E742" s="1">
        <v>44001</v>
      </c>
      <c r="F742" t="s">
        <v>65</v>
      </c>
      <c r="G742" t="s">
        <v>365</v>
      </c>
      <c r="H742" t="s">
        <v>49</v>
      </c>
      <c r="I742">
        <v>9</v>
      </c>
      <c r="J742" t="s">
        <v>33</v>
      </c>
      <c r="K742">
        <v>1</v>
      </c>
      <c r="L742" s="3">
        <v>7199</v>
      </c>
      <c r="M742">
        <v>10</v>
      </c>
      <c r="N742" s="3">
        <v>6480</v>
      </c>
      <c r="O742" s="3">
        <v>6480</v>
      </c>
      <c r="P742" t="s">
        <v>34</v>
      </c>
      <c r="Q742" t="s">
        <v>51</v>
      </c>
      <c r="R742" t="s">
        <v>36</v>
      </c>
      <c r="S742" t="s">
        <v>99</v>
      </c>
      <c r="T742" t="s">
        <v>229</v>
      </c>
      <c r="U742" t="s">
        <v>91</v>
      </c>
      <c r="V742" t="s">
        <v>40</v>
      </c>
      <c r="W742">
        <v>4.5999999999999996</v>
      </c>
      <c r="X742" t="s">
        <v>41</v>
      </c>
      <c r="Y742" t="s">
        <v>42</v>
      </c>
      <c r="Z742">
        <v>3</v>
      </c>
    </row>
    <row r="743" spans="1:26">
      <c r="A743" t="s">
        <v>1546</v>
      </c>
      <c r="B743" t="s">
        <v>1036</v>
      </c>
      <c r="C743" t="s">
        <v>28</v>
      </c>
      <c r="D743" t="s">
        <v>46</v>
      </c>
      <c r="E743" s="1">
        <v>44002</v>
      </c>
      <c r="F743" t="s">
        <v>65</v>
      </c>
      <c r="G743" t="s">
        <v>365</v>
      </c>
      <c r="H743" t="s">
        <v>49</v>
      </c>
      <c r="I743">
        <v>8</v>
      </c>
      <c r="J743" t="s">
        <v>98</v>
      </c>
      <c r="K743">
        <v>1</v>
      </c>
      <c r="L743" s="3">
        <v>3299</v>
      </c>
      <c r="M743">
        <v>30</v>
      </c>
      <c r="N743" s="3">
        <v>2310</v>
      </c>
      <c r="O743" s="3">
        <v>2310</v>
      </c>
      <c r="P743" t="s">
        <v>81</v>
      </c>
      <c r="Q743" t="s">
        <v>51</v>
      </c>
      <c r="R743" t="s">
        <v>36</v>
      </c>
      <c r="S743" t="s">
        <v>460</v>
      </c>
      <c r="T743" t="s">
        <v>461</v>
      </c>
      <c r="U743" t="s">
        <v>61</v>
      </c>
      <c r="V743" t="s">
        <v>315</v>
      </c>
      <c r="W743">
        <v>3.2</v>
      </c>
      <c r="X743" t="s">
        <v>41</v>
      </c>
      <c r="Y743" t="s">
        <v>147</v>
      </c>
      <c r="Z743">
        <v>1</v>
      </c>
    </row>
    <row r="744" spans="1:26">
      <c r="A744" t="s">
        <v>1547</v>
      </c>
      <c r="B744" t="s">
        <v>327</v>
      </c>
      <c r="C744" t="s">
        <v>94</v>
      </c>
      <c r="D744" t="s">
        <v>46</v>
      </c>
      <c r="E744" s="1">
        <v>44002</v>
      </c>
      <c r="F744" t="s">
        <v>65</v>
      </c>
      <c r="G744" t="s">
        <v>256</v>
      </c>
      <c r="H744" t="s">
        <v>32</v>
      </c>
      <c r="I744">
        <v>7</v>
      </c>
      <c r="J744" t="s">
        <v>67</v>
      </c>
      <c r="K744">
        <v>1</v>
      </c>
      <c r="L744" s="3">
        <v>7699</v>
      </c>
      <c r="M744">
        <v>25</v>
      </c>
      <c r="N744" s="3">
        <v>5770</v>
      </c>
      <c r="O744" s="3">
        <v>5770</v>
      </c>
      <c r="P744" t="s">
        <v>74</v>
      </c>
      <c r="Q744" t="s">
        <v>51</v>
      </c>
      <c r="R744" t="s">
        <v>36</v>
      </c>
      <c r="S744" t="s">
        <v>141</v>
      </c>
      <c r="T744" t="s">
        <v>728</v>
      </c>
      <c r="U744" t="s">
        <v>91</v>
      </c>
      <c r="V744" t="s">
        <v>315</v>
      </c>
      <c r="W744">
        <v>4.7</v>
      </c>
      <c r="X744" t="s">
        <v>41</v>
      </c>
      <c r="Y744" t="s">
        <v>55</v>
      </c>
      <c r="Z744">
        <v>2</v>
      </c>
    </row>
    <row r="745" spans="1:26">
      <c r="A745" t="s">
        <v>1548</v>
      </c>
      <c r="B745" t="s">
        <v>1431</v>
      </c>
      <c r="C745" t="s">
        <v>45</v>
      </c>
      <c r="D745" t="s">
        <v>103</v>
      </c>
      <c r="E745" s="1">
        <v>44004</v>
      </c>
      <c r="F745" t="s">
        <v>65</v>
      </c>
      <c r="G745" t="s">
        <v>66</v>
      </c>
      <c r="H745" t="s">
        <v>59</v>
      </c>
      <c r="I745">
        <v>10</v>
      </c>
      <c r="J745" t="s">
        <v>73</v>
      </c>
      <c r="K745">
        <v>1</v>
      </c>
      <c r="L745" s="3">
        <v>3899</v>
      </c>
      <c r="M745">
        <v>20</v>
      </c>
      <c r="N745" s="3">
        <v>3120</v>
      </c>
      <c r="O745" s="3">
        <v>3120</v>
      </c>
      <c r="P745" t="s">
        <v>74</v>
      </c>
      <c r="Q745" t="s">
        <v>35</v>
      </c>
      <c r="R745" t="s">
        <v>36</v>
      </c>
      <c r="S745" t="s">
        <v>99</v>
      </c>
      <c r="T745" t="s">
        <v>759</v>
      </c>
      <c r="U745" t="s">
        <v>39</v>
      </c>
      <c r="V745" t="s">
        <v>315</v>
      </c>
      <c r="W745">
        <v>3.5</v>
      </c>
      <c r="X745" t="s">
        <v>41</v>
      </c>
      <c r="Y745" t="s">
        <v>42</v>
      </c>
      <c r="Z745">
        <v>7</v>
      </c>
    </row>
    <row r="746" spans="1:26">
      <c r="A746" t="s">
        <v>1549</v>
      </c>
      <c r="B746" t="s">
        <v>1044</v>
      </c>
      <c r="C746" t="s">
        <v>28</v>
      </c>
      <c r="D746" t="s">
        <v>46</v>
      </c>
      <c r="E746" s="1">
        <v>44004</v>
      </c>
      <c r="F746" t="s">
        <v>96</v>
      </c>
      <c r="G746" t="s">
        <v>97</v>
      </c>
      <c r="H746" t="s">
        <v>49</v>
      </c>
      <c r="I746">
        <v>11</v>
      </c>
      <c r="J746" t="s">
        <v>67</v>
      </c>
      <c r="K746">
        <v>1</v>
      </c>
      <c r="L746" s="3">
        <v>6899</v>
      </c>
      <c r="M746">
        <v>20</v>
      </c>
      <c r="N746" s="3">
        <v>5520</v>
      </c>
      <c r="O746" s="3">
        <v>5520</v>
      </c>
      <c r="P746" t="s">
        <v>74</v>
      </c>
      <c r="Q746" t="s">
        <v>82</v>
      </c>
      <c r="R746" t="s">
        <v>36</v>
      </c>
      <c r="S746" t="s">
        <v>160</v>
      </c>
      <c r="T746" t="s">
        <v>160</v>
      </c>
      <c r="U746" t="s">
        <v>54</v>
      </c>
      <c r="V746" t="s">
        <v>315</v>
      </c>
      <c r="W746">
        <v>3.3</v>
      </c>
      <c r="X746" t="s">
        <v>41</v>
      </c>
      <c r="Y746" t="s">
        <v>147</v>
      </c>
      <c r="Z746">
        <v>1</v>
      </c>
    </row>
    <row r="747" spans="1:26">
      <c r="A747" t="s">
        <v>1550</v>
      </c>
      <c r="B747" t="s">
        <v>1551</v>
      </c>
      <c r="C747" t="s">
        <v>28</v>
      </c>
      <c r="D747" t="s">
        <v>46</v>
      </c>
      <c r="E747" s="1">
        <v>44006</v>
      </c>
      <c r="F747" t="s">
        <v>86</v>
      </c>
      <c r="G747" t="s">
        <v>242</v>
      </c>
      <c r="H747" t="s">
        <v>32</v>
      </c>
      <c r="I747">
        <v>10</v>
      </c>
      <c r="J747" t="s">
        <v>88</v>
      </c>
      <c r="K747">
        <v>1</v>
      </c>
      <c r="L747" s="3">
        <v>8099</v>
      </c>
      <c r="M747">
        <v>25</v>
      </c>
      <c r="N747" s="3">
        <v>6070</v>
      </c>
      <c r="O747" s="3">
        <v>6070</v>
      </c>
      <c r="P747" t="s">
        <v>74</v>
      </c>
      <c r="Q747" t="s">
        <v>51</v>
      </c>
      <c r="R747" t="s">
        <v>36</v>
      </c>
      <c r="S747" t="s">
        <v>52</v>
      </c>
      <c r="T747" t="s">
        <v>53</v>
      </c>
      <c r="U747" t="s">
        <v>61</v>
      </c>
      <c r="V747" t="s">
        <v>40</v>
      </c>
      <c r="W747">
        <v>4.4000000000000004</v>
      </c>
      <c r="X747" t="s">
        <v>41</v>
      </c>
      <c r="Y747" t="s">
        <v>42</v>
      </c>
      <c r="Z747">
        <v>3</v>
      </c>
    </row>
    <row r="748" spans="1:26">
      <c r="A748" t="s">
        <v>1552</v>
      </c>
      <c r="B748" t="s">
        <v>1553</v>
      </c>
      <c r="C748" t="s">
        <v>28</v>
      </c>
      <c r="D748" t="s">
        <v>46</v>
      </c>
      <c r="E748" s="1">
        <v>44007</v>
      </c>
      <c r="F748" t="s">
        <v>30</v>
      </c>
      <c r="G748" t="s">
        <v>145</v>
      </c>
      <c r="H748" t="s">
        <v>59</v>
      </c>
      <c r="I748">
        <v>10</v>
      </c>
      <c r="J748" t="s">
        <v>33</v>
      </c>
      <c r="K748">
        <v>1</v>
      </c>
      <c r="L748" s="3">
        <v>4199</v>
      </c>
      <c r="M748">
        <v>20</v>
      </c>
      <c r="N748" s="3">
        <v>3360</v>
      </c>
      <c r="O748" s="3">
        <v>3360</v>
      </c>
      <c r="P748" t="s">
        <v>34</v>
      </c>
      <c r="Q748" t="s">
        <v>51</v>
      </c>
      <c r="R748" t="s">
        <v>36</v>
      </c>
      <c r="S748" t="s">
        <v>195</v>
      </c>
      <c r="T748" t="s">
        <v>428</v>
      </c>
      <c r="U748" t="s">
        <v>61</v>
      </c>
      <c r="V748" t="s">
        <v>40</v>
      </c>
      <c r="W748">
        <v>3.2</v>
      </c>
      <c r="X748" t="s">
        <v>41</v>
      </c>
      <c r="Y748" t="s">
        <v>42</v>
      </c>
      <c r="Z748">
        <v>4</v>
      </c>
    </row>
    <row r="749" spans="1:26">
      <c r="A749" t="s">
        <v>1554</v>
      </c>
      <c r="B749" t="s">
        <v>1555</v>
      </c>
      <c r="C749" t="s">
        <v>94</v>
      </c>
      <c r="D749" t="s">
        <v>46</v>
      </c>
      <c r="E749" s="1">
        <v>44008</v>
      </c>
      <c r="F749" t="s">
        <v>65</v>
      </c>
      <c r="G749" t="s">
        <v>72</v>
      </c>
      <c r="H749" t="s">
        <v>59</v>
      </c>
      <c r="I749">
        <v>7</v>
      </c>
      <c r="J749" t="s">
        <v>150</v>
      </c>
      <c r="K749">
        <v>1</v>
      </c>
      <c r="L749" s="3">
        <v>7699</v>
      </c>
      <c r="M749">
        <v>25</v>
      </c>
      <c r="N749" s="3">
        <v>5770</v>
      </c>
      <c r="O749" s="3">
        <v>5770</v>
      </c>
      <c r="P749" t="s">
        <v>50</v>
      </c>
      <c r="Q749" t="s">
        <v>51</v>
      </c>
      <c r="R749" t="s">
        <v>36</v>
      </c>
      <c r="S749" t="s">
        <v>460</v>
      </c>
      <c r="T749" t="s">
        <v>525</v>
      </c>
      <c r="U749" t="s">
        <v>54</v>
      </c>
      <c r="V749" t="s">
        <v>40</v>
      </c>
      <c r="W749">
        <v>4.4000000000000004</v>
      </c>
      <c r="X749" t="s">
        <v>41</v>
      </c>
      <c r="Y749" t="s">
        <v>42</v>
      </c>
      <c r="Z749">
        <v>2</v>
      </c>
    </row>
    <row r="750" spans="1:26">
      <c r="A750" t="s">
        <v>1556</v>
      </c>
      <c r="B750" t="s">
        <v>1390</v>
      </c>
      <c r="C750" t="s">
        <v>45</v>
      </c>
      <c r="D750" t="s">
        <v>103</v>
      </c>
      <c r="E750" s="1">
        <v>44008</v>
      </c>
      <c r="F750" t="s">
        <v>79</v>
      </c>
      <c r="G750" t="s">
        <v>174</v>
      </c>
      <c r="H750" t="s">
        <v>32</v>
      </c>
      <c r="I750">
        <v>6</v>
      </c>
      <c r="J750" t="s">
        <v>98</v>
      </c>
      <c r="K750">
        <v>1</v>
      </c>
      <c r="L750" s="3">
        <v>7099</v>
      </c>
      <c r="M750">
        <v>15</v>
      </c>
      <c r="N750" s="3">
        <v>6030</v>
      </c>
      <c r="O750" s="3">
        <v>6030</v>
      </c>
      <c r="P750" t="s">
        <v>34</v>
      </c>
      <c r="Q750" t="s">
        <v>51</v>
      </c>
      <c r="R750" t="s">
        <v>36</v>
      </c>
      <c r="S750" t="s">
        <v>151</v>
      </c>
      <c r="T750" t="s">
        <v>506</v>
      </c>
      <c r="U750" t="s">
        <v>91</v>
      </c>
      <c r="V750" t="s">
        <v>315</v>
      </c>
      <c r="W750">
        <v>4.7</v>
      </c>
      <c r="X750" t="s">
        <v>41</v>
      </c>
      <c r="Y750" t="s">
        <v>42</v>
      </c>
      <c r="Z750">
        <v>5</v>
      </c>
    </row>
    <row r="751" spans="1:26">
      <c r="A751" t="s">
        <v>1557</v>
      </c>
      <c r="B751" t="s">
        <v>1558</v>
      </c>
      <c r="C751" t="s">
        <v>28</v>
      </c>
      <c r="D751" t="s">
        <v>95</v>
      </c>
      <c r="E751" s="1">
        <v>44010</v>
      </c>
      <c r="F751" t="s">
        <v>65</v>
      </c>
      <c r="G751" t="s">
        <v>365</v>
      </c>
      <c r="H751" t="s">
        <v>49</v>
      </c>
      <c r="I751">
        <v>8</v>
      </c>
      <c r="J751" t="s">
        <v>98</v>
      </c>
      <c r="K751">
        <v>2</v>
      </c>
      <c r="L751" s="3">
        <v>6399</v>
      </c>
      <c r="M751">
        <v>20</v>
      </c>
      <c r="N751" s="3">
        <v>5120</v>
      </c>
      <c r="O751" s="3">
        <v>10240</v>
      </c>
      <c r="P751" t="s">
        <v>74</v>
      </c>
      <c r="Q751" t="s">
        <v>51</v>
      </c>
      <c r="R751" t="s">
        <v>36</v>
      </c>
      <c r="S751" t="s">
        <v>136</v>
      </c>
      <c r="T751" t="s">
        <v>225</v>
      </c>
      <c r="U751" t="s">
        <v>61</v>
      </c>
      <c r="V751" t="s">
        <v>40</v>
      </c>
      <c r="W751">
        <v>3.7</v>
      </c>
      <c r="X751" t="s">
        <v>41</v>
      </c>
      <c r="Y751" t="s">
        <v>42</v>
      </c>
      <c r="Z751">
        <v>6</v>
      </c>
    </row>
    <row r="752" spans="1:26">
      <c r="A752" t="s">
        <v>1559</v>
      </c>
      <c r="B752" t="s">
        <v>1560</v>
      </c>
      <c r="C752" t="s">
        <v>94</v>
      </c>
      <c r="D752" t="s">
        <v>29</v>
      </c>
      <c r="E752" s="1">
        <v>44015</v>
      </c>
      <c r="F752" t="s">
        <v>79</v>
      </c>
      <c r="G752" t="s">
        <v>127</v>
      </c>
      <c r="H752" t="s">
        <v>128</v>
      </c>
      <c r="I752">
        <v>11</v>
      </c>
      <c r="J752" t="s">
        <v>33</v>
      </c>
      <c r="K752">
        <v>1</v>
      </c>
      <c r="L752" s="3">
        <v>4299</v>
      </c>
      <c r="M752">
        <v>10</v>
      </c>
      <c r="N752" s="3">
        <v>3870</v>
      </c>
      <c r="O752" s="3">
        <v>3870</v>
      </c>
      <c r="P752" t="s">
        <v>50</v>
      </c>
      <c r="Q752" t="s">
        <v>82</v>
      </c>
      <c r="R752" t="s">
        <v>36</v>
      </c>
      <c r="S752" t="s">
        <v>68</v>
      </c>
      <c r="T752" t="s">
        <v>811</v>
      </c>
      <c r="U752" t="s">
        <v>124</v>
      </c>
      <c r="V752" t="s">
        <v>40</v>
      </c>
      <c r="W752">
        <v>4.0999999999999996</v>
      </c>
      <c r="X752" t="s">
        <v>41</v>
      </c>
      <c r="Y752" t="s">
        <v>42</v>
      </c>
      <c r="Z752">
        <v>2</v>
      </c>
    </row>
    <row r="753" spans="1:26">
      <c r="A753" t="s">
        <v>1561</v>
      </c>
      <c r="B753" t="s">
        <v>1562</v>
      </c>
      <c r="C753" t="s">
        <v>28</v>
      </c>
      <c r="D753" t="s">
        <v>46</v>
      </c>
      <c r="E753" s="1">
        <v>44016</v>
      </c>
      <c r="F753" t="s">
        <v>30</v>
      </c>
      <c r="G753" t="s">
        <v>214</v>
      </c>
      <c r="H753" t="s">
        <v>128</v>
      </c>
      <c r="I753">
        <v>7</v>
      </c>
      <c r="J753" t="s">
        <v>33</v>
      </c>
      <c r="K753">
        <v>1</v>
      </c>
      <c r="L753" s="3">
        <v>3699</v>
      </c>
      <c r="M753">
        <v>20</v>
      </c>
      <c r="N753" s="3">
        <v>2960</v>
      </c>
      <c r="O753" s="3">
        <v>2960</v>
      </c>
      <c r="P753" t="s">
        <v>34</v>
      </c>
      <c r="Q753" t="s">
        <v>82</v>
      </c>
      <c r="R753" t="s">
        <v>36</v>
      </c>
      <c r="S753" t="s">
        <v>164</v>
      </c>
      <c r="T753" t="s">
        <v>165</v>
      </c>
      <c r="U753" t="s">
        <v>54</v>
      </c>
      <c r="V753" t="s">
        <v>40</v>
      </c>
      <c r="W753">
        <v>3.8</v>
      </c>
      <c r="X753" t="s">
        <v>41</v>
      </c>
      <c r="Y753" t="s">
        <v>42</v>
      </c>
      <c r="Z753">
        <v>6</v>
      </c>
    </row>
    <row r="754" spans="1:26">
      <c r="A754" t="s">
        <v>1563</v>
      </c>
      <c r="B754" t="s">
        <v>923</v>
      </c>
      <c r="C754" t="s">
        <v>45</v>
      </c>
      <c r="D754" t="s">
        <v>29</v>
      </c>
      <c r="E754" s="1">
        <v>44018</v>
      </c>
      <c r="F754" t="s">
        <v>65</v>
      </c>
      <c r="G754" t="s">
        <v>268</v>
      </c>
      <c r="H754" t="s">
        <v>128</v>
      </c>
      <c r="I754">
        <v>8</v>
      </c>
      <c r="J754" t="s">
        <v>98</v>
      </c>
      <c r="K754">
        <v>1</v>
      </c>
      <c r="L754" s="3">
        <v>8299</v>
      </c>
      <c r="M754">
        <v>20</v>
      </c>
      <c r="N754" s="3">
        <v>6640</v>
      </c>
      <c r="O754" s="3">
        <v>6640</v>
      </c>
      <c r="P754" t="s">
        <v>74</v>
      </c>
      <c r="Q754" t="s">
        <v>82</v>
      </c>
      <c r="R754" t="s">
        <v>36</v>
      </c>
      <c r="S754" t="s">
        <v>160</v>
      </c>
      <c r="T754" t="s">
        <v>160</v>
      </c>
      <c r="U754" t="s">
        <v>54</v>
      </c>
      <c r="V754" t="s">
        <v>315</v>
      </c>
      <c r="W754">
        <v>3.1</v>
      </c>
      <c r="X754" t="s">
        <v>41</v>
      </c>
      <c r="Y754" t="s">
        <v>55</v>
      </c>
      <c r="Z754">
        <v>1</v>
      </c>
    </row>
    <row r="755" spans="1:26">
      <c r="A755" t="s">
        <v>1564</v>
      </c>
      <c r="B755" t="s">
        <v>1565</v>
      </c>
      <c r="C755" t="s">
        <v>45</v>
      </c>
      <c r="D755" t="s">
        <v>46</v>
      </c>
      <c r="E755" s="1">
        <v>44018</v>
      </c>
      <c r="F755" t="s">
        <v>79</v>
      </c>
      <c r="G755" t="s">
        <v>480</v>
      </c>
      <c r="H755" t="s">
        <v>111</v>
      </c>
      <c r="I755">
        <v>9</v>
      </c>
      <c r="J755" t="s">
        <v>88</v>
      </c>
      <c r="K755">
        <v>2</v>
      </c>
      <c r="L755" s="3">
        <v>6699</v>
      </c>
      <c r="M755">
        <v>10</v>
      </c>
      <c r="N755" s="3">
        <v>6030</v>
      </c>
      <c r="O755" s="3">
        <v>12060</v>
      </c>
      <c r="P755" t="s">
        <v>74</v>
      </c>
      <c r="Q755" t="s">
        <v>51</v>
      </c>
      <c r="R755" t="s">
        <v>36</v>
      </c>
      <c r="S755" t="s">
        <v>418</v>
      </c>
      <c r="T755" t="s">
        <v>613</v>
      </c>
      <c r="U755" t="s">
        <v>54</v>
      </c>
      <c r="V755" t="s">
        <v>40</v>
      </c>
      <c r="W755">
        <v>4.8</v>
      </c>
      <c r="X755" t="s">
        <v>41</v>
      </c>
      <c r="Y755" t="s">
        <v>55</v>
      </c>
      <c r="Z755">
        <v>2</v>
      </c>
    </row>
    <row r="756" spans="1:26">
      <c r="A756" t="s">
        <v>1566</v>
      </c>
      <c r="B756" t="s">
        <v>897</v>
      </c>
      <c r="C756" t="s">
        <v>28</v>
      </c>
      <c r="D756" t="s">
        <v>46</v>
      </c>
      <c r="E756" s="1">
        <v>44019</v>
      </c>
      <c r="F756" t="s">
        <v>96</v>
      </c>
      <c r="G756" t="s">
        <v>228</v>
      </c>
      <c r="H756" t="s">
        <v>59</v>
      </c>
      <c r="I756">
        <v>8</v>
      </c>
      <c r="J756" t="s">
        <v>88</v>
      </c>
      <c r="K756">
        <v>1</v>
      </c>
      <c r="L756" s="3">
        <v>9899</v>
      </c>
      <c r="M756">
        <v>20</v>
      </c>
      <c r="N756" s="3">
        <v>7920</v>
      </c>
      <c r="O756" s="3">
        <v>7920</v>
      </c>
      <c r="P756" t="s">
        <v>50</v>
      </c>
      <c r="Q756" t="s">
        <v>51</v>
      </c>
      <c r="R756" t="s">
        <v>36</v>
      </c>
      <c r="S756" t="s">
        <v>182</v>
      </c>
      <c r="T756" t="s">
        <v>183</v>
      </c>
      <c r="U756" t="s">
        <v>61</v>
      </c>
      <c r="V756" t="s">
        <v>315</v>
      </c>
      <c r="W756">
        <v>3.9</v>
      </c>
      <c r="X756" t="s">
        <v>41</v>
      </c>
      <c r="Y756" t="s">
        <v>55</v>
      </c>
      <c r="Z756">
        <v>2</v>
      </c>
    </row>
    <row r="757" spans="1:26">
      <c r="A757" t="s">
        <v>1567</v>
      </c>
      <c r="B757" t="s">
        <v>935</v>
      </c>
      <c r="C757" t="s">
        <v>45</v>
      </c>
      <c r="D757" t="s">
        <v>95</v>
      </c>
      <c r="E757" s="1">
        <v>44020</v>
      </c>
      <c r="F757" t="s">
        <v>86</v>
      </c>
      <c r="G757" t="s">
        <v>87</v>
      </c>
      <c r="H757" t="s">
        <v>59</v>
      </c>
      <c r="I757">
        <v>8</v>
      </c>
      <c r="J757" t="s">
        <v>88</v>
      </c>
      <c r="K757">
        <v>1</v>
      </c>
      <c r="L757" s="3">
        <v>9299</v>
      </c>
      <c r="M757">
        <v>10</v>
      </c>
      <c r="N757" s="3">
        <v>8370</v>
      </c>
      <c r="O757" s="3">
        <v>8370</v>
      </c>
      <c r="P757" t="s">
        <v>34</v>
      </c>
      <c r="Q757" t="s">
        <v>35</v>
      </c>
      <c r="R757" t="s">
        <v>36</v>
      </c>
      <c r="S757" t="s">
        <v>338</v>
      </c>
      <c r="T757" t="s">
        <v>394</v>
      </c>
      <c r="U757" t="s">
        <v>39</v>
      </c>
      <c r="V757" t="s">
        <v>315</v>
      </c>
      <c r="W757">
        <v>3.4</v>
      </c>
      <c r="X757" t="s">
        <v>41</v>
      </c>
      <c r="Y757" t="s">
        <v>42</v>
      </c>
      <c r="Z757">
        <v>5</v>
      </c>
    </row>
    <row r="758" spans="1:26">
      <c r="A758" t="s">
        <v>1568</v>
      </c>
      <c r="B758" t="s">
        <v>1569</v>
      </c>
      <c r="C758" t="s">
        <v>45</v>
      </c>
      <c r="D758" t="s">
        <v>46</v>
      </c>
      <c r="E758" s="1">
        <v>44022</v>
      </c>
      <c r="F758" t="s">
        <v>65</v>
      </c>
      <c r="G758" t="s">
        <v>256</v>
      </c>
      <c r="H758" t="s">
        <v>32</v>
      </c>
      <c r="I758">
        <v>6</v>
      </c>
      <c r="J758" t="s">
        <v>67</v>
      </c>
      <c r="K758">
        <v>1</v>
      </c>
      <c r="L758" s="3">
        <v>6299</v>
      </c>
      <c r="M758">
        <v>5</v>
      </c>
      <c r="N758" s="3">
        <v>5980</v>
      </c>
      <c r="O758" s="3">
        <v>5980</v>
      </c>
      <c r="P758" t="s">
        <v>81</v>
      </c>
      <c r="Q758" t="s">
        <v>82</v>
      </c>
      <c r="R758" t="s">
        <v>36</v>
      </c>
      <c r="S758" t="s">
        <v>151</v>
      </c>
      <c r="T758" t="s">
        <v>506</v>
      </c>
      <c r="U758" t="s">
        <v>54</v>
      </c>
      <c r="V758" t="s">
        <v>40</v>
      </c>
      <c r="W758">
        <v>3.6</v>
      </c>
      <c r="X758" t="s">
        <v>41</v>
      </c>
      <c r="Y758" t="s">
        <v>55</v>
      </c>
      <c r="Z758">
        <v>2</v>
      </c>
    </row>
    <row r="759" spans="1:26">
      <c r="A759" t="s">
        <v>1570</v>
      </c>
      <c r="B759" t="s">
        <v>935</v>
      </c>
      <c r="C759" t="s">
        <v>45</v>
      </c>
      <c r="D759" t="s">
        <v>109</v>
      </c>
      <c r="E759" s="1">
        <v>44024</v>
      </c>
      <c r="F759" t="s">
        <v>47</v>
      </c>
      <c r="G759" t="s">
        <v>48</v>
      </c>
      <c r="H759" t="s">
        <v>49</v>
      </c>
      <c r="I759">
        <v>8</v>
      </c>
      <c r="J759" t="s">
        <v>67</v>
      </c>
      <c r="K759">
        <v>1</v>
      </c>
      <c r="L759" s="3">
        <v>7699</v>
      </c>
      <c r="M759">
        <v>10</v>
      </c>
      <c r="N759" s="3">
        <v>6930</v>
      </c>
      <c r="O759" s="3">
        <v>6930</v>
      </c>
      <c r="P759" t="s">
        <v>34</v>
      </c>
      <c r="Q759" t="s">
        <v>82</v>
      </c>
      <c r="R759" t="s">
        <v>36</v>
      </c>
      <c r="S759" t="s">
        <v>186</v>
      </c>
      <c r="T759" t="s">
        <v>222</v>
      </c>
      <c r="U759" t="s">
        <v>54</v>
      </c>
      <c r="V759" t="s">
        <v>969</v>
      </c>
      <c r="W759">
        <v>2.5</v>
      </c>
      <c r="X759" t="s">
        <v>41</v>
      </c>
      <c r="Y759" t="s">
        <v>42</v>
      </c>
      <c r="Z759">
        <v>4</v>
      </c>
    </row>
    <row r="760" spans="1:26">
      <c r="A760" t="s">
        <v>1571</v>
      </c>
      <c r="B760" t="s">
        <v>1572</v>
      </c>
      <c r="C760" t="s">
        <v>28</v>
      </c>
      <c r="D760" t="s">
        <v>46</v>
      </c>
      <c r="E760" s="1">
        <v>44024</v>
      </c>
      <c r="F760" t="s">
        <v>86</v>
      </c>
      <c r="G760" t="s">
        <v>312</v>
      </c>
      <c r="H760" t="s">
        <v>59</v>
      </c>
      <c r="I760">
        <v>10</v>
      </c>
      <c r="J760" t="s">
        <v>67</v>
      </c>
      <c r="K760">
        <v>1</v>
      </c>
      <c r="L760" s="3">
        <v>6499</v>
      </c>
      <c r="M760">
        <v>20</v>
      </c>
      <c r="N760" s="3">
        <v>5200</v>
      </c>
      <c r="O760" s="3">
        <v>5200</v>
      </c>
      <c r="P760" t="s">
        <v>34</v>
      </c>
      <c r="Q760" t="s">
        <v>82</v>
      </c>
      <c r="R760" t="s">
        <v>36</v>
      </c>
      <c r="S760" t="s">
        <v>186</v>
      </c>
      <c r="T760" t="s">
        <v>187</v>
      </c>
      <c r="U760" t="s">
        <v>91</v>
      </c>
      <c r="V760" t="s">
        <v>40</v>
      </c>
      <c r="W760">
        <v>3.7</v>
      </c>
      <c r="X760" t="s">
        <v>41</v>
      </c>
      <c r="Y760" t="s">
        <v>42</v>
      </c>
      <c r="Z760">
        <v>3</v>
      </c>
    </row>
    <row r="761" spans="1:26">
      <c r="A761" t="s">
        <v>1573</v>
      </c>
      <c r="B761" t="s">
        <v>1574</v>
      </c>
      <c r="C761" t="s">
        <v>45</v>
      </c>
      <c r="D761" t="s">
        <v>29</v>
      </c>
      <c r="E761" s="1">
        <v>44026</v>
      </c>
      <c r="F761" t="s">
        <v>79</v>
      </c>
      <c r="G761" t="s">
        <v>517</v>
      </c>
      <c r="H761" t="s">
        <v>59</v>
      </c>
      <c r="I761">
        <v>8</v>
      </c>
      <c r="J761" t="s">
        <v>73</v>
      </c>
      <c r="K761">
        <v>3</v>
      </c>
      <c r="L761" s="3">
        <v>8299</v>
      </c>
      <c r="M761">
        <v>30</v>
      </c>
      <c r="N761" s="3">
        <v>5810</v>
      </c>
      <c r="O761" s="3">
        <v>17430</v>
      </c>
      <c r="P761" t="s">
        <v>34</v>
      </c>
      <c r="Q761" t="s">
        <v>35</v>
      </c>
      <c r="R761" t="s">
        <v>36</v>
      </c>
      <c r="S761" t="s">
        <v>52</v>
      </c>
      <c r="T761" t="s">
        <v>53</v>
      </c>
      <c r="U761" t="s">
        <v>124</v>
      </c>
      <c r="V761" t="s">
        <v>40</v>
      </c>
      <c r="W761">
        <v>4</v>
      </c>
      <c r="X761" t="s">
        <v>106</v>
      </c>
      <c r="Y761" t="s">
        <v>42</v>
      </c>
      <c r="Z761">
        <v>3</v>
      </c>
    </row>
    <row r="762" spans="1:26">
      <c r="A762" t="s">
        <v>1575</v>
      </c>
      <c r="B762" t="s">
        <v>1576</v>
      </c>
      <c r="C762" t="s">
        <v>28</v>
      </c>
      <c r="D762" t="s">
        <v>29</v>
      </c>
      <c r="E762" s="1">
        <v>44027</v>
      </c>
      <c r="F762" t="s">
        <v>86</v>
      </c>
      <c r="G762" t="s">
        <v>190</v>
      </c>
      <c r="H762" t="s">
        <v>128</v>
      </c>
      <c r="I762">
        <v>7</v>
      </c>
      <c r="J762" t="s">
        <v>150</v>
      </c>
      <c r="K762">
        <v>1</v>
      </c>
      <c r="L762" s="3">
        <v>8999</v>
      </c>
      <c r="M762">
        <v>15</v>
      </c>
      <c r="N762" s="3">
        <v>7650</v>
      </c>
      <c r="O762" s="3">
        <v>7650</v>
      </c>
      <c r="P762" t="s">
        <v>81</v>
      </c>
      <c r="Q762" t="s">
        <v>51</v>
      </c>
      <c r="R762" t="s">
        <v>36</v>
      </c>
      <c r="S762" t="s">
        <v>68</v>
      </c>
      <c r="T762" t="s">
        <v>400</v>
      </c>
      <c r="U762" t="s">
        <v>54</v>
      </c>
      <c r="V762" t="s">
        <v>40</v>
      </c>
      <c r="W762">
        <v>4.8</v>
      </c>
      <c r="X762" t="s">
        <v>41</v>
      </c>
      <c r="Y762" t="s">
        <v>55</v>
      </c>
      <c r="Z762">
        <v>2</v>
      </c>
    </row>
    <row r="763" spans="1:26">
      <c r="A763" t="s">
        <v>1577</v>
      </c>
      <c r="B763" t="s">
        <v>1336</v>
      </c>
      <c r="C763" t="s">
        <v>94</v>
      </c>
      <c r="D763" t="s">
        <v>29</v>
      </c>
      <c r="E763" s="1">
        <v>44032</v>
      </c>
      <c r="F763" t="s">
        <v>30</v>
      </c>
      <c r="G763" t="s">
        <v>31</v>
      </c>
      <c r="H763" t="s">
        <v>32</v>
      </c>
      <c r="I763">
        <v>8</v>
      </c>
      <c r="J763" t="s">
        <v>67</v>
      </c>
      <c r="K763">
        <v>3</v>
      </c>
      <c r="L763" s="3">
        <v>9399</v>
      </c>
      <c r="M763">
        <v>15</v>
      </c>
      <c r="N763" s="3">
        <v>7990</v>
      </c>
      <c r="O763" s="3">
        <v>23970</v>
      </c>
      <c r="P763" t="s">
        <v>34</v>
      </c>
      <c r="Q763" t="s">
        <v>82</v>
      </c>
      <c r="R763" t="s">
        <v>36</v>
      </c>
      <c r="S763" t="s">
        <v>195</v>
      </c>
      <c r="T763" t="s">
        <v>215</v>
      </c>
      <c r="U763" t="s">
        <v>61</v>
      </c>
      <c r="V763" t="s">
        <v>315</v>
      </c>
      <c r="W763">
        <v>4.2</v>
      </c>
      <c r="X763" t="s">
        <v>41</v>
      </c>
      <c r="Y763" t="s">
        <v>55</v>
      </c>
      <c r="Z763">
        <v>2</v>
      </c>
    </row>
    <row r="764" spans="1:26">
      <c r="A764" t="s">
        <v>1578</v>
      </c>
      <c r="B764" t="s">
        <v>159</v>
      </c>
      <c r="C764" t="s">
        <v>45</v>
      </c>
      <c r="D764" t="s">
        <v>95</v>
      </c>
      <c r="E764" s="1">
        <v>44032</v>
      </c>
      <c r="F764" t="s">
        <v>96</v>
      </c>
      <c r="G764" t="s">
        <v>171</v>
      </c>
      <c r="H764" t="s">
        <v>128</v>
      </c>
      <c r="I764">
        <v>11</v>
      </c>
      <c r="J764" t="s">
        <v>73</v>
      </c>
      <c r="K764">
        <v>1</v>
      </c>
      <c r="L764" s="3">
        <v>8399</v>
      </c>
      <c r="M764">
        <v>15</v>
      </c>
      <c r="N764" s="3">
        <v>7140</v>
      </c>
      <c r="O764" s="3">
        <v>7140</v>
      </c>
      <c r="P764" t="s">
        <v>74</v>
      </c>
      <c r="Q764" t="s">
        <v>82</v>
      </c>
      <c r="R764" t="s">
        <v>36</v>
      </c>
      <c r="S764" t="s">
        <v>418</v>
      </c>
      <c r="T764" t="s">
        <v>419</v>
      </c>
      <c r="U764" t="s">
        <v>61</v>
      </c>
      <c r="V764" t="s">
        <v>315</v>
      </c>
      <c r="W764">
        <v>4.3</v>
      </c>
      <c r="X764" t="s">
        <v>41</v>
      </c>
      <c r="Y764" t="s">
        <v>42</v>
      </c>
      <c r="Z764">
        <v>1</v>
      </c>
    </row>
    <row r="765" spans="1:26">
      <c r="A765" t="s">
        <v>1579</v>
      </c>
      <c r="B765" t="s">
        <v>1580</v>
      </c>
      <c r="C765" t="s">
        <v>28</v>
      </c>
      <c r="D765" t="s">
        <v>46</v>
      </c>
      <c r="E765" s="1">
        <v>44033</v>
      </c>
      <c r="F765" t="s">
        <v>79</v>
      </c>
      <c r="G765" t="s">
        <v>480</v>
      </c>
      <c r="H765" t="s">
        <v>111</v>
      </c>
      <c r="I765">
        <v>7</v>
      </c>
      <c r="J765" t="s">
        <v>67</v>
      </c>
      <c r="K765">
        <v>1</v>
      </c>
      <c r="L765" s="3">
        <v>8299</v>
      </c>
      <c r="M765">
        <v>25</v>
      </c>
      <c r="N765" s="3">
        <v>6220</v>
      </c>
      <c r="O765" s="3">
        <v>6220</v>
      </c>
      <c r="P765" t="s">
        <v>74</v>
      </c>
      <c r="Q765" t="s">
        <v>35</v>
      </c>
      <c r="R765" t="s">
        <v>36</v>
      </c>
      <c r="S765" t="s">
        <v>460</v>
      </c>
      <c r="T765" t="s">
        <v>461</v>
      </c>
      <c r="U765" t="s">
        <v>54</v>
      </c>
      <c r="V765" t="s">
        <v>40</v>
      </c>
      <c r="W765">
        <v>4.5999999999999996</v>
      </c>
      <c r="X765" t="s">
        <v>41</v>
      </c>
      <c r="Y765" t="s">
        <v>55</v>
      </c>
      <c r="Z765">
        <v>2</v>
      </c>
    </row>
    <row r="766" spans="1:26">
      <c r="A766" t="s">
        <v>1581</v>
      </c>
      <c r="B766" t="s">
        <v>1582</v>
      </c>
      <c r="C766" t="s">
        <v>28</v>
      </c>
      <c r="D766" t="s">
        <v>46</v>
      </c>
      <c r="E766" s="1">
        <v>44034</v>
      </c>
      <c r="F766" t="s">
        <v>86</v>
      </c>
      <c r="G766" t="s">
        <v>87</v>
      </c>
      <c r="H766" t="s">
        <v>59</v>
      </c>
      <c r="I766">
        <v>11</v>
      </c>
      <c r="J766" t="s">
        <v>73</v>
      </c>
      <c r="K766">
        <v>1</v>
      </c>
      <c r="L766" s="3">
        <v>8199</v>
      </c>
      <c r="M766">
        <v>35</v>
      </c>
      <c r="N766" s="3">
        <v>5330</v>
      </c>
      <c r="O766" s="3">
        <v>5330</v>
      </c>
      <c r="P766" t="s">
        <v>74</v>
      </c>
      <c r="Q766" t="s">
        <v>82</v>
      </c>
      <c r="R766" t="s">
        <v>36</v>
      </c>
      <c r="S766" t="s">
        <v>156</v>
      </c>
      <c r="T766" t="s">
        <v>257</v>
      </c>
      <c r="U766" t="s">
        <v>124</v>
      </c>
      <c r="V766" t="s">
        <v>40</v>
      </c>
      <c r="W766">
        <v>4.7</v>
      </c>
      <c r="X766" t="s">
        <v>106</v>
      </c>
      <c r="Y766" t="s">
        <v>42</v>
      </c>
      <c r="Z766">
        <v>3</v>
      </c>
    </row>
    <row r="767" spans="1:26">
      <c r="A767" t="s">
        <v>1583</v>
      </c>
      <c r="B767" t="s">
        <v>921</v>
      </c>
      <c r="C767" t="s">
        <v>28</v>
      </c>
      <c r="D767" t="s">
        <v>46</v>
      </c>
      <c r="E767" s="1">
        <v>44035</v>
      </c>
      <c r="F767" t="s">
        <v>65</v>
      </c>
      <c r="G767" t="s">
        <v>72</v>
      </c>
      <c r="H767" t="s">
        <v>59</v>
      </c>
      <c r="I767">
        <v>9</v>
      </c>
      <c r="J767" t="s">
        <v>33</v>
      </c>
      <c r="K767">
        <v>3</v>
      </c>
      <c r="L767" s="3">
        <v>5899</v>
      </c>
      <c r="M767">
        <v>15</v>
      </c>
      <c r="N767" s="3">
        <v>5010</v>
      </c>
      <c r="O767" s="3">
        <v>15030</v>
      </c>
      <c r="P767" t="s">
        <v>34</v>
      </c>
      <c r="Q767" t="s">
        <v>82</v>
      </c>
      <c r="R767" t="s">
        <v>36</v>
      </c>
      <c r="S767" t="s">
        <v>89</v>
      </c>
      <c r="T767" t="s">
        <v>90</v>
      </c>
      <c r="U767" t="s">
        <v>54</v>
      </c>
      <c r="V767" t="s">
        <v>315</v>
      </c>
      <c r="W767">
        <v>5</v>
      </c>
      <c r="X767" t="s">
        <v>41</v>
      </c>
      <c r="Y767" t="s">
        <v>55</v>
      </c>
      <c r="Z767">
        <v>2</v>
      </c>
    </row>
    <row r="768" spans="1:26">
      <c r="A768" t="s">
        <v>1584</v>
      </c>
      <c r="B768" t="s">
        <v>1585</v>
      </c>
      <c r="C768" t="s">
        <v>45</v>
      </c>
      <c r="D768" t="s">
        <v>29</v>
      </c>
      <c r="E768" s="1">
        <v>44035</v>
      </c>
      <c r="F768" t="s">
        <v>96</v>
      </c>
      <c r="G768" t="s">
        <v>171</v>
      </c>
      <c r="H768" t="s">
        <v>128</v>
      </c>
      <c r="I768">
        <v>10</v>
      </c>
      <c r="J768" t="s">
        <v>150</v>
      </c>
      <c r="K768">
        <v>2</v>
      </c>
      <c r="L768" s="3">
        <v>3899</v>
      </c>
      <c r="M768">
        <v>20</v>
      </c>
      <c r="N768" s="3">
        <v>3120</v>
      </c>
      <c r="O768" s="3">
        <v>6240</v>
      </c>
      <c r="P768" t="s">
        <v>74</v>
      </c>
      <c r="Q768" t="s">
        <v>51</v>
      </c>
      <c r="R768" t="s">
        <v>36</v>
      </c>
      <c r="S768" t="s">
        <v>68</v>
      </c>
      <c r="T768" t="s">
        <v>811</v>
      </c>
      <c r="U768" t="s">
        <v>61</v>
      </c>
      <c r="V768" t="s">
        <v>40</v>
      </c>
      <c r="W768">
        <v>3.2</v>
      </c>
      <c r="X768" t="s">
        <v>41</v>
      </c>
      <c r="Y768" t="s">
        <v>42</v>
      </c>
      <c r="Z768">
        <v>2</v>
      </c>
    </row>
    <row r="769" spans="1:26">
      <c r="A769" t="s">
        <v>1586</v>
      </c>
      <c r="B769" t="s">
        <v>1587</v>
      </c>
      <c r="C769" t="s">
        <v>28</v>
      </c>
      <c r="D769" t="s">
        <v>46</v>
      </c>
      <c r="E769" s="1">
        <v>44037</v>
      </c>
      <c r="F769" t="s">
        <v>30</v>
      </c>
      <c r="G769" t="s">
        <v>145</v>
      </c>
      <c r="H769" t="s">
        <v>59</v>
      </c>
      <c r="I769">
        <v>12</v>
      </c>
      <c r="J769" t="s">
        <v>67</v>
      </c>
      <c r="K769">
        <v>1</v>
      </c>
      <c r="L769" s="3">
        <v>5699</v>
      </c>
      <c r="M769">
        <v>20</v>
      </c>
      <c r="N769" s="3">
        <v>4560</v>
      </c>
      <c r="O769" s="3">
        <v>4560</v>
      </c>
      <c r="P769" t="s">
        <v>74</v>
      </c>
      <c r="Q769" t="s">
        <v>35</v>
      </c>
      <c r="R769" t="s">
        <v>36</v>
      </c>
      <c r="S769" t="s">
        <v>164</v>
      </c>
      <c r="T769" t="s">
        <v>314</v>
      </c>
      <c r="U769" t="s">
        <v>61</v>
      </c>
      <c r="V769" t="s">
        <v>40</v>
      </c>
      <c r="W769">
        <v>4</v>
      </c>
      <c r="X769" t="s">
        <v>106</v>
      </c>
      <c r="Y769" t="s">
        <v>42</v>
      </c>
      <c r="Z769">
        <v>4</v>
      </c>
    </row>
    <row r="770" spans="1:26">
      <c r="A770" t="s">
        <v>1588</v>
      </c>
      <c r="B770" t="s">
        <v>1589</v>
      </c>
      <c r="C770" t="s">
        <v>45</v>
      </c>
      <c r="D770" t="s">
        <v>103</v>
      </c>
      <c r="E770" s="1">
        <v>44040</v>
      </c>
      <c r="F770" t="s">
        <v>47</v>
      </c>
      <c r="G770" t="s">
        <v>48</v>
      </c>
      <c r="H770" t="s">
        <v>49</v>
      </c>
      <c r="I770">
        <v>8</v>
      </c>
      <c r="J770" t="s">
        <v>98</v>
      </c>
      <c r="K770">
        <v>1</v>
      </c>
      <c r="L770" s="3">
        <v>5199</v>
      </c>
      <c r="M770">
        <v>10</v>
      </c>
      <c r="N770" s="3">
        <v>4680</v>
      </c>
      <c r="O770" s="3">
        <v>4680</v>
      </c>
      <c r="P770" t="s">
        <v>74</v>
      </c>
      <c r="Q770" t="s">
        <v>35</v>
      </c>
      <c r="R770" t="s">
        <v>36</v>
      </c>
      <c r="S770" t="s">
        <v>269</v>
      </c>
      <c r="T770" t="s">
        <v>270</v>
      </c>
      <c r="U770" t="s">
        <v>54</v>
      </c>
      <c r="V770" t="s">
        <v>40</v>
      </c>
      <c r="W770">
        <v>5</v>
      </c>
      <c r="X770" t="s">
        <v>41</v>
      </c>
      <c r="Y770" t="s">
        <v>42</v>
      </c>
      <c r="Z770">
        <v>3</v>
      </c>
    </row>
    <row r="771" spans="1:26">
      <c r="A771" t="s">
        <v>1590</v>
      </c>
      <c r="B771" t="s">
        <v>1591</v>
      </c>
      <c r="C771" t="s">
        <v>45</v>
      </c>
      <c r="D771" t="s">
        <v>95</v>
      </c>
      <c r="E771" s="1">
        <v>44046</v>
      </c>
      <c r="F771" t="s">
        <v>47</v>
      </c>
      <c r="G771" t="s">
        <v>48</v>
      </c>
      <c r="H771" t="s">
        <v>49</v>
      </c>
      <c r="I771">
        <v>11</v>
      </c>
      <c r="J771" t="s">
        <v>33</v>
      </c>
      <c r="K771">
        <v>1</v>
      </c>
      <c r="L771" s="3">
        <v>5499</v>
      </c>
      <c r="M771">
        <v>10</v>
      </c>
      <c r="N771" s="3">
        <v>4950</v>
      </c>
      <c r="O771" s="3">
        <v>4950</v>
      </c>
      <c r="P771" t="s">
        <v>34</v>
      </c>
      <c r="Q771" t="s">
        <v>51</v>
      </c>
      <c r="R771" t="s">
        <v>36</v>
      </c>
      <c r="S771" t="s">
        <v>210</v>
      </c>
      <c r="T771" t="s">
        <v>211</v>
      </c>
      <c r="U771" t="s">
        <v>54</v>
      </c>
      <c r="V771" t="s">
        <v>40</v>
      </c>
      <c r="W771">
        <v>4.5999999999999996</v>
      </c>
      <c r="X771" t="s">
        <v>41</v>
      </c>
      <c r="Y771" t="s">
        <v>42</v>
      </c>
      <c r="Z771">
        <v>6</v>
      </c>
    </row>
    <row r="772" spans="1:26">
      <c r="A772" t="s">
        <v>1592</v>
      </c>
      <c r="B772" t="s">
        <v>1593</v>
      </c>
      <c r="C772" t="s">
        <v>45</v>
      </c>
      <c r="D772" t="s">
        <v>103</v>
      </c>
      <c r="E772" s="1">
        <v>44046</v>
      </c>
      <c r="F772" t="s">
        <v>86</v>
      </c>
      <c r="G772" t="s">
        <v>190</v>
      </c>
      <c r="H772" t="s">
        <v>128</v>
      </c>
      <c r="I772">
        <v>11</v>
      </c>
      <c r="J772" t="s">
        <v>67</v>
      </c>
      <c r="K772">
        <v>1</v>
      </c>
      <c r="L772" s="3">
        <v>4199</v>
      </c>
      <c r="M772">
        <v>20</v>
      </c>
      <c r="N772" s="3">
        <v>3360</v>
      </c>
      <c r="O772" s="3">
        <v>3360</v>
      </c>
      <c r="P772" t="s">
        <v>81</v>
      </c>
      <c r="Q772" t="s">
        <v>35</v>
      </c>
      <c r="R772" t="s">
        <v>36</v>
      </c>
      <c r="S772" t="s">
        <v>195</v>
      </c>
      <c r="T772" t="s">
        <v>196</v>
      </c>
      <c r="U772" t="s">
        <v>54</v>
      </c>
      <c r="V772" t="s">
        <v>40</v>
      </c>
      <c r="W772">
        <v>4.8</v>
      </c>
      <c r="X772" t="s">
        <v>41</v>
      </c>
      <c r="Y772" t="s">
        <v>42</v>
      </c>
      <c r="Z772">
        <v>4</v>
      </c>
    </row>
    <row r="773" spans="1:26">
      <c r="A773" t="s">
        <v>1594</v>
      </c>
      <c r="B773" t="s">
        <v>1595</v>
      </c>
      <c r="C773" t="s">
        <v>45</v>
      </c>
      <c r="D773" t="s">
        <v>46</v>
      </c>
      <c r="E773" s="1">
        <v>44046</v>
      </c>
      <c r="F773" t="s">
        <v>65</v>
      </c>
      <c r="G773" t="s">
        <v>256</v>
      </c>
      <c r="H773" t="s">
        <v>32</v>
      </c>
      <c r="I773">
        <v>9</v>
      </c>
      <c r="J773" t="s">
        <v>67</v>
      </c>
      <c r="K773">
        <v>1</v>
      </c>
      <c r="L773" s="3">
        <v>4699</v>
      </c>
      <c r="M773">
        <v>20</v>
      </c>
      <c r="N773" s="3">
        <v>3760</v>
      </c>
      <c r="O773" s="3">
        <v>3760</v>
      </c>
      <c r="P773" t="s">
        <v>74</v>
      </c>
      <c r="Q773" t="s">
        <v>51</v>
      </c>
      <c r="R773" t="s">
        <v>36</v>
      </c>
      <c r="S773" t="s">
        <v>384</v>
      </c>
      <c r="T773" t="s">
        <v>1217</v>
      </c>
      <c r="U773" t="s">
        <v>39</v>
      </c>
      <c r="V773" t="s">
        <v>40</v>
      </c>
      <c r="W773">
        <v>5</v>
      </c>
      <c r="X773" t="s">
        <v>41</v>
      </c>
      <c r="Y773" t="s">
        <v>42</v>
      </c>
      <c r="Z773">
        <v>2</v>
      </c>
    </row>
    <row r="774" spans="1:26">
      <c r="A774" t="s">
        <v>1596</v>
      </c>
      <c r="B774" t="s">
        <v>149</v>
      </c>
      <c r="C774" t="s">
        <v>94</v>
      </c>
      <c r="D774" t="s">
        <v>46</v>
      </c>
      <c r="E774" s="1">
        <v>44047</v>
      </c>
      <c r="F774" t="s">
        <v>65</v>
      </c>
      <c r="G774" t="s">
        <v>279</v>
      </c>
      <c r="H774" t="s">
        <v>111</v>
      </c>
      <c r="I774">
        <v>11</v>
      </c>
      <c r="J774" t="s">
        <v>150</v>
      </c>
      <c r="K774">
        <v>1</v>
      </c>
      <c r="L774" s="3">
        <v>3899</v>
      </c>
      <c r="M774">
        <v>10</v>
      </c>
      <c r="N774" s="3">
        <v>3510</v>
      </c>
      <c r="O774" s="3">
        <v>3510</v>
      </c>
      <c r="P774" t="s">
        <v>74</v>
      </c>
      <c r="Q774" t="s">
        <v>35</v>
      </c>
      <c r="R774" t="s">
        <v>36</v>
      </c>
      <c r="S774" t="s">
        <v>354</v>
      </c>
      <c r="T774" t="s">
        <v>431</v>
      </c>
      <c r="U774" t="s">
        <v>91</v>
      </c>
      <c r="V774" t="s">
        <v>315</v>
      </c>
      <c r="W774">
        <v>2.4</v>
      </c>
      <c r="X774" t="s">
        <v>41</v>
      </c>
      <c r="Y774" t="s">
        <v>42</v>
      </c>
      <c r="Z774">
        <v>5</v>
      </c>
    </row>
    <row r="775" spans="1:26">
      <c r="A775" t="s">
        <v>1597</v>
      </c>
      <c r="B775" t="s">
        <v>1598</v>
      </c>
      <c r="C775" t="s">
        <v>45</v>
      </c>
      <c r="D775" t="s">
        <v>29</v>
      </c>
      <c r="E775" s="1">
        <v>44048</v>
      </c>
      <c r="F775" t="s">
        <v>65</v>
      </c>
      <c r="G775" t="s">
        <v>66</v>
      </c>
      <c r="H775" t="s">
        <v>59</v>
      </c>
      <c r="I775">
        <v>11</v>
      </c>
      <c r="J775" t="s">
        <v>33</v>
      </c>
      <c r="K775">
        <v>1</v>
      </c>
      <c r="L775" s="3">
        <v>7299</v>
      </c>
      <c r="M775">
        <v>25</v>
      </c>
      <c r="N775" s="3">
        <v>5470</v>
      </c>
      <c r="O775" s="3">
        <v>5470</v>
      </c>
      <c r="P775" t="s">
        <v>81</v>
      </c>
      <c r="Q775" t="s">
        <v>35</v>
      </c>
      <c r="R775" t="s">
        <v>36</v>
      </c>
      <c r="S775" t="s">
        <v>117</v>
      </c>
      <c r="T775" t="s">
        <v>544</v>
      </c>
      <c r="U775" t="s">
        <v>54</v>
      </c>
      <c r="V775" t="s">
        <v>40</v>
      </c>
      <c r="W775">
        <v>2.5</v>
      </c>
      <c r="X775" t="s">
        <v>41</v>
      </c>
      <c r="Y775" t="s">
        <v>147</v>
      </c>
      <c r="Z775">
        <v>1</v>
      </c>
    </row>
    <row r="776" spans="1:26">
      <c r="A776" t="s">
        <v>1599</v>
      </c>
      <c r="B776" t="s">
        <v>1600</v>
      </c>
      <c r="C776" t="s">
        <v>45</v>
      </c>
      <c r="D776" t="s">
        <v>29</v>
      </c>
      <c r="E776" s="1">
        <v>44048</v>
      </c>
      <c r="F776" t="s">
        <v>47</v>
      </c>
      <c r="G776" t="s">
        <v>121</v>
      </c>
      <c r="H776" t="s">
        <v>111</v>
      </c>
      <c r="I776">
        <v>8</v>
      </c>
      <c r="J776" t="s">
        <v>150</v>
      </c>
      <c r="K776">
        <v>2</v>
      </c>
      <c r="L776" s="3">
        <v>6299</v>
      </c>
      <c r="M776">
        <v>20</v>
      </c>
      <c r="N776" s="3">
        <v>5040</v>
      </c>
      <c r="O776" s="3">
        <v>10080</v>
      </c>
      <c r="P776" t="s">
        <v>74</v>
      </c>
      <c r="Q776" t="s">
        <v>51</v>
      </c>
      <c r="R776" t="s">
        <v>36</v>
      </c>
      <c r="S776" t="s">
        <v>151</v>
      </c>
      <c r="T776" t="s">
        <v>152</v>
      </c>
      <c r="U776" t="s">
        <v>124</v>
      </c>
      <c r="V776" t="s">
        <v>40</v>
      </c>
      <c r="W776">
        <v>4.0999999999999996</v>
      </c>
      <c r="X776" t="s">
        <v>106</v>
      </c>
      <c r="Y776" t="s">
        <v>55</v>
      </c>
      <c r="Z776">
        <v>2</v>
      </c>
    </row>
    <row r="777" spans="1:26">
      <c r="A777" t="s">
        <v>1601</v>
      </c>
      <c r="B777" t="s">
        <v>1308</v>
      </c>
      <c r="C777" t="s">
        <v>45</v>
      </c>
      <c r="D777" t="s">
        <v>103</v>
      </c>
      <c r="E777" s="1">
        <v>44051</v>
      </c>
      <c r="F777" t="s">
        <v>65</v>
      </c>
      <c r="G777" t="s">
        <v>365</v>
      </c>
      <c r="H777" t="s">
        <v>49</v>
      </c>
      <c r="I777">
        <v>7</v>
      </c>
      <c r="J777" t="s">
        <v>98</v>
      </c>
      <c r="K777">
        <v>1</v>
      </c>
      <c r="L777" s="3">
        <v>4999</v>
      </c>
      <c r="M777">
        <v>20</v>
      </c>
      <c r="N777" s="3">
        <v>4000</v>
      </c>
      <c r="O777" s="3">
        <v>4000</v>
      </c>
      <c r="P777" t="s">
        <v>50</v>
      </c>
      <c r="Q777" t="s">
        <v>35</v>
      </c>
      <c r="R777" t="s">
        <v>36</v>
      </c>
      <c r="S777" t="s">
        <v>338</v>
      </c>
      <c r="T777" t="s">
        <v>338</v>
      </c>
      <c r="U777" t="s">
        <v>39</v>
      </c>
      <c r="V777" t="s">
        <v>315</v>
      </c>
      <c r="W777">
        <v>4.3</v>
      </c>
      <c r="X777" t="s">
        <v>41</v>
      </c>
      <c r="Y777" t="s">
        <v>42</v>
      </c>
      <c r="Z777">
        <v>4</v>
      </c>
    </row>
    <row r="778" spans="1:26">
      <c r="A778" t="s">
        <v>1602</v>
      </c>
      <c r="B778" t="s">
        <v>1603</v>
      </c>
      <c r="C778" t="s">
        <v>28</v>
      </c>
      <c r="D778" t="s">
        <v>46</v>
      </c>
      <c r="E778" s="1">
        <v>44052</v>
      </c>
      <c r="F778" t="s">
        <v>47</v>
      </c>
      <c r="G778" t="s">
        <v>199</v>
      </c>
      <c r="H778" t="s">
        <v>59</v>
      </c>
      <c r="I778">
        <v>9</v>
      </c>
      <c r="J778" t="s">
        <v>98</v>
      </c>
      <c r="K778">
        <v>1</v>
      </c>
      <c r="L778" s="3">
        <v>8699</v>
      </c>
      <c r="M778">
        <v>30</v>
      </c>
      <c r="N778" s="3">
        <v>6090</v>
      </c>
      <c r="O778" s="3">
        <v>6090</v>
      </c>
      <c r="P778" t="s">
        <v>81</v>
      </c>
      <c r="Q778" t="s">
        <v>51</v>
      </c>
      <c r="R778" t="s">
        <v>36</v>
      </c>
      <c r="S778" t="s">
        <v>191</v>
      </c>
      <c r="T778" t="s">
        <v>192</v>
      </c>
      <c r="U778" t="s">
        <v>39</v>
      </c>
      <c r="V778" t="s">
        <v>40</v>
      </c>
      <c r="W778">
        <v>4.3</v>
      </c>
      <c r="X778" t="s">
        <v>41</v>
      </c>
      <c r="Y778" t="s">
        <v>42</v>
      </c>
      <c r="Z778">
        <v>1</v>
      </c>
    </row>
    <row r="779" spans="1:26">
      <c r="A779" t="s">
        <v>1604</v>
      </c>
      <c r="B779" t="s">
        <v>765</v>
      </c>
      <c r="C779" t="s">
        <v>28</v>
      </c>
      <c r="D779" t="s">
        <v>46</v>
      </c>
      <c r="E779" s="1">
        <v>44052</v>
      </c>
      <c r="F779" t="s">
        <v>79</v>
      </c>
      <c r="G779" t="s">
        <v>480</v>
      </c>
      <c r="H779" t="s">
        <v>111</v>
      </c>
      <c r="I779">
        <v>7</v>
      </c>
      <c r="J779" t="s">
        <v>150</v>
      </c>
      <c r="K779">
        <v>1</v>
      </c>
      <c r="L779" s="3">
        <v>6899</v>
      </c>
      <c r="M779">
        <v>15</v>
      </c>
      <c r="N779" s="3">
        <v>5860</v>
      </c>
      <c r="O779" s="3">
        <v>5860</v>
      </c>
      <c r="P779" t="s">
        <v>74</v>
      </c>
      <c r="Q779" t="s">
        <v>51</v>
      </c>
      <c r="R779" t="s">
        <v>36</v>
      </c>
      <c r="S779" t="s">
        <v>99</v>
      </c>
      <c r="T779" t="s">
        <v>759</v>
      </c>
      <c r="U779" t="s">
        <v>124</v>
      </c>
      <c r="V779" t="s">
        <v>315</v>
      </c>
      <c r="W779">
        <v>5</v>
      </c>
      <c r="X779" t="s">
        <v>41</v>
      </c>
      <c r="Y779" t="s">
        <v>42</v>
      </c>
      <c r="Z779">
        <v>5</v>
      </c>
    </row>
    <row r="780" spans="1:26">
      <c r="A780" t="s">
        <v>1605</v>
      </c>
      <c r="B780" t="s">
        <v>660</v>
      </c>
      <c r="C780" t="s">
        <v>45</v>
      </c>
      <c r="D780" t="s">
        <v>109</v>
      </c>
      <c r="E780" s="1">
        <v>44054</v>
      </c>
      <c r="F780" t="s">
        <v>79</v>
      </c>
      <c r="G780" t="s">
        <v>174</v>
      </c>
      <c r="H780" t="s">
        <v>32</v>
      </c>
      <c r="I780">
        <v>8</v>
      </c>
      <c r="J780" t="s">
        <v>150</v>
      </c>
      <c r="K780">
        <v>2</v>
      </c>
      <c r="L780" s="3">
        <v>8199</v>
      </c>
      <c r="M780">
        <v>10</v>
      </c>
      <c r="N780" s="3">
        <v>7380</v>
      </c>
      <c r="O780" s="3">
        <v>14760</v>
      </c>
      <c r="P780" t="s">
        <v>74</v>
      </c>
      <c r="Q780" t="s">
        <v>35</v>
      </c>
      <c r="R780" t="s">
        <v>36</v>
      </c>
      <c r="S780" t="s">
        <v>68</v>
      </c>
      <c r="T780" t="s">
        <v>400</v>
      </c>
      <c r="U780" t="s">
        <v>39</v>
      </c>
      <c r="V780" t="s">
        <v>315</v>
      </c>
      <c r="W780">
        <v>4.0999999999999996</v>
      </c>
      <c r="X780" t="s">
        <v>41</v>
      </c>
      <c r="Y780" t="s">
        <v>42</v>
      </c>
      <c r="Z780">
        <v>2</v>
      </c>
    </row>
    <row r="781" spans="1:26">
      <c r="A781" t="s">
        <v>1606</v>
      </c>
      <c r="B781" t="s">
        <v>406</v>
      </c>
      <c r="C781" t="s">
        <v>28</v>
      </c>
      <c r="D781" t="s">
        <v>46</v>
      </c>
      <c r="E781" s="1">
        <v>44056</v>
      </c>
      <c r="F781" t="s">
        <v>47</v>
      </c>
      <c r="G781" t="s">
        <v>402</v>
      </c>
      <c r="H781" t="s">
        <v>32</v>
      </c>
      <c r="I781">
        <v>9</v>
      </c>
      <c r="J781" t="s">
        <v>98</v>
      </c>
      <c r="K781">
        <v>1</v>
      </c>
      <c r="L781" s="3">
        <v>7099</v>
      </c>
      <c r="M781">
        <v>20</v>
      </c>
      <c r="N781" s="3">
        <v>5680</v>
      </c>
      <c r="O781" s="3">
        <v>5680</v>
      </c>
      <c r="P781" t="s">
        <v>34</v>
      </c>
      <c r="Q781" t="s">
        <v>51</v>
      </c>
      <c r="R781" t="s">
        <v>36</v>
      </c>
      <c r="S781" t="s">
        <v>210</v>
      </c>
      <c r="T781" t="s">
        <v>680</v>
      </c>
      <c r="U781" t="s">
        <v>91</v>
      </c>
      <c r="V781" t="s">
        <v>315</v>
      </c>
      <c r="W781">
        <v>3.6</v>
      </c>
      <c r="X781" t="s">
        <v>41</v>
      </c>
      <c r="Y781" t="s">
        <v>55</v>
      </c>
      <c r="Z781">
        <v>1</v>
      </c>
    </row>
    <row r="782" spans="1:26">
      <c r="A782" t="s">
        <v>1607</v>
      </c>
      <c r="B782" t="s">
        <v>711</v>
      </c>
      <c r="C782" t="s">
        <v>45</v>
      </c>
      <c r="D782" t="s">
        <v>103</v>
      </c>
      <c r="E782" s="1">
        <v>44057</v>
      </c>
      <c r="F782" t="s">
        <v>47</v>
      </c>
      <c r="G782" t="s">
        <v>140</v>
      </c>
      <c r="H782" t="s">
        <v>128</v>
      </c>
      <c r="I782">
        <v>7</v>
      </c>
      <c r="J782" t="s">
        <v>67</v>
      </c>
      <c r="K782">
        <v>1</v>
      </c>
      <c r="L782" s="3">
        <v>6099</v>
      </c>
      <c r="M782">
        <v>20</v>
      </c>
      <c r="N782" s="3">
        <v>4880</v>
      </c>
      <c r="O782" s="3">
        <v>4880</v>
      </c>
      <c r="P782" t="s">
        <v>34</v>
      </c>
      <c r="Q782" t="s">
        <v>82</v>
      </c>
      <c r="R782" t="s">
        <v>36</v>
      </c>
      <c r="S782" t="s">
        <v>286</v>
      </c>
      <c r="T782" t="s">
        <v>768</v>
      </c>
      <c r="U782" t="s">
        <v>39</v>
      </c>
      <c r="V782" t="s">
        <v>315</v>
      </c>
      <c r="W782">
        <v>4.4000000000000004</v>
      </c>
      <c r="X782" t="s">
        <v>41</v>
      </c>
      <c r="Y782" t="s">
        <v>42</v>
      </c>
      <c r="Z782">
        <v>5</v>
      </c>
    </row>
    <row r="783" spans="1:26">
      <c r="A783" t="s">
        <v>1608</v>
      </c>
      <c r="B783" t="s">
        <v>1294</v>
      </c>
      <c r="C783" t="s">
        <v>28</v>
      </c>
      <c r="D783" t="s">
        <v>46</v>
      </c>
      <c r="E783" s="1">
        <v>44057</v>
      </c>
      <c r="F783" t="s">
        <v>65</v>
      </c>
      <c r="G783" t="s">
        <v>268</v>
      </c>
      <c r="H783" t="s">
        <v>128</v>
      </c>
      <c r="I783">
        <v>10</v>
      </c>
      <c r="J783" t="s">
        <v>98</v>
      </c>
      <c r="K783">
        <v>1</v>
      </c>
      <c r="L783" s="3">
        <v>3899</v>
      </c>
      <c r="M783">
        <v>10</v>
      </c>
      <c r="N783" s="3">
        <v>3510</v>
      </c>
      <c r="O783" s="3">
        <v>3510</v>
      </c>
      <c r="P783" t="s">
        <v>74</v>
      </c>
      <c r="Q783" t="s">
        <v>82</v>
      </c>
      <c r="R783" t="s">
        <v>36</v>
      </c>
      <c r="S783" t="s">
        <v>141</v>
      </c>
      <c r="T783" t="s">
        <v>728</v>
      </c>
      <c r="U783" t="s">
        <v>61</v>
      </c>
      <c r="V783" t="s">
        <v>315</v>
      </c>
      <c r="W783">
        <v>3.7</v>
      </c>
      <c r="X783" t="s">
        <v>41</v>
      </c>
      <c r="Y783" t="s">
        <v>147</v>
      </c>
      <c r="Z783">
        <v>1</v>
      </c>
    </row>
    <row r="784" spans="1:26">
      <c r="A784" t="s">
        <v>1609</v>
      </c>
      <c r="B784" t="s">
        <v>776</v>
      </c>
      <c r="C784" t="s">
        <v>28</v>
      </c>
      <c r="D784" t="s">
        <v>46</v>
      </c>
      <c r="E784" s="1">
        <v>44058</v>
      </c>
      <c r="F784" t="s">
        <v>96</v>
      </c>
      <c r="G784" t="s">
        <v>97</v>
      </c>
      <c r="H784" t="s">
        <v>49</v>
      </c>
      <c r="I784">
        <v>9</v>
      </c>
      <c r="J784" t="s">
        <v>98</v>
      </c>
      <c r="K784">
        <v>2</v>
      </c>
      <c r="L784" s="3">
        <v>8599</v>
      </c>
      <c r="M784">
        <v>25</v>
      </c>
      <c r="N784" s="3">
        <v>6450</v>
      </c>
      <c r="O784" s="3">
        <v>12900</v>
      </c>
      <c r="P784" t="s">
        <v>81</v>
      </c>
      <c r="Q784" t="s">
        <v>51</v>
      </c>
      <c r="R784" t="s">
        <v>36</v>
      </c>
      <c r="S784" t="s">
        <v>37</v>
      </c>
      <c r="T784" t="s">
        <v>484</v>
      </c>
      <c r="U784" t="s">
        <v>39</v>
      </c>
      <c r="V784" t="s">
        <v>315</v>
      </c>
      <c r="W784">
        <v>3.7</v>
      </c>
      <c r="X784" t="s">
        <v>62</v>
      </c>
      <c r="Y784" t="s">
        <v>42</v>
      </c>
      <c r="Z784">
        <v>4</v>
      </c>
    </row>
    <row r="785" spans="1:26">
      <c r="A785" t="s">
        <v>1610</v>
      </c>
      <c r="B785" t="s">
        <v>1425</v>
      </c>
      <c r="C785" t="s">
        <v>45</v>
      </c>
      <c r="D785" t="s">
        <v>29</v>
      </c>
      <c r="E785" s="1">
        <v>44061</v>
      </c>
      <c r="F785" t="s">
        <v>96</v>
      </c>
      <c r="G785" t="s">
        <v>97</v>
      </c>
      <c r="H785" t="s">
        <v>49</v>
      </c>
      <c r="I785">
        <v>7</v>
      </c>
      <c r="J785" t="s">
        <v>33</v>
      </c>
      <c r="K785">
        <v>1</v>
      </c>
      <c r="L785" s="3">
        <v>4799</v>
      </c>
      <c r="M785">
        <v>15</v>
      </c>
      <c r="N785" s="3">
        <v>4080</v>
      </c>
      <c r="O785" s="3">
        <v>4080</v>
      </c>
      <c r="P785" t="s">
        <v>74</v>
      </c>
      <c r="Q785" t="s">
        <v>51</v>
      </c>
      <c r="R785" t="s">
        <v>36</v>
      </c>
      <c r="S785" t="s">
        <v>418</v>
      </c>
      <c r="T785" t="s">
        <v>419</v>
      </c>
      <c r="U785" t="s">
        <v>124</v>
      </c>
      <c r="V785" t="s">
        <v>315</v>
      </c>
      <c r="W785">
        <v>3.5</v>
      </c>
      <c r="X785" t="s">
        <v>41</v>
      </c>
      <c r="Y785" t="s">
        <v>42</v>
      </c>
      <c r="Z785">
        <v>3</v>
      </c>
    </row>
    <row r="786" spans="1:26">
      <c r="A786" t="s">
        <v>1611</v>
      </c>
      <c r="B786" t="s">
        <v>1612</v>
      </c>
      <c r="C786" t="s">
        <v>45</v>
      </c>
      <c r="D786" t="s">
        <v>46</v>
      </c>
      <c r="E786" s="1">
        <v>44062</v>
      </c>
      <c r="F786" t="s">
        <v>47</v>
      </c>
      <c r="G786" t="s">
        <v>48</v>
      </c>
      <c r="H786" t="s">
        <v>49</v>
      </c>
      <c r="I786">
        <v>9</v>
      </c>
      <c r="J786" t="s">
        <v>73</v>
      </c>
      <c r="K786">
        <v>1</v>
      </c>
      <c r="L786" s="3">
        <v>7199</v>
      </c>
      <c r="M786">
        <v>0</v>
      </c>
      <c r="N786" s="3">
        <v>7200</v>
      </c>
      <c r="O786" s="3">
        <v>7200</v>
      </c>
      <c r="P786" t="s">
        <v>34</v>
      </c>
      <c r="Q786" t="s">
        <v>82</v>
      </c>
      <c r="R786" t="s">
        <v>36</v>
      </c>
      <c r="S786" t="s">
        <v>136</v>
      </c>
      <c r="T786" t="s">
        <v>137</v>
      </c>
      <c r="U786" t="s">
        <v>91</v>
      </c>
      <c r="V786" t="s">
        <v>40</v>
      </c>
      <c r="W786">
        <v>3.6</v>
      </c>
      <c r="X786" t="s">
        <v>41</v>
      </c>
      <c r="Y786" t="s">
        <v>42</v>
      </c>
      <c r="Z786">
        <v>6</v>
      </c>
    </row>
    <row r="787" spans="1:26">
      <c r="A787" t="s">
        <v>1613</v>
      </c>
      <c r="B787" t="s">
        <v>1614</v>
      </c>
      <c r="C787" t="s">
        <v>28</v>
      </c>
      <c r="D787" t="s">
        <v>103</v>
      </c>
      <c r="E787" s="1">
        <v>44064</v>
      </c>
      <c r="F787" t="s">
        <v>96</v>
      </c>
      <c r="G787" t="s">
        <v>97</v>
      </c>
      <c r="H787" t="s">
        <v>49</v>
      </c>
      <c r="I787">
        <v>11</v>
      </c>
      <c r="J787" t="s">
        <v>67</v>
      </c>
      <c r="K787">
        <v>2</v>
      </c>
      <c r="L787" s="3">
        <v>5599</v>
      </c>
      <c r="M787">
        <v>15</v>
      </c>
      <c r="N787" s="3">
        <v>4760</v>
      </c>
      <c r="O787" s="3">
        <v>9520</v>
      </c>
      <c r="P787" t="s">
        <v>74</v>
      </c>
      <c r="Q787" t="s">
        <v>51</v>
      </c>
      <c r="R787" t="s">
        <v>36</v>
      </c>
      <c r="S787" t="s">
        <v>297</v>
      </c>
      <c r="T787" t="s">
        <v>298</v>
      </c>
      <c r="U787" t="s">
        <v>124</v>
      </c>
      <c r="V787" t="s">
        <v>40</v>
      </c>
      <c r="W787">
        <v>4.4000000000000004</v>
      </c>
      <c r="X787" t="s">
        <v>41</v>
      </c>
      <c r="Y787" t="s">
        <v>55</v>
      </c>
      <c r="Z787">
        <v>2</v>
      </c>
    </row>
    <row r="788" spans="1:26">
      <c r="A788" t="s">
        <v>1615</v>
      </c>
      <c r="B788" t="s">
        <v>1616</v>
      </c>
      <c r="C788" t="s">
        <v>28</v>
      </c>
      <c r="D788" t="s">
        <v>46</v>
      </c>
      <c r="E788" s="1">
        <v>44065</v>
      </c>
      <c r="F788" t="s">
        <v>79</v>
      </c>
      <c r="G788" t="s">
        <v>480</v>
      </c>
      <c r="H788" t="s">
        <v>111</v>
      </c>
      <c r="I788">
        <v>6</v>
      </c>
      <c r="J788" t="s">
        <v>98</v>
      </c>
      <c r="K788">
        <v>2</v>
      </c>
      <c r="L788" s="3">
        <v>8099</v>
      </c>
      <c r="M788">
        <v>10</v>
      </c>
      <c r="N788" s="3">
        <v>7290</v>
      </c>
      <c r="O788" s="3">
        <v>14580</v>
      </c>
      <c r="P788" t="s">
        <v>50</v>
      </c>
      <c r="Q788" t="s">
        <v>82</v>
      </c>
      <c r="R788" t="s">
        <v>36</v>
      </c>
      <c r="S788" t="s">
        <v>156</v>
      </c>
      <c r="T788" t="s">
        <v>324</v>
      </c>
      <c r="U788" t="s">
        <v>39</v>
      </c>
      <c r="V788" t="s">
        <v>40</v>
      </c>
      <c r="W788">
        <v>4.0999999999999996</v>
      </c>
      <c r="X788" t="s">
        <v>41</v>
      </c>
      <c r="Y788" t="s">
        <v>55</v>
      </c>
      <c r="Z788">
        <v>1</v>
      </c>
    </row>
    <row r="789" spans="1:26">
      <c r="A789" t="s">
        <v>1617</v>
      </c>
      <c r="B789" t="s">
        <v>619</v>
      </c>
      <c r="C789" t="s">
        <v>28</v>
      </c>
      <c r="D789" t="s">
        <v>29</v>
      </c>
      <c r="E789" s="1">
        <v>44066</v>
      </c>
      <c r="F789" t="s">
        <v>30</v>
      </c>
      <c r="G789" t="s">
        <v>347</v>
      </c>
      <c r="H789" t="s">
        <v>49</v>
      </c>
      <c r="I789">
        <v>6</v>
      </c>
      <c r="J789" t="s">
        <v>73</v>
      </c>
      <c r="K789">
        <v>3</v>
      </c>
      <c r="L789" s="3">
        <v>9099</v>
      </c>
      <c r="M789">
        <v>10</v>
      </c>
      <c r="N789" s="3">
        <v>8190</v>
      </c>
      <c r="O789" s="3">
        <v>24570</v>
      </c>
      <c r="P789" t="s">
        <v>74</v>
      </c>
      <c r="Q789" t="s">
        <v>82</v>
      </c>
      <c r="R789" t="s">
        <v>36</v>
      </c>
      <c r="S789" t="s">
        <v>418</v>
      </c>
      <c r="T789" t="s">
        <v>549</v>
      </c>
      <c r="U789" t="s">
        <v>61</v>
      </c>
      <c r="V789" t="s">
        <v>315</v>
      </c>
      <c r="W789">
        <v>4.7</v>
      </c>
      <c r="X789" t="s">
        <v>106</v>
      </c>
      <c r="Y789" t="s">
        <v>55</v>
      </c>
      <c r="Z789">
        <v>3</v>
      </c>
    </row>
    <row r="790" spans="1:26">
      <c r="A790" t="s">
        <v>1618</v>
      </c>
      <c r="B790" t="s">
        <v>1619</v>
      </c>
      <c r="C790" t="s">
        <v>28</v>
      </c>
      <c r="D790" t="s">
        <v>103</v>
      </c>
      <c r="E790" s="1">
        <v>44068</v>
      </c>
      <c r="F790" t="s">
        <v>86</v>
      </c>
      <c r="G790" t="s">
        <v>285</v>
      </c>
      <c r="H790" t="s">
        <v>111</v>
      </c>
      <c r="I790">
        <v>11</v>
      </c>
      <c r="J790" t="s">
        <v>33</v>
      </c>
      <c r="K790">
        <v>2</v>
      </c>
      <c r="L790" s="3">
        <v>7399</v>
      </c>
      <c r="M790">
        <v>15</v>
      </c>
      <c r="N790" s="3">
        <v>6290</v>
      </c>
      <c r="O790" s="3">
        <v>12580</v>
      </c>
      <c r="P790" t="s">
        <v>74</v>
      </c>
      <c r="Q790" t="s">
        <v>82</v>
      </c>
      <c r="R790" t="s">
        <v>36</v>
      </c>
      <c r="S790" t="s">
        <v>418</v>
      </c>
      <c r="T790" t="s">
        <v>419</v>
      </c>
      <c r="U790" t="s">
        <v>54</v>
      </c>
      <c r="V790" t="s">
        <v>40</v>
      </c>
      <c r="W790">
        <v>3.5</v>
      </c>
      <c r="X790" t="s">
        <v>41</v>
      </c>
      <c r="Y790" t="s">
        <v>55</v>
      </c>
      <c r="Z790">
        <v>2</v>
      </c>
    </row>
    <row r="791" spans="1:26">
      <c r="A791" t="s">
        <v>1620</v>
      </c>
      <c r="B791" t="s">
        <v>727</v>
      </c>
      <c r="C791" t="s">
        <v>28</v>
      </c>
      <c r="D791" t="s">
        <v>29</v>
      </c>
      <c r="E791" s="1">
        <v>44076</v>
      </c>
      <c r="F791" t="s">
        <v>47</v>
      </c>
      <c r="G791" t="s">
        <v>199</v>
      </c>
      <c r="H791" t="s">
        <v>59</v>
      </c>
      <c r="I791">
        <v>10</v>
      </c>
      <c r="J791" t="s">
        <v>150</v>
      </c>
      <c r="K791">
        <v>4</v>
      </c>
      <c r="L791" s="3">
        <v>5699</v>
      </c>
      <c r="M791">
        <v>40</v>
      </c>
      <c r="N791" s="3">
        <v>3420</v>
      </c>
      <c r="O791" s="3">
        <v>13680</v>
      </c>
      <c r="P791" t="s">
        <v>74</v>
      </c>
      <c r="Q791" t="s">
        <v>35</v>
      </c>
      <c r="R791" t="s">
        <v>36</v>
      </c>
      <c r="S791" t="s">
        <v>104</v>
      </c>
      <c r="T791" t="s">
        <v>1048</v>
      </c>
      <c r="U791" t="s">
        <v>124</v>
      </c>
      <c r="V791" t="s">
        <v>315</v>
      </c>
      <c r="W791">
        <v>3.8</v>
      </c>
      <c r="X791" t="s">
        <v>41</v>
      </c>
      <c r="Y791" t="s">
        <v>42</v>
      </c>
      <c r="Z791">
        <v>6</v>
      </c>
    </row>
    <row r="792" spans="1:26">
      <c r="A792" t="s">
        <v>1621</v>
      </c>
      <c r="B792" t="s">
        <v>684</v>
      </c>
      <c r="C792" t="s">
        <v>94</v>
      </c>
      <c r="D792" t="s">
        <v>46</v>
      </c>
      <c r="E792" s="1">
        <v>44076</v>
      </c>
      <c r="F792" t="s">
        <v>30</v>
      </c>
      <c r="G792" t="s">
        <v>110</v>
      </c>
      <c r="H792" t="s">
        <v>111</v>
      </c>
      <c r="I792">
        <v>7</v>
      </c>
      <c r="J792" t="s">
        <v>67</v>
      </c>
      <c r="K792">
        <v>1</v>
      </c>
      <c r="L792" s="3">
        <v>6199</v>
      </c>
      <c r="M792">
        <v>10</v>
      </c>
      <c r="N792" s="3">
        <v>5580</v>
      </c>
      <c r="O792" s="3">
        <v>5580</v>
      </c>
      <c r="P792" t="s">
        <v>74</v>
      </c>
      <c r="Q792" t="s">
        <v>35</v>
      </c>
      <c r="R792" t="s">
        <v>36</v>
      </c>
      <c r="S792" t="s">
        <v>210</v>
      </c>
      <c r="T792" t="s">
        <v>415</v>
      </c>
      <c r="U792" t="s">
        <v>61</v>
      </c>
      <c r="V792" t="s">
        <v>315</v>
      </c>
      <c r="W792">
        <v>3.7</v>
      </c>
      <c r="X792" t="s">
        <v>41</v>
      </c>
      <c r="Y792" t="s">
        <v>42</v>
      </c>
      <c r="Z792">
        <v>4</v>
      </c>
    </row>
    <row r="793" spans="1:26">
      <c r="A793" t="s">
        <v>1622</v>
      </c>
      <c r="B793" t="s">
        <v>695</v>
      </c>
      <c r="C793" t="s">
        <v>28</v>
      </c>
      <c r="D793" t="s">
        <v>29</v>
      </c>
      <c r="E793" s="1">
        <v>44078</v>
      </c>
      <c r="F793" t="s">
        <v>86</v>
      </c>
      <c r="G793" t="s">
        <v>116</v>
      </c>
      <c r="H793" t="s">
        <v>49</v>
      </c>
      <c r="I793">
        <v>9</v>
      </c>
      <c r="J793" t="s">
        <v>88</v>
      </c>
      <c r="K793">
        <v>2</v>
      </c>
      <c r="L793" s="3">
        <v>9499</v>
      </c>
      <c r="M793">
        <v>15</v>
      </c>
      <c r="N793" s="3">
        <v>8070</v>
      </c>
      <c r="O793" s="3">
        <v>16140</v>
      </c>
      <c r="P793" t="s">
        <v>74</v>
      </c>
      <c r="Q793" t="s">
        <v>51</v>
      </c>
      <c r="R793" t="s">
        <v>36</v>
      </c>
      <c r="S793" t="s">
        <v>186</v>
      </c>
      <c r="T793" t="s">
        <v>341</v>
      </c>
      <c r="U793" t="s">
        <v>91</v>
      </c>
      <c r="V793" t="s">
        <v>315</v>
      </c>
      <c r="W793">
        <v>4.0999999999999996</v>
      </c>
      <c r="X793" t="s">
        <v>41</v>
      </c>
      <c r="Y793" t="s">
        <v>42</v>
      </c>
      <c r="Z793">
        <v>1</v>
      </c>
    </row>
    <row r="794" spans="1:26">
      <c r="A794" t="s">
        <v>1623</v>
      </c>
      <c r="B794" t="s">
        <v>1624</v>
      </c>
      <c r="C794" t="s">
        <v>45</v>
      </c>
      <c r="D794" t="s">
        <v>103</v>
      </c>
      <c r="E794" s="1">
        <v>44078</v>
      </c>
      <c r="F794" t="s">
        <v>86</v>
      </c>
      <c r="G794" t="s">
        <v>190</v>
      </c>
      <c r="H794" t="s">
        <v>128</v>
      </c>
      <c r="I794">
        <v>10</v>
      </c>
      <c r="J794" t="s">
        <v>73</v>
      </c>
      <c r="K794">
        <v>1</v>
      </c>
      <c r="L794" s="3">
        <v>6499</v>
      </c>
      <c r="M794">
        <v>20</v>
      </c>
      <c r="N794" s="3">
        <v>5200</v>
      </c>
      <c r="O794" s="3">
        <v>5200</v>
      </c>
      <c r="P794" t="s">
        <v>81</v>
      </c>
      <c r="Q794" t="s">
        <v>51</v>
      </c>
      <c r="R794" t="s">
        <v>36</v>
      </c>
      <c r="S794" t="s">
        <v>418</v>
      </c>
      <c r="T794" t="s">
        <v>613</v>
      </c>
      <c r="U794" t="s">
        <v>61</v>
      </c>
      <c r="V794" t="s">
        <v>40</v>
      </c>
      <c r="W794">
        <v>3.9</v>
      </c>
      <c r="X794" t="s">
        <v>106</v>
      </c>
      <c r="Y794" t="s">
        <v>55</v>
      </c>
      <c r="Z794">
        <v>2</v>
      </c>
    </row>
    <row r="795" spans="1:26">
      <c r="A795" t="s">
        <v>1625</v>
      </c>
      <c r="B795" t="s">
        <v>579</v>
      </c>
      <c r="C795" t="s">
        <v>28</v>
      </c>
      <c r="D795" t="s">
        <v>46</v>
      </c>
      <c r="E795" s="1">
        <v>44078</v>
      </c>
      <c r="F795" t="s">
        <v>30</v>
      </c>
      <c r="G795" t="s">
        <v>110</v>
      </c>
      <c r="H795" t="s">
        <v>111</v>
      </c>
      <c r="I795">
        <v>12</v>
      </c>
      <c r="J795" t="s">
        <v>67</v>
      </c>
      <c r="K795">
        <v>1</v>
      </c>
      <c r="L795" s="3">
        <v>7999</v>
      </c>
      <c r="M795">
        <v>10</v>
      </c>
      <c r="N795" s="3">
        <v>7200</v>
      </c>
      <c r="O795" s="3">
        <v>7200</v>
      </c>
      <c r="P795" t="s">
        <v>81</v>
      </c>
      <c r="Q795" t="s">
        <v>35</v>
      </c>
      <c r="R795" t="s">
        <v>36</v>
      </c>
      <c r="S795" t="s">
        <v>112</v>
      </c>
      <c r="T795" t="s">
        <v>250</v>
      </c>
      <c r="U795" t="s">
        <v>54</v>
      </c>
      <c r="V795" t="s">
        <v>315</v>
      </c>
      <c r="W795">
        <v>3.4</v>
      </c>
      <c r="X795" t="s">
        <v>41</v>
      </c>
      <c r="Y795" t="s">
        <v>42</v>
      </c>
      <c r="Z795">
        <v>3</v>
      </c>
    </row>
    <row r="796" spans="1:26">
      <c r="A796" t="s">
        <v>1626</v>
      </c>
      <c r="B796" t="s">
        <v>1627</v>
      </c>
      <c r="C796" t="s">
        <v>28</v>
      </c>
      <c r="D796" t="s">
        <v>109</v>
      </c>
      <c r="E796" s="1">
        <v>44078</v>
      </c>
      <c r="F796" t="s">
        <v>30</v>
      </c>
      <c r="G796" t="s">
        <v>58</v>
      </c>
      <c r="H796" t="s">
        <v>59</v>
      </c>
      <c r="I796">
        <v>8</v>
      </c>
      <c r="J796" t="s">
        <v>98</v>
      </c>
      <c r="K796">
        <v>2</v>
      </c>
      <c r="L796" s="3">
        <v>8299</v>
      </c>
      <c r="M796">
        <v>20</v>
      </c>
      <c r="N796" s="3">
        <v>6640</v>
      </c>
      <c r="O796" s="3">
        <v>13280</v>
      </c>
      <c r="P796" t="s">
        <v>50</v>
      </c>
      <c r="Q796" t="s">
        <v>51</v>
      </c>
      <c r="R796" t="s">
        <v>36</v>
      </c>
      <c r="S796" t="s">
        <v>269</v>
      </c>
      <c r="T796" t="s">
        <v>961</v>
      </c>
      <c r="U796" t="s">
        <v>54</v>
      </c>
      <c r="V796" t="s">
        <v>40</v>
      </c>
      <c r="W796">
        <v>5</v>
      </c>
      <c r="X796" t="s">
        <v>62</v>
      </c>
      <c r="Y796" t="s">
        <v>55</v>
      </c>
      <c r="Z796">
        <v>3</v>
      </c>
    </row>
    <row r="797" spans="1:26">
      <c r="A797" t="s">
        <v>1628</v>
      </c>
      <c r="B797" t="s">
        <v>1415</v>
      </c>
      <c r="C797" t="s">
        <v>45</v>
      </c>
      <c r="D797" t="s">
        <v>103</v>
      </c>
      <c r="E797" s="1">
        <v>44079</v>
      </c>
      <c r="F797" t="s">
        <v>86</v>
      </c>
      <c r="G797" t="s">
        <v>242</v>
      </c>
      <c r="H797" t="s">
        <v>32</v>
      </c>
      <c r="I797">
        <v>8</v>
      </c>
      <c r="J797" t="s">
        <v>73</v>
      </c>
      <c r="K797">
        <v>1</v>
      </c>
      <c r="L797" s="3">
        <v>4499</v>
      </c>
      <c r="M797">
        <v>15</v>
      </c>
      <c r="N797" s="3">
        <v>3820</v>
      </c>
      <c r="O797" s="3">
        <v>3820</v>
      </c>
      <c r="P797" t="s">
        <v>74</v>
      </c>
      <c r="Q797" t="s">
        <v>82</v>
      </c>
      <c r="R797" t="s">
        <v>36</v>
      </c>
      <c r="S797" t="s">
        <v>141</v>
      </c>
      <c r="T797" t="s">
        <v>294</v>
      </c>
      <c r="U797" t="s">
        <v>54</v>
      </c>
      <c r="V797" t="s">
        <v>315</v>
      </c>
      <c r="W797">
        <v>3.6</v>
      </c>
      <c r="X797" t="s">
        <v>41</v>
      </c>
      <c r="Y797" t="s">
        <v>42</v>
      </c>
      <c r="Z797">
        <v>5</v>
      </c>
    </row>
    <row r="798" spans="1:26">
      <c r="A798" t="s">
        <v>1629</v>
      </c>
      <c r="B798" t="s">
        <v>1310</v>
      </c>
      <c r="C798" t="s">
        <v>45</v>
      </c>
      <c r="D798" t="s">
        <v>95</v>
      </c>
      <c r="E798" s="1">
        <v>44082</v>
      </c>
      <c r="F798" t="s">
        <v>79</v>
      </c>
      <c r="G798" t="s">
        <v>480</v>
      </c>
      <c r="H798" t="s">
        <v>111</v>
      </c>
      <c r="I798">
        <v>8</v>
      </c>
      <c r="J798" t="s">
        <v>67</v>
      </c>
      <c r="K798">
        <v>1</v>
      </c>
      <c r="L798" s="3">
        <v>5299</v>
      </c>
      <c r="M798">
        <v>20</v>
      </c>
      <c r="N798" s="3">
        <v>4240</v>
      </c>
      <c r="O798" s="3">
        <v>4240</v>
      </c>
      <c r="P798" t="s">
        <v>34</v>
      </c>
      <c r="Q798" t="s">
        <v>82</v>
      </c>
      <c r="R798" t="s">
        <v>36</v>
      </c>
      <c r="S798" t="s">
        <v>99</v>
      </c>
      <c r="T798" t="s">
        <v>229</v>
      </c>
      <c r="U798" t="s">
        <v>124</v>
      </c>
      <c r="V798" t="s">
        <v>315</v>
      </c>
      <c r="W798">
        <v>4.5999999999999996</v>
      </c>
      <c r="X798" t="s">
        <v>41</v>
      </c>
      <c r="Y798" t="s">
        <v>42</v>
      </c>
      <c r="Z798">
        <v>4</v>
      </c>
    </row>
    <row r="799" spans="1:26">
      <c r="A799" t="s">
        <v>1630</v>
      </c>
      <c r="B799" t="s">
        <v>451</v>
      </c>
      <c r="C799" t="s">
        <v>28</v>
      </c>
      <c r="D799" t="s">
        <v>103</v>
      </c>
      <c r="E799" s="1">
        <v>44082</v>
      </c>
      <c r="F799" t="s">
        <v>30</v>
      </c>
      <c r="G799" t="s">
        <v>145</v>
      </c>
      <c r="H799" t="s">
        <v>59</v>
      </c>
      <c r="I799">
        <v>11</v>
      </c>
      <c r="J799" t="s">
        <v>150</v>
      </c>
      <c r="K799">
        <v>2</v>
      </c>
      <c r="L799" s="3">
        <v>7499</v>
      </c>
      <c r="M799">
        <v>5</v>
      </c>
      <c r="N799" s="3">
        <v>7120</v>
      </c>
      <c r="O799" s="3">
        <v>14240</v>
      </c>
      <c r="P799" t="s">
        <v>74</v>
      </c>
      <c r="Q799" t="s">
        <v>35</v>
      </c>
      <c r="R799" t="s">
        <v>36</v>
      </c>
      <c r="S799" t="s">
        <v>238</v>
      </c>
      <c r="T799" t="s">
        <v>260</v>
      </c>
      <c r="U799" t="s">
        <v>39</v>
      </c>
      <c r="V799" t="s">
        <v>315</v>
      </c>
      <c r="W799">
        <v>4.0999999999999996</v>
      </c>
      <c r="X799" t="s">
        <v>41</v>
      </c>
      <c r="Y799" t="s">
        <v>42</v>
      </c>
      <c r="Z799">
        <v>3</v>
      </c>
    </row>
    <row r="800" spans="1:26">
      <c r="A800" t="s">
        <v>1631</v>
      </c>
      <c r="B800" t="s">
        <v>300</v>
      </c>
      <c r="C800" t="s">
        <v>28</v>
      </c>
      <c r="D800" t="s">
        <v>46</v>
      </c>
      <c r="E800" s="1">
        <v>44083</v>
      </c>
      <c r="F800" t="s">
        <v>86</v>
      </c>
      <c r="G800" t="s">
        <v>312</v>
      </c>
      <c r="H800" t="s">
        <v>59</v>
      </c>
      <c r="I800">
        <v>6</v>
      </c>
      <c r="J800" t="s">
        <v>98</v>
      </c>
      <c r="K800">
        <v>1</v>
      </c>
      <c r="L800" s="3">
        <v>8899</v>
      </c>
      <c r="M800">
        <v>25</v>
      </c>
      <c r="N800" s="3">
        <v>6670</v>
      </c>
      <c r="O800" s="3">
        <v>6670</v>
      </c>
      <c r="P800" t="s">
        <v>34</v>
      </c>
      <c r="Q800" t="s">
        <v>82</v>
      </c>
      <c r="R800" t="s">
        <v>36</v>
      </c>
      <c r="S800" t="s">
        <v>104</v>
      </c>
      <c r="T800" t="s">
        <v>291</v>
      </c>
      <c r="U800" t="s">
        <v>124</v>
      </c>
      <c r="V800" t="s">
        <v>969</v>
      </c>
      <c r="W800">
        <v>4</v>
      </c>
      <c r="X800" t="s">
        <v>41</v>
      </c>
      <c r="Y800" t="s">
        <v>42</v>
      </c>
      <c r="Z800">
        <v>2</v>
      </c>
    </row>
    <row r="801" spans="1:26">
      <c r="A801" t="s">
        <v>1632</v>
      </c>
      <c r="B801" t="s">
        <v>1633</v>
      </c>
      <c r="C801" t="s">
        <v>28</v>
      </c>
      <c r="D801" t="s">
        <v>29</v>
      </c>
      <c r="E801" s="1">
        <v>44083</v>
      </c>
      <c r="F801" t="s">
        <v>30</v>
      </c>
      <c r="G801" t="s">
        <v>110</v>
      </c>
      <c r="H801" t="s">
        <v>111</v>
      </c>
      <c r="I801">
        <v>7</v>
      </c>
      <c r="J801" t="s">
        <v>150</v>
      </c>
      <c r="K801">
        <v>2</v>
      </c>
      <c r="L801" s="3">
        <v>7899</v>
      </c>
      <c r="M801">
        <v>30</v>
      </c>
      <c r="N801" s="3">
        <v>5530</v>
      </c>
      <c r="O801" s="3">
        <v>11060</v>
      </c>
      <c r="P801" t="s">
        <v>74</v>
      </c>
      <c r="Q801" t="s">
        <v>51</v>
      </c>
      <c r="R801" t="s">
        <v>36</v>
      </c>
      <c r="S801" t="s">
        <v>191</v>
      </c>
      <c r="T801" t="s">
        <v>332</v>
      </c>
      <c r="U801" t="s">
        <v>91</v>
      </c>
      <c r="V801" t="s">
        <v>40</v>
      </c>
      <c r="W801">
        <v>3.9</v>
      </c>
      <c r="X801" t="s">
        <v>41</v>
      </c>
      <c r="Y801" t="s">
        <v>42</v>
      </c>
      <c r="Z801">
        <v>5</v>
      </c>
    </row>
    <row r="802" spans="1:26">
      <c r="A802" t="s">
        <v>1634</v>
      </c>
      <c r="B802" t="s">
        <v>1635</v>
      </c>
      <c r="C802" t="s">
        <v>45</v>
      </c>
      <c r="D802" t="s">
        <v>103</v>
      </c>
      <c r="E802" s="1">
        <v>44083</v>
      </c>
      <c r="F802" t="s">
        <v>86</v>
      </c>
      <c r="G802" t="s">
        <v>116</v>
      </c>
      <c r="H802" t="s">
        <v>49</v>
      </c>
      <c r="I802">
        <v>8</v>
      </c>
      <c r="J802" t="s">
        <v>88</v>
      </c>
      <c r="K802">
        <v>1</v>
      </c>
      <c r="L802" s="3">
        <v>4899</v>
      </c>
      <c r="M802">
        <v>30</v>
      </c>
      <c r="N802" s="3">
        <v>3430</v>
      </c>
      <c r="O802" s="3">
        <v>3430</v>
      </c>
      <c r="P802" t="s">
        <v>74</v>
      </c>
      <c r="Q802" t="s">
        <v>51</v>
      </c>
      <c r="R802" t="s">
        <v>36</v>
      </c>
      <c r="S802" t="s">
        <v>191</v>
      </c>
      <c r="T802" t="s">
        <v>521</v>
      </c>
      <c r="U802" t="s">
        <v>54</v>
      </c>
      <c r="V802" t="s">
        <v>40</v>
      </c>
      <c r="W802">
        <v>2.9</v>
      </c>
      <c r="X802" t="s">
        <v>41</v>
      </c>
      <c r="Y802" t="s">
        <v>42</v>
      </c>
      <c r="Z802">
        <v>6</v>
      </c>
    </row>
    <row r="803" spans="1:26">
      <c r="A803" t="s">
        <v>1636</v>
      </c>
      <c r="B803" t="s">
        <v>389</v>
      </c>
      <c r="C803" t="s">
        <v>28</v>
      </c>
      <c r="D803" t="s">
        <v>95</v>
      </c>
      <c r="E803" s="1">
        <v>44084</v>
      </c>
      <c r="F803" t="s">
        <v>65</v>
      </c>
      <c r="G803" t="s">
        <v>72</v>
      </c>
      <c r="H803" t="s">
        <v>59</v>
      </c>
      <c r="I803">
        <v>8</v>
      </c>
      <c r="J803" t="s">
        <v>33</v>
      </c>
      <c r="K803">
        <v>1</v>
      </c>
      <c r="L803" s="3">
        <v>3699</v>
      </c>
      <c r="M803">
        <v>0</v>
      </c>
      <c r="N803" s="3">
        <v>3700</v>
      </c>
      <c r="O803" s="3">
        <v>3700</v>
      </c>
      <c r="P803" t="s">
        <v>74</v>
      </c>
      <c r="Q803" t="s">
        <v>51</v>
      </c>
      <c r="R803" t="s">
        <v>36</v>
      </c>
      <c r="S803" t="s">
        <v>112</v>
      </c>
      <c r="T803" t="s">
        <v>133</v>
      </c>
      <c r="U803" t="s">
        <v>124</v>
      </c>
      <c r="V803" t="s">
        <v>315</v>
      </c>
      <c r="W803">
        <v>5</v>
      </c>
      <c r="X803" t="s">
        <v>62</v>
      </c>
      <c r="Y803" t="s">
        <v>55</v>
      </c>
      <c r="Z803">
        <v>2</v>
      </c>
    </row>
    <row r="804" spans="1:26">
      <c r="A804" t="s">
        <v>1637</v>
      </c>
      <c r="B804" t="s">
        <v>1638</v>
      </c>
      <c r="C804" t="s">
        <v>28</v>
      </c>
      <c r="D804" t="s">
        <v>95</v>
      </c>
      <c r="E804" s="1">
        <v>44084</v>
      </c>
      <c r="F804" t="s">
        <v>79</v>
      </c>
      <c r="G804" t="s">
        <v>517</v>
      </c>
      <c r="H804" t="s">
        <v>59</v>
      </c>
      <c r="I804">
        <v>11</v>
      </c>
      <c r="J804" t="s">
        <v>73</v>
      </c>
      <c r="K804">
        <v>2</v>
      </c>
      <c r="L804" s="3">
        <v>7099</v>
      </c>
      <c r="M804">
        <v>40</v>
      </c>
      <c r="N804" s="3">
        <v>4260</v>
      </c>
      <c r="O804" s="3">
        <v>8520</v>
      </c>
      <c r="P804" t="s">
        <v>74</v>
      </c>
      <c r="Q804" t="s">
        <v>51</v>
      </c>
      <c r="R804" t="s">
        <v>36</v>
      </c>
      <c r="S804" t="s">
        <v>269</v>
      </c>
      <c r="T804" t="s">
        <v>270</v>
      </c>
      <c r="U804" t="s">
        <v>91</v>
      </c>
      <c r="V804" t="s">
        <v>40</v>
      </c>
      <c r="W804">
        <v>5</v>
      </c>
      <c r="X804" t="s">
        <v>41</v>
      </c>
      <c r="Y804" t="s">
        <v>147</v>
      </c>
      <c r="Z804">
        <v>1</v>
      </c>
    </row>
    <row r="805" spans="1:26">
      <c r="A805" t="s">
        <v>1639</v>
      </c>
      <c r="B805" t="s">
        <v>1640</v>
      </c>
      <c r="C805" t="s">
        <v>45</v>
      </c>
      <c r="D805" t="s">
        <v>103</v>
      </c>
      <c r="E805" s="1">
        <v>44084</v>
      </c>
      <c r="F805" t="s">
        <v>47</v>
      </c>
      <c r="G805" t="s">
        <v>218</v>
      </c>
      <c r="H805" t="s">
        <v>59</v>
      </c>
      <c r="I805">
        <v>10</v>
      </c>
      <c r="J805" t="s">
        <v>150</v>
      </c>
      <c r="K805">
        <v>1</v>
      </c>
      <c r="L805" s="3">
        <v>4299</v>
      </c>
      <c r="M805">
        <v>5</v>
      </c>
      <c r="N805" s="3">
        <v>4080</v>
      </c>
      <c r="O805" s="3">
        <v>4080</v>
      </c>
      <c r="P805" t="s">
        <v>74</v>
      </c>
      <c r="Q805" t="s">
        <v>35</v>
      </c>
      <c r="R805" t="s">
        <v>36</v>
      </c>
      <c r="S805" t="s">
        <v>68</v>
      </c>
      <c r="T805" t="s">
        <v>811</v>
      </c>
      <c r="U805" t="s">
        <v>124</v>
      </c>
      <c r="V805" t="s">
        <v>40</v>
      </c>
      <c r="W805">
        <v>3.9</v>
      </c>
      <c r="X805" t="s">
        <v>41</v>
      </c>
      <c r="Y805" t="s">
        <v>42</v>
      </c>
      <c r="Z805">
        <v>2</v>
      </c>
    </row>
    <row r="806" spans="1:26">
      <c r="A806" t="s">
        <v>1641</v>
      </c>
      <c r="B806" t="s">
        <v>1020</v>
      </c>
      <c r="C806" t="s">
        <v>45</v>
      </c>
      <c r="D806" t="s">
        <v>103</v>
      </c>
      <c r="E806" s="1">
        <v>44085</v>
      </c>
      <c r="F806" t="s">
        <v>30</v>
      </c>
      <c r="G806" t="s">
        <v>110</v>
      </c>
      <c r="H806" t="s">
        <v>111</v>
      </c>
      <c r="I806">
        <v>11</v>
      </c>
      <c r="J806" t="s">
        <v>33</v>
      </c>
      <c r="K806">
        <v>1</v>
      </c>
      <c r="L806" s="3">
        <v>6899</v>
      </c>
      <c r="M806">
        <v>15</v>
      </c>
      <c r="N806" s="3">
        <v>5860</v>
      </c>
      <c r="O806" s="3">
        <v>5860</v>
      </c>
      <c r="P806" t="s">
        <v>74</v>
      </c>
      <c r="Q806" t="s">
        <v>51</v>
      </c>
      <c r="R806" t="s">
        <v>36</v>
      </c>
      <c r="S806" t="s">
        <v>354</v>
      </c>
      <c r="T806" t="s">
        <v>431</v>
      </c>
      <c r="U806" t="s">
        <v>61</v>
      </c>
      <c r="V806" t="s">
        <v>315</v>
      </c>
      <c r="W806">
        <v>3</v>
      </c>
      <c r="X806" t="s">
        <v>62</v>
      </c>
      <c r="Y806" t="s">
        <v>55</v>
      </c>
      <c r="Z806">
        <v>4</v>
      </c>
    </row>
    <row r="807" spans="1:26">
      <c r="A807" t="s">
        <v>1642</v>
      </c>
      <c r="B807" t="s">
        <v>364</v>
      </c>
      <c r="C807" t="s">
        <v>28</v>
      </c>
      <c r="D807" t="s">
        <v>109</v>
      </c>
      <c r="E807" s="1">
        <v>44086</v>
      </c>
      <c r="F807" t="s">
        <v>96</v>
      </c>
      <c r="G807" t="s">
        <v>171</v>
      </c>
      <c r="H807" t="s">
        <v>128</v>
      </c>
      <c r="I807">
        <v>8</v>
      </c>
      <c r="J807" t="s">
        <v>150</v>
      </c>
      <c r="K807">
        <v>1</v>
      </c>
      <c r="L807" s="3">
        <v>6699</v>
      </c>
      <c r="M807">
        <v>20</v>
      </c>
      <c r="N807" s="3">
        <v>5360</v>
      </c>
      <c r="O807" s="3">
        <v>5360</v>
      </c>
      <c r="P807" t="s">
        <v>34</v>
      </c>
      <c r="Q807" t="s">
        <v>51</v>
      </c>
      <c r="R807" t="s">
        <v>36</v>
      </c>
      <c r="S807" t="s">
        <v>286</v>
      </c>
      <c r="T807" t="s">
        <v>366</v>
      </c>
      <c r="U807" t="s">
        <v>124</v>
      </c>
      <c r="V807" t="s">
        <v>315</v>
      </c>
      <c r="W807">
        <v>5</v>
      </c>
      <c r="X807" t="s">
        <v>41</v>
      </c>
      <c r="Y807" t="s">
        <v>55</v>
      </c>
      <c r="Z807">
        <v>1</v>
      </c>
    </row>
    <row r="808" spans="1:26">
      <c r="A808" t="s">
        <v>1643</v>
      </c>
      <c r="B808" t="s">
        <v>376</v>
      </c>
      <c r="C808" t="s">
        <v>45</v>
      </c>
      <c r="D808" t="s">
        <v>103</v>
      </c>
      <c r="E808" s="1">
        <v>44086</v>
      </c>
      <c r="F808" t="s">
        <v>96</v>
      </c>
      <c r="G808" t="s">
        <v>228</v>
      </c>
      <c r="H808" t="s">
        <v>59</v>
      </c>
      <c r="I808">
        <v>7</v>
      </c>
      <c r="J808" t="s">
        <v>73</v>
      </c>
      <c r="K808">
        <v>2</v>
      </c>
      <c r="L808" s="3">
        <v>8799</v>
      </c>
      <c r="M808">
        <v>20</v>
      </c>
      <c r="N808" s="3">
        <v>7040</v>
      </c>
      <c r="O808" s="3">
        <v>14080</v>
      </c>
      <c r="P808" t="s">
        <v>50</v>
      </c>
      <c r="Q808" t="s">
        <v>82</v>
      </c>
      <c r="R808" t="s">
        <v>36</v>
      </c>
      <c r="S808" t="s">
        <v>175</v>
      </c>
      <c r="T808" t="s">
        <v>176</v>
      </c>
      <c r="U808" t="s">
        <v>91</v>
      </c>
      <c r="V808" t="s">
        <v>315</v>
      </c>
      <c r="W808">
        <v>3.5</v>
      </c>
      <c r="X808" t="s">
        <v>62</v>
      </c>
      <c r="Y808" t="s">
        <v>42</v>
      </c>
      <c r="Z808">
        <v>3</v>
      </c>
    </row>
    <row r="809" spans="1:26">
      <c r="A809" t="s">
        <v>1644</v>
      </c>
      <c r="B809" t="s">
        <v>1645</v>
      </c>
      <c r="C809" t="s">
        <v>45</v>
      </c>
      <c r="D809" t="s">
        <v>29</v>
      </c>
      <c r="E809" s="1">
        <v>44086</v>
      </c>
      <c r="F809" t="s">
        <v>86</v>
      </c>
      <c r="G809" t="s">
        <v>242</v>
      </c>
      <c r="H809" t="s">
        <v>32</v>
      </c>
      <c r="I809">
        <v>9</v>
      </c>
      <c r="J809" t="s">
        <v>73</v>
      </c>
      <c r="K809">
        <v>3</v>
      </c>
      <c r="L809" s="3">
        <v>6699</v>
      </c>
      <c r="M809">
        <v>25</v>
      </c>
      <c r="N809" s="3">
        <v>5020</v>
      </c>
      <c r="O809" s="3">
        <v>15060</v>
      </c>
      <c r="P809" t="s">
        <v>81</v>
      </c>
      <c r="Q809" t="s">
        <v>51</v>
      </c>
      <c r="R809" t="s">
        <v>36</v>
      </c>
      <c r="S809" t="s">
        <v>151</v>
      </c>
      <c r="T809" t="s">
        <v>452</v>
      </c>
      <c r="U809" t="s">
        <v>54</v>
      </c>
      <c r="V809" t="s">
        <v>40</v>
      </c>
      <c r="W809">
        <v>3.7</v>
      </c>
      <c r="X809" t="s">
        <v>62</v>
      </c>
      <c r="Y809" t="s">
        <v>147</v>
      </c>
      <c r="Z809">
        <v>2</v>
      </c>
    </row>
    <row r="810" spans="1:26">
      <c r="A810" t="s">
        <v>1646</v>
      </c>
      <c r="B810" t="s">
        <v>1598</v>
      </c>
      <c r="C810" t="s">
        <v>45</v>
      </c>
      <c r="D810" t="s">
        <v>109</v>
      </c>
      <c r="E810" s="1">
        <v>44087</v>
      </c>
      <c r="F810" t="s">
        <v>86</v>
      </c>
      <c r="G810" t="s">
        <v>87</v>
      </c>
      <c r="H810" t="s">
        <v>59</v>
      </c>
      <c r="I810">
        <v>11</v>
      </c>
      <c r="J810" t="s">
        <v>73</v>
      </c>
      <c r="K810">
        <v>1</v>
      </c>
      <c r="L810" s="3">
        <v>4999</v>
      </c>
      <c r="M810">
        <v>10</v>
      </c>
      <c r="N810" s="3">
        <v>4500</v>
      </c>
      <c r="O810" s="3">
        <v>4500</v>
      </c>
      <c r="P810" t="s">
        <v>34</v>
      </c>
      <c r="Q810" t="s">
        <v>82</v>
      </c>
      <c r="R810" t="s">
        <v>36</v>
      </c>
      <c r="S810" t="s">
        <v>99</v>
      </c>
      <c r="T810" t="s">
        <v>335</v>
      </c>
      <c r="U810" t="s">
        <v>54</v>
      </c>
      <c r="V810" t="s">
        <v>315</v>
      </c>
      <c r="W810">
        <v>4.4000000000000004</v>
      </c>
      <c r="X810" t="s">
        <v>41</v>
      </c>
      <c r="Y810" t="s">
        <v>55</v>
      </c>
      <c r="Z810">
        <v>2</v>
      </c>
    </row>
    <row r="811" spans="1:26">
      <c r="A811" t="s">
        <v>1647</v>
      </c>
      <c r="B811" t="s">
        <v>1572</v>
      </c>
      <c r="C811" t="s">
        <v>45</v>
      </c>
      <c r="D811" t="s">
        <v>29</v>
      </c>
      <c r="E811" s="1">
        <v>44087</v>
      </c>
      <c r="F811" t="s">
        <v>30</v>
      </c>
      <c r="G811" t="s">
        <v>31</v>
      </c>
      <c r="H811" t="s">
        <v>32</v>
      </c>
      <c r="I811">
        <v>7</v>
      </c>
      <c r="J811" t="s">
        <v>98</v>
      </c>
      <c r="K811">
        <v>3</v>
      </c>
      <c r="L811" s="3">
        <v>9799</v>
      </c>
      <c r="M811">
        <v>10</v>
      </c>
      <c r="N811" s="3">
        <v>8820</v>
      </c>
      <c r="O811" s="3">
        <v>26460</v>
      </c>
      <c r="P811" t="s">
        <v>50</v>
      </c>
      <c r="Q811" t="s">
        <v>35</v>
      </c>
      <c r="R811" t="s">
        <v>36</v>
      </c>
      <c r="S811" t="s">
        <v>151</v>
      </c>
      <c r="T811" t="s">
        <v>152</v>
      </c>
      <c r="U811" t="s">
        <v>54</v>
      </c>
      <c r="V811" t="s">
        <v>315</v>
      </c>
      <c r="W811">
        <v>4.3</v>
      </c>
      <c r="X811" t="s">
        <v>41</v>
      </c>
      <c r="Y811" t="s">
        <v>147</v>
      </c>
      <c r="Z811">
        <v>2</v>
      </c>
    </row>
    <row r="812" spans="1:26">
      <c r="A812" t="s">
        <v>1648</v>
      </c>
      <c r="B812" t="s">
        <v>457</v>
      </c>
      <c r="C812" t="s">
        <v>94</v>
      </c>
      <c r="D812" t="s">
        <v>29</v>
      </c>
      <c r="E812" s="1">
        <v>44087</v>
      </c>
      <c r="F812" t="s">
        <v>30</v>
      </c>
      <c r="G812" t="s">
        <v>347</v>
      </c>
      <c r="H812" t="s">
        <v>49</v>
      </c>
      <c r="I812">
        <v>11</v>
      </c>
      <c r="J812" t="s">
        <v>73</v>
      </c>
      <c r="K812">
        <v>1</v>
      </c>
      <c r="L812" s="3">
        <v>7699</v>
      </c>
      <c r="M812">
        <v>10</v>
      </c>
      <c r="N812" s="3">
        <v>6930</v>
      </c>
      <c r="O812" s="3">
        <v>6930</v>
      </c>
      <c r="P812" t="s">
        <v>74</v>
      </c>
      <c r="Q812" t="s">
        <v>51</v>
      </c>
      <c r="R812" t="s">
        <v>36</v>
      </c>
      <c r="S812" t="s">
        <v>210</v>
      </c>
      <c r="T812" t="s">
        <v>412</v>
      </c>
      <c r="U812" t="s">
        <v>39</v>
      </c>
      <c r="V812" t="s">
        <v>315</v>
      </c>
      <c r="W812">
        <v>3.3</v>
      </c>
      <c r="X812" t="s">
        <v>41</v>
      </c>
      <c r="Y812" t="s">
        <v>55</v>
      </c>
      <c r="Z812">
        <v>2</v>
      </c>
    </row>
    <row r="813" spans="1:26">
      <c r="A813" t="s">
        <v>1649</v>
      </c>
      <c r="B813" t="s">
        <v>651</v>
      </c>
      <c r="C813" t="s">
        <v>28</v>
      </c>
      <c r="D813" t="s">
        <v>103</v>
      </c>
      <c r="E813" s="1">
        <v>44087</v>
      </c>
      <c r="F813" t="s">
        <v>96</v>
      </c>
      <c r="G813" t="s">
        <v>97</v>
      </c>
      <c r="H813" t="s">
        <v>49</v>
      </c>
      <c r="I813">
        <v>10</v>
      </c>
      <c r="J813" t="s">
        <v>33</v>
      </c>
      <c r="K813">
        <v>1</v>
      </c>
      <c r="L813" s="3">
        <v>6399</v>
      </c>
      <c r="M813">
        <v>25</v>
      </c>
      <c r="N813" s="3">
        <v>4800</v>
      </c>
      <c r="O813" s="3">
        <v>4800</v>
      </c>
      <c r="P813" t="s">
        <v>74</v>
      </c>
      <c r="Q813" t="s">
        <v>51</v>
      </c>
      <c r="R813" t="s">
        <v>36</v>
      </c>
      <c r="S813" t="s">
        <v>186</v>
      </c>
      <c r="T813" t="s">
        <v>341</v>
      </c>
      <c r="U813" t="s">
        <v>61</v>
      </c>
      <c r="V813" t="s">
        <v>315</v>
      </c>
      <c r="W813">
        <v>4.5999999999999996</v>
      </c>
      <c r="X813" t="s">
        <v>41</v>
      </c>
      <c r="Y813" t="s">
        <v>55</v>
      </c>
      <c r="Z813">
        <v>3</v>
      </c>
    </row>
    <row r="814" spans="1:26">
      <c r="A814" t="s">
        <v>1650</v>
      </c>
      <c r="B814" t="s">
        <v>135</v>
      </c>
      <c r="C814" t="s">
        <v>94</v>
      </c>
      <c r="D814" t="s">
        <v>95</v>
      </c>
      <c r="E814" s="1">
        <v>44088</v>
      </c>
      <c r="F814" t="s">
        <v>79</v>
      </c>
      <c r="G814" t="s">
        <v>517</v>
      </c>
      <c r="H814" t="s">
        <v>59</v>
      </c>
      <c r="I814">
        <v>7</v>
      </c>
      <c r="J814" t="s">
        <v>88</v>
      </c>
      <c r="K814">
        <v>2</v>
      </c>
      <c r="L814" s="3">
        <v>4199</v>
      </c>
      <c r="M814">
        <v>10</v>
      </c>
      <c r="N814" s="3">
        <v>3780</v>
      </c>
      <c r="O814" s="3">
        <v>7560</v>
      </c>
      <c r="P814" t="s">
        <v>74</v>
      </c>
      <c r="Q814" t="s">
        <v>82</v>
      </c>
      <c r="R814" t="s">
        <v>36</v>
      </c>
      <c r="S814" t="s">
        <v>243</v>
      </c>
      <c r="T814" t="s">
        <v>244</v>
      </c>
      <c r="U814" t="s">
        <v>124</v>
      </c>
      <c r="V814" t="s">
        <v>315</v>
      </c>
      <c r="W814">
        <v>4.4000000000000004</v>
      </c>
      <c r="X814" t="s">
        <v>41</v>
      </c>
      <c r="Y814" t="s">
        <v>42</v>
      </c>
      <c r="Z814">
        <v>4</v>
      </c>
    </row>
    <row r="815" spans="1:26">
      <c r="A815" t="s">
        <v>1651</v>
      </c>
      <c r="B815" t="s">
        <v>1652</v>
      </c>
      <c r="C815" t="s">
        <v>94</v>
      </c>
      <c r="D815" t="s">
        <v>46</v>
      </c>
      <c r="E815" s="1">
        <v>44089</v>
      </c>
      <c r="F815" t="s">
        <v>79</v>
      </c>
      <c r="G815" t="s">
        <v>127</v>
      </c>
      <c r="H815" t="s">
        <v>128</v>
      </c>
      <c r="I815">
        <v>9</v>
      </c>
      <c r="J815" t="s">
        <v>98</v>
      </c>
      <c r="K815">
        <v>1</v>
      </c>
      <c r="L815" s="3">
        <v>6599</v>
      </c>
      <c r="M815">
        <v>5</v>
      </c>
      <c r="N815" s="3">
        <v>6270</v>
      </c>
      <c r="O815" s="3">
        <v>6270</v>
      </c>
      <c r="P815" t="s">
        <v>74</v>
      </c>
      <c r="Q815" t="s">
        <v>82</v>
      </c>
      <c r="R815" t="s">
        <v>36</v>
      </c>
      <c r="S815" t="s">
        <v>384</v>
      </c>
      <c r="T815" t="s">
        <v>444</v>
      </c>
      <c r="U815" t="s">
        <v>54</v>
      </c>
      <c r="V815" t="s">
        <v>40</v>
      </c>
      <c r="W815">
        <v>3.7</v>
      </c>
      <c r="X815" t="s">
        <v>106</v>
      </c>
      <c r="Y815" t="s">
        <v>55</v>
      </c>
      <c r="Z815">
        <v>2</v>
      </c>
    </row>
    <row r="816" spans="1:26">
      <c r="A816" t="s">
        <v>1653</v>
      </c>
      <c r="B816" t="s">
        <v>376</v>
      </c>
      <c r="C816" t="s">
        <v>28</v>
      </c>
      <c r="D816" t="s">
        <v>46</v>
      </c>
      <c r="E816" s="1">
        <v>44089</v>
      </c>
      <c r="F816" t="s">
        <v>79</v>
      </c>
      <c r="G816" t="s">
        <v>80</v>
      </c>
      <c r="H816" t="s">
        <v>59</v>
      </c>
      <c r="I816">
        <v>8</v>
      </c>
      <c r="J816" t="s">
        <v>98</v>
      </c>
      <c r="K816">
        <v>2</v>
      </c>
      <c r="L816" s="3">
        <v>7399</v>
      </c>
      <c r="M816">
        <v>30</v>
      </c>
      <c r="N816" s="3">
        <v>5180</v>
      </c>
      <c r="O816" s="3">
        <v>10360</v>
      </c>
      <c r="P816" t="s">
        <v>74</v>
      </c>
      <c r="Q816" t="s">
        <v>51</v>
      </c>
      <c r="R816" t="s">
        <v>36</v>
      </c>
      <c r="S816" t="s">
        <v>175</v>
      </c>
      <c r="T816" t="s">
        <v>176</v>
      </c>
      <c r="U816" t="s">
        <v>54</v>
      </c>
      <c r="V816" t="s">
        <v>969</v>
      </c>
      <c r="W816">
        <v>4.4000000000000004</v>
      </c>
      <c r="X816" t="s">
        <v>41</v>
      </c>
      <c r="Y816" t="s">
        <v>42</v>
      </c>
      <c r="Z816">
        <v>3</v>
      </c>
    </row>
    <row r="817" spans="1:26">
      <c r="A817" t="s">
        <v>1654</v>
      </c>
      <c r="B817" t="s">
        <v>1655</v>
      </c>
      <c r="C817" t="s">
        <v>28</v>
      </c>
      <c r="D817" t="s">
        <v>46</v>
      </c>
      <c r="E817" s="1">
        <v>44090</v>
      </c>
      <c r="F817" t="s">
        <v>47</v>
      </c>
      <c r="G817" t="s">
        <v>121</v>
      </c>
      <c r="H817" t="s">
        <v>111</v>
      </c>
      <c r="I817">
        <v>7</v>
      </c>
      <c r="J817" t="s">
        <v>73</v>
      </c>
      <c r="K817">
        <v>1</v>
      </c>
      <c r="L817" s="3">
        <v>7499</v>
      </c>
      <c r="M817">
        <v>25</v>
      </c>
      <c r="N817" s="3">
        <v>5620</v>
      </c>
      <c r="O817" s="3">
        <v>5620</v>
      </c>
      <c r="P817" t="s">
        <v>74</v>
      </c>
      <c r="Q817" t="s">
        <v>51</v>
      </c>
      <c r="R817" t="s">
        <v>36</v>
      </c>
      <c r="S817" t="s">
        <v>182</v>
      </c>
      <c r="T817" t="s">
        <v>604</v>
      </c>
      <c r="U817" t="s">
        <v>124</v>
      </c>
      <c r="V817" t="s">
        <v>40</v>
      </c>
      <c r="W817">
        <v>4.5</v>
      </c>
      <c r="X817" t="s">
        <v>41</v>
      </c>
      <c r="Y817" t="s">
        <v>42</v>
      </c>
      <c r="Z817">
        <v>2</v>
      </c>
    </row>
    <row r="818" spans="1:26">
      <c r="A818" t="s">
        <v>1656</v>
      </c>
      <c r="B818" t="s">
        <v>947</v>
      </c>
      <c r="C818" t="s">
        <v>45</v>
      </c>
      <c r="D818" t="s">
        <v>103</v>
      </c>
      <c r="E818" s="1">
        <v>44091</v>
      </c>
      <c r="F818" t="s">
        <v>86</v>
      </c>
      <c r="G818" t="s">
        <v>285</v>
      </c>
      <c r="H818" t="s">
        <v>111</v>
      </c>
      <c r="I818">
        <v>12</v>
      </c>
      <c r="J818" t="s">
        <v>67</v>
      </c>
      <c r="K818">
        <v>1</v>
      </c>
      <c r="L818" s="3">
        <v>4299</v>
      </c>
      <c r="M818">
        <v>15</v>
      </c>
      <c r="N818" s="3">
        <v>3650</v>
      </c>
      <c r="O818" s="3">
        <v>3650</v>
      </c>
      <c r="P818" t="s">
        <v>74</v>
      </c>
      <c r="Q818" t="s">
        <v>35</v>
      </c>
      <c r="R818" t="s">
        <v>36</v>
      </c>
      <c r="S818" t="s">
        <v>104</v>
      </c>
      <c r="T818" t="s">
        <v>291</v>
      </c>
      <c r="U818" t="s">
        <v>39</v>
      </c>
      <c r="V818" t="s">
        <v>315</v>
      </c>
      <c r="W818">
        <v>4.4000000000000004</v>
      </c>
      <c r="X818" t="s">
        <v>62</v>
      </c>
      <c r="Y818" t="s">
        <v>42</v>
      </c>
      <c r="Z818">
        <v>3</v>
      </c>
    </row>
    <row r="819" spans="1:26">
      <c r="A819" t="s">
        <v>1657</v>
      </c>
      <c r="B819" t="s">
        <v>1658</v>
      </c>
      <c r="C819" t="s">
        <v>45</v>
      </c>
      <c r="D819" t="s">
        <v>46</v>
      </c>
      <c r="E819" s="1">
        <v>44092</v>
      </c>
      <c r="F819" t="s">
        <v>96</v>
      </c>
      <c r="G819" t="s">
        <v>155</v>
      </c>
      <c r="H819" t="s">
        <v>111</v>
      </c>
      <c r="I819">
        <v>6</v>
      </c>
      <c r="J819" t="s">
        <v>88</v>
      </c>
      <c r="K819">
        <v>1</v>
      </c>
      <c r="L819" s="3">
        <v>8799</v>
      </c>
      <c r="M819">
        <v>10</v>
      </c>
      <c r="N819" s="3">
        <v>7920</v>
      </c>
      <c r="O819" s="3">
        <v>7920</v>
      </c>
      <c r="P819" t="s">
        <v>74</v>
      </c>
      <c r="Q819" t="s">
        <v>51</v>
      </c>
      <c r="R819" t="s">
        <v>36</v>
      </c>
      <c r="S819" t="s">
        <v>168</v>
      </c>
      <c r="T819" t="s">
        <v>557</v>
      </c>
      <c r="U819" t="s">
        <v>91</v>
      </c>
      <c r="V819" t="s">
        <v>40</v>
      </c>
      <c r="W819">
        <v>4.3</v>
      </c>
      <c r="X819" t="s">
        <v>41</v>
      </c>
      <c r="Y819" t="s">
        <v>42</v>
      </c>
      <c r="Z819">
        <v>3</v>
      </c>
    </row>
    <row r="820" spans="1:26">
      <c r="A820" t="s">
        <v>1659</v>
      </c>
      <c r="B820" t="s">
        <v>1367</v>
      </c>
      <c r="C820" t="s">
        <v>45</v>
      </c>
      <c r="D820" t="s">
        <v>95</v>
      </c>
      <c r="E820" s="1">
        <v>44093</v>
      </c>
      <c r="F820" t="s">
        <v>47</v>
      </c>
      <c r="G820" t="s">
        <v>48</v>
      </c>
      <c r="H820" t="s">
        <v>49</v>
      </c>
      <c r="I820">
        <v>8</v>
      </c>
      <c r="J820" t="s">
        <v>150</v>
      </c>
      <c r="K820">
        <v>3</v>
      </c>
      <c r="L820" s="3">
        <v>4299</v>
      </c>
      <c r="M820">
        <v>30</v>
      </c>
      <c r="N820" s="3">
        <v>3010</v>
      </c>
      <c r="O820" s="3">
        <v>9030</v>
      </c>
      <c r="P820" t="s">
        <v>34</v>
      </c>
      <c r="Q820" t="s">
        <v>51</v>
      </c>
      <c r="R820" t="s">
        <v>36</v>
      </c>
      <c r="S820" t="s">
        <v>52</v>
      </c>
      <c r="T820" t="s">
        <v>53</v>
      </c>
      <c r="U820" t="s">
        <v>39</v>
      </c>
      <c r="V820" t="s">
        <v>315</v>
      </c>
      <c r="W820">
        <v>4.4000000000000004</v>
      </c>
      <c r="X820" t="s">
        <v>41</v>
      </c>
      <c r="Y820" t="s">
        <v>42</v>
      </c>
      <c r="Z820">
        <v>1</v>
      </c>
    </row>
    <row r="821" spans="1:26">
      <c r="A821" t="s">
        <v>1660</v>
      </c>
      <c r="B821" t="s">
        <v>1661</v>
      </c>
      <c r="C821" t="s">
        <v>45</v>
      </c>
      <c r="D821" t="s">
        <v>103</v>
      </c>
      <c r="E821" s="1">
        <v>44093</v>
      </c>
      <c r="F821" t="s">
        <v>65</v>
      </c>
      <c r="G821" t="s">
        <v>279</v>
      </c>
      <c r="H821" t="s">
        <v>111</v>
      </c>
      <c r="I821">
        <v>9</v>
      </c>
      <c r="J821" t="s">
        <v>67</v>
      </c>
      <c r="K821">
        <v>1</v>
      </c>
      <c r="L821" s="3">
        <v>5799</v>
      </c>
      <c r="M821">
        <v>10</v>
      </c>
      <c r="N821" s="3">
        <v>5220</v>
      </c>
      <c r="O821" s="3">
        <v>5220</v>
      </c>
      <c r="P821" t="s">
        <v>34</v>
      </c>
      <c r="Q821" t="s">
        <v>51</v>
      </c>
      <c r="R821" t="s">
        <v>36</v>
      </c>
      <c r="S821" t="s">
        <v>151</v>
      </c>
      <c r="T821" t="s">
        <v>506</v>
      </c>
      <c r="U821" t="s">
        <v>39</v>
      </c>
      <c r="V821" t="s">
        <v>40</v>
      </c>
      <c r="W821">
        <v>4.0999999999999996</v>
      </c>
      <c r="X821" t="s">
        <v>41</v>
      </c>
      <c r="Y821" t="s">
        <v>42</v>
      </c>
      <c r="Z821">
        <v>4</v>
      </c>
    </row>
    <row r="822" spans="1:26">
      <c r="A822" t="s">
        <v>1662</v>
      </c>
      <c r="B822" t="s">
        <v>1663</v>
      </c>
      <c r="C822" t="s">
        <v>28</v>
      </c>
      <c r="D822" t="s">
        <v>103</v>
      </c>
      <c r="E822" s="1">
        <v>44093</v>
      </c>
      <c r="F822" t="s">
        <v>86</v>
      </c>
      <c r="G822" t="s">
        <v>87</v>
      </c>
      <c r="H822" t="s">
        <v>59</v>
      </c>
      <c r="I822">
        <v>8</v>
      </c>
      <c r="J822" t="s">
        <v>73</v>
      </c>
      <c r="K822">
        <v>2</v>
      </c>
      <c r="L822" s="3">
        <v>8499</v>
      </c>
      <c r="M822">
        <v>15</v>
      </c>
      <c r="N822" s="3">
        <v>7220</v>
      </c>
      <c r="O822" s="3">
        <v>14440</v>
      </c>
      <c r="P822" t="s">
        <v>81</v>
      </c>
      <c r="Q822" t="s">
        <v>82</v>
      </c>
      <c r="R822" t="s">
        <v>36</v>
      </c>
      <c r="S822" t="s">
        <v>89</v>
      </c>
      <c r="T822" t="s">
        <v>425</v>
      </c>
      <c r="U822" t="s">
        <v>54</v>
      </c>
      <c r="V822" t="s">
        <v>40</v>
      </c>
      <c r="W822">
        <v>5</v>
      </c>
      <c r="X822" t="s">
        <v>41</v>
      </c>
      <c r="Y822" t="s">
        <v>42</v>
      </c>
      <c r="Z822">
        <v>2</v>
      </c>
    </row>
    <row r="823" spans="1:26">
      <c r="A823" t="s">
        <v>1664</v>
      </c>
      <c r="B823" t="s">
        <v>1665</v>
      </c>
      <c r="C823" t="s">
        <v>28</v>
      </c>
      <c r="D823" t="s">
        <v>95</v>
      </c>
      <c r="E823" s="1">
        <v>44093</v>
      </c>
      <c r="F823" t="s">
        <v>65</v>
      </c>
      <c r="G823" t="s">
        <v>72</v>
      </c>
      <c r="H823" t="s">
        <v>59</v>
      </c>
      <c r="I823">
        <v>9</v>
      </c>
      <c r="J823" t="s">
        <v>67</v>
      </c>
      <c r="K823">
        <v>2</v>
      </c>
      <c r="L823" s="3">
        <v>4199</v>
      </c>
      <c r="M823">
        <v>10</v>
      </c>
      <c r="N823" s="3">
        <v>3780</v>
      </c>
      <c r="O823" s="3">
        <v>7560</v>
      </c>
      <c r="P823" t="s">
        <v>50</v>
      </c>
      <c r="Q823" t="s">
        <v>82</v>
      </c>
      <c r="R823" t="s">
        <v>36</v>
      </c>
      <c r="S823" t="s">
        <v>297</v>
      </c>
      <c r="T823" t="s">
        <v>351</v>
      </c>
      <c r="U823" t="s">
        <v>124</v>
      </c>
      <c r="V823" t="s">
        <v>40</v>
      </c>
      <c r="W823">
        <v>4.5999999999999996</v>
      </c>
      <c r="X823" t="s">
        <v>41</v>
      </c>
      <c r="Y823" t="s">
        <v>42</v>
      </c>
      <c r="Z823">
        <v>5</v>
      </c>
    </row>
    <row r="824" spans="1:26">
      <c r="A824" t="s">
        <v>1666</v>
      </c>
      <c r="B824" t="s">
        <v>259</v>
      </c>
      <c r="C824" t="s">
        <v>28</v>
      </c>
      <c r="D824" t="s">
        <v>46</v>
      </c>
      <c r="E824" s="1">
        <v>44096</v>
      </c>
      <c r="F824" t="s">
        <v>47</v>
      </c>
      <c r="G824" t="s">
        <v>199</v>
      </c>
      <c r="H824" t="s">
        <v>59</v>
      </c>
      <c r="I824">
        <v>6</v>
      </c>
      <c r="J824" t="s">
        <v>67</v>
      </c>
      <c r="K824">
        <v>3</v>
      </c>
      <c r="L824" s="3">
        <v>8499</v>
      </c>
      <c r="M824">
        <v>35</v>
      </c>
      <c r="N824" s="3">
        <v>5520</v>
      </c>
      <c r="O824" s="3">
        <v>16560</v>
      </c>
      <c r="P824" t="s">
        <v>74</v>
      </c>
      <c r="Q824" t="s">
        <v>51</v>
      </c>
      <c r="R824" t="s">
        <v>36</v>
      </c>
      <c r="S824" t="s">
        <v>191</v>
      </c>
      <c r="T824" t="s">
        <v>572</v>
      </c>
      <c r="U824" t="s">
        <v>124</v>
      </c>
      <c r="V824" t="s">
        <v>315</v>
      </c>
      <c r="W824">
        <v>3.7</v>
      </c>
      <c r="X824" t="s">
        <v>41</v>
      </c>
      <c r="Y824" t="s">
        <v>55</v>
      </c>
      <c r="Z824">
        <v>2</v>
      </c>
    </row>
    <row r="825" spans="1:26">
      <c r="A825" t="s">
        <v>1667</v>
      </c>
      <c r="B825" t="s">
        <v>1668</v>
      </c>
      <c r="C825" t="s">
        <v>28</v>
      </c>
      <c r="D825" t="s">
        <v>95</v>
      </c>
      <c r="E825" s="1">
        <v>44096</v>
      </c>
      <c r="F825" t="s">
        <v>65</v>
      </c>
      <c r="G825" t="s">
        <v>279</v>
      </c>
      <c r="H825" t="s">
        <v>111</v>
      </c>
      <c r="I825">
        <v>10</v>
      </c>
      <c r="J825" t="s">
        <v>33</v>
      </c>
      <c r="K825">
        <v>2</v>
      </c>
      <c r="L825" s="3">
        <v>8499</v>
      </c>
      <c r="M825">
        <v>5</v>
      </c>
      <c r="N825" s="3">
        <v>8070</v>
      </c>
      <c r="O825" s="3">
        <v>16140</v>
      </c>
      <c r="P825" t="s">
        <v>74</v>
      </c>
      <c r="Q825" t="s">
        <v>35</v>
      </c>
      <c r="R825" t="s">
        <v>36</v>
      </c>
      <c r="S825" t="s">
        <v>122</v>
      </c>
      <c r="T825" t="s">
        <v>382</v>
      </c>
      <c r="U825" t="s">
        <v>61</v>
      </c>
      <c r="V825" t="s">
        <v>40</v>
      </c>
      <c r="W825">
        <v>4.5999999999999996</v>
      </c>
      <c r="X825" t="s">
        <v>41</v>
      </c>
      <c r="Y825" t="s">
        <v>55</v>
      </c>
      <c r="Z825">
        <v>2</v>
      </c>
    </row>
    <row r="826" spans="1:26">
      <c r="A826" t="s">
        <v>1669</v>
      </c>
      <c r="B826" t="s">
        <v>1670</v>
      </c>
      <c r="C826" t="s">
        <v>94</v>
      </c>
      <c r="D826" t="s">
        <v>95</v>
      </c>
      <c r="E826" s="1">
        <v>44097</v>
      </c>
      <c r="F826" t="s">
        <v>79</v>
      </c>
      <c r="G826" t="s">
        <v>480</v>
      </c>
      <c r="H826" t="s">
        <v>111</v>
      </c>
      <c r="I826">
        <v>9</v>
      </c>
      <c r="J826" t="s">
        <v>98</v>
      </c>
      <c r="K826">
        <v>3</v>
      </c>
      <c r="L826" s="3">
        <v>5499</v>
      </c>
      <c r="M826">
        <v>20</v>
      </c>
      <c r="N826" s="3">
        <v>4400</v>
      </c>
      <c r="O826" s="3">
        <v>13200</v>
      </c>
      <c r="P826" t="s">
        <v>74</v>
      </c>
      <c r="Q826" t="s">
        <v>82</v>
      </c>
      <c r="R826" t="s">
        <v>36</v>
      </c>
      <c r="S826" t="s">
        <v>200</v>
      </c>
      <c r="T826" t="s">
        <v>201</v>
      </c>
      <c r="U826" t="s">
        <v>124</v>
      </c>
      <c r="V826" t="s">
        <v>40</v>
      </c>
      <c r="W826">
        <v>4.5999999999999996</v>
      </c>
      <c r="X826" t="s">
        <v>41</v>
      </c>
      <c r="Y826" t="s">
        <v>42</v>
      </c>
      <c r="Z826">
        <v>5</v>
      </c>
    </row>
    <row r="827" spans="1:26">
      <c r="A827" t="s">
        <v>1671</v>
      </c>
      <c r="B827" t="s">
        <v>1044</v>
      </c>
      <c r="C827" t="s">
        <v>45</v>
      </c>
      <c r="D827" t="s">
        <v>29</v>
      </c>
      <c r="E827" s="1">
        <v>44097</v>
      </c>
      <c r="F827" t="s">
        <v>79</v>
      </c>
      <c r="G827" t="s">
        <v>127</v>
      </c>
      <c r="H827" t="s">
        <v>128</v>
      </c>
      <c r="I827">
        <v>9</v>
      </c>
      <c r="J827" t="s">
        <v>150</v>
      </c>
      <c r="K827">
        <v>1</v>
      </c>
      <c r="L827" s="3">
        <v>6999</v>
      </c>
      <c r="M827">
        <v>30</v>
      </c>
      <c r="N827" s="3">
        <v>4900</v>
      </c>
      <c r="O827" s="3">
        <v>4900</v>
      </c>
      <c r="P827" t="s">
        <v>74</v>
      </c>
      <c r="Q827" t="s">
        <v>82</v>
      </c>
      <c r="R827" t="s">
        <v>36</v>
      </c>
      <c r="S827" t="s">
        <v>243</v>
      </c>
      <c r="T827" t="s">
        <v>244</v>
      </c>
      <c r="U827" t="s">
        <v>91</v>
      </c>
      <c r="V827" t="s">
        <v>315</v>
      </c>
      <c r="W827">
        <v>3.2</v>
      </c>
      <c r="X827" t="s">
        <v>41</v>
      </c>
      <c r="Y827" t="s">
        <v>55</v>
      </c>
      <c r="Z827">
        <v>2</v>
      </c>
    </row>
    <row r="828" spans="1:26">
      <c r="A828" t="s">
        <v>1672</v>
      </c>
      <c r="B828" t="s">
        <v>1349</v>
      </c>
      <c r="C828" t="s">
        <v>45</v>
      </c>
      <c r="D828" t="s">
        <v>46</v>
      </c>
      <c r="E828" s="1">
        <v>44097</v>
      </c>
      <c r="F828" t="s">
        <v>86</v>
      </c>
      <c r="G828" t="s">
        <v>242</v>
      </c>
      <c r="H828" t="s">
        <v>32</v>
      </c>
      <c r="I828">
        <v>11</v>
      </c>
      <c r="J828" t="s">
        <v>33</v>
      </c>
      <c r="K828">
        <v>2</v>
      </c>
      <c r="L828" s="3">
        <v>5399</v>
      </c>
      <c r="M828">
        <v>20</v>
      </c>
      <c r="N828" s="3">
        <v>4320</v>
      </c>
      <c r="O828" s="3">
        <v>8640</v>
      </c>
      <c r="P828" t="s">
        <v>81</v>
      </c>
      <c r="Q828" t="s">
        <v>51</v>
      </c>
      <c r="R828" t="s">
        <v>36</v>
      </c>
      <c r="S828" t="s">
        <v>160</v>
      </c>
      <c r="T828" t="s">
        <v>344</v>
      </c>
      <c r="U828" t="s">
        <v>124</v>
      </c>
      <c r="V828" t="s">
        <v>315</v>
      </c>
      <c r="W828">
        <v>3.6</v>
      </c>
      <c r="X828" t="s">
        <v>41</v>
      </c>
      <c r="Y828" t="s">
        <v>42</v>
      </c>
      <c r="Z828">
        <v>5</v>
      </c>
    </row>
    <row r="829" spans="1:26">
      <c r="A829" t="s">
        <v>1673</v>
      </c>
      <c r="B829" t="s">
        <v>916</v>
      </c>
      <c r="C829" t="s">
        <v>28</v>
      </c>
      <c r="D829" t="s">
        <v>109</v>
      </c>
      <c r="E829" s="1">
        <v>44098</v>
      </c>
      <c r="F829" t="s">
        <v>47</v>
      </c>
      <c r="G829" t="s">
        <v>199</v>
      </c>
      <c r="H829" t="s">
        <v>59</v>
      </c>
      <c r="I829">
        <v>8</v>
      </c>
      <c r="J829" t="s">
        <v>67</v>
      </c>
      <c r="K829">
        <v>1</v>
      </c>
      <c r="L829" s="3">
        <v>4299</v>
      </c>
      <c r="M829">
        <v>10</v>
      </c>
      <c r="N829" s="3">
        <v>3870</v>
      </c>
      <c r="O829" s="3">
        <v>3870</v>
      </c>
      <c r="P829" t="s">
        <v>34</v>
      </c>
      <c r="Q829" t="s">
        <v>51</v>
      </c>
      <c r="R829" t="s">
        <v>36</v>
      </c>
      <c r="S829" t="s">
        <v>37</v>
      </c>
      <c r="T829" t="s">
        <v>38</v>
      </c>
      <c r="U829" t="s">
        <v>39</v>
      </c>
      <c r="V829" t="s">
        <v>315</v>
      </c>
      <c r="W829">
        <v>3.2</v>
      </c>
      <c r="X829" t="s">
        <v>41</v>
      </c>
      <c r="Y829" t="s">
        <v>42</v>
      </c>
      <c r="Z829">
        <v>6</v>
      </c>
    </row>
    <row r="830" spans="1:26">
      <c r="A830" t="s">
        <v>1674</v>
      </c>
      <c r="B830" t="s">
        <v>479</v>
      </c>
      <c r="C830" t="s">
        <v>28</v>
      </c>
      <c r="D830" t="s">
        <v>103</v>
      </c>
      <c r="E830" s="1">
        <v>44099</v>
      </c>
      <c r="F830" t="s">
        <v>79</v>
      </c>
      <c r="G830" t="s">
        <v>127</v>
      </c>
      <c r="H830" t="s">
        <v>128</v>
      </c>
      <c r="I830">
        <v>9</v>
      </c>
      <c r="J830" t="s">
        <v>33</v>
      </c>
      <c r="K830">
        <v>2</v>
      </c>
      <c r="L830" s="3">
        <v>5599</v>
      </c>
      <c r="M830">
        <v>20</v>
      </c>
      <c r="N830" s="3">
        <v>4480</v>
      </c>
      <c r="O830" s="3">
        <v>8960</v>
      </c>
      <c r="P830" t="s">
        <v>74</v>
      </c>
      <c r="Q830" t="s">
        <v>51</v>
      </c>
      <c r="R830" t="s">
        <v>36</v>
      </c>
      <c r="S830" t="s">
        <v>269</v>
      </c>
      <c r="T830" t="s">
        <v>575</v>
      </c>
      <c r="U830" t="s">
        <v>39</v>
      </c>
      <c r="V830" t="s">
        <v>969</v>
      </c>
      <c r="W830">
        <v>2.8</v>
      </c>
      <c r="X830" t="s">
        <v>62</v>
      </c>
      <c r="Y830" t="s">
        <v>42</v>
      </c>
      <c r="Z830">
        <v>3</v>
      </c>
    </row>
    <row r="831" spans="1:26">
      <c r="A831" t="s">
        <v>1675</v>
      </c>
      <c r="B831" t="s">
        <v>1676</v>
      </c>
      <c r="C831" t="s">
        <v>94</v>
      </c>
      <c r="D831" t="s">
        <v>46</v>
      </c>
      <c r="E831" s="1">
        <v>44101</v>
      </c>
      <c r="F831" t="s">
        <v>96</v>
      </c>
      <c r="G831" t="s">
        <v>323</v>
      </c>
      <c r="H831" t="s">
        <v>59</v>
      </c>
      <c r="I831">
        <v>8</v>
      </c>
      <c r="J831" t="s">
        <v>33</v>
      </c>
      <c r="K831">
        <v>2</v>
      </c>
      <c r="L831" s="3">
        <v>5899</v>
      </c>
      <c r="M831">
        <v>20</v>
      </c>
      <c r="N831" s="3">
        <v>4720</v>
      </c>
      <c r="O831" s="3">
        <v>9440</v>
      </c>
      <c r="P831" t="s">
        <v>81</v>
      </c>
      <c r="Q831" t="s">
        <v>51</v>
      </c>
      <c r="R831" t="s">
        <v>36</v>
      </c>
      <c r="S831" t="s">
        <v>418</v>
      </c>
      <c r="T831" t="s">
        <v>419</v>
      </c>
      <c r="U831" t="s">
        <v>124</v>
      </c>
      <c r="V831" t="s">
        <v>40</v>
      </c>
      <c r="W831">
        <v>4.2</v>
      </c>
      <c r="X831" t="s">
        <v>41</v>
      </c>
      <c r="Y831" t="s">
        <v>42</v>
      </c>
      <c r="Z831">
        <v>2</v>
      </c>
    </row>
    <row r="832" spans="1:26">
      <c r="A832" t="s">
        <v>1677</v>
      </c>
      <c r="B832" t="s">
        <v>1678</v>
      </c>
      <c r="C832" t="s">
        <v>45</v>
      </c>
      <c r="D832" t="s">
        <v>103</v>
      </c>
      <c r="E832" s="1">
        <v>44105</v>
      </c>
      <c r="F832" t="s">
        <v>96</v>
      </c>
      <c r="G832" t="s">
        <v>228</v>
      </c>
      <c r="H832" t="s">
        <v>59</v>
      </c>
      <c r="I832">
        <v>9</v>
      </c>
      <c r="J832" t="s">
        <v>150</v>
      </c>
      <c r="K832">
        <v>1</v>
      </c>
      <c r="L832" s="3">
        <v>5199</v>
      </c>
      <c r="M832">
        <v>25</v>
      </c>
      <c r="N832" s="3">
        <v>3900</v>
      </c>
      <c r="O832" s="3">
        <v>3900</v>
      </c>
      <c r="P832" t="s">
        <v>34</v>
      </c>
      <c r="Q832" t="s">
        <v>51</v>
      </c>
      <c r="R832" t="s">
        <v>36</v>
      </c>
      <c r="S832" t="s">
        <v>168</v>
      </c>
      <c r="T832" t="s">
        <v>168</v>
      </c>
      <c r="U832" t="s">
        <v>61</v>
      </c>
      <c r="V832" t="s">
        <v>40</v>
      </c>
      <c r="W832">
        <v>4.5999999999999996</v>
      </c>
      <c r="X832" t="s">
        <v>41</v>
      </c>
      <c r="Y832" t="s">
        <v>147</v>
      </c>
      <c r="Z832">
        <v>2</v>
      </c>
    </row>
    <row r="833" spans="1:26">
      <c r="A833" t="s">
        <v>1679</v>
      </c>
      <c r="B833" t="s">
        <v>772</v>
      </c>
      <c r="C833" t="s">
        <v>28</v>
      </c>
      <c r="D833" t="s">
        <v>46</v>
      </c>
      <c r="E833" s="1">
        <v>44105</v>
      </c>
      <c r="F833" t="s">
        <v>79</v>
      </c>
      <c r="G833" t="s">
        <v>517</v>
      </c>
      <c r="H833" t="s">
        <v>59</v>
      </c>
      <c r="I833">
        <v>9</v>
      </c>
      <c r="J833" t="s">
        <v>33</v>
      </c>
      <c r="K833">
        <v>2</v>
      </c>
      <c r="L833" s="3">
        <v>7799</v>
      </c>
      <c r="M833">
        <v>15</v>
      </c>
      <c r="N833" s="3">
        <v>6630</v>
      </c>
      <c r="O833" s="3">
        <v>13260</v>
      </c>
      <c r="P833" t="s">
        <v>74</v>
      </c>
      <c r="Q833" t="s">
        <v>35</v>
      </c>
      <c r="R833" t="s">
        <v>36</v>
      </c>
      <c r="S833" t="s">
        <v>354</v>
      </c>
      <c r="T833" t="s">
        <v>431</v>
      </c>
      <c r="U833" t="s">
        <v>54</v>
      </c>
      <c r="V833" t="s">
        <v>315</v>
      </c>
      <c r="W833">
        <v>5</v>
      </c>
      <c r="X833" t="s">
        <v>62</v>
      </c>
      <c r="Y833" t="s">
        <v>55</v>
      </c>
      <c r="Z833">
        <v>2</v>
      </c>
    </row>
    <row r="834" spans="1:26">
      <c r="A834" t="s">
        <v>1680</v>
      </c>
      <c r="B834" t="s">
        <v>1059</v>
      </c>
      <c r="C834" t="s">
        <v>28</v>
      </c>
      <c r="D834" t="s">
        <v>29</v>
      </c>
      <c r="E834" s="1">
        <v>44106</v>
      </c>
      <c r="F834" t="s">
        <v>86</v>
      </c>
      <c r="G834" t="s">
        <v>242</v>
      </c>
      <c r="H834" t="s">
        <v>32</v>
      </c>
      <c r="I834">
        <v>12</v>
      </c>
      <c r="J834" t="s">
        <v>67</v>
      </c>
      <c r="K834">
        <v>1</v>
      </c>
      <c r="L834" s="3">
        <v>9399</v>
      </c>
      <c r="M834">
        <v>30</v>
      </c>
      <c r="N834" s="3">
        <v>6580</v>
      </c>
      <c r="O834" s="3">
        <v>6580</v>
      </c>
      <c r="P834" t="s">
        <v>74</v>
      </c>
      <c r="Q834" t="s">
        <v>51</v>
      </c>
      <c r="R834" t="s">
        <v>36</v>
      </c>
      <c r="S834" t="s">
        <v>75</v>
      </c>
      <c r="T834" t="s">
        <v>318</v>
      </c>
      <c r="U834" t="s">
        <v>54</v>
      </c>
      <c r="V834" t="s">
        <v>315</v>
      </c>
      <c r="W834">
        <v>3</v>
      </c>
      <c r="X834" t="s">
        <v>41</v>
      </c>
      <c r="Y834" t="s">
        <v>42</v>
      </c>
      <c r="Z834">
        <v>3</v>
      </c>
    </row>
    <row r="835" spans="1:26">
      <c r="A835" t="s">
        <v>1681</v>
      </c>
      <c r="B835" t="s">
        <v>870</v>
      </c>
      <c r="C835" t="s">
        <v>94</v>
      </c>
      <c r="D835" t="s">
        <v>95</v>
      </c>
      <c r="E835" s="1">
        <v>44106</v>
      </c>
      <c r="F835" t="s">
        <v>65</v>
      </c>
      <c r="G835" t="s">
        <v>365</v>
      </c>
      <c r="H835" t="s">
        <v>49</v>
      </c>
      <c r="I835">
        <v>9</v>
      </c>
      <c r="J835" t="s">
        <v>98</v>
      </c>
      <c r="K835">
        <v>3</v>
      </c>
      <c r="L835" s="3">
        <v>3899</v>
      </c>
      <c r="M835">
        <v>10</v>
      </c>
      <c r="N835" s="3">
        <v>3510</v>
      </c>
      <c r="O835" s="3">
        <v>10530</v>
      </c>
      <c r="P835" t="s">
        <v>74</v>
      </c>
      <c r="Q835" t="s">
        <v>51</v>
      </c>
      <c r="R835" t="s">
        <v>36</v>
      </c>
      <c r="S835" t="s">
        <v>129</v>
      </c>
      <c r="T835" t="s">
        <v>282</v>
      </c>
      <c r="U835" t="s">
        <v>124</v>
      </c>
      <c r="V835" t="s">
        <v>315</v>
      </c>
      <c r="W835">
        <v>4.8</v>
      </c>
      <c r="X835" t="s">
        <v>41</v>
      </c>
      <c r="Y835" t="s">
        <v>42</v>
      </c>
      <c r="Z835">
        <v>5</v>
      </c>
    </row>
    <row r="836" spans="1:26">
      <c r="A836" t="s">
        <v>1682</v>
      </c>
      <c r="B836" t="s">
        <v>703</v>
      </c>
      <c r="C836" t="s">
        <v>28</v>
      </c>
      <c r="D836" t="s">
        <v>109</v>
      </c>
      <c r="E836" s="1">
        <v>44106</v>
      </c>
      <c r="F836" t="s">
        <v>96</v>
      </c>
      <c r="G836" t="s">
        <v>290</v>
      </c>
      <c r="H836" t="s">
        <v>32</v>
      </c>
      <c r="I836">
        <v>10</v>
      </c>
      <c r="J836" t="s">
        <v>33</v>
      </c>
      <c r="K836">
        <v>2</v>
      </c>
      <c r="L836" s="3">
        <v>7899</v>
      </c>
      <c r="M836">
        <v>15</v>
      </c>
      <c r="N836" s="3">
        <v>6710</v>
      </c>
      <c r="O836" s="3">
        <v>13420</v>
      </c>
      <c r="P836" t="s">
        <v>34</v>
      </c>
      <c r="Q836" t="s">
        <v>35</v>
      </c>
      <c r="R836" t="s">
        <v>36</v>
      </c>
      <c r="S836" t="s">
        <v>164</v>
      </c>
      <c r="T836" t="s">
        <v>314</v>
      </c>
      <c r="U836" t="s">
        <v>124</v>
      </c>
      <c r="V836" t="s">
        <v>315</v>
      </c>
      <c r="W836">
        <v>4.5</v>
      </c>
      <c r="X836" t="s">
        <v>41</v>
      </c>
      <c r="Y836" t="s">
        <v>42</v>
      </c>
      <c r="Z836">
        <v>3</v>
      </c>
    </row>
    <row r="837" spans="1:26">
      <c r="A837" t="s">
        <v>1683</v>
      </c>
      <c r="B837" t="s">
        <v>1684</v>
      </c>
      <c r="C837" t="s">
        <v>28</v>
      </c>
      <c r="D837" t="s">
        <v>95</v>
      </c>
      <c r="E837" s="1">
        <v>44106</v>
      </c>
      <c r="F837" t="s">
        <v>86</v>
      </c>
      <c r="G837" t="s">
        <v>87</v>
      </c>
      <c r="H837" t="s">
        <v>59</v>
      </c>
      <c r="I837">
        <v>8</v>
      </c>
      <c r="J837" t="s">
        <v>67</v>
      </c>
      <c r="K837">
        <v>1</v>
      </c>
      <c r="L837" s="3">
        <v>7499</v>
      </c>
      <c r="M837">
        <v>20</v>
      </c>
      <c r="N837" s="3">
        <v>6000</v>
      </c>
      <c r="O837" s="3">
        <v>6000</v>
      </c>
      <c r="P837" t="s">
        <v>34</v>
      </c>
      <c r="Q837" t="s">
        <v>51</v>
      </c>
      <c r="R837" t="s">
        <v>36</v>
      </c>
      <c r="S837" t="s">
        <v>37</v>
      </c>
      <c r="T837" t="s">
        <v>484</v>
      </c>
      <c r="U837" t="s">
        <v>124</v>
      </c>
      <c r="V837" t="s">
        <v>40</v>
      </c>
      <c r="W837">
        <v>4.3</v>
      </c>
      <c r="X837" t="s">
        <v>41</v>
      </c>
      <c r="Y837" t="s">
        <v>42</v>
      </c>
      <c r="Z837">
        <v>3</v>
      </c>
    </row>
    <row r="838" spans="1:26">
      <c r="A838" t="s">
        <v>1685</v>
      </c>
      <c r="B838" t="s">
        <v>1686</v>
      </c>
      <c r="C838" t="s">
        <v>28</v>
      </c>
      <c r="D838" t="s">
        <v>95</v>
      </c>
      <c r="E838" s="1">
        <v>44106</v>
      </c>
      <c r="F838" t="s">
        <v>79</v>
      </c>
      <c r="G838" t="s">
        <v>127</v>
      </c>
      <c r="H838" t="s">
        <v>128</v>
      </c>
      <c r="I838">
        <v>8</v>
      </c>
      <c r="J838" t="s">
        <v>98</v>
      </c>
      <c r="K838">
        <v>1</v>
      </c>
      <c r="L838" s="3">
        <v>7599</v>
      </c>
      <c r="M838">
        <v>15</v>
      </c>
      <c r="N838" s="3">
        <v>6460</v>
      </c>
      <c r="O838" s="3">
        <v>6460</v>
      </c>
      <c r="P838" t="s">
        <v>74</v>
      </c>
      <c r="Q838" t="s">
        <v>82</v>
      </c>
      <c r="R838" t="s">
        <v>36</v>
      </c>
      <c r="S838" t="s">
        <v>117</v>
      </c>
      <c r="T838" t="s">
        <v>118</v>
      </c>
      <c r="U838" t="s">
        <v>61</v>
      </c>
      <c r="V838" t="s">
        <v>40</v>
      </c>
      <c r="W838">
        <v>4.5999999999999996</v>
      </c>
      <c r="X838" t="s">
        <v>41</v>
      </c>
      <c r="Y838" t="s">
        <v>42</v>
      </c>
      <c r="Z838">
        <v>7</v>
      </c>
    </row>
    <row r="839" spans="1:26">
      <c r="A839" t="s">
        <v>1687</v>
      </c>
      <c r="B839" t="s">
        <v>1423</v>
      </c>
      <c r="C839" t="s">
        <v>94</v>
      </c>
      <c r="D839" t="s">
        <v>46</v>
      </c>
      <c r="E839" s="1">
        <v>44108</v>
      </c>
      <c r="F839" t="s">
        <v>79</v>
      </c>
      <c r="G839" t="s">
        <v>174</v>
      </c>
      <c r="H839" t="s">
        <v>32</v>
      </c>
      <c r="I839">
        <v>8</v>
      </c>
      <c r="J839" t="s">
        <v>73</v>
      </c>
      <c r="K839">
        <v>1</v>
      </c>
      <c r="L839" s="3">
        <v>4799</v>
      </c>
      <c r="M839">
        <v>15</v>
      </c>
      <c r="N839" s="3">
        <v>4080</v>
      </c>
      <c r="O839" s="3">
        <v>4080</v>
      </c>
      <c r="P839" t="s">
        <v>34</v>
      </c>
      <c r="Q839" t="s">
        <v>51</v>
      </c>
      <c r="R839" t="s">
        <v>36</v>
      </c>
      <c r="S839" t="s">
        <v>195</v>
      </c>
      <c r="T839" t="s">
        <v>196</v>
      </c>
      <c r="U839" t="s">
        <v>124</v>
      </c>
      <c r="V839" t="s">
        <v>315</v>
      </c>
      <c r="W839">
        <v>5</v>
      </c>
      <c r="X839" t="s">
        <v>41</v>
      </c>
      <c r="Y839" t="s">
        <v>42</v>
      </c>
      <c r="Z839">
        <v>6</v>
      </c>
    </row>
    <row r="840" spans="1:26">
      <c r="A840" t="s">
        <v>1688</v>
      </c>
      <c r="B840" t="s">
        <v>1689</v>
      </c>
      <c r="C840" t="s">
        <v>28</v>
      </c>
      <c r="D840" t="s">
        <v>103</v>
      </c>
      <c r="E840" s="1">
        <v>44108</v>
      </c>
      <c r="F840" t="s">
        <v>30</v>
      </c>
      <c r="G840" t="s">
        <v>347</v>
      </c>
      <c r="H840" t="s">
        <v>49</v>
      </c>
      <c r="I840">
        <v>7</v>
      </c>
      <c r="J840" t="s">
        <v>98</v>
      </c>
      <c r="K840">
        <v>2</v>
      </c>
      <c r="L840" s="3">
        <v>3599</v>
      </c>
      <c r="M840">
        <v>20</v>
      </c>
      <c r="N840" s="3">
        <v>2880</v>
      </c>
      <c r="O840" s="3">
        <v>5760</v>
      </c>
      <c r="P840" t="s">
        <v>74</v>
      </c>
      <c r="Q840" t="s">
        <v>82</v>
      </c>
      <c r="R840" t="s">
        <v>36</v>
      </c>
      <c r="S840" t="s">
        <v>104</v>
      </c>
      <c r="T840" t="s">
        <v>179</v>
      </c>
      <c r="U840" t="s">
        <v>39</v>
      </c>
      <c r="V840" t="s">
        <v>40</v>
      </c>
      <c r="W840">
        <v>3.6</v>
      </c>
      <c r="X840" t="s">
        <v>41</v>
      </c>
      <c r="Y840" t="s">
        <v>42</v>
      </c>
      <c r="Z840">
        <v>2</v>
      </c>
    </row>
    <row r="841" spans="1:26">
      <c r="A841" t="s">
        <v>1690</v>
      </c>
      <c r="B841" t="s">
        <v>1691</v>
      </c>
      <c r="C841" t="s">
        <v>28</v>
      </c>
      <c r="D841" t="s">
        <v>103</v>
      </c>
      <c r="E841" s="1">
        <v>44109</v>
      </c>
      <c r="F841" t="s">
        <v>65</v>
      </c>
      <c r="G841" t="s">
        <v>279</v>
      </c>
      <c r="H841" t="s">
        <v>111</v>
      </c>
      <c r="I841">
        <v>7</v>
      </c>
      <c r="J841" t="s">
        <v>73</v>
      </c>
      <c r="K841">
        <v>1</v>
      </c>
      <c r="L841" s="3">
        <v>6799</v>
      </c>
      <c r="M841">
        <v>30</v>
      </c>
      <c r="N841" s="3">
        <v>4760</v>
      </c>
      <c r="O841" s="3">
        <v>4760</v>
      </c>
      <c r="P841" t="s">
        <v>34</v>
      </c>
      <c r="Q841" t="s">
        <v>51</v>
      </c>
      <c r="R841" t="s">
        <v>36</v>
      </c>
      <c r="S841" t="s">
        <v>200</v>
      </c>
      <c r="T841" t="s">
        <v>219</v>
      </c>
      <c r="U841" t="s">
        <v>54</v>
      </c>
      <c r="V841" t="s">
        <v>40</v>
      </c>
      <c r="W841">
        <v>3.9</v>
      </c>
      <c r="X841" t="s">
        <v>41</v>
      </c>
      <c r="Y841" t="s">
        <v>42</v>
      </c>
      <c r="Z841">
        <v>2</v>
      </c>
    </row>
    <row r="842" spans="1:26">
      <c r="A842" t="s">
        <v>1692</v>
      </c>
      <c r="B842" t="s">
        <v>993</v>
      </c>
      <c r="C842" t="s">
        <v>28</v>
      </c>
      <c r="D842" t="s">
        <v>95</v>
      </c>
      <c r="E842" s="1">
        <v>44110</v>
      </c>
      <c r="F842" t="s">
        <v>86</v>
      </c>
      <c r="G842" t="s">
        <v>312</v>
      </c>
      <c r="H842" t="s">
        <v>59</v>
      </c>
      <c r="I842">
        <v>6</v>
      </c>
      <c r="J842" t="s">
        <v>150</v>
      </c>
      <c r="K842">
        <v>3</v>
      </c>
      <c r="L842" s="3">
        <v>8599</v>
      </c>
      <c r="M842">
        <v>15</v>
      </c>
      <c r="N842" s="3">
        <v>7310</v>
      </c>
      <c r="O842" s="3">
        <v>21930</v>
      </c>
      <c r="P842" t="s">
        <v>34</v>
      </c>
      <c r="Q842" t="s">
        <v>51</v>
      </c>
      <c r="R842" t="s">
        <v>36</v>
      </c>
      <c r="S842" t="s">
        <v>136</v>
      </c>
      <c r="T842" t="s">
        <v>1693</v>
      </c>
      <c r="U842" t="s">
        <v>124</v>
      </c>
      <c r="V842" t="s">
        <v>315</v>
      </c>
      <c r="W842">
        <v>5</v>
      </c>
      <c r="X842" t="s">
        <v>62</v>
      </c>
      <c r="Y842" t="s">
        <v>55</v>
      </c>
      <c r="Z842">
        <v>3</v>
      </c>
    </row>
    <row r="843" spans="1:26">
      <c r="A843" t="s">
        <v>1694</v>
      </c>
      <c r="B843" t="s">
        <v>1132</v>
      </c>
      <c r="C843" t="s">
        <v>28</v>
      </c>
      <c r="D843" t="s">
        <v>46</v>
      </c>
      <c r="E843" s="1">
        <v>44111</v>
      </c>
      <c r="F843" t="s">
        <v>47</v>
      </c>
      <c r="G843" t="s">
        <v>402</v>
      </c>
      <c r="H843" t="s">
        <v>32</v>
      </c>
      <c r="I843">
        <v>7</v>
      </c>
      <c r="J843" t="s">
        <v>67</v>
      </c>
      <c r="K843">
        <v>1</v>
      </c>
      <c r="L843" s="3">
        <v>4799</v>
      </c>
      <c r="M843">
        <v>20</v>
      </c>
      <c r="N843" s="3">
        <v>3840</v>
      </c>
      <c r="O843" s="3">
        <v>3840</v>
      </c>
      <c r="P843" t="s">
        <v>74</v>
      </c>
      <c r="Q843" t="s">
        <v>51</v>
      </c>
      <c r="R843" t="s">
        <v>36</v>
      </c>
      <c r="S843" t="s">
        <v>354</v>
      </c>
      <c r="T843" t="s">
        <v>518</v>
      </c>
      <c r="U843" t="s">
        <v>61</v>
      </c>
      <c r="V843" t="s">
        <v>315</v>
      </c>
      <c r="W843">
        <v>4</v>
      </c>
      <c r="X843" t="s">
        <v>41</v>
      </c>
      <c r="Y843" t="s">
        <v>147</v>
      </c>
      <c r="Z843">
        <v>1</v>
      </c>
    </row>
    <row r="844" spans="1:26">
      <c r="A844" t="s">
        <v>1695</v>
      </c>
      <c r="B844" t="s">
        <v>1652</v>
      </c>
      <c r="C844" t="s">
        <v>28</v>
      </c>
      <c r="D844" t="s">
        <v>103</v>
      </c>
      <c r="E844" s="1">
        <v>44113</v>
      </c>
      <c r="F844" t="s">
        <v>65</v>
      </c>
      <c r="G844" t="s">
        <v>66</v>
      </c>
      <c r="H844" t="s">
        <v>59</v>
      </c>
      <c r="I844">
        <v>10</v>
      </c>
      <c r="J844" t="s">
        <v>98</v>
      </c>
      <c r="K844">
        <v>2</v>
      </c>
      <c r="L844" s="3">
        <v>6999</v>
      </c>
      <c r="M844">
        <v>20</v>
      </c>
      <c r="N844" s="3">
        <v>5600</v>
      </c>
      <c r="O844" s="3">
        <v>11200</v>
      </c>
      <c r="P844" t="s">
        <v>74</v>
      </c>
      <c r="Q844" t="s">
        <v>51</v>
      </c>
      <c r="R844" t="s">
        <v>36</v>
      </c>
      <c r="S844" t="s">
        <v>164</v>
      </c>
      <c r="T844" t="s">
        <v>409</v>
      </c>
      <c r="U844" t="s">
        <v>39</v>
      </c>
      <c r="V844" t="s">
        <v>315</v>
      </c>
      <c r="W844">
        <v>3.9</v>
      </c>
      <c r="X844" t="s">
        <v>41</v>
      </c>
      <c r="Y844" t="s">
        <v>55</v>
      </c>
      <c r="Z844">
        <v>2</v>
      </c>
    </row>
    <row r="845" spans="1:26">
      <c r="A845" t="s">
        <v>1696</v>
      </c>
      <c r="B845" t="s">
        <v>1655</v>
      </c>
      <c r="C845" t="s">
        <v>94</v>
      </c>
      <c r="D845" t="s">
        <v>103</v>
      </c>
      <c r="E845" s="1">
        <v>44114</v>
      </c>
      <c r="F845" t="s">
        <v>47</v>
      </c>
      <c r="G845" t="s">
        <v>140</v>
      </c>
      <c r="H845" t="s">
        <v>128</v>
      </c>
      <c r="I845">
        <v>9</v>
      </c>
      <c r="J845" t="s">
        <v>98</v>
      </c>
      <c r="K845">
        <v>1</v>
      </c>
      <c r="L845" s="3">
        <v>7399</v>
      </c>
      <c r="M845">
        <v>5</v>
      </c>
      <c r="N845" s="3">
        <v>7030</v>
      </c>
      <c r="O845" s="3">
        <v>7030</v>
      </c>
      <c r="P845" t="s">
        <v>74</v>
      </c>
      <c r="Q845" t="s">
        <v>51</v>
      </c>
      <c r="R845" t="s">
        <v>36</v>
      </c>
      <c r="S845" t="s">
        <v>286</v>
      </c>
      <c r="T845" t="s">
        <v>768</v>
      </c>
      <c r="U845" t="s">
        <v>39</v>
      </c>
      <c r="V845" t="s">
        <v>315</v>
      </c>
      <c r="W845">
        <v>4.4000000000000004</v>
      </c>
      <c r="X845" t="s">
        <v>41</v>
      </c>
      <c r="Y845" t="s">
        <v>42</v>
      </c>
      <c r="Z845">
        <v>2</v>
      </c>
    </row>
    <row r="846" spans="1:26">
      <c r="A846" t="s">
        <v>1697</v>
      </c>
      <c r="B846" t="s">
        <v>584</v>
      </c>
      <c r="C846" t="s">
        <v>45</v>
      </c>
      <c r="D846" t="s">
        <v>103</v>
      </c>
      <c r="E846" s="1">
        <v>44115</v>
      </c>
      <c r="F846" t="s">
        <v>79</v>
      </c>
      <c r="G846" t="s">
        <v>80</v>
      </c>
      <c r="H846" t="s">
        <v>59</v>
      </c>
      <c r="I846">
        <v>11</v>
      </c>
      <c r="J846" t="s">
        <v>67</v>
      </c>
      <c r="K846">
        <v>1</v>
      </c>
      <c r="L846" s="3">
        <v>7699</v>
      </c>
      <c r="M846">
        <v>10</v>
      </c>
      <c r="N846" s="3">
        <v>6930</v>
      </c>
      <c r="O846" s="3">
        <v>6930</v>
      </c>
      <c r="P846" t="s">
        <v>34</v>
      </c>
      <c r="Q846" t="s">
        <v>82</v>
      </c>
      <c r="R846" t="s">
        <v>36</v>
      </c>
      <c r="S846" t="s">
        <v>117</v>
      </c>
      <c r="T846" t="s">
        <v>118</v>
      </c>
      <c r="U846" t="s">
        <v>39</v>
      </c>
      <c r="V846" t="s">
        <v>315</v>
      </c>
      <c r="W846">
        <v>4.8</v>
      </c>
      <c r="X846" t="s">
        <v>41</v>
      </c>
      <c r="Y846" t="s">
        <v>42</v>
      </c>
      <c r="Z846">
        <v>5</v>
      </c>
    </row>
    <row r="847" spans="1:26">
      <c r="A847" t="s">
        <v>1698</v>
      </c>
      <c r="B847" t="s">
        <v>1699</v>
      </c>
      <c r="C847" t="s">
        <v>45</v>
      </c>
      <c r="D847" t="s">
        <v>103</v>
      </c>
      <c r="E847" s="1">
        <v>44116</v>
      </c>
      <c r="F847" t="s">
        <v>86</v>
      </c>
      <c r="G847" t="s">
        <v>285</v>
      </c>
      <c r="H847" t="s">
        <v>111</v>
      </c>
      <c r="I847">
        <v>12</v>
      </c>
      <c r="J847" t="s">
        <v>88</v>
      </c>
      <c r="K847">
        <v>2</v>
      </c>
      <c r="L847" s="3">
        <v>6299</v>
      </c>
      <c r="M847">
        <v>15</v>
      </c>
      <c r="N847" s="3">
        <v>5350</v>
      </c>
      <c r="O847" s="3">
        <v>10700</v>
      </c>
      <c r="P847" t="s">
        <v>74</v>
      </c>
      <c r="Q847" t="s">
        <v>51</v>
      </c>
      <c r="R847" t="s">
        <v>36</v>
      </c>
      <c r="S847" t="s">
        <v>164</v>
      </c>
      <c r="T847" t="s">
        <v>409</v>
      </c>
      <c r="U847" t="s">
        <v>39</v>
      </c>
      <c r="V847" t="s">
        <v>40</v>
      </c>
      <c r="W847">
        <v>3.8</v>
      </c>
      <c r="X847" t="s">
        <v>41</v>
      </c>
      <c r="Y847" t="s">
        <v>55</v>
      </c>
      <c r="Z847">
        <v>1</v>
      </c>
    </row>
    <row r="848" spans="1:26">
      <c r="A848" t="s">
        <v>1700</v>
      </c>
      <c r="B848" t="s">
        <v>189</v>
      </c>
      <c r="C848" t="s">
        <v>28</v>
      </c>
      <c r="D848" t="s">
        <v>103</v>
      </c>
      <c r="E848" s="1">
        <v>44116</v>
      </c>
      <c r="F848" t="s">
        <v>65</v>
      </c>
      <c r="G848" t="s">
        <v>365</v>
      </c>
      <c r="H848" t="s">
        <v>49</v>
      </c>
      <c r="I848">
        <v>8</v>
      </c>
      <c r="J848" t="s">
        <v>73</v>
      </c>
      <c r="K848">
        <v>1</v>
      </c>
      <c r="L848" s="3">
        <v>4399</v>
      </c>
      <c r="M848">
        <v>10</v>
      </c>
      <c r="N848" s="3">
        <v>3960</v>
      </c>
      <c r="O848" s="3">
        <v>3960</v>
      </c>
      <c r="P848" t="s">
        <v>74</v>
      </c>
      <c r="Q848" t="s">
        <v>35</v>
      </c>
      <c r="R848" t="s">
        <v>36</v>
      </c>
      <c r="S848" t="s">
        <v>175</v>
      </c>
      <c r="T848" t="s">
        <v>865</v>
      </c>
      <c r="U848" t="s">
        <v>61</v>
      </c>
      <c r="V848" t="s">
        <v>315</v>
      </c>
      <c r="W848">
        <v>4</v>
      </c>
      <c r="X848" t="s">
        <v>41</v>
      </c>
      <c r="Y848" t="s">
        <v>42</v>
      </c>
      <c r="Z848">
        <v>2</v>
      </c>
    </row>
    <row r="849" spans="1:26">
      <c r="A849" t="s">
        <v>1701</v>
      </c>
      <c r="B849" t="s">
        <v>1702</v>
      </c>
      <c r="C849" t="s">
        <v>45</v>
      </c>
      <c r="D849" t="s">
        <v>103</v>
      </c>
      <c r="E849" s="1">
        <v>44117</v>
      </c>
      <c r="F849" t="s">
        <v>86</v>
      </c>
      <c r="G849" t="s">
        <v>116</v>
      </c>
      <c r="H849" t="s">
        <v>49</v>
      </c>
      <c r="I849">
        <v>10</v>
      </c>
      <c r="J849" t="s">
        <v>150</v>
      </c>
      <c r="K849">
        <v>1</v>
      </c>
      <c r="L849" s="3">
        <v>8199</v>
      </c>
      <c r="M849">
        <v>35</v>
      </c>
      <c r="N849" s="3">
        <v>5330</v>
      </c>
      <c r="O849" s="3">
        <v>5330</v>
      </c>
      <c r="P849" t="s">
        <v>34</v>
      </c>
      <c r="Q849" t="s">
        <v>51</v>
      </c>
      <c r="R849" t="s">
        <v>36</v>
      </c>
      <c r="S849" t="s">
        <v>68</v>
      </c>
      <c r="T849" t="s">
        <v>207</v>
      </c>
      <c r="U849" t="s">
        <v>54</v>
      </c>
      <c r="V849" t="s">
        <v>40</v>
      </c>
      <c r="W849">
        <v>4.5</v>
      </c>
      <c r="X849" t="s">
        <v>41</v>
      </c>
      <c r="Y849" t="s">
        <v>42</v>
      </c>
      <c r="Z849">
        <v>5</v>
      </c>
    </row>
    <row r="850" spans="1:26">
      <c r="A850" t="s">
        <v>1703</v>
      </c>
      <c r="B850" t="s">
        <v>1704</v>
      </c>
      <c r="C850" t="s">
        <v>45</v>
      </c>
      <c r="D850" t="s">
        <v>95</v>
      </c>
      <c r="E850" s="1">
        <v>44118</v>
      </c>
      <c r="F850" t="s">
        <v>30</v>
      </c>
      <c r="G850" t="s">
        <v>110</v>
      </c>
      <c r="H850" t="s">
        <v>111</v>
      </c>
      <c r="I850">
        <v>8</v>
      </c>
      <c r="J850" t="s">
        <v>73</v>
      </c>
      <c r="K850">
        <v>1</v>
      </c>
      <c r="L850" s="3">
        <v>8899</v>
      </c>
      <c r="M850">
        <v>15</v>
      </c>
      <c r="N850" s="3">
        <v>7560</v>
      </c>
      <c r="O850" s="3">
        <v>7560</v>
      </c>
      <c r="P850" t="s">
        <v>34</v>
      </c>
      <c r="Q850" t="s">
        <v>51</v>
      </c>
      <c r="R850" t="s">
        <v>36</v>
      </c>
      <c r="S850" t="s">
        <v>68</v>
      </c>
      <c r="T850" t="s">
        <v>207</v>
      </c>
      <c r="U850" t="s">
        <v>124</v>
      </c>
      <c r="V850" t="s">
        <v>40</v>
      </c>
      <c r="W850">
        <v>5</v>
      </c>
      <c r="X850" t="s">
        <v>41</v>
      </c>
      <c r="Y850" t="s">
        <v>42</v>
      </c>
      <c r="Z850">
        <v>3</v>
      </c>
    </row>
    <row r="851" spans="1:26">
      <c r="A851" t="s">
        <v>1705</v>
      </c>
      <c r="B851" t="s">
        <v>1706</v>
      </c>
      <c r="C851" t="s">
        <v>28</v>
      </c>
      <c r="D851" t="s">
        <v>95</v>
      </c>
      <c r="E851" s="1">
        <v>44122</v>
      </c>
      <c r="F851" t="s">
        <v>86</v>
      </c>
      <c r="G851" t="s">
        <v>285</v>
      </c>
      <c r="H851" t="s">
        <v>111</v>
      </c>
      <c r="I851">
        <v>8</v>
      </c>
      <c r="J851" t="s">
        <v>67</v>
      </c>
      <c r="K851">
        <v>1</v>
      </c>
      <c r="L851" s="3">
        <v>6699</v>
      </c>
      <c r="M851">
        <v>10</v>
      </c>
      <c r="N851" s="3">
        <v>6030</v>
      </c>
      <c r="O851" s="3">
        <v>6030</v>
      </c>
      <c r="P851" t="s">
        <v>34</v>
      </c>
      <c r="Q851" t="s">
        <v>51</v>
      </c>
      <c r="R851" t="s">
        <v>36</v>
      </c>
      <c r="S851" t="s">
        <v>117</v>
      </c>
      <c r="T851" t="s">
        <v>751</v>
      </c>
      <c r="U851" t="s">
        <v>54</v>
      </c>
      <c r="V851" t="s">
        <v>40</v>
      </c>
      <c r="W851">
        <v>4.0999999999999996</v>
      </c>
      <c r="X851" t="s">
        <v>41</v>
      </c>
      <c r="Y851" t="s">
        <v>55</v>
      </c>
      <c r="Z851">
        <v>2</v>
      </c>
    </row>
    <row r="852" spans="1:26">
      <c r="A852" t="s">
        <v>1707</v>
      </c>
      <c r="B852" t="s">
        <v>1292</v>
      </c>
      <c r="C852" t="s">
        <v>28</v>
      </c>
      <c r="D852" t="s">
        <v>95</v>
      </c>
      <c r="E852" s="1">
        <v>44123</v>
      </c>
      <c r="F852" t="s">
        <v>86</v>
      </c>
      <c r="G852" t="s">
        <v>190</v>
      </c>
      <c r="H852" t="s">
        <v>128</v>
      </c>
      <c r="I852">
        <v>9</v>
      </c>
      <c r="J852" t="s">
        <v>33</v>
      </c>
      <c r="K852">
        <v>1</v>
      </c>
      <c r="L852" s="3">
        <v>7699</v>
      </c>
      <c r="M852">
        <v>10</v>
      </c>
      <c r="N852" s="3">
        <v>6930</v>
      </c>
      <c r="O852" s="3">
        <v>6930</v>
      </c>
      <c r="P852" t="s">
        <v>34</v>
      </c>
      <c r="Q852" t="s">
        <v>35</v>
      </c>
      <c r="R852" t="s">
        <v>36</v>
      </c>
      <c r="S852" t="s">
        <v>418</v>
      </c>
      <c r="T852" t="s">
        <v>924</v>
      </c>
      <c r="U852" t="s">
        <v>61</v>
      </c>
      <c r="V852" t="s">
        <v>315</v>
      </c>
      <c r="W852">
        <v>4.0999999999999996</v>
      </c>
      <c r="X852" t="s">
        <v>41</v>
      </c>
      <c r="Y852" t="s">
        <v>42</v>
      </c>
      <c r="Z852">
        <v>4</v>
      </c>
    </row>
    <row r="853" spans="1:26">
      <c r="A853" t="s">
        <v>1708</v>
      </c>
      <c r="B853" t="s">
        <v>1531</v>
      </c>
      <c r="C853" t="s">
        <v>28</v>
      </c>
      <c r="D853" t="s">
        <v>103</v>
      </c>
      <c r="E853" s="1">
        <v>44123</v>
      </c>
      <c r="F853" t="s">
        <v>65</v>
      </c>
      <c r="G853" t="s">
        <v>279</v>
      </c>
      <c r="H853" t="s">
        <v>111</v>
      </c>
      <c r="I853">
        <v>8</v>
      </c>
      <c r="J853" t="s">
        <v>73</v>
      </c>
      <c r="K853">
        <v>1</v>
      </c>
      <c r="L853" s="3">
        <v>6299</v>
      </c>
      <c r="M853">
        <v>20</v>
      </c>
      <c r="N853" s="3">
        <v>5040</v>
      </c>
      <c r="O853" s="3">
        <v>5040</v>
      </c>
      <c r="P853" t="s">
        <v>34</v>
      </c>
      <c r="Q853" t="s">
        <v>35</v>
      </c>
      <c r="R853" t="s">
        <v>36</v>
      </c>
      <c r="S853" t="s">
        <v>354</v>
      </c>
      <c r="T853" t="s">
        <v>355</v>
      </c>
      <c r="U853" t="s">
        <v>91</v>
      </c>
      <c r="V853" t="s">
        <v>315</v>
      </c>
      <c r="W853">
        <v>4.5999999999999996</v>
      </c>
      <c r="X853" t="s">
        <v>106</v>
      </c>
      <c r="Y853" t="s">
        <v>42</v>
      </c>
      <c r="Z853">
        <v>3</v>
      </c>
    </row>
    <row r="854" spans="1:26">
      <c r="A854" t="s">
        <v>1709</v>
      </c>
      <c r="B854" t="s">
        <v>317</v>
      </c>
      <c r="C854" t="s">
        <v>45</v>
      </c>
      <c r="D854" t="s">
        <v>109</v>
      </c>
      <c r="E854" s="1">
        <v>44124</v>
      </c>
      <c r="F854" t="s">
        <v>47</v>
      </c>
      <c r="G854" t="s">
        <v>402</v>
      </c>
      <c r="H854" t="s">
        <v>32</v>
      </c>
      <c r="I854">
        <v>10</v>
      </c>
      <c r="J854" t="s">
        <v>73</v>
      </c>
      <c r="K854">
        <v>1</v>
      </c>
      <c r="L854" s="3">
        <v>4599</v>
      </c>
      <c r="M854">
        <v>15</v>
      </c>
      <c r="N854" s="3">
        <v>3910</v>
      </c>
      <c r="O854" s="3">
        <v>3910</v>
      </c>
      <c r="P854" t="s">
        <v>74</v>
      </c>
      <c r="Q854" t="s">
        <v>51</v>
      </c>
      <c r="R854" t="s">
        <v>36</v>
      </c>
      <c r="S854" t="s">
        <v>238</v>
      </c>
      <c r="T854" t="s">
        <v>260</v>
      </c>
      <c r="U854" t="s">
        <v>54</v>
      </c>
      <c r="V854" t="s">
        <v>969</v>
      </c>
      <c r="W854">
        <v>4.3</v>
      </c>
      <c r="X854" t="s">
        <v>41</v>
      </c>
      <c r="Y854" t="s">
        <v>55</v>
      </c>
      <c r="Z854">
        <v>2</v>
      </c>
    </row>
    <row r="855" spans="1:26">
      <c r="A855" t="s">
        <v>1710</v>
      </c>
      <c r="B855" t="s">
        <v>1711</v>
      </c>
      <c r="C855" t="s">
        <v>94</v>
      </c>
      <c r="D855" t="s">
        <v>103</v>
      </c>
      <c r="E855" s="1">
        <v>44124</v>
      </c>
      <c r="F855" t="s">
        <v>30</v>
      </c>
      <c r="G855" t="s">
        <v>58</v>
      </c>
      <c r="H855" t="s">
        <v>59</v>
      </c>
      <c r="I855">
        <v>7</v>
      </c>
      <c r="J855" t="s">
        <v>67</v>
      </c>
      <c r="K855">
        <v>1</v>
      </c>
      <c r="L855" s="3">
        <v>4599</v>
      </c>
      <c r="M855">
        <v>25</v>
      </c>
      <c r="N855" s="3">
        <v>3450</v>
      </c>
      <c r="O855" s="3">
        <v>3450</v>
      </c>
      <c r="P855" t="s">
        <v>74</v>
      </c>
      <c r="Q855" t="s">
        <v>35</v>
      </c>
      <c r="R855" t="s">
        <v>36</v>
      </c>
      <c r="S855" t="s">
        <v>200</v>
      </c>
      <c r="T855" t="s">
        <v>204</v>
      </c>
      <c r="U855" t="s">
        <v>61</v>
      </c>
      <c r="V855" t="s">
        <v>40</v>
      </c>
      <c r="W855">
        <v>5</v>
      </c>
      <c r="X855" t="s">
        <v>41</v>
      </c>
      <c r="Y855" t="s">
        <v>42</v>
      </c>
      <c r="Z855">
        <v>5</v>
      </c>
    </row>
    <row r="856" spans="1:26">
      <c r="A856" t="s">
        <v>1712</v>
      </c>
      <c r="B856" t="s">
        <v>1713</v>
      </c>
      <c r="C856" t="s">
        <v>28</v>
      </c>
      <c r="D856" t="s">
        <v>46</v>
      </c>
      <c r="E856" s="1">
        <v>44125</v>
      </c>
      <c r="F856" t="s">
        <v>30</v>
      </c>
      <c r="G856" t="s">
        <v>31</v>
      </c>
      <c r="H856" t="s">
        <v>32</v>
      </c>
      <c r="I856">
        <v>10</v>
      </c>
      <c r="J856" t="s">
        <v>73</v>
      </c>
      <c r="K856">
        <v>1</v>
      </c>
      <c r="L856" s="3">
        <v>9099</v>
      </c>
      <c r="M856">
        <v>15</v>
      </c>
      <c r="N856" s="3">
        <v>7730</v>
      </c>
      <c r="O856" s="3">
        <v>7730</v>
      </c>
      <c r="P856" t="s">
        <v>74</v>
      </c>
      <c r="Q856" t="s">
        <v>35</v>
      </c>
      <c r="R856" t="s">
        <v>36</v>
      </c>
      <c r="S856" t="s">
        <v>122</v>
      </c>
      <c r="T856" t="s">
        <v>304</v>
      </c>
      <c r="U856" t="s">
        <v>39</v>
      </c>
      <c r="V856" t="s">
        <v>40</v>
      </c>
      <c r="W856">
        <v>4</v>
      </c>
      <c r="X856" t="s">
        <v>41</v>
      </c>
      <c r="Y856" t="s">
        <v>42</v>
      </c>
      <c r="Z856">
        <v>2</v>
      </c>
    </row>
    <row r="857" spans="1:26">
      <c r="A857" t="s">
        <v>1714</v>
      </c>
      <c r="B857" t="s">
        <v>1715</v>
      </c>
      <c r="C857" t="s">
        <v>45</v>
      </c>
      <c r="D857" t="s">
        <v>103</v>
      </c>
      <c r="E857" s="1">
        <v>44126</v>
      </c>
      <c r="F857" t="s">
        <v>30</v>
      </c>
      <c r="G857" t="s">
        <v>347</v>
      </c>
      <c r="H857" t="s">
        <v>49</v>
      </c>
      <c r="I857">
        <v>10</v>
      </c>
      <c r="J857" t="s">
        <v>67</v>
      </c>
      <c r="K857">
        <v>2</v>
      </c>
      <c r="L857" s="3">
        <v>6299</v>
      </c>
      <c r="M857">
        <v>20</v>
      </c>
      <c r="N857" s="3">
        <v>5040</v>
      </c>
      <c r="O857" s="3">
        <v>10080</v>
      </c>
      <c r="P857" t="s">
        <v>34</v>
      </c>
      <c r="Q857" t="s">
        <v>51</v>
      </c>
      <c r="R857" t="s">
        <v>36</v>
      </c>
      <c r="S857" t="s">
        <v>354</v>
      </c>
      <c r="T857" t="s">
        <v>355</v>
      </c>
      <c r="U857" t="s">
        <v>54</v>
      </c>
      <c r="V857" t="s">
        <v>40</v>
      </c>
      <c r="W857">
        <v>3.5</v>
      </c>
      <c r="X857" t="s">
        <v>41</v>
      </c>
      <c r="Y857" t="s">
        <v>42</v>
      </c>
      <c r="Z857">
        <v>6</v>
      </c>
    </row>
    <row r="858" spans="1:26">
      <c r="A858" t="s">
        <v>1716</v>
      </c>
      <c r="B858" t="s">
        <v>1717</v>
      </c>
      <c r="C858" t="s">
        <v>94</v>
      </c>
      <c r="D858" t="s">
        <v>29</v>
      </c>
      <c r="E858" s="1">
        <v>44126</v>
      </c>
      <c r="F858" t="s">
        <v>30</v>
      </c>
      <c r="G858" t="s">
        <v>31</v>
      </c>
      <c r="H858" t="s">
        <v>32</v>
      </c>
      <c r="I858">
        <v>10</v>
      </c>
      <c r="J858" t="s">
        <v>98</v>
      </c>
      <c r="K858">
        <v>2</v>
      </c>
      <c r="L858" s="3">
        <v>5899</v>
      </c>
      <c r="M858">
        <v>0</v>
      </c>
      <c r="N858" s="3">
        <v>5900</v>
      </c>
      <c r="O858" s="3">
        <v>11800</v>
      </c>
      <c r="P858" t="s">
        <v>74</v>
      </c>
      <c r="Q858" t="s">
        <v>35</v>
      </c>
      <c r="R858" t="s">
        <v>36</v>
      </c>
      <c r="S858" t="s">
        <v>117</v>
      </c>
      <c r="T858" t="s">
        <v>253</v>
      </c>
      <c r="U858" t="s">
        <v>54</v>
      </c>
      <c r="V858" t="s">
        <v>40</v>
      </c>
      <c r="W858">
        <v>4.0999999999999996</v>
      </c>
      <c r="X858" t="s">
        <v>62</v>
      </c>
      <c r="Y858" t="s">
        <v>55</v>
      </c>
      <c r="Z858">
        <v>3</v>
      </c>
    </row>
    <row r="859" spans="1:26">
      <c r="A859" t="s">
        <v>1718</v>
      </c>
      <c r="B859" t="s">
        <v>1719</v>
      </c>
      <c r="C859" t="s">
        <v>94</v>
      </c>
      <c r="D859" t="s">
        <v>46</v>
      </c>
      <c r="E859" s="1">
        <v>44126</v>
      </c>
      <c r="F859" t="s">
        <v>86</v>
      </c>
      <c r="G859" t="s">
        <v>285</v>
      </c>
      <c r="H859" t="s">
        <v>111</v>
      </c>
      <c r="I859">
        <v>9</v>
      </c>
      <c r="J859" t="s">
        <v>33</v>
      </c>
      <c r="K859">
        <v>1</v>
      </c>
      <c r="L859" s="3">
        <v>4599</v>
      </c>
      <c r="M859">
        <v>15</v>
      </c>
      <c r="N859" s="3">
        <v>3910</v>
      </c>
      <c r="O859" s="3">
        <v>3910</v>
      </c>
      <c r="P859" t="s">
        <v>74</v>
      </c>
      <c r="Q859" t="s">
        <v>51</v>
      </c>
      <c r="R859" t="s">
        <v>36</v>
      </c>
      <c r="S859" t="s">
        <v>243</v>
      </c>
      <c r="T859" t="s">
        <v>276</v>
      </c>
      <c r="U859" t="s">
        <v>54</v>
      </c>
      <c r="V859" t="s">
        <v>40</v>
      </c>
      <c r="W859">
        <v>2.8</v>
      </c>
      <c r="X859" t="s">
        <v>41</v>
      </c>
      <c r="Y859" t="s">
        <v>42</v>
      </c>
      <c r="Z859">
        <v>3</v>
      </c>
    </row>
    <row r="860" spans="1:26">
      <c r="A860" t="s">
        <v>1720</v>
      </c>
      <c r="B860" t="s">
        <v>823</v>
      </c>
      <c r="C860" t="s">
        <v>28</v>
      </c>
      <c r="D860" t="s">
        <v>29</v>
      </c>
      <c r="E860" s="1">
        <v>44127</v>
      </c>
      <c r="F860" t="s">
        <v>30</v>
      </c>
      <c r="G860" t="s">
        <v>214</v>
      </c>
      <c r="H860" t="s">
        <v>128</v>
      </c>
      <c r="I860">
        <v>11</v>
      </c>
      <c r="J860" t="s">
        <v>73</v>
      </c>
      <c r="K860">
        <v>1</v>
      </c>
      <c r="L860" s="3">
        <v>9099</v>
      </c>
      <c r="M860">
        <v>5</v>
      </c>
      <c r="N860" s="3">
        <v>8640</v>
      </c>
      <c r="O860" s="3">
        <v>8640</v>
      </c>
      <c r="P860" t="s">
        <v>74</v>
      </c>
      <c r="Q860" t="s">
        <v>35</v>
      </c>
      <c r="R860" t="s">
        <v>36</v>
      </c>
      <c r="S860" t="s">
        <v>117</v>
      </c>
      <c r="T860" t="s">
        <v>751</v>
      </c>
      <c r="U860" t="s">
        <v>39</v>
      </c>
      <c r="V860" t="s">
        <v>315</v>
      </c>
      <c r="W860">
        <v>3.9</v>
      </c>
      <c r="X860" t="s">
        <v>41</v>
      </c>
      <c r="Y860" t="s">
        <v>55</v>
      </c>
      <c r="Z860">
        <v>2</v>
      </c>
    </row>
    <row r="861" spans="1:26">
      <c r="A861" t="s">
        <v>1721</v>
      </c>
      <c r="B861" t="s">
        <v>744</v>
      </c>
      <c r="C861" t="s">
        <v>28</v>
      </c>
      <c r="D861" t="s">
        <v>29</v>
      </c>
      <c r="E861" s="1">
        <v>44128</v>
      </c>
      <c r="F861" t="s">
        <v>30</v>
      </c>
      <c r="G861" t="s">
        <v>31</v>
      </c>
      <c r="H861" t="s">
        <v>32</v>
      </c>
      <c r="I861">
        <v>11</v>
      </c>
      <c r="J861" t="s">
        <v>73</v>
      </c>
      <c r="K861">
        <v>2</v>
      </c>
      <c r="L861" s="3">
        <v>7099</v>
      </c>
      <c r="M861">
        <v>5</v>
      </c>
      <c r="N861" s="3">
        <v>6740</v>
      </c>
      <c r="O861" s="3">
        <v>13480</v>
      </c>
      <c r="P861" t="s">
        <v>34</v>
      </c>
      <c r="Q861" t="s">
        <v>51</v>
      </c>
      <c r="R861" t="s">
        <v>36</v>
      </c>
      <c r="S861" t="s">
        <v>156</v>
      </c>
      <c r="T861" t="s">
        <v>257</v>
      </c>
      <c r="U861" t="s">
        <v>39</v>
      </c>
      <c r="V861" t="s">
        <v>969</v>
      </c>
      <c r="W861">
        <v>3.9</v>
      </c>
      <c r="X861" t="s">
        <v>41</v>
      </c>
      <c r="Y861" t="s">
        <v>55</v>
      </c>
      <c r="Z861">
        <v>3</v>
      </c>
    </row>
    <row r="862" spans="1:26">
      <c r="A862" t="s">
        <v>1722</v>
      </c>
      <c r="B862" t="s">
        <v>433</v>
      </c>
      <c r="C862" t="s">
        <v>28</v>
      </c>
      <c r="D862" t="s">
        <v>109</v>
      </c>
      <c r="E862" s="1">
        <v>44128</v>
      </c>
      <c r="F862" t="s">
        <v>79</v>
      </c>
      <c r="G862" t="s">
        <v>480</v>
      </c>
      <c r="H862" t="s">
        <v>111</v>
      </c>
      <c r="I862">
        <v>9</v>
      </c>
      <c r="J862" t="s">
        <v>98</v>
      </c>
      <c r="K862">
        <v>1</v>
      </c>
      <c r="L862" s="3">
        <v>4899</v>
      </c>
      <c r="M862">
        <v>20</v>
      </c>
      <c r="N862" s="3">
        <v>3920</v>
      </c>
      <c r="O862" s="3">
        <v>3920</v>
      </c>
      <c r="P862" t="s">
        <v>74</v>
      </c>
      <c r="Q862" t="s">
        <v>82</v>
      </c>
      <c r="R862" t="s">
        <v>36</v>
      </c>
      <c r="S862" t="s">
        <v>112</v>
      </c>
      <c r="T862" t="s">
        <v>265</v>
      </c>
      <c r="U862" t="s">
        <v>124</v>
      </c>
      <c r="V862" t="s">
        <v>315</v>
      </c>
      <c r="W862">
        <v>3.4</v>
      </c>
      <c r="X862" t="s">
        <v>41</v>
      </c>
      <c r="Y862" t="s">
        <v>42</v>
      </c>
      <c r="Z862">
        <v>5</v>
      </c>
    </row>
    <row r="863" spans="1:26">
      <c r="A863" t="s">
        <v>1723</v>
      </c>
      <c r="B863" t="s">
        <v>1724</v>
      </c>
      <c r="C863" t="s">
        <v>28</v>
      </c>
      <c r="D863" t="s">
        <v>46</v>
      </c>
      <c r="E863" s="1">
        <v>44130</v>
      </c>
      <c r="F863" t="s">
        <v>79</v>
      </c>
      <c r="G863" t="s">
        <v>174</v>
      </c>
      <c r="H863" t="s">
        <v>32</v>
      </c>
      <c r="I863">
        <v>6</v>
      </c>
      <c r="J863" t="s">
        <v>98</v>
      </c>
      <c r="K863">
        <v>1</v>
      </c>
      <c r="L863" s="3">
        <v>8599</v>
      </c>
      <c r="M863">
        <v>15</v>
      </c>
      <c r="N863" s="3">
        <v>7310</v>
      </c>
      <c r="O863" s="3">
        <v>7310</v>
      </c>
      <c r="P863" t="s">
        <v>74</v>
      </c>
      <c r="Q863" t="s">
        <v>51</v>
      </c>
      <c r="R863" t="s">
        <v>36</v>
      </c>
      <c r="S863" t="s">
        <v>210</v>
      </c>
      <c r="T863" t="s">
        <v>211</v>
      </c>
      <c r="U863" t="s">
        <v>61</v>
      </c>
      <c r="V863" t="s">
        <v>40</v>
      </c>
      <c r="W863">
        <v>3.7</v>
      </c>
      <c r="X863" t="s">
        <v>106</v>
      </c>
      <c r="Y863" t="s">
        <v>55</v>
      </c>
      <c r="Z863">
        <v>2</v>
      </c>
    </row>
    <row r="864" spans="1:26">
      <c r="A864" t="s">
        <v>1725</v>
      </c>
      <c r="B864" t="s">
        <v>590</v>
      </c>
      <c r="C864" t="s">
        <v>45</v>
      </c>
      <c r="D864" t="s">
        <v>46</v>
      </c>
      <c r="E864" s="1">
        <v>44130</v>
      </c>
      <c r="F864" t="s">
        <v>47</v>
      </c>
      <c r="G864" t="s">
        <v>48</v>
      </c>
      <c r="H864" t="s">
        <v>49</v>
      </c>
      <c r="I864">
        <v>11</v>
      </c>
      <c r="J864" t="s">
        <v>67</v>
      </c>
      <c r="K864">
        <v>1</v>
      </c>
      <c r="L864" s="3">
        <v>4999</v>
      </c>
      <c r="M864">
        <v>25</v>
      </c>
      <c r="N864" s="3">
        <v>3750</v>
      </c>
      <c r="O864" s="3">
        <v>3750</v>
      </c>
      <c r="P864" t="s">
        <v>74</v>
      </c>
      <c r="Q864" t="s">
        <v>35</v>
      </c>
      <c r="R864" t="s">
        <v>36</v>
      </c>
      <c r="S864" t="s">
        <v>151</v>
      </c>
      <c r="T864" t="s">
        <v>452</v>
      </c>
      <c r="U864" t="s">
        <v>54</v>
      </c>
      <c r="V864" t="s">
        <v>315</v>
      </c>
      <c r="W864">
        <v>4.7</v>
      </c>
      <c r="X864" t="s">
        <v>41</v>
      </c>
      <c r="Y864" t="s">
        <v>42</v>
      </c>
      <c r="Z864">
        <v>4</v>
      </c>
    </row>
    <row r="865" spans="1:26">
      <c r="A865" t="s">
        <v>1726</v>
      </c>
      <c r="B865" t="s">
        <v>980</v>
      </c>
      <c r="C865" t="s">
        <v>94</v>
      </c>
      <c r="D865" t="s">
        <v>46</v>
      </c>
      <c r="E865" s="1">
        <v>44131</v>
      </c>
      <c r="F865" t="s">
        <v>47</v>
      </c>
      <c r="G865" t="s">
        <v>402</v>
      </c>
      <c r="H865" t="s">
        <v>32</v>
      </c>
      <c r="I865">
        <v>10</v>
      </c>
      <c r="J865" t="s">
        <v>98</v>
      </c>
      <c r="K865">
        <v>2</v>
      </c>
      <c r="L865" s="3">
        <v>6099</v>
      </c>
      <c r="M865">
        <v>15</v>
      </c>
      <c r="N865" s="3">
        <v>5180</v>
      </c>
      <c r="O865" s="3">
        <v>10360</v>
      </c>
      <c r="P865" t="s">
        <v>74</v>
      </c>
      <c r="Q865" t="s">
        <v>35</v>
      </c>
      <c r="R865" t="s">
        <v>36</v>
      </c>
      <c r="S865" t="s">
        <v>460</v>
      </c>
      <c r="T865" t="s">
        <v>580</v>
      </c>
      <c r="U865" t="s">
        <v>91</v>
      </c>
      <c r="V865" t="s">
        <v>315</v>
      </c>
      <c r="W865">
        <v>5</v>
      </c>
      <c r="X865" t="s">
        <v>41</v>
      </c>
      <c r="Y865" t="s">
        <v>42</v>
      </c>
      <c r="Z865">
        <v>4</v>
      </c>
    </row>
    <row r="866" spans="1:26">
      <c r="A866" t="s">
        <v>1727</v>
      </c>
      <c r="B866" t="s">
        <v>985</v>
      </c>
      <c r="C866" t="s">
        <v>45</v>
      </c>
      <c r="D866" t="s">
        <v>103</v>
      </c>
      <c r="E866" s="1">
        <v>44131</v>
      </c>
      <c r="F866" t="s">
        <v>47</v>
      </c>
      <c r="G866" t="s">
        <v>48</v>
      </c>
      <c r="H866" t="s">
        <v>49</v>
      </c>
      <c r="I866">
        <v>6</v>
      </c>
      <c r="J866" t="s">
        <v>67</v>
      </c>
      <c r="K866">
        <v>1</v>
      </c>
      <c r="L866" s="3">
        <v>8199</v>
      </c>
      <c r="M866">
        <v>20</v>
      </c>
      <c r="N866" s="3">
        <v>6560</v>
      </c>
      <c r="O866" s="3">
        <v>6560</v>
      </c>
      <c r="P866" t="s">
        <v>74</v>
      </c>
      <c r="Q866" t="s">
        <v>51</v>
      </c>
      <c r="R866" t="s">
        <v>36</v>
      </c>
      <c r="S866" t="s">
        <v>243</v>
      </c>
      <c r="T866" t="s">
        <v>244</v>
      </c>
      <c r="U866" t="s">
        <v>61</v>
      </c>
      <c r="V866" t="s">
        <v>315</v>
      </c>
      <c r="W866">
        <v>3.1</v>
      </c>
      <c r="X866" t="s">
        <v>41</v>
      </c>
      <c r="Y866" t="s">
        <v>55</v>
      </c>
      <c r="Z866">
        <v>3</v>
      </c>
    </row>
    <row r="867" spans="1:26">
      <c r="A867" t="s">
        <v>1728</v>
      </c>
      <c r="B867" t="s">
        <v>1729</v>
      </c>
      <c r="C867" t="s">
        <v>45</v>
      </c>
      <c r="D867" t="s">
        <v>29</v>
      </c>
      <c r="E867" s="1">
        <v>44132</v>
      </c>
      <c r="F867" t="s">
        <v>96</v>
      </c>
      <c r="G867" t="s">
        <v>171</v>
      </c>
      <c r="H867" t="s">
        <v>128</v>
      </c>
      <c r="I867">
        <v>10</v>
      </c>
      <c r="J867" t="s">
        <v>73</v>
      </c>
      <c r="K867">
        <v>1</v>
      </c>
      <c r="L867" s="3">
        <v>7499</v>
      </c>
      <c r="M867">
        <v>0</v>
      </c>
      <c r="N867" s="3">
        <v>7500</v>
      </c>
      <c r="O867" s="3">
        <v>7500</v>
      </c>
      <c r="P867" t="s">
        <v>81</v>
      </c>
      <c r="Q867" t="s">
        <v>51</v>
      </c>
      <c r="R867" t="s">
        <v>36</v>
      </c>
      <c r="S867" t="s">
        <v>99</v>
      </c>
      <c r="T867" t="s">
        <v>100</v>
      </c>
      <c r="U867" t="s">
        <v>39</v>
      </c>
      <c r="V867" t="s">
        <v>40</v>
      </c>
      <c r="W867">
        <v>4</v>
      </c>
      <c r="X867" t="s">
        <v>41</v>
      </c>
      <c r="Y867" t="s">
        <v>42</v>
      </c>
      <c r="Z867">
        <v>3</v>
      </c>
    </row>
    <row r="868" spans="1:26">
      <c r="A868" t="s">
        <v>1730</v>
      </c>
      <c r="B868" t="s">
        <v>144</v>
      </c>
      <c r="C868" t="s">
        <v>28</v>
      </c>
      <c r="D868" t="s">
        <v>95</v>
      </c>
      <c r="E868" s="1">
        <v>44137</v>
      </c>
      <c r="F868" t="s">
        <v>65</v>
      </c>
      <c r="G868" t="s">
        <v>66</v>
      </c>
      <c r="H868" t="s">
        <v>59</v>
      </c>
      <c r="I868">
        <v>6</v>
      </c>
      <c r="J868" t="s">
        <v>33</v>
      </c>
      <c r="K868">
        <v>1</v>
      </c>
      <c r="L868" s="3">
        <v>4999</v>
      </c>
      <c r="M868">
        <v>25</v>
      </c>
      <c r="N868" s="3">
        <v>3750</v>
      </c>
      <c r="O868" s="3">
        <v>3750</v>
      </c>
      <c r="P868" t="s">
        <v>34</v>
      </c>
      <c r="Q868" t="s">
        <v>35</v>
      </c>
      <c r="R868" t="s">
        <v>36</v>
      </c>
      <c r="S868" t="s">
        <v>354</v>
      </c>
      <c r="T868" t="s">
        <v>518</v>
      </c>
      <c r="U868" t="s">
        <v>124</v>
      </c>
      <c r="V868" t="s">
        <v>315</v>
      </c>
      <c r="W868">
        <v>4.9000000000000004</v>
      </c>
      <c r="X868" t="s">
        <v>41</v>
      </c>
      <c r="Y868" t="s">
        <v>42</v>
      </c>
      <c r="Z868">
        <v>1</v>
      </c>
    </row>
    <row r="869" spans="1:26">
      <c r="A869" t="s">
        <v>1731</v>
      </c>
      <c r="B869" t="s">
        <v>1027</v>
      </c>
      <c r="C869" t="s">
        <v>28</v>
      </c>
      <c r="D869" t="s">
        <v>103</v>
      </c>
      <c r="E869" s="1">
        <v>44137</v>
      </c>
      <c r="F869" t="s">
        <v>47</v>
      </c>
      <c r="G869" t="s">
        <v>121</v>
      </c>
      <c r="H869" t="s">
        <v>111</v>
      </c>
      <c r="I869">
        <v>8</v>
      </c>
      <c r="J869" t="s">
        <v>73</v>
      </c>
      <c r="K869">
        <v>2</v>
      </c>
      <c r="L869" s="3">
        <v>9499</v>
      </c>
      <c r="M869">
        <v>25</v>
      </c>
      <c r="N869" s="3">
        <v>7120</v>
      </c>
      <c r="O869" s="3">
        <v>14240</v>
      </c>
      <c r="P869" t="s">
        <v>74</v>
      </c>
      <c r="Q869" t="s">
        <v>51</v>
      </c>
      <c r="R869" t="s">
        <v>36</v>
      </c>
      <c r="S869" t="s">
        <v>112</v>
      </c>
      <c r="T869" t="s">
        <v>113</v>
      </c>
      <c r="U869" t="s">
        <v>54</v>
      </c>
      <c r="V869" t="s">
        <v>969</v>
      </c>
      <c r="W869">
        <v>3</v>
      </c>
      <c r="X869" t="s">
        <v>41</v>
      </c>
      <c r="Y869" t="s">
        <v>42</v>
      </c>
      <c r="Z869">
        <v>4</v>
      </c>
    </row>
    <row r="870" spans="1:26">
      <c r="A870" t="s">
        <v>1732</v>
      </c>
      <c r="B870" t="s">
        <v>1207</v>
      </c>
      <c r="C870" t="s">
        <v>94</v>
      </c>
      <c r="D870" t="s">
        <v>29</v>
      </c>
      <c r="E870" s="1">
        <v>44137</v>
      </c>
      <c r="F870" t="s">
        <v>79</v>
      </c>
      <c r="G870" t="s">
        <v>480</v>
      </c>
      <c r="H870" t="s">
        <v>111</v>
      </c>
      <c r="I870">
        <v>6</v>
      </c>
      <c r="J870" t="s">
        <v>33</v>
      </c>
      <c r="K870">
        <v>1</v>
      </c>
      <c r="L870" s="3">
        <v>6899</v>
      </c>
      <c r="M870">
        <v>20</v>
      </c>
      <c r="N870" s="3">
        <v>5520</v>
      </c>
      <c r="O870" s="3">
        <v>5520</v>
      </c>
      <c r="P870" t="s">
        <v>74</v>
      </c>
      <c r="Q870" t="s">
        <v>35</v>
      </c>
      <c r="R870" t="s">
        <v>36</v>
      </c>
      <c r="S870" t="s">
        <v>104</v>
      </c>
      <c r="T870" t="s">
        <v>291</v>
      </c>
      <c r="U870" t="s">
        <v>61</v>
      </c>
      <c r="V870" t="s">
        <v>315</v>
      </c>
      <c r="W870">
        <v>3.6</v>
      </c>
      <c r="X870" t="s">
        <v>41</v>
      </c>
      <c r="Y870" t="s">
        <v>42</v>
      </c>
      <c r="Z870">
        <v>3</v>
      </c>
    </row>
    <row r="871" spans="1:26">
      <c r="A871" t="s">
        <v>1733</v>
      </c>
      <c r="B871" t="s">
        <v>1734</v>
      </c>
      <c r="C871" t="s">
        <v>45</v>
      </c>
      <c r="D871" t="s">
        <v>103</v>
      </c>
      <c r="E871" s="1">
        <v>44138</v>
      </c>
      <c r="F871" t="s">
        <v>47</v>
      </c>
      <c r="G871" t="s">
        <v>48</v>
      </c>
      <c r="H871" t="s">
        <v>49</v>
      </c>
      <c r="I871">
        <v>7</v>
      </c>
      <c r="J871" t="s">
        <v>73</v>
      </c>
      <c r="K871">
        <v>2</v>
      </c>
      <c r="L871" s="3">
        <v>4299</v>
      </c>
      <c r="M871">
        <v>5</v>
      </c>
      <c r="N871" s="3">
        <v>4080</v>
      </c>
      <c r="O871" s="3">
        <v>8160</v>
      </c>
      <c r="P871" t="s">
        <v>34</v>
      </c>
      <c r="Q871" t="s">
        <v>51</v>
      </c>
      <c r="R871" t="s">
        <v>36</v>
      </c>
      <c r="S871" t="s">
        <v>338</v>
      </c>
      <c r="T871" t="s">
        <v>394</v>
      </c>
      <c r="U871" t="s">
        <v>61</v>
      </c>
      <c r="V871" t="s">
        <v>40</v>
      </c>
      <c r="W871">
        <v>5</v>
      </c>
      <c r="X871" t="s">
        <v>62</v>
      </c>
      <c r="Y871" t="s">
        <v>55</v>
      </c>
      <c r="Z871">
        <v>2</v>
      </c>
    </row>
    <row r="872" spans="1:26">
      <c r="A872" t="s">
        <v>1735</v>
      </c>
      <c r="B872" t="s">
        <v>1724</v>
      </c>
      <c r="C872" t="s">
        <v>28</v>
      </c>
      <c r="D872" t="s">
        <v>109</v>
      </c>
      <c r="E872" s="1">
        <v>44139</v>
      </c>
      <c r="F872" t="s">
        <v>96</v>
      </c>
      <c r="G872" t="s">
        <v>228</v>
      </c>
      <c r="H872" t="s">
        <v>59</v>
      </c>
      <c r="I872">
        <v>8</v>
      </c>
      <c r="J872" t="s">
        <v>150</v>
      </c>
      <c r="K872">
        <v>1</v>
      </c>
      <c r="L872" s="3">
        <v>6499</v>
      </c>
      <c r="M872">
        <v>25</v>
      </c>
      <c r="N872" s="3">
        <v>4870</v>
      </c>
      <c r="O872" s="3">
        <v>4870</v>
      </c>
      <c r="P872" t="s">
        <v>74</v>
      </c>
      <c r="Q872" t="s">
        <v>51</v>
      </c>
      <c r="R872" t="s">
        <v>36</v>
      </c>
      <c r="S872" t="s">
        <v>297</v>
      </c>
      <c r="T872" t="s">
        <v>351</v>
      </c>
      <c r="U872" t="s">
        <v>61</v>
      </c>
      <c r="V872" t="s">
        <v>315</v>
      </c>
      <c r="W872">
        <v>3.7</v>
      </c>
      <c r="X872" t="s">
        <v>62</v>
      </c>
      <c r="Y872" t="s">
        <v>55</v>
      </c>
      <c r="Z872">
        <v>2</v>
      </c>
    </row>
    <row r="873" spans="1:26">
      <c r="A873" t="s">
        <v>1736</v>
      </c>
      <c r="B873" t="s">
        <v>991</v>
      </c>
      <c r="C873" t="s">
        <v>94</v>
      </c>
      <c r="D873" t="s">
        <v>29</v>
      </c>
      <c r="E873" s="1">
        <v>44139</v>
      </c>
      <c r="F873" t="s">
        <v>86</v>
      </c>
      <c r="G873" t="s">
        <v>312</v>
      </c>
      <c r="H873" t="s">
        <v>59</v>
      </c>
      <c r="I873">
        <v>8</v>
      </c>
      <c r="J873" t="s">
        <v>33</v>
      </c>
      <c r="K873">
        <v>1</v>
      </c>
      <c r="L873" s="3">
        <v>4499</v>
      </c>
      <c r="M873">
        <v>10</v>
      </c>
      <c r="N873" s="3">
        <v>4050</v>
      </c>
      <c r="O873" s="3">
        <v>4050</v>
      </c>
      <c r="P873" t="s">
        <v>74</v>
      </c>
      <c r="Q873" t="s">
        <v>35</v>
      </c>
      <c r="R873" t="s">
        <v>36</v>
      </c>
      <c r="S873" t="s">
        <v>358</v>
      </c>
      <c r="T873" t="s">
        <v>359</v>
      </c>
      <c r="U873" t="s">
        <v>54</v>
      </c>
      <c r="V873" t="s">
        <v>315</v>
      </c>
      <c r="W873">
        <v>4.2</v>
      </c>
      <c r="X873" t="s">
        <v>41</v>
      </c>
      <c r="Y873" t="s">
        <v>55</v>
      </c>
      <c r="Z873">
        <v>3</v>
      </c>
    </row>
    <row r="874" spans="1:26">
      <c r="A874" t="s">
        <v>1737</v>
      </c>
      <c r="B874" t="s">
        <v>949</v>
      </c>
      <c r="C874" t="s">
        <v>45</v>
      </c>
      <c r="D874" t="s">
        <v>103</v>
      </c>
      <c r="E874" s="1">
        <v>44139</v>
      </c>
      <c r="F874" t="s">
        <v>79</v>
      </c>
      <c r="G874" t="s">
        <v>480</v>
      </c>
      <c r="H874" t="s">
        <v>111</v>
      </c>
      <c r="I874">
        <v>12</v>
      </c>
      <c r="J874" t="s">
        <v>98</v>
      </c>
      <c r="K874">
        <v>1</v>
      </c>
      <c r="L874" s="3">
        <v>5399</v>
      </c>
      <c r="M874">
        <v>0</v>
      </c>
      <c r="N874" s="3">
        <v>5400</v>
      </c>
      <c r="O874" s="3">
        <v>5400</v>
      </c>
      <c r="P874" t="s">
        <v>74</v>
      </c>
      <c r="Q874" t="s">
        <v>82</v>
      </c>
      <c r="R874" t="s">
        <v>36</v>
      </c>
      <c r="S874" t="s">
        <v>99</v>
      </c>
      <c r="T874" t="s">
        <v>335</v>
      </c>
      <c r="U874" t="s">
        <v>54</v>
      </c>
      <c r="V874" t="s">
        <v>315</v>
      </c>
      <c r="W874">
        <v>4.2</v>
      </c>
      <c r="X874" t="s">
        <v>41</v>
      </c>
      <c r="Y874" t="s">
        <v>42</v>
      </c>
      <c r="Z874">
        <v>2</v>
      </c>
    </row>
    <row r="875" spans="1:26">
      <c r="A875" t="s">
        <v>1738</v>
      </c>
      <c r="B875" t="s">
        <v>1739</v>
      </c>
      <c r="C875" t="s">
        <v>94</v>
      </c>
      <c r="D875" t="s">
        <v>103</v>
      </c>
      <c r="E875" s="1">
        <v>44139</v>
      </c>
      <c r="F875" t="s">
        <v>96</v>
      </c>
      <c r="G875" t="s">
        <v>171</v>
      </c>
      <c r="H875" t="s">
        <v>128</v>
      </c>
      <c r="I875">
        <v>8</v>
      </c>
      <c r="J875" t="s">
        <v>67</v>
      </c>
      <c r="K875">
        <v>1</v>
      </c>
      <c r="L875" s="3">
        <v>5599</v>
      </c>
      <c r="M875">
        <v>15</v>
      </c>
      <c r="N875" s="3">
        <v>4760</v>
      </c>
      <c r="O875" s="3">
        <v>4760</v>
      </c>
      <c r="P875" t="s">
        <v>34</v>
      </c>
      <c r="Q875" t="s">
        <v>51</v>
      </c>
      <c r="R875" t="s">
        <v>36</v>
      </c>
      <c r="S875" t="s">
        <v>354</v>
      </c>
      <c r="T875" t="s">
        <v>434</v>
      </c>
      <c r="U875" t="s">
        <v>39</v>
      </c>
      <c r="V875" t="s">
        <v>40</v>
      </c>
      <c r="W875">
        <v>4.3</v>
      </c>
      <c r="X875" t="s">
        <v>41</v>
      </c>
      <c r="Y875" t="s">
        <v>147</v>
      </c>
      <c r="Z875">
        <v>1</v>
      </c>
    </row>
    <row r="876" spans="1:26">
      <c r="A876" t="s">
        <v>1740</v>
      </c>
      <c r="B876" t="s">
        <v>1741</v>
      </c>
      <c r="C876" t="s">
        <v>45</v>
      </c>
      <c r="D876" t="s">
        <v>95</v>
      </c>
      <c r="E876" s="1">
        <v>44139</v>
      </c>
      <c r="F876" t="s">
        <v>30</v>
      </c>
      <c r="G876" t="s">
        <v>31</v>
      </c>
      <c r="H876" t="s">
        <v>32</v>
      </c>
      <c r="I876">
        <v>9</v>
      </c>
      <c r="J876" t="s">
        <v>33</v>
      </c>
      <c r="K876">
        <v>2</v>
      </c>
      <c r="L876" s="3">
        <v>7599</v>
      </c>
      <c r="M876">
        <v>15</v>
      </c>
      <c r="N876" s="3">
        <v>6460</v>
      </c>
      <c r="O876" s="3">
        <v>12920</v>
      </c>
      <c r="P876" t="s">
        <v>74</v>
      </c>
      <c r="Q876" t="s">
        <v>51</v>
      </c>
      <c r="R876" t="s">
        <v>36</v>
      </c>
      <c r="S876" t="s">
        <v>358</v>
      </c>
      <c r="T876" t="s">
        <v>805</v>
      </c>
      <c r="U876" t="s">
        <v>91</v>
      </c>
      <c r="V876" t="s">
        <v>40</v>
      </c>
      <c r="W876">
        <v>4.5</v>
      </c>
      <c r="X876" t="s">
        <v>41</v>
      </c>
      <c r="Y876" t="s">
        <v>55</v>
      </c>
      <c r="Z876">
        <v>2</v>
      </c>
    </row>
    <row r="877" spans="1:26">
      <c r="A877" t="s">
        <v>1742</v>
      </c>
      <c r="B877" t="s">
        <v>837</v>
      </c>
      <c r="C877" t="s">
        <v>94</v>
      </c>
      <c r="D877" t="s">
        <v>46</v>
      </c>
      <c r="E877" s="1">
        <v>44141</v>
      </c>
      <c r="F877" t="s">
        <v>96</v>
      </c>
      <c r="G877" t="s">
        <v>97</v>
      </c>
      <c r="H877" t="s">
        <v>49</v>
      </c>
      <c r="I877">
        <v>12</v>
      </c>
      <c r="J877" t="s">
        <v>98</v>
      </c>
      <c r="K877">
        <v>1</v>
      </c>
      <c r="L877" s="3">
        <v>8099</v>
      </c>
      <c r="M877">
        <v>10</v>
      </c>
      <c r="N877" s="3">
        <v>7290</v>
      </c>
      <c r="O877" s="3">
        <v>7290</v>
      </c>
      <c r="P877" t="s">
        <v>74</v>
      </c>
      <c r="Q877" t="s">
        <v>82</v>
      </c>
      <c r="R877" t="s">
        <v>36</v>
      </c>
      <c r="S877" t="s">
        <v>117</v>
      </c>
      <c r="T877" t="s">
        <v>751</v>
      </c>
      <c r="U877" t="s">
        <v>54</v>
      </c>
      <c r="V877" t="s">
        <v>315</v>
      </c>
      <c r="W877">
        <v>4.7</v>
      </c>
      <c r="X877" t="s">
        <v>41</v>
      </c>
      <c r="Y877" t="s">
        <v>55</v>
      </c>
      <c r="Z877">
        <v>4</v>
      </c>
    </row>
    <row r="878" spans="1:26">
      <c r="A878" t="s">
        <v>1743</v>
      </c>
      <c r="B878" t="s">
        <v>1744</v>
      </c>
      <c r="C878" t="s">
        <v>94</v>
      </c>
      <c r="D878" t="s">
        <v>29</v>
      </c>
      <c r="E878" s="1">
        <v>44143</v>
      </c>
      <c r="F878" t="s">
        <v>79</v>
      </c>
      <c r="G878" t="s">
        <v>174</v>
      </c>
      <c r="H878" t="s">
        <v>32</v>
      </c>
      <c r="I878">
        <v>11</v>
      </c>
      <c r="J878" t="s">
        <v>33</v>
      </c>
      <c r="K878">
        <v>1</v>
      </c>
      <c r="L878" s="3">
        <v>7499</v>
      </c>
      <c r="M878">
        <v>15</v>
      </c>
      <c r="N878" s="3">
        <v>6370</v>
      </c>
      <c r="O878" s="3">
        <v>6370</v>
      </c>
      <c r="P878" t="s">
        <v>74</v>
      </c>
      <c r="Q878" t="s">
        <v>35</v>
      </c>
      <c r="R878" t="s">
        <v>36</v>
      </c>
      <c r="S878" t="s">
        <v>112</v>
      </c>
      <c r="T878" t="s">
        <v>113</v>
      </c>
      <c r="U878" t="s">
        <v>39</v>
      </c>
      <c r="V878" t="s">
        <v>40</v>
      </c>
      <c r="W878">
        <v>3.6</v>
      </c>
      <c r="X878" t="s">
        <v>41</v>
      </c>
      <c r="Y878" t="s">
        <v>42</v>
      </c>
      <c r="Z878">
        <v>4</v>
      </c>
    </row>
    <row r="879" spans="1:26">
      <c r="A879" t="s">
        <v>1745</v>
      </c>
      <c r="B879" t="s">
        <v>1213</v>
      </c>
      <c r="C879" t="s">
        <v>28</v>
      </c>
      <c r="D879" t="s">
        <v>103</v>
      </c>
      <c r="E879" s="1">
        <v>44143</v>
      </c>
      <c r="F879" t="s">
        <v>65</v>
      </c>
      <c r="G879" t="s">
        <v>268</v>
      </c>
      <c r="H879" t="s">
        <v>128</v>
      </c>
      <c r="I879">
        <v>6</v>
      </c>
      <c r="J879" t="s">
        <v>98</v>
      </c>
      <c r="K879">
        <v>1</v>
      </c>
      <c r="L879" s="3">
        <v>5999</v>
      </c>
      <c r="M879">
        <v>10</v>
      </c>
      <c r="N879" s="3">
        <v>5400</v>
      </c>
      <c r="O879" s="3">
        <v>5400</v>
      </c>
      <c r="P879" t="s">
        <v>50</v>
      </c>
      <c r="Q879" t="s">
        <v>51</v>
      </c>
      <c r="R879" t="s">
        <v>36</v>
      </c>
      <c r="S879" t="s">
        <v>52</v>
      </c>
      <c r="T879" t="s">
        <v>53</v>
      </c>
      <c r="U879" t="s">
        <v>91</v>
      </c>
      <c r="V879" t="s">
        <v>315</v>
      </c>
      <c r="W879">
        <v>4.8</v>
      </c>
      <c r="X879" t="s">
        <v>41</v>
      </c>
      <c r="Y879" t="s">
        <v>42</v>
      </c>
      <c r="Z879">
        <v>5</v>
      </c>
    </row>
    <row r="880" spans="1:26">
      <c r="A880" t="s">
        <v>1746</v>
      </c>
      <c r="B880" t="s">
        <v>1152</v>
      </c>
      <c r="C880" t="s">
        <v>45</v>
      </c>
      <c r="D880" t="s">
        <v>29</v>
      </c>
      <c r="E880" s="1">
        <v>44143</v>
      </c>
      <c r="F880" t="s">
        <v>86</v>
      </c>
      <c r="G880" t="s">
        <v>190</v>
      </c>
      <c r="H880" t="s">
        <v>128</v>
      </c>
      <c r="I880">
        <v>9</v>
      </c>
      <c r="J880" t="s">
        <v>73</v>
      </c>
      <c r="K880">
        <v>2</v>
      </c>
      <c r="L880" s="3">
        <v>5899</v>
      </c>
      <c r="M880">
        <v>5</v>
      </c>
      <c r="N880" s="3">
        <v>5600</v>
      </c>
      <c r="O880" s="3">
        <v>11200</v>
      </c>
      <c r="P880" t="s">
        <v>74</v>
      </c>
      <c r="Q880" t="s">
        <v>51</v>
      </c>
      <c r="R880" t="s">
        <v>36</v>
      </c>
      <c r="S880" t="s">
        <v>238</v>
      </c>
      <c r="T880" t="s">
        <v>377</v>
      </c>
      <c r="U880" t="s">
        <v>39</v>
      </c>
      <c r="V880" t="s">
        <v>315</v>
      </c>
      <c r="W880">
        <v>4.5</v>
      </c>
      <c r="X880" t="s">
        <v>41</v>
      </c>
      <c r="Y880" t="s">
        <v>55</v>
      </c>
      <c r="Z880">
        <v>1</v>
      </c>
    </row>
    <row r="881" spans="1:26">
      <c r="A881" t="s">
        <v>1747</v>
      </c>
      <c r="B881" t="s">
        <v>374</v>
      </c>
      <c r="C881" t="s">
        <v>94</v>
      </c>
      <c r="D881" t="s">
        <v>109</v>
      </c>
      <c r="E881" s="1">
        <v>44144</v>
      </c>
      <c r="F881" t="s">
        <v>47</v>
      </c>
      <c r="G881" t="s">
        <v>218</v>
      </c>
      <c r="H881" t="s">
        <v>59</v>
      </c>
      <c r="I881">
        <v>8</v>
      </c>
      <c r="J881" t="s">
        <v>67</v>
      </c>
      <c r="K881">
        <v>2</v>
      </c>
      <c r="L881" s="3">
        <v>4899</v>
      </c>
      <c r="M881">
        <v>20</v>
      </c>
      <c r="N881" s="3">
        <v>3920</v>
      </c>
      <c r="O881" s="3">
        <v>7840</v>
      </c>
      <c r="P881" t="s">
        <v>74</v>
      </c>
      <c r="Q881" t="s">
        <v>51</v>
      </c>
      <c r="R881" t="s">
        <v>36</v>
      </c>
      <c r="S881" t="s">
        <v>164</v>
      </c>
      <c r="T881" t="s">
        <v>348</v>
      </c>
      <c r="U881" t="s">
        <v>124</v>
      </c>
      <c r="V881" t="s">
        <v>315</v>
      </c>
      <c r="W881">
        <v>3.9</v>
      </c>
      <c r="X881" t="s">
        <v>41</v>
      </c>
      <c r="Y881" t="s">
        <v>42</v>
      </c>
      <c r="Z881">
        <v>2</v>
      </c>
    </row>
    <row r="882" spans="1:26">
      <c r="A882" t="s">
        <v>1748</v>
      </c>
      <c r="B882" t="s">
        <v>1749</v>
      </c>
      <c r="C882" t="s">
        <v>28</v>
      </c>
      <c r="D882" t="s">
        <v>46</v>
      </c>
      <c r="E882" s="1">
        <v>44144</v>
      </c>
      <c r="F882" t="s">
        <v>86</v>
      </c>
      <c r="G882" t="s">
        <v>312</v>
      </c>
      <c r="H882" t="s">
        <v>59</v>
      </c>
      <c r="I882">
        <v>7</v>
      </c>
      <c r="J882" t="s">
        <v>98</v>
      </c>
      <c r="K882">
        <v>1</v>
      </c>
      <c r="L882" s="3">
        <v>7799</v>
      </c>
      <c r="M882">
        <v>5</v>
      </c>
      <c r="N882" s="3">
        <v>7410</v>
      </c>
      <c r="O882" s="3">
        <v>7410</v>
      </c>
      <c r="P882" t="s">
        <v>81</v>
      </c>
      <c r="Q882" t="s">
        <v>51</v>
      </c>
      <c r="R882" t="s">
        <v>36</v>
      </c>
      <c r="S882" t="s">
        <v>286</v>
      </c>
      <c r="T882" t="s">
        <v>287</v>
      </c>
      <c r="U882" t="s">
        <v>54</v>
      </c>
      <c r="V882" t="s">
        <v>40</v>
      </c>
      <c r="W882">
        <v>4.4000000000000004</v>
      </c>
      <c r="X882" t="s">
        <v>41</v>
      </c>
      <c r="Y882" t="s">
        <v>55</v>
      </c>
      <c r="Z882">
        <v>2</v>
      </c>
    </row>
    <row r="883" spans="1:26">
      <c r="A883" t="s">
        <v>1750</v>
      </c>
      <c r="B883" t="s">
        <v>1751</v>
      </c>
      <c r="C883" t="s">
        <v>45</v>
      </c>
      <c r="D883" t="s">
        <v>46</v>
      </c>
      <c r="E883" s="1">
        <v>44144</v>
      </c>
      <c r="F883" t="s">
        <v>96</v>
      </c>
      <c r="G883" t="s">
        <v>97</v>
      </c>
      <c r="H883" t="s">
        <v>49</v>
      </c>
      <c r="I883">
        <v>8</v>
      </c>
      <c r="J883" t="s">
        <v>67</v>
      </c>
      <c r="K883">
        <v>1</v>
      </c>
      <c r="L883" s="3">
        <v>3999</v>
      </c>
      <c r="M883">
        <v>25</v>
      </c>
      <c r="N883" s="3">
        <v>3000</v>
      </c>
      <c r="O883" s="3">
        <v>3000</v>
      </c>
      <c r="P883" t="s">
        <v>74</v>
      </c>
      <c r="Q883" t="s">
        <v>82</v>
      </c>
      <c r="R883" t="s">
        <v>36</v>
      </c>
      <c r="S883" t="s">
        <v>156</v>
      </c>
      <c r="T883" t="s">
        <v>324</v>
      </c>
      <c r="U883" t="s">
        <v>54</v>
      </c>
      <c r="V883" t="s">
        <v>40</v>
      </c>
      <c r="W883">
        <v>4.5</v>
      </c>
      <c r="X883" t="s">
        <v>106</v>
      </c>
      <c r="Y883" t="s">
        <v>42</v>
      </c>
      <c r="Z883">
        <v>4</v>
      </c>
    </row>
    <row r="884" spans="1:26">
      <c r="A884" t="s">
        <v>1752</v>
      </c>
      <c r="B884" t="s">
        <v>1603</v>
      </c>
      <c r="C884" t="s">
        <v>45</v>
      </c>
      <c r="D884" t="s">
        <v>46</v>
      </c>
      <c r="E884" s="1">
        <v>44144</v>
      </c>
      <c r="F884" t="s">
        <v>86</v>
      </c>
      <c r="G884" t="s">
        <v>116</v>
      </c>
      <c r="H884" t="s">
        <v>49</v>
      </c>
      <c r="I884">
        <v>8</v>
      </c>
      <c r="J884" t="s">
        <v>67</v>
      </c>
      <c r="K884">
        <v>1</v>
      </c>
      <c r="L884" s="3">
        <v>7799</v>
      </c>
      <c r="M884">
        <v>10</v>
      </c>
      <c r="N884" s="3">
        <v>7020</v>
      </c>
      <c r="O884" s="3">
        <v>7020</v>
      </c>
      <c r="P884" t="s">
        <v>74</v>
      </c>
      <c r="Q884" t="s">
        <v>51</v>
      </c>
      <c r="R884" t="s">
        <v>36</v>
      </c>
      <c r="S884" t="s">
        <v>68</v>
      </c>
      <c r="T884" t="s">
        <v>400</v>
      </c>
      <c r="U884" t="s">
        <v>54</v>
      </c>
      <c r="V884" t="s">
        <v>315</v>
      </c>
      <c r="W884">
        <v>4.3</v>
      </c>
      <c r="X884" t="s">
        <v>106</v>
      </c>
      <c r="Y884" t="s">
        <v>55</v>
      </c>
      <c r="Z884">
        <v>4</v>
      </c>
    </row>
    <row r="885" spans="1:26">
      <c r="A885" t="s">
        <v>1753</v>
      </c>
      <c r="B885" t="s">
        <v>1754</v>
      </c>
      <c r="C885" t="s">
        <v>28</v>
      </c>
      <c r="D885" t="s">
        <v>46</v>
      </c>
      <c r="E885" s="1">
        <v>44144</v>
      </c>
      <c r="F885" t="s">
        <v>30</v>
      </c>
      <c r="G885" t="s">
        <v>145</v>
      </c>
      <c r="H885" t="s">
        <v>59</v>
      </c>
      <c r="I885">
        <v>8</v>
      </c>
      <c r="J885" t="s">
        <v>67</v>
      </c>
      <c r="K885">
        <v>2</v>
      </c>
      <c r="L885" s="3">
        <v>4999</v>
      </c>
      <c r="M885">
        <v>15</v>
      </c>
      <c r="N885" s="3">
        <v>4250</v>
      </c>
      <c r="O885" s="3">
        <v>8500</v>
      </c>
      <c r="P885" t="s">
        <v>74</v>
      </c>
      <c r="Q885" t="s">
        <v>82</v>
      </c>
      <c r="R885" t="s">
        <v>36</v>
      </c>
      <c r="S885" t="s">
        <v>182</v>
      </c>
      <c r="T885" t="s">
        <v>309</v>
      </c>
      <c r="U885" t="s">
        <v>61</v>
      </c>
      <c r="V885" t="s">
        <v>40</v>
      </c>
      <c r="W885">
        <v>3</v>
      </c>
      <c r="X885" t="s">
        <v>41</v>
      </c>
      <c r="Y885" t="s">
        <v>55</v>
      </c>
      <c r="Z885">
        <v>3</v>
      </c>
    </row>
    <row r="886" spans="1:26">
      <c r="A886" t="s">
        <v>1755</v>
      </c>
      <c r="B886" t="s">
        <v>368</v>
      </c>
      <c r="C886" t="s">
        <v>94</v>
      </c>
      <c r="D886" t="s">
        <v>103</v>
      </c>
      <c r="E886" s="1">
        <v>44145</v>
      </c>
      <c r="F886" t="s">
        <v>79</v>
      </c>
      <c r="G886" t="s">
        <v>480</v>
      </c>
      <c r="H886" t="s">
        <v>111</v>
      </c>
      <c r="I886">
        <v>9</v>
      </c>
      <c r="J886" t="s">
        <v>88</v>
      </c>
      <c r="K886">
        <v>1</v>
      </c>
      <c r="L886" s="3">
        <v>6499</v>
      </c>
      <c r="M886">
        <v>10</v>
      </c>
      <c r="N886" s="3">
        <v>5850</v>
      </c>
      <c r="O886" s="3">
        <v>5850</v>
      </c>
      <c r="P886" t="s">
        <v>34</v>
      </c>
      <c r="Q886" t="s">
        <v>51</v>
      </c>
      <c r="R886" t="s">
        <v>36</v>
      </c>
      <c r="S886" t="s">
        <v>117</v>
      </c>
      <c r="T886" t="s">
        <v>544</v>
      </c>
      <c r="U886" t="s">
        <v>124</v>
      </c>
      <c r="V886" t="s">
        <v>315</v>
      </c>
      <c r="W886">
        <v>3.5</v>
      </c>
      <c r="X886" t="s">
        <v>62</v>
      </c>
      <c r="Y886" t="s">
        <v>42</v>
      </c>
      <c r="Z886">
        <v>1</v>
      </c>
    </row>
    <row r="887" spans="1:26">
      <c r="A887" t="s">
        <v>1756</v>
      </c>
      <c r="B887" t="s">
        <v>1332</v>
      </c>
      <c r="C887" t="s">
        <v>94</v>
      </c>
      <c r="D887" t="s">
        <v>95</v>
      </c>
      <c r="E887" s="1">
        <v>44145</v>
      </c>
      <c r="F887" t="s">
        <v>79</v>
      </c>
      <c r="G887" t="s">
        <v>517</v>
      </c>
      <c r="H887" t="s">
        <v>59</v>
      </c>
      <c r="I887">
        <v>10</v>
      </c>
      <c r="J887" t="s">
        <v>33</v>
      </c>
      <c r="K887">
        <v>1</v>
      </c>
      <c r="L887" s="3">
        <v>4399</v>
      </c>
      <c r="M887">
        <v>10</v>
      </c>
      <c r="N887" s="3">
        <v>3960</v>
      </c>
      <c r="O887" s="3">
        <v>3960</v>
      </c>
      <c r="P887" t="s">
        <v>74</v>
      </c>
      <c r="Q887" t="s">
        <v>82</v>
      </c>
      <c r="R887" t="s">
        <v>36</v>
      </c>
      <c r="S887" t="s">
        <v>354</v>
      </c>
      <c r="T887" t="s">
        <v>434</v>
      </c>
      <c r="U887" t="s">
        <v>54</v>
      </c>
      <c r="V887" t="s">
        <v>315</v>
      </c>
      <c r="W887">
        <v>3.7</v>
      </c>
      <c r="X887" t="s">
        <v>62</v>
      </c>
      <c r="Y887" t="s">
        <v>42</v>
      </c>
      <c r="Z887">
        <v>5</v>
      </c>
    </row>
    <row r="888" spans="1:26">
      <c r="A888" t="s">
        <v>1757</v>
      </c>
      <c r="B888" t="s">
        <v>1124</v>
      </c>
      <c r="C888" t="s">
        <v>45</v>
      </c>
      <c r="D888" t="s">
        <v>46</v>
      </c>
      <c r="E888" s="1">
        <v>44145</v>
      </c>
      <c r="F888" t="s">
        <v>79</v>
      </c>
      <c r="G888" t="s">
        <v>301</v>
      </c>
      <c r="H888" t="s">
        <v>49</v>
      </c>
      <c r="I888">
        <v>7</v>
      </c>
      <c r="J888" t="s">
        <v>98</v>
      </c>
      <c r="K888">
        <v>1</v>
      </c>
      <c r="L888" s="3">
        <v>3599</v>
      </c>
      <c r="M888">
        <v>20</v>
      </c>
      <c r="N888" s="3">
        <v>2880</v>
      </c>
      <c r="O888" s="3">
        <v>2880</v>
      </c>
      <c r="P888" t="s">
        <v>34</v>
      </c>
      <c r="Q888" t="s">
        <v>35</v>
      </c>
      <c r="R888" t="s">
        <v>36</v>
      </c>
      <c r="S888" t="s">
        <v>297</v>
      </c>
      <c r="T888" t="s">
        <v>390</v>
      </c>
      <c r="U888" t="s">
        <v>91</v>
      </c>
      <c r="V888" t="s">
        <v>315</v>
      </c>
      <c r="W888">
        <v>2.8</v>
      </c>
      <c r="X888" t="s">
        <v>106</v>
      </c>
      <c r="Y888" t="s">
        <v>55</v>
      </c>
      <c r="Z888">
        <v>2</v>
      </c>
    </row>
    <row r="889" spans="1:26">
      <c r="A889" t="s">
        <v>1758</v>
      </c>
      <c r="B889" t="s">
        <v>1759</v>
      </c>
      <c r="C889" t="s">
        <v>28</v>
      </c>
      <c r="D889" t="s">
        <v>46</v>
      </c>
      <c r="E889" s="1">
        <v>44145</v>
      </c>
      <c r="F889" t="s">
        <v>79</v>
      </c>
      <c r="G889" t="s">
        <v>127</v>
      </c>
      <c r="H889" t="s">
        <v>128</v>
      </c>
      <c r="I889">
        <v>7</v>
      </c>
      <c r="J889" t="s">
        <v>98</v>
      </c>
      <c r="K889">
        <v>1</v>
      </c>
      <c r="L889" s="3">
        <v>5899</v>
      </c>
      <c r="M889">
        <v>15</v>
      </c>
      <c r="N889" s="3">
        <v>5010</v>
      </c>
      <c r="O889" s="3">
        <v>5010</v>
      </c>
      <c r="P889" t="s">
        <v>81</v>
      </c>
      <c r="Q889" t="s">
        <v>51</v>
      </c>
      <c r="R889" t="s">
        <v>36</v>
      </c>
      <c r="S889" t="s">
        <v>358</v>
      </c>
      <c r="T889" t="s">
        <v>359</v>
      </c>
      <c r="U889" t="s">
        <v>54</v>
      </c>
      <c r="V889" t="s">
        <v>40</v>
      </c>
      <c r="W889">
        <v>4.3</v>
      </c>
      <c r="X889" t="s">
        <v>41</v>
      </c>
      <c r="Y889" t="s">
        <v>42</v>
      </c>
      <c r="Z889">
        <v>2</v>
      </c>
    </row>
    <row r="890" spans="1:26">
      <c r="A890" t="s">
        <v>1760</v>
      </c>
      <c r="B890" t="s">
        <v>1761</v>
      </c>
      <c r="C890" t="s">
        <v>45</v>
      </c>
      <c r="D890" t="s">
        <v>29</v>
      </c>
      <c r="E890" s="1">
        <v>44147</v>
      </c>
      <c r="F890" t="s">
        <v>30</v>
      </c>
      <c r="G890" t="s">
        <v>145</v>
      </c>
      <c r="H890" t="s">
        <v>59</v>
      </c>
      <c r="I890">
        <v>9</v>
      </c>
      <c r="J890" t="s">
        <v>73</v>
      </c>
      <c r="K890">
        <v>1</v>
      </c>
      <c r="L890" s="3">
        <v>9499</v>
      </c>
      <c r="M890">
        <v>15</v>
      </c>
      <c r="N890" s="3">
        <v>8070</v>
      </c>
      <c r="O890" s="3">
        <v>8070</v>
      </c>
      <c r="P890" t="s">
        <v>74</v>
      </c>
      <c r="Q890" t="s">
        <v>82</v>
      </c>
      <c r="R890" t="s">
        <v>36</v>
      </c>
      <c r="S890" t="s">
        <v>243</v>
      </c>
      <c r="T890" t="s">
        <v>328</v>
      </c>
      <c r="U890" t="s">
        <v>91</v>
      </c>
      <c r="V890" t="s">
        <v>40</v>
      </c>
      <c r="W890">
        <v>3.5</v>
      </c>
      <c r="X890" t="s">
        <v>41</v>
      </c>
      <c r="Y890" t="s">
        <v>42</v>
      </c>
      <c r="Z890">
        <v>5</v>
      </c>
    </row>
    <row r="891" spans="1:26">
      <c r="A891" t="s">
        <v>1762</v>
      </c>
      <c r="B891" t="s">
        <v>1763</v>
      </c>
      <c r="C891" t="s">
        <v>28</v>
      </c>
      <c r="D891" t="s">
        <v>29</v>
      </c>
      <c r="E891" s="1">
        <v>44147</v>
      </c>
      <c r="F891" t="s">
        <v>65</v>
      </c>
      <c r="G891" t="s">
        <v>66</v>
      </c>
      <c r="H891" t="s">
        <v>59</v>
      </c>
      <c r="I891">
        <v>9</v>
      </c>
      <c r="J891" t="s">
        <v>67</v>
      </c>
      <c r="K891">
        <v>1</v>
      </c>
      <c r="L891" s="3">
        <v>8199</v>
      </c>
      <c r="M891">
        <v>25</v>
      </c>
      <c r="N891" s="3">
        <v>6150</v>
      </c>
      <c r="O891" s="3">
        <v>6150</v>
      </c>
      <c r="P891" t="s">
        <v>74</v>
      </c>
      <c r="Q891" t="s">
        <v>35</v>
      </c>
      <c r="R891" t="s">
        <v>36</v>
      </c>
      <c r="S891" t="s">
        <v>122</v>
      </c>
      <c r="T891" t="s">
        <v>382</v>
      </c>
      <c r="U891" t="s">
        <v>61</v>
      </c>
      <c r="V891" t="s">
        <v>40</v>
      </c>
      <c r="W891">
        <v>3.4</v>
      </c>
      <c r="X891" t="s">
        <v>41</v>
      </c>
      <c r="Y891" t="s">
        <v>55</v>
      </c>
      <c r="Z891">
        <v>2</v>
      </c>
    </row>
    <row r="892" spans="1:26">
      <c r="A892" t="s">
        <v>1764</v>
      </c>
      <c r="B892" t="s">
        <v>1765</v>
      </c>
      <c r="C892" t="s">
        <v>45</v>
      </c>
      <c r="D892" t="s">
        <v>109</v>
      </c>
      <c r="E892" s="1">
        <v>44148</v>
      </c>
      <c r="F892" t="s">
        <v>47</v>
      </c>
      <c r="G892" t="s">
        <v>402</v>
      </c>
      <c r="H892" t="s">
        <v>32</v>
      </c>
      <c r="I892">
        <v>12</v>
      </c>
      <c r="J892" t="s">
        <v>150</v>
      </c>
      <c r="K892">
        <v>1</v>
      </c>
      <c r="L892" s="3">
        <v>7599</v>
      </c>
      <c r="M892">
        <v>15</v>
      </c>
      <c r="N892" s="3">
        <v>6460</v>
      </c>
      <c r="O892" s="3">
        <v>6460</v>
      </c>
      <c r="P892" t="s">
        <v>34</v>
      </c>
      <c r="Q892" t="s">
        <v>35</v>
      </c>
      <c r="R892" t="s">
        <v>36</v>
      </c>
      <c r="S892" t="s">
        <v>168</v>
      </c>
      <c r="T892" t="s">
        <v>557</v>
      </c>
      <c r="U892" t="s">
        <v>39</v>
      </c>
      <c r="V892" t="s">
        <v>40</v>
      </c>
      <c r="W892">
        <v>3.8</v>
      </c>
      <c r="X892" t="s">
        <v>41</v>
      </c>
      <c r="Y892" t="s">
        <v>42</v>
      </c>
      <c r="Z892">
        <v>5</v>
      </c>
    </row>
    <row r="893" spans="1:26">
      <c r="A893" t="s">
        <v>1766</v>
      </c>
      <c r="B893" t="s">
        <v>1134</v>
      </c>
      <c r="C893" t="s">
        <v>28</v>
      </c>
      <c r="D893" t="s">
        <v>109</v>
      </c>
      <c r="E893" s="1">
        <v>44148</v>
      </c>
      <c r="F893" t="s">
        <v>65</v>
      </c>
      <c r="G893" t="s">
        <v>72</v>
      </c>
      <c r="H893" t="s">
        <v>59</v>
      </c>
      <c r="I893">
        <v>11</v>
      </c>
      <c r="J893" t="s">
        <v>73</v>
      </c>
      <c r="K893">
        <v>1</v>
      </c>
      <c r="L893" s="3">
        <v>4399</v>
      </c>
      <c r="M893">
        <v>5</v>
      </c>
      <c r="N893" s="3">
        <v>4180</v>
      </c>
      <c r="O893" s="3">
        <v>4180</v>
      </c>
      <c r="P893" t="s">
        <v>74</v>
      </c>
      <c r="Q893" t="s">
        <v>51</v>
      </c>
      <c r="R893" t="s">
        <v>36</v>
      </c>
      <c r="S893" t="s">
        <v>75</v>
      </c>
      <c r="T893" t="s">
        <v>215</v>
      </c>
      <c r="U893" t="s">
        <v>39</v>
      </c>
      <c r="V893" t="s">
        <v>315</v>
      </c>
      <c r="W893">
        <v>4.5999999999999996</v>
      </c>
      <c r="X893" t="s">
        <v>41</v>
      </c>
      <c r="Y893" t="s">
        <v>55</v>
      </c>
      <c r="Z893">
        <v>4</v>
      </c>
    </row>
    <row r="894" spans="1:26">
      <c r="A894" t="s">
        <v>1767</v>
      </c>
      <c r="B894" t="s">
        <v>376</v>
      </c>
      <c r="C894" t="s">
        <v>94</v>
      </c>
      <c r="D894" t="s">
        <v>29</v>
      </c>
      <c r="E894" s="1">
        <v>44149</v>
      </c>
      <c r="F894" t="s">
        <v>86</v>
      </c>
      <c r="G894" t="s">
        <v>242</v>
      </c>
      <c r="H894" t="s">
        <v>32</v>
      </c>
      <c r="I894">
        <v>10</v>
      </c>
      <c r="J894" t="s">
        <v>33</v>
      </c>
      <c r="K894">
        <v>3</v>
      </c>
      <c r="L894" s="3">
        <v>7799</v>
      </c>
      <c r="M894">
        <v>35</v>
      </c>
      <c r="N894" s="3">
        <v>5070</v>
      </c>
      <c r="O894" s="3">
        <v>15210</v>
      </c>
      <c r="P894" t="s">
        <v>74</v>
      </c>
      <c r="Q894" t="s">
        <v>51</v>
      </c>
      <c r="R894" t="s">
        <v>36</v>
      </c>
      <c r="S894" t="s">
        <v>117</v>
      </c>
      <c r="T894" t="s">
        <v>118</v>
      </c>
      <c r="U894" t="s">
        <v>61</v>
      </c>
      <c r="V894" t="s">
        <v>969</v>
      </c>
      <c r="W894">
        <v>4.7</v>
      </c>
      <c r="X894" t="s">
        <v>41</v>
      </c>
      <c r="Y894" t="s">
        <v>42</v>
      </c>
      <c r="Z894">
        <v>5</v>
      </c>
    </row>
    <row r="895" spans="1:26">
      <c r="A895" t="s">
        <v>1768</v>
      </c>
      <c r="B895" t="s">
        <v>1633</v>
      </c>
      <c r="C895" t="s">
        <v>28</v>
      </c>
      <c r="D895" t="s">
        <v>95</v>
      </c>
      <c r="E895" s="1">
        <v>44150</v>
      </c>
      <c r="F895" t="s">
        <v>86</v>
      </c>
      <c r="G895" t="s">
        <v>87</v>
      </c>
      <c r="H895" t="s">
        <v>59</v>
      </c>
      <c r="I895">
        <v>8</v>
      </c>
      <c r="J895" t="s">
        <v>150</v>
      </c>
      <c r="K895">
        <v>1</v>
      </c>
      <c r="L895" s="3">
        <v>9699</v>
      </c>
      <c r="M895">
        <v>10</v>
      </c>
      <c r="N895" s="3">
        <v>8730</v>
      </c>
      <c r="O895" s="3">
        <v>8730</v>
      </c>
      <c r="P895" t="s">
        <v>74</v>
      </c>
      <c r="Q895" t="s">
        <v>51</v>
      </c>
      <c r="R895" t="s">
        <v>36</v>
      </c>
      <c r="S895" t="s">
        <v>68</v>
      </c>
      <c r="T895" t="s">
        <v>811</v>
      </c>
      <c r="U895" t="s">
        <v>91</v>
      </c>
      <c r="V895" t="s">
        <v>315</v>
      </c>
      <c r="W895">
        <v>4.0999999999999996</v>
      </c>
      <c r="X895" t="s">
        <v>106</v>
      </c>
      <c r="Y895" t="s">
        <v>42</v>
      </c>
      <c r="Z895">
        <v>3</v>
      </c>
    </row>
    <row r="896" spans="1:26">
      <c r="A896" t="s">
        <v>1769</v>
      </c>
      <c r="B896" t="s">
        <v>457</v>
      </c>
      <c r="C896" t="s">
        <v>45</v>
      </c>
      <c r="D896" t="s">
        <v>95</v>
      </c>
      <c r="E896" s="1">
        <v>44150</v>
      </c>
      <c r="F896" t="s">
        <v>65</v>
      </c>
      <c r="G896" t="s">
        <v>365</v>
      </c>
      <c r="H896" t="s">
        <v>49</v>
      </c>
      <c r="I896">
        <v>8</v>
      </c>
      <c r="J896" t="s">
        <v>98</v>
      </c>
      <c r="K896">
        <v>1</v>
      </c>
      <c r="L896" s="3">
        <v>4699</v>
      </c>
      <c r="M896">
        <v>5</v>
      </c>
      <c r="N896" s="3">
        <v>4460</v>
      </c>
      <c r="O896" s="3">
        <v>4460</v>
      </c>
      <c r="P896" t="s">
        <v>74</v>
      </c>
      <c r="Q896" t="s">
        <v>51</v>
      </c>
      <c r="R896" t="s">
        <v>36</v>
      </c>
      <c r="S896" t="s">
        <v>210</v>
      </c>
      <c r="T896" t="s">
        <v>680</v>
      </c>
      <c r="U896" t="s">
        <v>124</v>
      </c>
      <c r="V896" t="s">
        <v>969</v>
      </c>
      <c r="W896">
        <v>4.2</v>
      </c>
      <c r="X896" t="s">
        <v>41</v>
      </c>
      <c r="Y896" t="s">
        <v>55</v>
      </c>
      <c r="Z896">
        <v>3</v>
      </c>
    </row>
    <row r="897" spans="1:26">
      <c r="A897" t="s">
        <v>1770</v>
      </c>
      <c r="B897" t="s">
        <v>793</v>
      </c>
      <c r="C897" t="s">
        <v>28</v>
      </c>
      <c r="D897" t="s">
        <v>46</v>
      </c>
      <c r="E897" s="1">
        <v>44150</v>
      </c>
      <c r="F897" t="s">
        <v>79</v>
      </c>
      <c r="G897" t="s">
        <v>480</v>
      </c>
      <c r="H897" t="s">
        <v>111</v>
      </c>
      <c r="I897">
        <v>6</v>
      </c>
      <c r="J897" t="s">
        <v>98</v>
      </c>
      <c r="K897">
        <v>2</v>
      </c>
      <c r="L897" s="3">
        <v>6299</v>
      </c>
      <c r="M897">
        <v>25</v>
      </c>
      <c r="N897" s="3">
        <v>4720</v>
      </c>
      <c r="O897" s="3">
        <v>9440</v>
      </c>
      <c r="P897" t="s">
        <v>34</v>
      </c>
      <c r="Q897" t="s">
        <v>35</v>
      </c>
      <c r="R897" t="s">
        <v>36</v>
      </c>
      <c r="S897" t="s">
        <v>168</v>
      </c>
      <c r="T897" t="s">
        <v>532</v>
      </c>
      <c r="U897" t="s">
        <v>91</v>
      </c>
      <c r="V897" t="s">
        <v>315</v>
      </c>
      <c r="W897">
        <v>3.3</v>
      </c>
      <c r="X897" t="s">
        <v>41</v>
      </c>
      <c r="Y897" t="s">
        <v>55</v>
      </c>
      <c r="Z897">
        <v>4</v>
      </c>
    </row>
    <row r="898" spans="1:26">
      <c r="A898" t="s">
        <v>1771</v>
      </c>
      <c r="B898" t="s">
        <v>1126</v>
      </c>
      <c r="C898" t="s">
        <v>94</v>
      </c>
      <c r="D898" t="s">
        <v>46</v>
      </c>
      <c r="E898" s="1">
        <v>44151</v>
      </c>
      <c r="F898" t="s">
        <v>65</v>
      </c>
      <c r="G898" t="s">
        <v>279</v>
      </c>
      <c r="H898" t="s">
        <v>111</v>
      </c>
      <c r="I898">
        <v>7</v>
      </c>
      <c r="J898" t="s">
        <v>67</v>
      </c>
      <c r="K898">
        <v>1</v>
      </c>
      <c r="L898" s="3">
        <v>3799</v>
      </c>
      <c r="M898">
        <v>15</v>
      </c>
      <c r="N898" s="3">
        <v>3230</v>
      </c>
      <c r="O898" s="3">
        <v>3230</v>
      </c>
      <c r="P898" t="s">
        <v>74</v>
      </c>
      <c r="Q898" t="s">
        <v>51</v>
      </c>
      <c r="R898" t="s">
        <v>36</v>
      </c>
      <c r="S898" t="s">
        <v>112</v>
      </c>
      <c r="T898" t="s">
        <v>133</v>
      </c>
      <c r="U898" t="s">
        <v>61</v>
      </c>
      <c r="V898" t="s">
        <v>315</v>
      </c>
      <c r="W898">
        <v>4.9000000000000004</v>
      </c>
      <c r="X898" t="s">
        <v>106</v>
      </c>
      <c r="Y898" t="s">
        <v>42</v>
      </c>
      <c r="Z898">
        <v>4</v>
      </c>
    </row>
    <row r="899" spans="1:26">
      <c r="A899" t="s">
        <v>1772</v>
      </c>
      <c r="B899" t="s">
        <v>734</v>
      </c>
      <c r="C899" t="s">
        <v>28</v>
      </c>
      <c r="D899" t="s">
        <v>95</v>
      </c>
      <c r="E899" s="1">
        <v>44152</v>
      </c>
      <c r="F899" t="s">
        <v>47</v>
      </c>
      <c r="G899" t="s">
        <v>121</v>
      </c>
      <c r="H899" t="s">
        <v>111</v>
      </c>
      <c r="I899">
        <v>6</v>
      </c>
      <c r="J899" t="s">
        <v>98</v>
      </c>
      <c r="K899">
        <v>1</v>
      </c>
      <c r="L899" s="3">
        <v>8699</v>
      </c>
      <c r="M899">
        <v>15</v>
      </c>
      <c r="N899" s="3">
        <v>7390</v>
      </c>
      <c r="O899" s="3">
        <v>7390</v>
      </c>
      <c r="P899" t="s">
        <v>74</v>
      </c>
      <c r="Q899" t="s">
        <v>82</v>
      </c>
      <c r="R899" t="s">
        <v>36</v>
      </c>
      <c r="S899" t="s">
        <v>75</v>
      </c>
      <c r="T899" t="s">
        <v>318</v>
      </c>
      <c r="U899" t="s">
        <v>91</v>
      </c>
      <c r="V899" t="s">
        <v>315</v>
      </c>
      <c r="W899">
        <v>4.4000000000000004</v>
      </c>
      <c r="X899" t="s">
        <v>41</v>
      </c>
      <c r="Y899" t="s">
        <v>42</v>
      </c>
      <c r="Z899">
        <v>2</v>
      </c>
    </row>
    <row r="900" spans="1:26">
      <c r="A900" t="s">
        <v>1773</v>
      </c>
      <c r="B900" t="s">
        <v>686</v>
      </c>
      <c r="C900" t="s">
        <v>45</v>
      </c>
      <c r="D900" t="s">
        <v>103</v>
      </c>
      <c r="E900" s="1">
        <v>44153</v>
      </c>
      <c r="F900" t="s">
        <v>79</v>
      </c>
      <c r="G900" t="s">
        <v>80</v>
      </c>
      <c r="H900" t="s">
        <v>59</v>
      </c>
      <c r="I900">
        <v>10</v>
      </c>
      <c r="J900" t="s">
        <v>67</v>
      </c>
      <c r="K900">
        <v>1</v>
      </c>
      <c r="L900" s="3">
        <v>6199</v>
      </c>
      <c r="M900">
        <v>5</v>
      </c>
      <c r="N900" s="3">
        <v>5890</v>
      </c>
      <c r="O900" s="3">
        <v>5890</v>
      </c>
      <c r="P900" t="s">
        <v>34</v>
      </c>
      <c r="Q900" t="s">
        <v>51</v>
      </c>
      <c r="R900" t="s">
        <v>36</v>
      </c>
      <c r="S900" t="s">
        <v>117</v>
      </c>
      <c r="T900" t="s">
        <v>544</v>
      </c>
      <c r="U900" t="s">
        <v>54</v>
      </c>
      <c r="V900" t="s">
        <v>315</v>
      </c>
      <c r="W900">
        <v>3.1</v>
      </c>
      <c r="X900" t="s">
        <v>41</v>
      </c>
      <c r="Y900" t="s">
        <v>42</v>
      </c>
      <c r="Z900">
        <v>4</v>
      </c>
    </row>
    <row r="901" spans="1:26">
      <c r="A901" t="s">
        <v>1774</v>
      </c>
      <c r="B901" t="s">
        <v>1775</v>
      </c>
      <c r="C901" t="s">
        <v>94</v>
      </c>
      <c r="D901" t="s">
        <v>95</v>
      </c>
      <c r="E901" s="1">
        <v>44153</v>
      </c>
      <c r="F901" t="s">
        <v>86</v>
      </c>
      <c r="G901" t="s">
        <v>242</v>
      </c>
      <c r="H901" t="s">
        <v>32</v>
      </c>
      <c r="I901">
        <v>6</v>
      </c>
      <c r="J901" t="s">
        <v>88</v>
      </c>
      <c r="K901">
        <v>1</v>
      </c>
      <c r="L901" s="3">
        <v>8999</v>
      </c>
      <c r="M901">
        <v>20</v>
      </c>
      <c r="N901" s="3">
        <v>7200</v>
      </c>
      <c r="O901" s="3">
        <v>7200</v>
      </c>
      <c r="P901" t="s">
        <v>34</v>
      </c>
      <c r="Q901" t="s">
        <v>82</v>
      </c>
      <c r="R901" t="s">
        <v>36</v>
      </c>
      <c r="S901" t="s">
        <v>195</v>
      </c>
      <c r="T901" t="s">
        <v>665</v>
      </c>
      <c r="U901" t="s">
        <v>91</v>
      </c>
      <c r="V901" t="s">
        <v>40</v>
      </c>
      <c r="W901">
        <v>5</v>
      </c>
      <c r="X901" t="s">
        <v>41</v>
      </c>
      <c r="Y901" t="s">
        <v>42</v>
      </c>
      <c r="Z901">
        <v>3</v>
      </c>
    </row>
    <row r="902" spans="1:26">
      <c r="A902" t="s">
        <v>1776</v>
      </c>
      <c r="B902" t="s">
        <v>1429</v>
      </c>
      <c r="C902" t="s">
        <v>45</v>
      </c>
      <c r="D902" t="s">
        <v>103</v>
      </c>
      <c r="E902" s="1">
        <v>44153</v>
      </c>
      <c r="F902" t="s">
        <v>65</v>
      </c>
      <c r="G902" t="s">
        <v>72</v>
      </c>
      <c r="H902" t="s">
        <v>59</v>
      </c>
      <c r="I902">
        <v>6</v>
      </c>
      <c r="J902" t="s">
        <v>88</v>
      </c>
      <c r="K902">
        <v>2</v>
      </c>
      <c r="L902" s="3">
        <v>8499</v>
      </c>
      <c r="M902">
        <v>15</v>
      </c>
      <c r="N902" s="3">
        <v>7220</v>
      </c>
      <c r="O902" s="3">
        <v>14440</v>
      </c>
      <c r="P902" t="s">
        <v>74</v>
      </c>
      <c r="Q902" t="s">
        <v>35</v>
      </c>
      <c r="R902" t="s">
        <v>36</v>
      </c>
      <c r="S902" t="s">
        <v>75</v>
      </c>
      <c r="T902" t="s">
        <v>76</v>
      </c>
      <c r="U902" t="s">
        <v>39</v>
      </c>
      <c r="V902" t="s">
        <v>315</v>
      </c>
      <c r="W902">
        <v>3.6</v>
      </c>
      <c r="X902" t="s">
        <v>41</v>
      </c>
      <c r="Y902" t="s">
        <v>42</v>
      </c>
      <c r="Z902">
        <v>7</v>
      </c>
    </row>
    <row r="903" spans="1:26">
      <c r="A903" t="s">
        <v>1777</v>
      </c>
      <c r="B903" t="s">
        <v>1778</v>
      </c>
      <c r="C903" t="s">
        <v>45</v>
      </c>
      <c r="D903" t="s">
        <v>95</v>
      </c>
      <c r="E903" s="1">
        <v>44155</v>
      </c>
      <c r="F903" t="s">
        <v>30</v>
      </c>
      <c r="G903" t="s">
        <v>347</v>
      </c>
      <c r="H903" t="s">
        <v>49</v>
      </c>
      <c r="I903">
        <v>8</v>
      </c>
      <c r="J903" t="s">
        <v>73</v>
      </c>
      <c r="K903">
        <v>2</v>
      </c>
      <c r="L903" s="3">
        <v>8699</v>
      </c>
      <c r="M903">
        <v>30</v>
      </c>
      <c r="N903" s="3">
        <v>6090</v>
      </c>
      <c r="O903" s="3">
        <v>12180</v>
      </c>
      <c r="P903" t="s">
        <v>74</v>
      </c>
      <c r="Q903" t="s">
        <v>82</v>
      </c>
      <c r="R903" t="s">
        <v>36</v>
      </c>
      <c r="S903" t="s">
        <v>129</v>
      </c>
      <c r="T903" t="s">
        <v>655</v>
      </c>
      <c r="U903" t="s">
        <v>124</v>
      </c>
      <c r="V903" t="s">
        <v>40</v>
      </c>
      <c r="W903">
        <v>4.4000000000000004</v>
      </c>
      <c r="X903" t="s">
        <v>106</v>
      </c>
      <c r="Y903" t="s">
        <v>55</v>
      </c>
      <c r="Z903">
        <v>2</v>
      </c>
    </row>
    <row r="904" spans="1:26">
      <c r="A904" t="s">
        <v>1779</v>
      </c>
      <c r="B904" t="s">
        <v>1780</v>
      </c>
      <c r="C904" t="s">
        <v>45</v>
      </c>
      <c r="D904" t="s">
        <v>46</v>
      </c>
      <c r="E904" s="1">
        <v>44156</v>
      </c>
      <c r="F904" t="s">
        <v>86</v>
      </c>
      <c r="G904" t="s">
        <v>87</v>
      </c>
      <c r="H904" t="s">
        <v>59</v>
      </c>
      <c r="I904">
        <v>9</v>
      </c>
      <c r="J904" t="s">
        <v>98</v>
      </c>
      <c r="K904">
        <v>2</v>
      </c>
      <c r="L904" s="3">
        <v>7599</v>
      </c>
      <c r="M904">
        <v>15</v>
      </c>
      <c r="N904" s="3">
        <v>6460</v>
      </c>
      <c r="O904" s="3">
        <v>12920</v>
      </c>
      <c r="P904" t="s">
        <v>74</v>
      </c>
      <c r="Q904" t="s">
        <v>51</v>
      </c>
      <c r="R904" t="s">
        <v>36</v>
      </c>
      <c r="S904" t="s">
        <v>175</v>
      </c>
      <c r="T904" t="s">
        <v>176</v>
      </c>
      <c r="U904" t="s">
        <v>91</v>
      </c>
      <c r="V904" t="s">
        <v>40</v>
      </c>
      <c r="W904">
        <v>3.9</v>
      </c>
      <c r="X904" t="s">
        <v>41</v>
      </c>
      <c r="Y904" t="s">
        <v>55</v>
      </c>
      <c r="Z904">
        <v>4</v>
      </c>
    </row>
    <row r="905" spans="1:26">
      <c r="A905" t="s">
        <v>1781</v>
      </c>
      <c r="B905" t="s">
        <v>167</v>
      </c>
      <c r="C905" t="s">
        <v>45</v>
      </c>
      <c r="D905" t="s">
        <v>103</v>
      </c>
      <c r="E905" s="1">
        <v>44156</v>
      </c>
      <c r="F905" t="s">
        <v>65</v>
      </c>
      <c r="G905" t="s">
        <v>365</v>
      </c>
      <c r="H905" t="s">
        <v>49</v>
      </c>
      <c r="I905">
        <v>9</v>
      </c>
      <c r="J905" t="s">
        <v>67</v>
      </c>
      <c r="K905">
        <v>1</v>
      </c>
      <c r="L905" s="3">
        <v>4799</v>
      </c>
      <c r="M905">
        <v>30</v>
      </c>
      <c r="N905" s="3">
        <v>3360</v>
      </c>
      <c r="O905" s="3">
        <v>3360</v>
      </c>
      <c r="P905" t="s">
        <v>74</v>
      </c>
      <c r="Q905" t="s">
        <v>35</v>
      </c>
      <c r="R905" t="s">
        <v>36</v>
      </c>
      <c r="S905" t="s">
        <v>117</v>
      </c>
      <c r="T905" t="s">
        <v>751</v>
      </c>
      <c r="U905" t="s">
        <v>39</v>
      </c>
      <c r="V905" t="s">
        <v>315</v>
      </c>
      <c r="W905">
        <v>5</v>
      </c>
      <c r="X905" t="s">
        <v>62</v>
      </c>
      <c r="Y905" t="s">
        <v>42</v>
      </c>
      <c r="Z905">
        <v>3</v>
      </c>
    </row>
    <row r="906" spans="1:26">
      <c r="A906" t="s">
        <v>1782</v>
      </c>
      <c r="B906" t="s">
        <v>139</v>
      </c>
      <c r="C906" t="s">
        <v>45</v>
      </c>
      <c r="D906" t="s">
        <v>103</v>
      </c>
      <c r="E906" s="1">
        <v>44156</v>
      </c>
      <c r="F906" t="s">
        <v>65</v>
      </c>
      <c r="G906" t="s">
        <v>66</v>
      </c>
      <c r="H906" t="s">
        <v>59</v>
      </c>
      <c r="I906">
        <v>8</v>
      </c>
      <c r="J906" t="s">
        <v>150</v>
      </c>
      <c r="K906">
        <v>1</v>
      </c>
      <c r="L906" s="3">
        <v>3899</v>
      </c>
      <c r="M906">
        <v>20</v>
      </c>
      <c r="N906" s="3">
        <v>3120</v>
      </c>
      <c r="O906" s="3">
        <v>3120</v>
      </c>
      <c r="P906" t="s">
        <v>74</v>
      </c>
      <c r="Q906" t="s">
        <v>82</v>
      </c>
      <c r="R906" t="s">
        <v>36</v>
      </c>
      <c r="S906" t="s">
        <v>200</v>
      </c>
      <c r="T906" t="s">
        <v>204</v>
      </c>
      <c r="U906" t="s">
        <v>91</v>
      </c>
      <c r="V906" t="s">
        <v>315</v>
      </c>
      <c r="W906">
        <v>4.0999999999999996</v>
      </c>
      <c r="X906" t="s">
        <v>62</v>
      </c>
      <c r="Y906" t="s">
        <v>42</v>
      </c>
      <c r="Z906">
        <v>2</v>
      </c>
    </row>
    <row r="907" spans="1:26">
      <c r="A907" t="s">
        <v>1783</v>
      </c>
      <c r="B907" t="s">
        <v>1784</v>
      </c>
      <c r="C907" t="s">
        <v>28</v>
      </c>
      <c r="D907" t="s">
        <v>46</v>
      </c>
      <c r="E907" s="1">
        <v>44156</v>
      </c>
      <c r="F907" t="s">
        <v>79</v>
      </c>
      <c r="G907" t="s">
        <v>480</v>
      </c>
      <c r="H907" t="s">
        <v>111</v>
      </c>
      <c r="I907">
        <v>8</v>
      </c>
      <c r="J907" t="s">
        <v>67</v>
      </c>
      <c r="K907">
        <v>1</v>
      </c>
      <c r="L907" s="3">
        <v>4199</v>
      </c>
      <c r="M907">
        <v>20</v>
      </c>
      <c r="N907" s="3">
        <v>3360</v>
      </c>
      <c r="O907" s="3">
        <v>3360</v>
      </c>
      <c r="P907" t="s">
        <v>34</v>
      </c>
      <c r="Q907" t="s">
        <v>82</v>
      </c>
      <c r="R907" t="s">
        <v>36</v>
      </c>
      <c r="S907" t="s">
        <v>286</v>
      </c>
      <c r="T907" t="s">
        <v>366</v>
      </c>
      <c r="U907" t="s">
        <v>61</v>
      </c>
      <c r="V907" t="s">
        <v>40</v>
      </c>
      <c r="W907">
        <v>3.7</v>
      </c>
      <c r="X907" t="s">
        <v>41</v>
      </c>
      <c r="Y907" t="s">
        <v>42</v>
      </c>
      <c r="Z907">
        <v>2</v>
      </c>
    </row>
    <row r="908" spans="1:26">
      <c r="A908" t="s">
        <v>1785</v>
      </c>
      <c r="B908" t="s">
        <v>1786</v>
      </c>
      <c r="C908" t="s">
        <v>28</v>
      </c>
      <c r="D908" t="s">
        <v>29</v>
      </c>
      <c r="E908" s="1">
        <v>44157</v>
      </c>
      <c r="F908" t="s">
        <v>65</v>
      </c>
      <c r="G908" t="s">
        <v>72</v>
      </c>
      <c r="H908" t="s">
        <v>59</v>
      </c>
      <c r="I908">
        <v>11</v>
      </c>
      <c r="J908" t="s">
        <v>98</v>
      </c>
      <c r="K908">
        <v>2</v>
      </c>
      <c r="L908" s="3">
        <v>6799</v>
      </c>
      <c r="M908">
        <v>20</v>
      </c>
      <c r="N908" s="3">
        <v>5440</v>
      </c>
      <c r="O908" s="3">
        <v>10880</v>
      </c>
      <c r="P908" t="s">
        <v>34</v>
      </c>
      <c r="Q908" t="s">
        <v>51</v>
      </c>
      <c r="R908" t="s">
        <v>36</v>
      </c>
      <c r="S908" t="s">
        <v>99</v>
      </c>
      <c r="T908" t="s">
        <v>100</v>
      </c>
      <c r="U908" t="s">
        <v>39</v>
      </c>
      <c r="V908" t="s">
        <v>40</v>
      </c>
      <c r="W908">
        <v>4.5999999999999996</v>
      </c>
      <c r="X908" t="s">
        <v>41</v>
      </c>
      <c r="Y908" t="s">
        <v>42</v>
      </c>
      <c r="Z908">
        <v>7</v>
      </c>
    </row>
    <row r="909" spans="1:26">
      <c r="A909" t="s">
        <v>1787</v>
      </c>
      <c r="B909" t="s">
        <v>1788</v>
      </c>
      <c r="C909" t="s">
        <v>28</v>
      </c>
      <c r="D909" t="s">
        <v>103</v>
      </c>
      <c r="E909" s="1">
        <v>44157</v>
      </c>
      <c r="F909" t="s">
        <v>65</v>
      </c>
      <c r="G909" t="s">
        <v>279</v>
      </c>
      <c r="H909" t="s">
        <v>111</v>
      </c>
      <c r="I909">
        <v>11</v>
      </c>
      <c r="J909" t="s">
        <v>98</v>
      </c>
      <c r="K909">
        <v>2</v>
      </c>
      <c r="L909" s="3">
        <v>5299</v>
      </c>
      <c r="M909">
        <v>20</v>
      </c>
      <c r="N909" s="3">
        <v>4240</v>
      </c>
      <c r="O909" s="3">
        <v>8480</v>
      </c>
      <c r="P909" t="s">
        <v>74</v>
      </c>
      <c r="Q909" t="s">
        <v>35</v>
      </c>
      <c r="R909" t="s">
        <v>36</v>
      </c>
      <c r="S909" t="s">
        <v>354</v>
      </c>
      <c r="T909" t="s">
        <v>431</v>
      </c>
      <c r="U909" t="s">
        <v>54</v>
      </c>
      <c r="V909" t="s">
        <v>40</v>
      </c>
      <c r="W909">
        <v>5</v>
      </c>
      <c r="X909" t="s">
        <v>41</v>
      </c>
      <c r="Y909" t="s">
        <v>42</v>
      </c>
      <c r="Z909">
        <v>4</v>
      </c>
    </row>
    <row r="910" spans="1:26">
      <c r="A910" t="s">
        <v>1789</v>
      </c>
      <c r="B910" t="s">
        <v>646</v>
      </c>
      <c r="C910" t="s">
        <v>28</v>
      </c>
      <c r="D910" t="s">
        <v>46</v>
      </c>
      <c r="E910" s="1">
        <v>44158</v>
      </c>
      <c r="F910" t="s">
        <v>79</v>
      </c>
      <c r="G910" t="s">
        <v>80</v>
      </c>
      <c r="H910" t="s">
        <v>59</v>
      </c>
      <c r="I910">
        <v>9</v>
      </c>
      <c r="J910" t="s">
        <v>33</v>
      </c>
      <c r="K910">
        <v>1</v>
      </c>
      <c r="L910" s="3">
        <v>6499</v>
      </c>
      <c r="M910">
        <v>20</v>
      </c>
      <c r="N910" s="3">
        <v>5200</v>
      </c>
      <c r="O910" s="3">
        <v>5200</v>
      </c>
      <c r="P910" t="s">
        <v>50</v>
      </c>
      <c r="Q910" t="s">
        <v>35</v>
      </c>
      <c r="R910" t="s">
        <v>36</v>
      </c>
      <c r="S910" t="s">
        <v>151</v>
      </c>
      <c r="T910" t="s">
        <v>152</v>
      </c>
      <c r="U910" t="s">
        <v>54</v>
      </c>
      <c r="V910" t="s">
        <v>315</v>
      </c>
      <c r="W910">
        <v>3.6</v>
      </c>
      <c r="X910" t="s">
        <v>41</v>
      </c>
      <c r="Y910" t="s">
        <v>42</v>
      </c>
      <c r="Z910">
        <v>6</v>
      </c>
    </row>
    <row r="911" spans="1:26">
      <c r="A911" t="s">
        <v>1790</v>
      </c>
      <c r="B911" t="s">
        <v>1105</v>
      </c>
      <c r="C911" t="s">
        <v>45</v>
      </c>
      <c r="D911" t="s">
        <v>103</v>
      </c>
      <c r="E911" s="1">
        <v>44158</v>
      </c>
      <c r="F911" t="s">
        <v>47</v>
      </c>
      <c r="G911" t="s">
        <v>218</v>
      </c>
      <c r="H911" t="s">
        <v>59</v>
      </c>
      <c r="I911">
        <v>7</v>
      </c>
      <c r="J911" t="s">
        <v>33</v>
      </c>
      <c r="K911">
        <v>1</v>
      </c>
      <c r="L911" s="3">
        <v>4699</v>
      </c>
      <c r="M911">
        <v>40</v>
      </c>
      <c r="N911" s="3">
        <v>2820</v>
      </c>
      <c r="O911" s="3">
        <v>2820</v>
      </c>
      <c r="P911" t="s">
        <v>81</v>
      </c>
      <c r="Q911" t="s">
        <v>51</v>
      </c>
      <c r="R911" t="s">
        <v>36</v>
      </c>
      <c r="S911" t="s">
        <v>200</v>
      </c>
      <c r="T911" t="s">
        <v>232</v>
      </c>
      <c r="U911" t="s">
        <v>61</v>
      </c>
      <c r="V911" t="s">
        <v>969</v>
      </c>
      <c r="W911">
        <v>4.4000000000000004</v>
      </c>
      <c r="X911" t="s">
        <v>62</v>
      </c>
      <c r="Y911" t="s">
        <v>55</v>
      </c>
      <c r="Z911">
        <v>1</v>
      </c>
    </row>
    <row r="912" spans="1:26">
      <c r="A912" t="s">
        <v>1791</v>
      </c>
      <c r="B912" t="s">
        <v>1046</v>
      </c>
      <c r="C912" t="s">
        <v>28</v>
      </c>
      <c r="D912" t="s">
        <v>46</v>
      </c>
      <c r="E912" s="1">
        <v>44158</v>
      </c>
      <c r="F912" t="s">
        <v>65</v>
      </c>
      <c r="G912" t="s">
        <v>365</v>
      </c>
      <c r="H912" t="s">
        <v>49</v>
      </c>
      <c r="I912">
        <v>7</v>
      </c>
      <c r="J912" t="s">
        <v>73</v>
      </c>
      <c r="K912">
        <v>2</v>
      </c>
      <c r="L912" s="3">
        <v>4899</v>
      </c>
      <c r="M912">
        <v>15</v>
      </c>
      <c r="N912" s="3">
        <v>4160</v>
      </c>
      <c r="O912" s="3">
        <v>8320</v>
      </c>
      <c r="P912" t="s">
        <v>74</v>
      </c>
      <c r="Q912" t="s">
        <v>82</v>
      </c>
      <c r="R912" t="s">
        <v>36</v>
      </c>
      <c r="S912" t="s">
        <v>104</v>
      </c>
      <c r="T912" t="s">
        <v>291</v>
      </c>
      <c r="U912" t="s">
        <v>39</v>
      </c>
      <c r="V912" t="s">
        <v>315</v>
      </c>
      <c r="W912">
        <v>4.5</v>
      </c>
      <c r="X912" t="s">
        <v>62</v>
      </c>
      <c r="Y912" t="s">
        <v>42</v>
      </c>
      <c r="Z912">
        <v>4</v>
      </c>
    </row>
    <row r="913" spans="1:26">
      <c r="A913" t="s">
        <v>1792</v>
      </c>
      <c r="B913" t="s">
        <v>64</v>
      </c>
      <c r="C913" t="s">
        <v>45</v>
      </c>
      <c r="D913" t="s">
        <v>109</v>
      </c>
      <c r="E913" s="1">
        <v>44159</v>
      </c>
      <c r="F913" t="s">
        <v>96</v>
      </c>
      <c r="G913" t="s">
        <v>155</v>
      </c>
      <c r="H913" t="s">
        <v>111</v>
      </c>
      <c r="I913">
        <v>8</v>
      </c>
      <c r="J913" t="s">
        <v>67</v>
      </c>
      <c r="K913">
        <v>2</v>
      </c>
      <c r="L913" s="3">
        <v>5499</v>
      </c>
      <c r="M913">
        <v>15</v>
      </c>
      <c r="N913" s="3">
        <v>4670</v>
      </c>
      <c r="O913" s="3">
        <v>9340</v>
      </c>
      <c r="P913" t="s">
        <v>74</v>
      </c>
      <c r="Q913" t="s">
        <v>51</v>
      </c>
      <c r="R913" t="s">
        <v>36</v>
      </c>
      <c r="S913" t="s">
        <v>160</v>
      </c>
      <c r="T913" t="s">
        <v>160</v>
      </c>
      <c r="U913" t="s">
        <v>91</v>
      </c>
      <c r="V913" t="s">
        <v>315</v>
      </c>
      <c r="W913">
        <v>2.7</v>
      </c>
      <c r="X913" t="s">
        <v>106</v>
      </c>
      <c r="Y913" t="s">
        <v>42</v>
      </c>
      <c r="Z913">
        <v>2</v>
      </c>
    </row>
    <row r="914" spans="1:26">
      <c r="A914" t="s">
        <v>1793</v>
      </c>
      <c r="B914" t="s">
        <v>1724</v>
      </c>
      <c r="C914" t="s">
        <v>45</v>
      </c>
      <c r="D914" t="s">
        <v>95</v>
      </c>
      <c r="E914" s="1">
        <v>44161</v>
      </c>
      <c r="F914" t="s">
        <v>86</v>
      </c>
      <c r="G914" t="s">
        <v>312</v>
      </c>
      <c r="H914" t="s">
        <v>59</v>
      </c>
      <c r="I914">
        <v>12</v>
      </c>
      <c r="J914" t="s">
        <v>98</v>
      </c>
      <c r="K914">
        <v>1</v>
      </c>
      <c r="L914" s="3">
        <v>6899</v>
      </c>
      <c r="M914">
        <v>25</v>
      </c>
      <c r="N914" s="3">
        <v>5170</v>
      </c>
      <c r="O914" s="3">
        <v>5170</v>
      </c>
      <c r="P914" t="s">
        <v>74</v>
      </c>
      <c r="Q914" t="s">
        <v>35</v>
      </c>
      <c r="R914" t="s">
        <v>36</v>
      </c>
      <c r="S914" t="s">
        <v>210</v>
      </c>
      <c r="T914" t="s">
        <v>415</v>
      </c>
      <c r="U914" t="s">
        <v>39</v>
      </c>
      <c r="V914" t="s">
        <v>315</v>
      </c>
      <c r="W914">
        <v>3.3</v>
      </c>
      <c r="X914" t="s">
        <v>41</v>
      </c>
      <c r="Y914" t="s">
        <v>55</v>
      </c>
      <c r="Z914">
        <v>2</v>
      </c>
    </row>
    <row r="915" spans="1:26">
      <c r="A915" t="s">
        <v>1794</v>
      </c>
      <c r="B915" t="s">
        <v>404</v>
      </c>
      <c r="C915" t="s">
        <v>45</v>
      </c>
      <c r="D915" t="s">
        <v>29</v>
      </c>
      <c r="E915" s="1">
        <v>44161</v>
      </c>
      <c r="F915" t="s">
        <v>79</v>
      </c>
      <c r="G915" t="s">
        <v>517</v>
      </c>
      <c r="H915" t="s">
        <v>59</v>
      </c>
      <c r="I915">
        <v>7</v>
      </c>
      <c r="J915" t="s">
        <v>150</v>
      </c>
      <c r="K915">
        <v>1</v>
      </c>
      <c r="L915" s="3">
        <v>3899</v>
      </c>
      <c r="M915">
        <v>10</v>
      </c>
      <c r="N915" s="3">
        <v>3510</v>
      </c>
      <c r="O915" s="3">
        <v>3510</v>
      </c>
      <c r="P915" t="s">
        <v>34</v>
      </c>
      <c r="Q915" t="s">
        <v>51</v>
      </c>
      <c r="R915" t="s">
        <v>36</v>
      </c>
      <c r="S915" t="s">
        <v>243</v>
      </c>
      <c r="T915" t="s">
        <v>244</v>
      </c>
      <c r="U915" t="s">
        <v>54</v>
      </c>
      <c r="V915" t="s">
        <v>969</v>
      </c>
      <c r="W915">
        <v>4.3</v>
      </c>
      <c r="X915" t="s">
        <v>106</v>
      </c>
      <c r="Y915" t="s">
        <v>147</v>
      </c>
      <c r="Z915">
        <v>1</v>
      </c>
    </row>
    <row r="916" spans="1:26">
      <c r="A916" t="s">
        <v>1795</v>
      </c>
      <c r="B916" t="s">
        <v>741</v>
      </c>
      <c r="C916" t="s">
        <v>45</v>
      </c>
      <c r="D916" t="s">
        <v>46</v>
      </c>
      <c r="E916" s="1">
        <v>44161</v>
      </c>
      <c r="F916" t="s">
        <v>86</v>
      </c>
      <c r="G916" t="s">
        <v>242</v>
      </c>
      <c r="H916" t="s">
        <v>32</v>
      </c>
      <c r="I916">
        <v>7</v>
      </c>
      <c r="J916" t="s">
        <v>98</v>
      </c>
      <c r="K916">
        <v>1</v>
      </c>
      <c r="L916" s="3">
        <v>6199</v>
      </c>
      <c r="M916">
        <v>0</v>
      </c>
      <c r="N916" s="3">
        <v>6200</v>
      </c>
      <c r="O916" s="3">
        <v>6200</v>
      </c>
      <c r="P916" t="s">
        <v>50</v>
      </c>
      <c r="Q916" t="s">
        <v>82</v>
      </c>
      <c r="R916" t="s">
        <v>36</v>
      </c>
      <c r="S916" t="s">
        <v>384</v>
      </c>
      <c r="T916" t="s">
        <v>481</v>
      </c>
      <c r="U916" t="s">
        <v>91</v>
      </c>
      <c r="V916" t="s">
        <v>315</v>
      </c>
      <c r="W916">
        <v>4.8</v>
      </c>
      <c r="X916" t="s">
        <v>41</v>
      </c>
      <c r="Y916" t="s">
        <v>42</v>
      </c>
      <c r="Z916">
        <v>5</v>
      </c>
    </row>
    <row r="917" spans="1:26">
      <c r="A917" t="s">
        <v>1796</v>
      </c>
      <c r="B917" t="s">
        <v>1336</v>
      </c>
      <c r="C917" t="s">
        <v>28</v>
      </c>
      <c r="D917" t="s">
        <v>95</v>
      </c>
      <c r="E917" s="1">
        <v>44162</v>
      </c>
      <c r="F917" t="s">
        <v>79</v>
      </c>
      <c r="G917" t="s">
        <v>80</v>
      </c>
      <c r="H917" t="s">
        <v>59</v>
      </c>
      <c r="I917">
        <v>7</v>
      </c>
      <c r="J917" t="s">
        <v>150</v>
      </c>
      <c r="K917">
        <v>1</v>
      </c>
      <c r="L917" s="3">
        <v>6099</v>
      </c>
      <c r="M917">
        <v>20</v>
      </c>
      <c r="N917" s="3">
        <v>4880</v>
      </c>
      <c r="O917" s="3">
        <v>4880</v>
      </c>
      <c r="P917" t="s">
        <v>74</v>
      </c>
      <c r="Q917" t="s">
        <v>82</v>
      </c>
      <c r="R917" t="s">
        <v>36</v>
      </c>
      <c r="S917" t="s">
        <v>104</v>
      </c>
      <c r="T917" t="s">
        <v>179</v>
      </c>
      <c r="U917" t="s">
        <v>124</v>
      </c>
      <c r="V917" t="s">
        <v>969</v>
      </c>
      <c r="W917">
        <v>4.2</v>
      </c>
      <c r="X917" t="s">
        <v>41</v>
      </c>
      <c r="Y917" t="s">
        <v>42</v>
      </c>
      <c r="Z917">
        <v>4</v>
      </c>
    </row>
    <row r="918" spans="1:26">
      <c r="A918" t="s">
        <v>1797</v>
      </c>
      <c r="B918" t="s">
        <v>1798</v>
      </c>
      <c r="C918" t="s">
        <v>28</v>
      </c>
      <c r="D918" t="s">
        <v>46</v>
      </c>
      <c r="E918" s="1">
        <v>44162</v>
      </c>
      <c r="F918" t="s">
        <v>86</v>
      </c>
      <c r="G918" t="s">
        <v>312</v>
      </c>
      <c r="H918" t="s">
        <v>59</v>
      </c>
      <c r="I918">
        <v>8</v>
      </c>
      <c r="J918" t="s">
        <v>33</v>
      </c>
      <c r="K918">
        <v>1</v>
      </c>
      <c r="L918" s="3">
        <v>7899</v>
      </c>
      <c r="M918">
        <v>0</v>
      </c>
      <c r="N918" s="3">
        <v>7900</v>
      </c>
      <c r="O918" s="3">
        <v>7900</v>
      </c>
      <c r="P918" t="s">
        <v>50</v>
      </c>
      <c r="Q918" t="s">
        <v>82</v>
      </c>
      <c r="R918" t="s">
        <v>36</v>
      </c>
      <c r="S918" t="s">
        <v>164</v>
      </c>
      <c r="T918" t="s">
        <v>314</v>
      </c>
      <c r="U918" t="s">
        <v>124</v>
      </c>
      <c r="V918" t="s">
        <v>40</v>
      </c>
      <c r="W918">
        <v>4.5999999999999996</v>
      </c>
      <c r="X918" t="s">
        <v>106</v>
      </c>
      <c r="Y918" t="s">
        <v>42</v>
      </c>
      <c r="Z918">
        <v>3</v>
      </c>
    </row>
    <row r="919" spans="1:26">
      <c r="A919" t="s">
        <v>1799</v>
      </c>
      <c r="B919" t="s">
        <v>833</v>
      </c>
      <c r="C919" t="s">
        <v>45</v>
      </c>
      <c r="D919" t="s">
        <v>29</v>
      </c>
      <c r="E919" s="1">
        <v>44162</v>
      </c>
      <c r="F919" t="s">
        <v>65</v>
      </c>
      <c r="G919" t="s">
        <v>365</v>
      </c>
      <c r="H919" t="s">
        <v>49</v>
      </c>
      <c r="I919">
        <v>8</v>
      </c>
      <c r="J919" t="s">
        <v>150</v>
      </c>
      <c r="K919">
        <v>1</v>
      </c>
      <c r="L919" s="3">
        <v>6099</v>
      </c>
      <c r="M919">
        <v>15</v>
      </c>
      <c r="N919" s="3">
        <v>5180</v>
      </c>
      <c r="O919" s="3">
        <v>5180</v>
      </c>
      <c r="P919" t="s">
        <v>74</v>
      </c>
      <c r="Q919" t="s">
        <v>82</v>
      </c>
      <c r="R919" t="s">
        <v>36</v>
      </c>
      <c r="S919" t="s">
        <v>52</v>
      </c>
      <c r="T919" t="s">
        <v>60</v>
      </c>
      <c r="U919" t="s">
        <v>39</v>
      </c>
      <c r="V919" t="s">
        <v>969</v>
      </c>
      <c r="W919">
        <v>4.5</v>
      </c>
      <c r="X919" t="s">
        <v>41</v>
      </c>
      <c r="Y919" t="s">
        <v>42</v>
      </c>
      <c r="Z919">
        <v>7</v>
      </c>
    </row>
    <row r="920" spans="1:26">
      <c r="A920" t="s">
        <v>1800</v>
      </c>
      <c r="B920" t="s">
        <v>1801</v>
      </c>
      <c r="C920" t="s">
        <v>45</v>
      </c>
      <c r="D920" t="s">
        <v>95</v>
      </c>
      <c r="E920" s="1">
        <v>44163</v>
      </c>
      <c r="F920" t="s">
        <v>79</v>
      </c>
      <c r="G920" t="s">
        <v>301</v>
      </c>
      <c r="H920" t="s">
        <v>49</v>
      </c>
      <c r="I920">
        <v>9</v>
      </c>
      <c r="J920" t="s">
        <v>67</v>
      </c>
      <c r="K920">
        <v>2</v>
      </c>
      <c r="L920" s="3">
        <v>6199</v>
      </c>
      <c r="M920">
        <v>20</v>
      </c>
      <c r="N920" s="3">
        <v>4960</v>
      </c>
      <c r="O920" s="3">
        <v>9920</v>
      </c>
      <c r="P920" t="s">
        <v>34</v>
      </c>
      <c r="Q920" t="s">
        <v>35</v>
      </c>
      <c r="R920" t="s">
        <v>36</v>
      </c>
      <c r="S920" t="s">
        <v>136</v>
      </c>
      <c r="T920" t="s">
        <v>638</v>
      </c>
      <c r="U920" t="s">
        <v>61</v>
      </c>
      <c r="V920" t="s">
        <v>40</v>
      </c>
      <c r="W920">
        <v>3.7</v>
      </c>
      <c r="X920" t="s">
        <v>41</v>
      </c>
      <c r="Y920" t="s">
        <v>42</v>
      </c>
      <c r="Z920">
        <v>4</v>
      </c>
    </row>
    <row r="921" spans="1:26">
      <c r="A921" t="s">
        <v>1802</v>
      </c>
      <c r="B921" t="s">
        <v>1803</v>
      </c>
      <c r="C921" t="s">
        <v>45</v>
      </c>
      <c r="D921" t="s">
        <v>95</v>
      </c>
      <c r="E921" s="1">
        <v>44166</v>
      </c>
      <c r="F921" t="s">
        <v>96</v>
      </c>
      <c r="G921" t="s">
        <v>155</v>
      </c>
      <c r="H921" t="s">
        <v>111</v>
      </c>
      <c r="I921">
        <v>9</v>
      </c>
      <c r="J921" t="s">
        <v>150</v>
      </c>
      <c r="K921">
        <v>1</v>
      </c>
      <c r="L921" s="3">
        <v>9799</v>
      </c>
      <c r="M921">
        <v>15</v>
      </c>
      <c r="N921" s="3">
        <v>8330</v>
      </c>
      <c r="O921" s="3">
        <v>8330</v>
      </c>
      <c r="P921" t="s">
        <v>34</v>
      </c>
      <c r="Q921" t="s">
        <v>51</v>
      </c>
      <c r="R921" t="s">
        <v>36</v>
      </c>
      <c r="S921" t="s">
        <v>186</v>
      </c>
      <c r="T921" t="s">
        <v>397</v>
      </c>
      <c r="U921" t="s">
        <v>61</v>
      </c>
      <c r="V921" t="s">
        <v>40</v>
      </c>
      <c r="W921">
        <v>4.3</v>
      </c>
      <c r="X921" t="s">
        <v>41</v>
      </c>
      <c r="Y921" t="s">
        <v>55</v>
      </c>
      <c r="Z921">
        <v>3</v>
      </c>
    </row>
    <row r="922" spans="1:26">
      <c r="A922" t="s">
        <v>1804</v>
      </c>
      <c r="B922" t="s">
        <v>1805</v>
      </c>
      <c r="C922" t="s">
        <v>28</v>
      </c>
      <c r="D922" t="s">
        <v>29</v>
      </c>
      <c r="E922" s="1">
        <v>44166</v>
      </c>
      <c r="F922" t="s">
        <v>30</v>
      </c>
      <c r="G922" t="s">
        <v>58</v>
      </c>
      <c r="H922" t="s">
        <v>59</v>
      </c>
      <c r="I922">
        <v>9</v>
      </c>
      <c r="J922" t="s">
        <v>150</v>
      </c>
      <c r="K922">
        <v>1</v>
      </c>
      <c r="L922" s="3">
        <v>4599</v>
      </c>
      <c r="M922">
        <v>20</v>
      </c>
      <c r="N922" s="3">
        <v>3680</v>
      </c>
      <c r="O922" s="3">
        <v>3680</v>
      </c>
      <c r="P922" t="s">
        <v>81</v>
      </c>
      <c r="Q922" t="s">
        <v>35</v>
      </c>
      <c r="R922" t="s">
        <v>36</v>
      </c>
      <c r="S922" t="s">
        <v>358</v>
      </c>
      <c r="T922" t="s">
        <v>359</v>
      </c>
      <c r="U922" t="s">
        <v>39</v>
      </c>
      <c r="V922" t="s">
        <v>40</v>
      </c>
      <c r="W922">
        <v>3.4</v>
      </c>
      <c r="X922" t="s">
        <v>41</v>
      </c>
      <c r="Y922" t="s">
        <v>42</v>
      </c>
      <c r="Z922">
        <v>5</v>
      </c>
    </row>
    <row r="923" spans="1:26">
      <c r="A923" t="s">
        <v>1806</v>
      </c>
      <c r="B923" t="s">
        <v>466</v>
      </c>
      <c r="C923" t="s">
        <v>94</v>
      </c>
      <c r="D923" t="s">
        <v>109</v>
      </c>
      <c r="E923" s="1">
        <v>44170</v>
      </c>
      <c r="F923" t="s">
        <v>47</v>
      </c>
      <c r="G923" t="s">
        <v>402</v>
      </c>
      <c r="H923" t="s">
        <v>32</v>
      </c>
      <c r="I923">
        <v>10</v>
      </c>
      <c r="J923" t="s">
        <v>98</v>
      </c>
      <c r="K923">
        <v>4</v>
      </c>
      <c r="L923" s="3">
        <v>7799</v>
      </c>
      <c r="M923">
        <v>15</v>
      </c>
      <c r="N923" s="3">
        <v>6630</v>
      </c>
      <c r="O923" s="3">
        <v>26520</v>
      </c>
      <c r="P923" t="s">
        <v>74</v>
      </c>
      <c r="Q923" t="s">
        <v>82</v>
      </c>
      <c r="R923" t="s">
        <v>36</v>
      </c>
      <c r="S923" t="s">
        <v>122</v>
      </c>
      <c r="T923" t="s">
        <v>123</v>
      </c>
      <c r="U923" t="s">
        <v>124</v>
      </c>
      <c r="V923" t="s">
        <v>315</v>
      </c>
      <c r="W923">
        <v>3.3</v>
      </c>
      <c r="X923" t="s">
        <v>41</v>
      </c>
      <c r="Y923" t="s">
        <v>42</v>
      </c>
      <c r="Z923">
        <v>1</v>
      </c>
    </row>
    <row r="924" spans="1:26">
      <c r="A924" t="s">
        <v>1807</v>
      </c>
      <c r="B924" t="s">
        <v>1808</v>
      </c>
      <c r="C924" t="s">
        <v>28</v>
      </c>
      <c r="D924" t="s">
        <v>95</v>
      </c>
      <c r="E924" s="1">
        <v>44171</v>
      </c>
      <c r="F924" t="s">
        <v>96</v>
      </c>
      <c r="G924" t="s">
        <v>155</v>
      </c>
      <c r="H924" t="s">
        <v>111</v>
      </c>
      <c r="I924">
        <v>8</v>
      </c>
      <c r="J924" t="s">
        <v>73</v>
      </c>
      <c r="K924">
        <v>2</v>
      </c>
      <c r="L924" s="3">
        <v>9799</v>
      </c>
      <c r="M924">
        <v>10</v>
      </c>
      <c r="N924" s="3">
        <v>8820</v>
      </c>
      <c r="O924" s="3">
        <v>17640</v>
      </c>
      <c r="P924" t="s">
        <v>74</v>
      </c>
      <c r="Q924" t="s">
        <v>35</v>
      </c>
      <c r="R924" t="s">
        <v>36</v>
      </c>
      <c r="S924" t="s">
        <v>338</v>
      </c>
      <c r="T924" t="s">
        <v>394</v>
      </c>
      <c r="U924" t="s">
        <v>61</v>
      </c>
      <c r="V924" t="s">
        <v>40</v>
      </c>
      <c r="W924">
        <v>2.9</v>
      </c>
      <c r="X924" t="s">
        <v>41</v>
      </c>
      <c r="Y924" t="s">
        <v>42</v>
      </c>
      <c r="Z924">
        <v>5</v>
      </c>
    </row>
    <row r="925" spans="1:26">
      <c r="A925" t="s">
        <v>1809</v>
      </c>
      <c r="B925" t="s">
        <v>439</v>
      </c>
      <c r="C925" t="s">
        <v>28</v>
      </c>
      <c r="D925" t="s">
        <v>29</v>
      </c>
      <c r="E925" s="1">
        <v>44171</v>
      </c>
      <c r="F925" t="s">
        <v>30</v>
      </c>
      <c r="G925" t="s">
        <v>214</v>
      </c>
      <c r="H925" t="s">
        <v>128</v>
      </c>
      <c r="I925">
        <v>11</v>
      </c>
      <c r="J925" t="s">
        <v>67</v>
      </c>
      <c r="K925">
        <v>1</v>
      </c>
      <c r="L925" s="3">
        <v>4899</v>
      </c>
      <c r="M925">
        <v>10</v>
      </c>
      <c r="N925" s="3">
        <v>4410</v>
      </c>
      <c r="O925" s="3">
        <v>4410</v>
      </c>
      <c r="P925" t="s">
        <v>34</v>
      </c>
      <c r="Q925" t="s">
        <v>51</v>
      </c>
      <c r="R925" t="s">
        <v>36</v>
      </c>
      <c r="S925" t="s">
        <v>210</v>
      </c>
      <c r="T925" t="s">
        <v>680</v>
      </c>
      <c r="U925" t="s">
        <v>61</v>
      </c>
      <c r="V925" t="s">
        <v>315</v>
      </c>
      <c r="W925">
        <v>5</v>
      </c>
      <c r="X925" t="s">
        <v>106</v>
      </c>
      <c r="Y925" t="s">
        <v>42</v>
      </c>
      <c r="Z925">
        <v>4</v>
      </c>
    </row>
    <row r="926" spans="1:26">
      <c r="A926" t="s">
        <v>1810</v>
      </c>
      <c r="B926" t="s">
        <v>860</v>
      </c>
      <c r="C926" t="s">
        <v>28</v>
      </c>
      <c r="D926" t="s">
        <v>46</v>
      </c>
      <c r="E926" s="1">
        <v>44172</v>
      </c>
      <c r="F926" t="s">
        <v>86</v>
      </c>
      <c r="G926" t="s">
        <v>242</v>
      </c>
      <c r="H926" t="s">
        <v>32</v>
      </c>
      <c r="I926">
        <v>8</v>
      </c>
      <c r="J926" t="s">
        <v>33</v>
      </c>
      <c r="K926">
        <v>1</v>
      </c>
      <c r="L926" s="3">
        <v>8299</v>
      </c>
      <c r="M926">
        <v>5</v>
      </c>
      <c r="N926" s="3">
        <v>7880</v>
      </c>
      <c r="O926" s="3">
        <v>7880</v>
      </c>
      <c r="P926" t="s">
        <v>81</v>
      </c>
      <c r="Q926" t="s">
        <v>51</v>
      </c>
      <c r="R926" t="s">
        <v>36</v>
      </c>
      <c r="S926" t="s">
        <v>418</v>
      </c>
      <c r="T926" t="s">
        <v>613</v>
      </c>
      <c r="U926" t="s">
        <v>61</v>
      </c>
      <c r="V926" t="s">
        <v>315</v>
      </c>
      <c r="W926">
        <v>3.9</v>
      </c>
      <c r="X926" t="s">
        <v>41</v>
      </c>
      <c r="Y926" t="s">
        <v>42</v>
      </c>
      <c r="Z926">
        <v>5</v>
      </c>
    </row>
    <row r="927" spans="1:26">
      <c r="A927" t="s">
        <v>1811</v>
      </c>
      <c r="B927" t="s">
        <v>477</v>
      </c>
      <c r="C927" t="s">
        <v>28</v>
      </c>
      <c r="D927" t="s">
        <v>95</v>
      </c>
      <c r="E927" s="1">
        <v>44172</v>
      </c>
      <c r="F927" t="s">
        <v>86</v>
      </c>
      <c r="G927" t="s">
        <v>285</v>
      </c>
      <c r="H927" t="s">
        <v>111</v>
      </c>
      <c r="I927">
        <v>7</v>
      </c>
      <c r="J927" t="s">
        <v>73</v>
      </c>
      <c r="K927">
        <v>1</v>
      </c>
      <c r="L927" s="3">
        <v>6199</v>
      </c>
      <c r="M927">
        <v>25</v>
      </c>
      <c r="N927" s="3">
        <v>4650</v>
      </c>
      <c r="O927" s="3">
        <v>4650</v>
      </c>
      <c r="P927" t="s">
        <v>34</v>
      </c>
      <c r="Q927" t="s">
        <v>82</v>
      </c>
      <c r="R927" t="s">
        <v>36</v>
      </c>
      <c r="S927" t="s">
        <v>210</v>
      </c>
      <c r="T927" t="s">
        <v>415</v>
      </c>
      <c r="U927" t="s">
        <v>124</v>
      </c>
      <c r="V927" t="s">
        <v>315</v>
      </c>
      <c r="W927">
        <v>4.7</v>
      </c>
      <c r="X927" t="s">
        <v>41</v>
      </c>
      <c r="Y927" t="s">
        <v>42</v>
      </c>
      <c r="Z927">
        <v>5</v>
      </c>
    </row>
    <row r="928" spans="1:26">
      <c r="A928" t="s">
        <v>1812</v>
      </c>
      <c r="B928" t="s">
        <v>1027</v>
      </c>
      <c r="C928" t="s">
        <v>28</v>
      </c>
      <c r="D928" t="s">
        <v>46</v>
      </c>
      <c r="E928" s="1">
        <v>44173</v>
      </c>
      <c r="F928" t="s">
        <v>65</v>
      </c>
      <c r="G928" t="s">
        <v>72</v>
      </c>
      <c r="H928" t="s">
        <v>59</v>
      </c>
      <c r="I928">
        <v>11</v>
      </c>
      <c r="J928" t="s">
        <v>73</v>
      </c>
      <c r="K928">
        <v>2</v>
      </c>
      <c r="L928" s="3">
        <v>7399</v>
      </c>
      <c r="M928">
        <v>25</v>
      </c>
      <c r="N928" s="3">
        <v>5550</v>
      </c>
      <c r="O928" s="3">
        <v>11100</v>
      </c>
      <c r="P928" t="s">
        <v>74</v>
      </c>
      <c r="Q928" t="s">
        <v>51</v>
      </c>
      <c r="R928" t="s">
        <v>36</v>
      </c>
      <c r="S928" t="s">
        <v>418</v>
      </c>
      <c r="T928" t="s">
        <v>613</v>
      </c>
      <c r="U928" t="s">
        <v>39</v>
      </c>
      <c r="V928" t="s">
        <v>969</v>
      </c>
      <c r="W928">
        <v>3.1</v>
      </c>
      <c r="X928" t="s">
        <v>41</v>
      </c>
      <c r="Y928" t="s">
        <v>55</v>
      </c>
      <c r="Z928">
        <v>2</v>
      </c>
    </row>
    <row r="929" spans="1:26">
      <c r="A929" t="s">
        <v>1813</v>
      </c>
      <c r="B929" t="s">
        <v>1814</v>
      </c>
      <c r="C929" t="s">
        <v>28</v>
      </c>
      <c r="D929" t="s">
        <v>46</v>
      </c>
      <c r="E929" s="1">
        <v>44173</v>
      </c>
      <c r="F929" t="s">
        <v>65</v>
      </c>
      <c r="G929" t="s">
        <v>256</v>
      </c>
      <c r="H929" t="s">
        <v>32</v>
      </c>
      <c r="I929">
        <v>9</v>
      </c>
      <c r="J929" t="s">
        <v>150</v>
      </c>
      <c r="K929">
        <v>1</v>
      </c>
      <c r="L929" s="3">
        <v>3199</v>
      </c>
      <c r="M929">
        <v>20</v>
      </c>
      <c r="N929" s="3">
        <v>2560</v>
      </c>
      <c r="O929" s="3">
        <v>2560</v>
      </c>
      <c r="P929" t="s">
        <v>74</v>
      </c>
      <c r="Q929" t="s">
        <v>51</v>
      </c>
      <c r="R929" t="s">
        <v>36</v>
      </c>
      <c r="S929" t="s">
        <v>269</v>
      </c>
      <c r="T929" t="s">
        <v>575</v>
      </c>
      <c r="U929" t="s">
        <v>91</v>
      </c>
      <c r="V929" t="s">
        <v>40</v>
      </c>
      <c r="W929">
        <v>4.9000000000000004</v>
      </c>
      <c r="X929" t="s">
        <v>41</v>
      </c>
      <c r="Y929" t="s">
        <v>42</v>
      </c>
      <c r="Z929">
        <v>2</v>
      </c>
    </row>
    <row r="930" spans="1:26">
      <c r="A930" t="s">
        <v>1815</v>
      </c>
      <c r="B930" t="s">
        <v>1816</v>
      </c>
      <c r="C930" t="s">
        <v>28</v>
      </c>
      <c r="D930" t="s">
        <v>109</v>
      </c>
      <c r="E930" s="1">
        <v>44174</v>
      </c>
      <c r="F930" t="s">
        <v>86</v>
      </c>
      <c r="G930" t="s">
        <v>190</v>
      </c>
      <c r="H930" t="s">
        <v>128</v>
      </c>
      <c r="I930">
        <v>10</v>
      </c>
      <c r="J930" t="s">
        <v>67</v>
      </c>
      <c r="K930">
        <v>1</v>
      </c>
      <c r="L930" s="3">
        <v>4299</v>
      </c>
      <c r="M930">
        <v>20</v>
      </c>
      <c r="N930" s="3">
        <v>3440</v>
      </c>
      <c r="O930" s="3">
        <v>3440</v>
      </c>
      <c r="P930" t="s">
        <v>34</v>
      </c>
      <c r="Q930" t="s">
        <v>35</v>
      </c>
      <c r="R930" t="s">
        <v>36</v>
      </c>
      <c r="S930" t="s">
        <v>186</v>
      </c>
      <c r="T930" t="s">
        <v>187</v>
      </c>
      <c r="U930" t="s">
        <v>61</v>
      </c>
      <c r="V930" t="s">
        <v>40</v>
      </c>
      <c r="W930">
        <v>3.7</v>
      </c>
      <c r="X930" t="s">
        <v>41</v>
      </c>
      <c r="Y930" t="s">
        <v>147</v>
      </c>
      <c r="Z930">
        <v>1</v>
      </c>
    </row>
    <row r="931" spans="1:26">
      <c r="A931" t="s">
        <v>1817</v>
      </c>
      <c r="B931" t="s">
        <v>1354</v>
      </c>
      <c r="C931" t="s">
        <v>28</v>
      </c>
      <c r="D931" t="s">
        <v>109</v>
      </c>
      <c r="E931" s="1">
        <v>44175</v>
      </c>
      <c r="F931" t="s">
        <v>30</v>
      </c>
      <c r="G931" t="s">
        <v>145</v>
      </c>
      <c r="H931" t="s">
        <v>59</v>
      </c>
      <c r="I931">
        <v>12</v>
      </c>
      <c r="J931" t="s">
        <v>67</v>
      </c>
      <c r="K931">
        <v>1</v>
      </c>
      <c r="L931" s="3">
        <v>3999</v>
      </c>
      <c r="M931">
        <v>15</v>
      </c>
      <c r="N931" s="3">
        <v>3400</v>
      </c>
      <c r="O931" s="3">
        <v>3400</v>
      </c>
      <c r="P931" t="s">
        <v>74</v>
      </c>
      <c r="Q931" t="s">
        <v>51</v>
      </c>
      <c r="R931" t="s">
        <v>36</v>
      </c>
      <c r="S931" t="s">
        <v>297</v>
      </c>
      <c r="T931" t="s">
        <v>566</v>
      </c>
      <c r="U931" t="s">
        <v>91</v>
      </c>
      <c r="V931" t="s">
        <v>315</v>
      </c>
      <c r="W931">
        <v>2.2999999999999998</v>
      </c>
      <c r="X931" t="s">
        <v>41</v>
      </c>
      <c r="Y931" t="s">
        <v>55</v>
      </c>
      <c r="Z931">
        <v>2</v>
      </c>
    </row>
    <row r="932" spans="1:26">
      <c r="A932" t="s">
        <v>1818</v>
      </c>
      <c r="B932" t="s">
        <v>371</v>
      </c>
      <c r="C932" t="s">
        <v>45</v>
      </c>
      <c r="D932" t="s">
        <v>46</v>
      </c>
      <c r="E932" s="1">
        <v>44176</v>
      </c>
      <c r="F932" t="s">
        <v>30</v>
      </c>
      <c r="G932" t="s">
        <v>58</v>
      </c>
      <c r="H932" t="s">
        <v>59</v>
      </c>
      <c r="I932">
        <v>8</v>
      </c>
      <c r="J932" t="s">
        <v>150</v>
      </c>
      <c r="K932">
        <v>2</v>
      </c>
      <c r="L932" s="3">
        <v>4399</v>
      </c>
      <c r="M932">
        <v>5</v>
      </c>
      <c r="N932" s="3">
        <v>4180</v>
      </c>
      <c r="O932" s="3">
        <v>8360</v>
      </c>
      <c r="P932" t="s">
        <v>74</v>
      </c>
      <c r="Q932" t="s">
        <v>35</v>
      </c>
      <c r="R932" t="s">
        <v>36</v>
      </c>
      <c r="S932" t="s">
        <v>151</v>
      </c>
      <c r="T932" t="s">
        <v>890</v>
      </c>
      <c r="U932" t="s">
        <v>124</v>
      </c>
      <c r="V932" t="s">
        <v>969</v>
      </c>
      <c r="W932">
        <v>3.5</v>
      </c>
      <c r="X932" t="s">
        <v>41</v>
      </c>
      <c r="Y932" t="s">
        <v>42</v>
      </c>
      <c r="Z932">
        <v>1</v>
      </c>
    </row>
    <row r="933" spans="1:26">
      <c r="A933" t="s">
        <v>1819</v>
      </c>
      <c r="B933" t="s">
        <v>1820</v>
      </c>
      <c r="C933" t="s">
        <v>45</v>
      </c>
      <c r="D933" t="s">
        <v>103</v>
      </c>
      <c r="E933" s="1">
        <v>44176</v>
      </c>
      <c r="F933" t="s">
        <v>47</v>
      </c>
      <c r="G933" t="s">
        <v>402</v>
      </c>
      <c r="H933" t="s">
        <v>32</v>
      </c>
      <c r="I933">
        <v>11</v>
      </c>
      <c r="J933" t="s">
        <v>67</v>
      </c>
      <c r="K933">
        <v>3</v>
      </c>
      <c r="L933" s="3">
        <v>8999</v>
      </c>
      <c r="M933">
        <v>20</v>
      </c>
      <c r="N933" s="3">
        <v>7200</v>
      </c>
      <c r="O933" s="3">
        <v>21600</v>
      </c>
      <c r="P933" t="s">
        <v>74</v>
      </c>
      <c r="Q933" t="s">
        <v>51</v>
      </c>
      <c r="R933" t="s">
        <v>36</v>
      </c>
      <c r="S933" t="s">
        <v>384</v>
      </c>
      <c r="T933" t="s">
        <v>385</v>
      </c>
      <c r="U933" t="s">
        <v>39</v>
      </c>
      <c r="V933" t="s">
        <v>40</v>
      </c>
      <c r="W933">
        <v>4.8</v>
      </c>
      <c r="X933" t="s">
        <v>41</v>
      </c>
      <c r="Y933" t="s">
        <v>147</v>
      </c>
      <c r="Z933">
        <v>1</v>
      </c>
    </row>
    <row r="934" spans="1:26">
      <c r="A934" t="s">
        <v>1821</v>
      </c>
      <c r="B934" t="s">
        <v>441</v>
      </c>
      <c r="C934" t="s">
        <v>45</v>
      </c>
      <c r="D934" t="s">
        <v>103</v>
      </c>
      <c r="E934" s="1">
        <v>44176</v>
      </c>
      <c r="F934" t="s">
        <v>30</v>
      </c>
      <c r="G934" t="s">
        <v>58</v>
      </c>
      <c r="H934" t="s">
        <v>59</v>
      </c>
      <c r="I934">
        <v>10</v>
      </c>
      <c r="J934" t="s">
        <v>33</v>
      </c>
      <c r="K934">
        <v>1</v>
      </c>
      <c r="L934" s="3">
        <v>4799</v>
      </c>
      <c r="M934">
        <v>20</v>
      </c>
      <c r="N934" s="3">
        <v>3840</v>
      </c>
      <c r="O934" s="3">
        <v>3840</v>
      </c>
      <c r="P934" t="s">
        <v>74</v>
      </c>
      <c r="Q934" t="s">
        <v>51</v>
      </c>
      <c r="R934" t="s">
        <v>36</v>
      </c>
      <c r="S934" t="s">
        <v>384</v>
      </c>
      <c r="T934" t="s">
        <v>1217</v>
      </c>
      <c r="U934" t="s">
        <v>61</v>
      </c>
      <c r="V934" t="s">
        <v>315</v>
      </c>
      <c r="W934">
        <v>4.5999999999999996</v>
      </c>
      <c r="X934" t="s">
        <v>41</v>
      </c>
      <c r="Y934" t="s">
        <v>55</v>
      </c>
      <c r="Z934">
        <v>2</v>
      </c>
    </row>
    <row r="935" spans="1:26">
      <c r="A935" t="s">
        <v>1822</v>
      </c>
      <c r="B935" t="s">
        <v>679</v>
      </c>
      <c r="C935" t="s">
        <v>45</v>
      </c>
      <c r="D935" t="s">
        <v>46</v>
      </c>
      <c r="E935" s="1">
        <v>44176</v>
      </c>
      <c r="F935" t="s">
        <v>86</v>
      </c>
      <c r="G935" t="s">
        <v>285</v>
      </c>
      <c r="H935" t="s">
        <v>111</v>
      </c>
      <c r="I935">
        <v>10</v>
      </c>
      <c r="J935" t="s">
        <v>88</v>
      </c>
      <c r="K935">
        <v>3</v>
      </c>
      <c r="L935" s="3">
        <v>7799</v>
      </c>
      <c r="M935">
        <v>25</v>
      </c>
      <c r="N935" s="3">
        <v>5850</v>
      </c>
      <c r="O935" s="3">
        <v>17550</v>
      </c>
      <c r="P935" t="s">
        <v>81</v>
      </c>
      <c r="Q935" t="s">
        <v>51</v>
      </c>
      <c r="R935" t="s">
        <v>36</v>
      </c>
      <c r="S935" t="s">
        <v>156</v>
      </c>
      <c r="T935" t="s">
        <v>157</v>
      </c>
      <c r="U935" t="s">
        <v>54</v>
      </c>
      <c r="V935" t="s">
        <v>315</v>
      </c>
      <c r="W935">
        <v>4.7</v>
      </c>
      <c r="X935" t="s">
        <v>41</v>
      </c>
      <c r="Y935" t="s">
        <v>42</v>
      </c>
      <c r="Z935">
        <v>5</v>
      </c>
    </row>
    <row r="936" spans="1:26">
      <c r="A936" t="s">
        <v>1823</v>
      </c>
      <c r="B936" t="s">
        <v>1824</v>
      </c>
      <c r="C936" t="s">
        <v>28</v>
      </c>
      <c r="D936" t="s">
        <v>29</v>
      </c>
      <c r="E936" s="1">
        <v>44177</v>
      </c>
      <c r="F936" t="s">
        <v>30</v>
      </c>
      <c r="G936" t="s">
        <v>58</v>
      </c>
      <c r="H936" t="s">
        <v>59</v>
      </c>
      <c r="I936">
        <v>10</v>
      </c>
      <c r="J936" t="s">
        <v>98</v>
      </c>
      <c r="K936">
        <v>3</v>
      </c>
      <c r="L936" s="3">
        <v>6399</v>
      </c>
      <c r="M936">
        <v>5</v>
      </c>
      <c r="N936" s="3">
        <v>6080</v>
      </c>
      <c r="O936" s="3">
        <v>18240</v>
      </c>
      <c r="P936" t="s">
        <v>74</v>
      </c>
      <c r="Q936" t="s">
        <v>51</v>
      </c>
      <c r="R936" t="s">
        <v>36</v>
      </c>
      <c r="S936" t="s">
        <v>354</v>
      </c>
      <c r="T936" t="s">
        <v>431</v>
      </c>
      <c r="U936" t="s">
        <v>91</v>
      </c>
      <c r="V936" t="s">
        <v>40</v>
      </c>
      <c r="W936">
        <v>3.7</v>
      </c>
      <c r="X936" t="s">
        <v>41</v>
      </c>
      <c r="Y936" t="s">
        <v>42</v>
      </c>
      <c r="Z936">
        <v>3</v>
      </c>
    </row>
    <row r="937" spans="1:26">
      <c r="A937" t="s">
        <v>1825</v>
      </c>
      <c r="B937" t="s">
        <v>1826</v>
      </c>
      <c r="C937" t="s">
        <v>28</v>
      </c>
      <c r="D937" t="s">
        <v>46</v>
      </c>
      <c r="E937" s="1">
        <v>44177</v>
      </c>
      <c r="F937" t="s">
        <v>30</v>
      </c>
      <c r="G937" t="s">
        <v>347</v>
      </c>
      <c r="H937" t="s">
        <v>49</v>
      </c>
      <c r="I937">
        <v>7</v>
      </c>
      <c r="J937" t="s">
        <v>88</v>
      </c>
      <c r="K937">
        <v>1</v>
      </c>
      <c r="L937" s="3">
        <v>5999</v>
      </c>
      <c r="M937">
        <v>25</v>
      </c>
      <c r="N937" s="3">
        <v>4500</v>
      </c>
      <c r="O937" s="3">
        <v>4500</v>
      </c>
      <c r="P937" t="s">
        <v>74</v>
      </c>
      <c r="Q937" t="s">
        <v>35</v>
      </c>
      <c r="R937" t="s">
        <v>36</v>
      </c>
      <c r="S937" t="s">
        <v>141</v>
      </c>
      <c r="T937" t="s">
        <v>362</v>
      </c>
      <c r="U937" t="s">
        <v>39</v>
      </c>
      <c r="V937" t="s">
        <v>40</v>
      </c>
      <c r="W937">
        <v>5</v>
      </c>
      <c r="X937" t="s">
        <v>41</v>
      </c>
      <c r="Y937" t="s">
        <v>42</v>
      </c>
      <c r="Z937">
        <v>4</v>
      </c>
    </row>
    <row r="938" spans="1:26">
      <c r="A938" t="s">
        <v>1827</v>
      </c>
      <c r="B938" t="s">
        <v>1828</v>
      </c>
      <c r="C938" t="s">
        <v>45</v>
      </c>
      <c r="D938" t="s">
        <v>95</v>
      </c>
      <c r="E938" s="1">
        <v>44177</v>
      </c>
      <c r="F938" t="s">
        <v>86</v>
      </c>
      <c r="G938" t="s">
        <v>87</v>
      </c>
      <c r="H938" t="s">
        <v>59</v>
      </c>
      <c r="I938">
        <v>6</v>
      </c>
      <c r="J938" t="s">
        <v>67</v>
      </c>
      <c r="K938">
        <v>1</v>
      </c>
      <c r="L938" s="3">
        <v>7799</v>
      </c>
      <c r="M938">
        <v>15</v>
      </c>
      <c r="N938" s="3">
        <v>6630</v>
      </c>
      <c r="O938" s="3">
        <v>6630</v>
      </c>
      <c r="P938" t="s">
        <v>34</v>
      </c>
      <c r="Q938" t="s">
        <v>51</v>
      </c>
      <c r="R938" t="s">
        <v>36</v>
      </c>
      <c r="S938" t="s">
        <v>182</v>
      </c>
      <c r="T938" t="s">
        <v>309</v>
      </c>
      <c r="U938" t="s">
        <v>54</v>
      </c>
      <c r="V938" t="s">
        <v>40</v>
      </c>
      <c r="W938">
        <v>4</v>
      </c>
      <c r="X938" t="s">
        <v>41</v>
      </c>
      <c r="Y938" t="s">
        <v>42</v>
      </c>
      <c r="Z938">
        <v>6</v>
      </c>
    </row>
    <row r="939" spans="1:26">
      <c r="A939" t="s">
        <v>1829</v>
      </c>
      <c r="B939" t="s">
        <v>1830</v>
      </c>
      <c r="C939" t="s">
        <v>45</v>
      </c>
      <c r="D939" t="s">
        <v>109</v>
      </c>
      <c r="E939" s="1">
        <v>44177</v>
      </c>
      <c r="F939" t="s">
        <v>65</v>
      </c>
      <c r="G939" t="s">
        <v>72</v>
      </c>
      <c r="H939" t="s">
        <v>59</v>
      </c>
      <c r="I939">
        <v>9</v>
      </c>
      <c r="J939" t="s">
        <v>150</v>
      </c>
      <c r="K939">
        <v>1</v>
      </c>
      <c r="L939" s="3">
        <v>3199</v>
      </c>
      <c r="M939">
        <v>15</v>
      </c>
      <c r="N939" s="3">
        <v>2720</v>
      </c>
      <c r="O939" s="3">
        <v>2720</v>
      </c>
      <c r="P939" t="s">
        <v>74</v>
      </c>
      <c r="Q939" t="s">
        <v>51</v>
      </c>
      <c r="R939" t="s">
        <v>36</v>
      </c>
      <c r="S939" t="s">
        <v>151</v>
      </c>
      <c r="T939" t="s">
        <v>890</v>
      </c>
      <c r="U939" t="s">
        <v>54</v>
      </c>
      <c r="V939" t="s">
        <v>40</v>
      </c>
      <c r="W939">
        <v>3.2</v>
      </c>
      <c r="X939" t="s">
        <v>41</v>
      </c>
      <c r="Y939" t="s">
        <v>42</v>
      </c>
      <c r="Z939">
        <v>2</v>
      </c>
    </row>
    <row r="940" spans="1:26">
      <c r="A940" t="s">
        <v>1831</v>
      </c>
      <c r="B940" t="s">
        <v>1832</v>
      </c>
      <c r="C940" t="s">
        <v>45</v>
      </c>
      <c r="D940" t="s">
        <v>103</v>
      </c>
      <c r="E940" s="1">
        <v>44178</v>
      </c>
      <c r="F940" t="s">
        <v>30</v>
      </c>
      <c r="G940" t="s">
        <v>347</v>
      </c>
      <c r="H940" t="s">
        <v>49</v>
      </c>
      <c r="I940">
        <v>7</v>
      </c>
      <c r="J940" t="s">
        <v>88</v>
      </c>
      <c r="K940">
        <v>2</v>
      </c>
      <c r="L940" s="3">
        <v>6199</v>
      </c>
      <c r="M940">
        <v>25</v>
      </c>
      <c r="N940" s="3">
        <v>4650</v>
      </c>
      <c r="O940" s="3">
        <v>9300</v>
      </c>
      <c r="P940" t="s">
        <v>74</v>
      </c>
      <c r="Q940" t="s">
        <v>35</v>
      </c>
      <c r="R940" t="s">
        <v>36</v>
      </c>
      <c r="S940" t="s">
        <v>156</v>
      </c>
      <c r="T940" t="s">
        <v>324</v>
      </c>
      <c r="U940" t="s">
        <v>54</v>
      </c>
      <c r="V940" t="s">
        <v>40</v>
      </c>
      <c r="W940">
        <v>4</v>
      </c>
      <c r="X940" t="s">
        <v>62</v>
      </c>
      <c r="Y940" t="s">
        <v>42</v>
      </c>
      <c r="Z940">
        <v>2</v>
      </c>
    </row>
    <row r="941" spans="1:26">
      <c r="A941" t="s">
        <v>1833</v>
      </c>
      <c r="B941" t="s">
        <v>1834</v>
      </c>
      <c r="C941" t="s">
        <v>45</v>
      </c>
      <c r="D941" t="s">
        <v>46</v>
      </c>
      <c r="E941" s="1">
        <v>44178</v>
      </c>
      <c r="F941" t="s">
        <v>30</v>
      </c>
      <c r="G941" t="s">
        <v>214</v>
      </c>
      <c r="H941" t="s">
        <v>128</v>
      </c>
      <c r="I941">
        <v>9</v>
      </c>
      <c r="J941" t="s">
        <v>67</v>
      </c>
      <c r="K941">
        <v>1</v>
      </c>
      <c r="L941" s="3">
        <v>4499</v>
      </c>
      <c r="M941">
        <v>25</v>
      </c>
      <c r="N941" s="3">
        <v>3370</v>
      </c>
      <c r="O941" s="3">
        <v>3370</v>
      </c>
      <c r="P941" t="s">
        <v>81</v>
      </c>
      <c r="Q941" t="s">
        <v>82</v>
      </c>
      <c r="R941" t="s">
        <v>36</v>
      </c>
      <c r="S941" t="s">
        <v>168</v>
      </c>
      <c r="T941" t="s">
        <v>714</v>
      </c>
      <c r="U941" t="s">
        <v>91</v>
      </c>
      <c r="V941" t="s">
        <v>40</v>
      </c>
      <c r="W941">
        <v>5</v>
      </c>
      <c r="X941" t="s">
        <v>41</v>
      </c>
      <c r="Y941" t="s">
        <v>55</v>
      </c>
      <c r="Z941">
        <v>3</v>
      </c>
    </row>
    <row r="942" spans="1:26">
      <c r="A942" t="s">
        <v>1835</v>
      </c>
      <c r="B942" t="s">
        <v>1836</v>
      </c>
      <c r="C942" t="s">
        <v>28</v>
      </c>
      <c r="D942" t="s">
        <v>29</v>
      </c>
      <c r="E942" s="1">
        <v>44179</v>
      </c>
      <c r="F942" t="s">
        <v>47</v>
      </c>
      <c r="G942" t="s">
        <v>140</v>
      </c>
      <c r="H942" t="s">
        <v>128</v>
      </c>
      <c r="I942">
        <v>8</v>
      </c>
      <c r="J942" t="s">
        <v>67</v>
      </c>
      <c r="K942">
        <v>2</v>
      </c>
      <c r="L942" s="3">
        <v>3599</v>
      </c>
      <c r="M942">
        <v>20</v>
      </c>
      <c r="N942" s="3">
        <v>2880</v>
      </c>
      <c r="O942" s="3">
        <v>5760</v>
      </c>
      <c r="P942" t="s">
        <v>34</v>
      </c>
      <c r="Q942" t="s">
        <v>51</v>
      </c>
      <c r="R942" t="s">
        <v>36</v>
      </c>
      <c r="S942" t="s">
        <v>117</v>
      </c>
      <c r="T942" t="s">
        <v>544</v>
      </c>
      <c r="U942" t="s">
        <v>61</v>
      </c>
      <c r="V942" t="s">
        <v>40</v>
      </c>
      <c r="W942">
        <v>4.5</v>
      </c>
      <c r="X942" t="s">
        <v>41</v>
      </c>
      <c r="Y942" t="s">
        <v>55</v>
      </c>
      <c r="Z942">
        <v>3</v>
      </c>
    </row>
    <row r="943" spans="1:26">
      <c r="A943" t="s">
        <v>1837</v>
      </c>
      <c r="B943" t="s">
        <v>1838</v>
      </c>
      <c r="C943" t="s">
        <v>28</v>
      </c>
      <c r="D943" t="s">
        <v>95</v>
      </c>
      <c r="E943" s="1">
        <v>44179</v>
      </c>
      <c r="F943" t="s">
        <v>47</v>
      </c>
      <c r="G943" t="s">
        <v>218</v>
      </c>
      <c r="H943" t="s">
        <v>59</v>
      </c>
      <c r="I943">
        <v>9</v>
      </c>
      <c r="J943" t="s">
        <v>33</v>
      </c>
      <c r="K943">
        <v>3</v>
      </c>
      <c r="L943" s="3">
        <v>6799</v>
      </c>
      <c r="M943">
        <v>20</v>
      </c>
      <c r="N943" s="3">
        <v>5440</v>
      </c>
      <c r="O943" s="3">
        <v>16320</v>
      </c>
      <c r="P943" t="s">
        <v>74</v>
      </c>
      <c r="Q943" t="s">
        <v>51</v>
      </c>
      <c r="R943" t="s">
        <v>36</v>
      </c>
      <c r="S943" t="s">
        <v>164</v>
      </c>
      <c r="T943" t="s">
        <v>314</v>
      </c>
      <c r="U943" t="s">
        <v>124</v>
      </c>
      <c r="V943" t="s">
        <v>40</v>
      </c>
      <c r="W943">
        <v>4.7</v>
      </c>
      <c r="X943" t="s">
        <v>41</v>
      </c>
      <c r="Y943" t="s">
        <v>147</v>
      </c>
      <c r="Z943">
        <v>2</v>
      </c>
    </row>
    <row r="944" spans="1:26">
      <c r="A944" t="s">
        <v>1839</v>
      </c>
      <c r="B944" t="s">
        <v>1531</v>
      </c>
      <c r="C944" t="s">
        <v>45</v>
      </c>
      <c r="D944" t="s">
        <v>46</v>
      </c>
      <c r="E944" s="1">
        <v>44180</v>
      </c>
      <c r="F944" t="s">
        <v>30</v>
      </c>
      <c r="G944" t="s">
        <v>31</v>
      </c>
      <c r="H944" t="s">
        <v>32</v>
      </c>
      <c r="I944">
        <v>6</v>
      </c>
      <c r="J944" t="s">
        <v>98</v>
      </c>
      <c r="K944">
        <v>1</v>
      </c>
      <c r="L944" s="3">
        <v>8599</v>
      </c>
      <c r="M944">
        <v>25</v>
      </c>
      <c r="N944" s="3">
        <v>6450</v>
      </c>
      <c r="O944" s="3">
        <v>6450</v>
      </c>
      <c r="P944" t="s">
        <v>74</v>
      </c>
      <c r="Q944" t="s">
        <v>35</v>
      </c>
      <c r="R944" t="s">
        <v>36</v>
      </c>
      <c r="S944" t="s">
        <v>418</v>
      </c>
      <c r="T944" t="s">
        <v>549</v>
      </c>
      <c r="U944" t="s">
        <v>124</v>
      </c>
      <c r="V944" t="s">
        <v>315</v>
      </c>
      <c r="W944">
        <v>3.5</v>
      </c>
      <c r="X944" t="s">
        <v>62</v>
      </c>
      <c r="Y944" t="s">
        <v>42</v>
      </c>
      <c r="Z944">
        <v>5</v>
      </c>
    </row>
    <row r="945" spans="1:26">
      <c r="A945" t="s">
        <v>1840</v>
      </c>
      <c r="B945" t="s">
        <v>475</v>
      </c>
      <c r="C945" t="s">
        <v>28</v>
      </c>
      <c r="D945" t="s">
        <v>103</v>
      </c>
      <c r="E945" s="1">
        <v>44180</v>
      </c>
      <c r="F945" t="s">
        <v>30</v>
      </c>
      <c r="G945" t="s">
        <v>58</v>
      </c>
      <c r="H945" t="s">
        <v>59</v>
      </c>
      <c r="I945">
        <v>8</v>
      </c>
      <c r="J945" t="s">
        <v>73</v>
      </c>
      <c r="K945">
        <v>2</v>
      </c>
      <c r="L945" s="3">
        <v>6599</v>
      </c>
      <c r="M945">
        <v>30</v>
      </c>
      <c r="N945" s="3">
        <v>4620</v>
      </c>
      <c r="O945" s="3">
        <v>9240</v>
      </c>
      <c r="P945" t="s">
        <v>74</v>
      </c>
      <c r="Q945" t="s">
        <v>51</v>
      </c>
      <c r="R945" t="s">
        <v>36</v>
      </c>
      <c r="S945" t="s">
        <v>117</v>
      </c>
      <c r="T945" t="s">
        <v>544</v>
      </c>
      <c r="U945" t="s">
        <v>61</v>
      </c>
      <c r="V945" t="s">
        <v>315</v>
      </c>
      <c r="W945">
        <v>4.4000000000000004</v>
      </c>
      <c r="X945" t="s">
        <v>106</v>
      </c>
      <c r="Y945" t="s">
        <v>55</v>
      </c>
      <c r="Z945">
        <v>2</v>
      </c>
    </row>
    <row r="946" spans="1:26">
      <c r="A946" t="s">
        <v>1841</v>
      </c>
      <c r="B946" t="s">
        <v>1842</v>
      </c>
      <c r="C946" t="s">
        <v>28</v>
      </c>
      <c r="D946" t="s">
        <v>103</v>
      </c>
      <c r="E946" s="1">
        <v>44180</v>
      </c>
      <c r="F946" t="s">
        <v>96</v>
      </c>
      <c r="G946" t="s">
        <v>228</v>
      </c>
      <c r="H946" t="s">
        <v>59</v>
      </c>
      <c r="I946">
        <v>11</v>
      </c>
      <c r="J946" t="s">
        <v>33</v>
      </c>
      <c r="K946">
        <v>2</v>
      </c>
      <c r="L946" s="3">
        <v>8399</v>
      </c>
      <c r="M946">
        <v>15</v>
      </c>
      <c r="N946" s="3">
        <v>7140</v>
      </c>
      <c r="O946" s="3">
        <v>14280</v>
      </c>
      <c r="P946" t="s">
        <v>81</v>
      </c>
      <c r="Q946" t="s">
        <v>51</v>
      </c>
      <c r="R946" t="s">
        <v>36</v>
      </c>
      <c r="S946" t="s">
        <v>460</v>
      </c>
      <c r="T946" t="s">
        <v>580</v>
      </c>
      <c r="U946" t="s">
        <v>54</v>
      </c>
      <c r="V946" t="s">
        <v>40</v>
      </c>
      <c r="W946">
        <v>3.5</v>
      </c>
      <c r="X946" t="s">
        <v>106</v>
      </c>
      <c r="Y946" t="s">
        <v>42</v>
      </c>
      <c r="Z946">
        <v>5</v>
      </c>
    </row>
    <row r="947" spans="1:26">
      <c r="A947" t="s">
        <v>1843</v>
      </c>
      <c r="B947" t="s">
        <v>1844</v>
      </c>
      <c r="C947" t="s">
        <v>94</v>
      </c>
      <c r="D947" t="s">
        <v>109</v>
      </c>
      <c r="E947" s="1">
        <v>44180</v>
      </c>
      <c r="F947" t="s">
        <v>65</v>
      </c>
      <c r="G947" t="s">
        <v>279</v>
      </c>
      <c r="H947" t="s">
        <v>111</v>
      </c>
      <c r="I947">
        <v>7</v>
      </c>
      <c r="J947" t="s">
        <v>150</v>
      </c>
      <c r="K947">
        <v>1</v>
      </c>
      <c r="L947" s="3">
        <v>4699</v>
      </c>
      <c r="M947">
        <v>30</v>
      </c>
      <c r="N947" s="3">
        <v>3290</v>
      </c>
      <c r="O947" s="3">
        <v>3290</v>
      </c>
      <c r="P947" t="s">
        <v>50</v>
      </c>
      <c r="Q947" t="s">
        <v>51</v>
      </c>
      <c r="R947" t="s">
        <v>36</v>
      </c>
      <c r="S947" t="s">
        <v>156</v>
      </c>
      <c r="T947" t="s">
        <v>369</v>
      </c>
      <c r="U947" t="s">
        <v>91</v>
      </c>
      <c r="V947" t="s">
        <v>40</v>
      </c>
      <c r="W947">
        <v>4.9000000000000004</v>
      </c>
      <c r="X947" t="s">
        <v>41</v>
      </c>
      <c r="Y947" t="s">
        <v>42</v>
      </c>
      <c r="Z947">
        <v>3</v>
      </c>
    </row>
    <row r="948" spans="1:26">
      <c r="A948" t="s">
        <v>1845</v>
      </c>
      <c r="B948" t="s">
        <v>1846</v>
      </c>
      <c r="C948" t="s">
        <v>28</v>
      </c>
      <c r="D948" t="s">
        <v>109</v>
      </c>
      <c r="E948" s="1">
        <v>44181</v>
      </c>
      <c r="F948" t="s">
        <v>96</v>
      </c>
      <c r="G948" t="s">
        <v>228</v>
      </c>
      <c r="H948" t="s">
        <v>59</v>
      </c>
      <c r="I948">
        <v>6</v>
      </c>
      <c r="J948" t="s">
        <v>73</v>
      </c>
      <c r="K948">
        <v>1</v>
      </c>
      <c r="L948" s="3">
        <v>8299</v>
      </c>
      <c r="M948">
        <v>20</v>
      </c>
      <c r="N948" s="3">
        <v>6640</v>
      </c>
      <c r="O948" s="3">
        <v>6640</v>
      </c>
      <c r="P948" t="s">
        <v>50</v>
      </c>
      <c r="Q948" t="s">
        <v>51</v>
      </c>
      <c r="R948" t="s">
        <v>36</v>
      </c>
      <c r="S948" t="s">
        <v>384</v>
      </c>
      <c r="T948" t="s">
        <v>481</v>
      </c>
      <c r="U948" t="s">
        <v>39</v>
      </c>
      <c r="V948" t="s">
        <v>40</v>
      </c>
      <c r="W948">
        <v>3.8</v>
      </c>
      <c r="X948" t="s">
        <v>41</v>
      </c>
      <c r="Y948" t="s">
        <v>147</v>
      </c>
      <c r="Z948">
        <v>1</v>
      </c>
    </row>
    <row r="949" spans="1:26">
      <c r="A949" t="s">
        <v>1847</v>
      </c>
      <c r="B949" t="s">
        <v>918</v>
      </c>
      <c r="C949" t="s">
        <v>28</v>
      </c>
      <c r="D949" t="s">
        <v>95</v>
      </c>
      <c r="E949" s="1">
        <v>44181</v>
      </c>
      <c r="F949" t="s">
        <v>65</v>
      </c>
      <c r="G949" t="s">
        <v>365</v>
      </c>
      <c r="H949" t="s">
        <v>49</v>
      </c>
      <c r="I949">
        <v>7</v>
      </c>
      <c r="J949" t="s">
        <v>150</v>
      </c>
      <c r="K949">
        <v>1</v>
      </c>
      <c r="L949" s="3">
        <v>5199</v>
      </c>
      <c r="M949">
        <v>25</v>
      </c>
      <c r="N949" s="3">
        <v>3900</v>
      </c>
      <c r="O949" s="3">
        <v>3900</v>
      </c>
      <c r="P949" t="s">
        <v>34</v>
      </c>
      <c r="Q949" t="s">
        <v>51</v>
      </c>
      <c r="R949" t="s">
        <v>36</v>
      </c>
      <c r="S949" t="s">
        <v>182</v>
      </c>
      <c r="T949" t="s">
        <v>309</v>
      </c>
      <c r="U949" t="s">
        <v>61</v>
      </c>
      <c r="V949" t="s">
        <v>315</v>
      </c>
      <c r="W949">
        <v>3.6</v>
      </c>
      <c r="X949" t="s">
        <v>41</v>
      </c>
      <c r="Y949" t="s">
        <v>42</v>
      </c>
      <c r="Z949">
        <v>6</v>
      </c>
    </row>
    <row r="950" spans="1:26">
      <c r="A950" t="s">
        <v>1848</v>
      </c>
      <c r="B950" t="s">
        <v>1849</v>
      </c>
      <c r="C950" t="s">
        <v>28</v>
      </c>
      <c r="D950" t="s">
        <v>95</v>
      </c>
      <c r="E950" s="1">
        <v>44182</v>
      </c>
      <c r="F950" t="s">
        <v>30</v>
      </c>
      <c r="G950" t="s">
        <v>145</v>
      </c>
      <c r="H950" t="s">
        <v>59</v>
      </c>
      <c r="I950">
        <v>7</v>
      </c>
      <c r="J950" t="s">
        <v>67</v>
      </c>
      <c r="K950">
        <v>1</v>
      </c>
      <c r="L950" s="3">
        <v>7399</v>
      </c>
      <c r="M950">
        <v>40</v>
      </c>
      <c r="N950" s="3">
        <v>4440</v>
      </c>
      <c r="O950" s="3">
        <v>4440</v>
      </c>
      <c r="P950" t="s">
        <v>74</v>
      </c>
      <c r="Q950" t="s">
        <v>82</v>
      </c>
      <c r="R950" t="s">
        <v>36</v>
      </c>
      <c r="S950" t="s">
        <v>269</v>
      </c>
      <c r="T950" t="s">
        <v>652</v>
      </c>
      <c r="U950" t="s">
        <v>54</v>
      </c>
      <c r="V950" t="s">
        <v>40</v>
      </c>
      <c r="W950">
        <v>3.6</v>
      </c>
      <c r="X950" t="s">
        <v>41</v>
      </c>
      <c r="Y950" t="s">
        <v>42</v>
      </c>
      <c r="Z950">
        <v>3</v>
      </c>
    </row>
    <row r="951" spans="1:26">
      <c r="A951" t="s">
        <v>1850</v>
      </c>
      <c r="B951" t="s">
        <v>1036</v>
      </c>
      <c r="C951" t="s">
        <v>28</v>
      </c>
      <c r="D951" t="s">
        <v>29</v>
      </c>
      <c r="E951" s="1">
        <v>44182</v>
      </c>
      <c r="F951" t="s">
        <v>79</v>
      </c>
      <c r="G951" t="s">
        <v>480</v>
      </c>
      <c r="H951" t="s">
        <v>111</v>
      </c>
      <c r="I951">
        <v>10</v>
      </c>
      <c r="J951" t="s">
        <v>88</v>
      </c>
      <c r="K951">
        <v>1</v>
      </c>
      <c r="L951" s="3">
        <v>7799</v>
      </c>
      <c r="M951">
        <v>25</v>
      </c>
      <c r="N951" s="3">
        <v>5850</v>
      </c>
      <c r="O951" s="3">
        <v>5850</v>
      </c>
      <c r="P951" t="s">
        <v>74</v>
      </c>
      <c r="Q951" t="s">
        <v>51</v>
      </c>
      <c r="R951" t="s">
        <v>36</v>
      </c>
      <c r="S951" t="s">
        <v>164</v>
      </c>
      <c r="T951" t="s">
        <v>314</v>
      </c>
      <c r="U951" t="s">
        <v>54</v>
      </c>
      <c r="V951" t="s">
        <v>969</v>
      </c>
      <c r="W951">
        <v>4</v>
      </c>
      <c r="X951" t="s">
        <v>41</v>
      </c>
      <c r="Y951" t="s">
        <v>55</v>
      </c>
      <c r="Z951">
        <v>2</v>
      </c>
    </row>
    <row r="952" spans="1:26">
      <c r="A952" t="s">
        <v>1851</v>
      </c>
      <c r="B952" t="s">
        <v>1565</v>
      </c>
      <c r="C952" t="s">
        <v>45</v>
      </c>
      <c r="D952" t="s">
        <v>103</v>
      </c>
      <c r="E952" s="1">
        <v>44183</v>
      </c>
      <c r="F952" t="s">
        <v>47</v>
      </c>
      <c r="G952" t="s">
        <v>121</v>
      </c>
      <c r="H952" t="s">
        <v>111</v>
      </c>
      <c r="I952">
        <v>10</v>
      </c>
      <c r="J952" t="s">
        <v>88</v>
      </c>
      <c r="K952">
        <v>1</v>
      </c>
      <c r="L952" s="3">
        <v>9099</v>
      </c>
      <c r="M952">
        <v>30</v>
      </c>
      <c r="N952" s="3">
        <v>6370</v>
      </c>
      <c r="O952" s="3">
        <v>6370</v>
      </c>
      <c r="P952" t="s">
        <v>34</v>
      </c>
      <c r="Q952" t="s">
        <v>35</v>
      </c>
      <c r="R952" t="s">
        <v>36</v>
      </c>
      <c r="S952" t="s">
        <v>384</v>
      </c>
      <c r="T952" t="s">
        <v>481</v>
      </c>
      <c r="U952" t="s">
        <v>54</v>
      </c>
      <c r="V952" t="s">
        <v>315</v>
      </c>
      <c r="W952">
        <v>5</v>
      </c>
      <c r="X952" t="s">
        <v>62</v>
      </c>
      <c r="Y952" t="s">
        <v>42</v>
      </c>
      <c r="Z952">
        <v>3</v>
      </c>
    </row>
    <row r="953" spans="1:26">
      <c r="A953" t="s">
        <v>1852</v>
      </c>
      <c r="B953" t="s">
        <v>1102</v>
      </c>
      <c r="C953" t="s">
        <v>28</v>
      </c>
      <c r="D953" t="s">
        <v>46</v>
      </c>
      <c r="E953" s="1">
        <v>44184</v>
      </c>
      <c r="F953" t="s">
        <v>96</v>
      </c>
      <c r="G953" t="s">
        <v>290</v>
      </c>
      <c r="H953" t="s">
        <v>32</v>
      </c>
      <c r="I953">
        <v>10</v>
      </c>
      <c r="J953" t="s">
        <v>98</v>
      </c>
      <c r="K953">
        <v>3</v>
      </c>
      <c r="L953" s="3">
        <v>10199</v>
      </c>
      <c r="M953">
        <v>25</v>
      </c>
      <c r="N953" s="3">
        <v>7650</v>
      </c>
      <c r="O953" s="3">
        <v>22950</v>
      </c>
      <c r="P953" t="s">
        <v>74</v>
      </c>
      <c r="Q953" t="s">
        <v>51</v>
      </c>
      <c r="R953" t="s">
        <v>36</v>
      </c>
      <c r="S953" t="s">
        <v>168</v>
      </c>
      <c r="T953" t="s">
        <v>532</v>
      </c>
      <c r="U953" t="s">
        <v>39</v>
      </c>
      <c r="V953" t="s">
        <v>315</v>
      </c>
      <c r="W953">
        <v>3.5</v>
      </c>
      <c r="X953" t="s">
        <v>41</v>
      </c>
      <c r="Y953" t="s">
        <v>42</v>
      </c>
      <c r="Z953">
        <v>7</v>
      </c>
    </row>
    <row r="954" spans="1:26">
      <c r="A954" t="s">
        <v>1853</v>
      </c>
      <c r="B954" t="s">
        <v>1854</v>
      </c>
      <c r="C954" t="s">
        <v>28</v>
      </c>
      <c r="D954" t="s">
        <v>46</v>
      </c>
      <c r="E954" s="1">
        <v>44184</v>
      </c>
      <c r="F954" t="s">
        <v>96</v>
      </c>
      <c r="G954" t="s">
        <v>171</v>
      </c>
      <c r="H954" t="s">
        <v>128</v>
      </c>
      <c r="I954">
        <v>10</v>
      </c>
      <c r="J954" t="s">
        <v>33</v>
      </c>
      <c r="K954">
        <v>1</v>
      </c>
      <c r="L954" s="3">
        <v>9399</v>
      </c>
      <c r="M954">
        <v>10</v>
      </c>
      <c r="N954" s="3">
        <v>8460</v>
      </c>
      <c r="O954" s="3">
        <v>8460</v>
      </c>
      <c r="P954" t="s">
        <v>81</v>
      </c>
      <c r="Q954" t="s">
        <v>51</v>
      </c>
      <c r="R954" t="s">
        <v>36</v>
      </c>
      <c r="S954" t="s">
        <v>200</v>
      </c>
      <c r="T954" t="s">
        <v>201</v>
      </c>
      <c r="U954" t="s">
        <v>61</v>
      </c>
      <c r="V954" t="s">
        <v>40</v>
      </c>
      <c r="W954">
        <v>4.3</v>
      </c>
      <c r="X954" t="s">
        <v>41</v>
      </c>
      <c r="Y954" t="s">
        <v>42</v>
      </c>
      <c r="Z954">
        <v>5</v>
      </c>
    </row>
    <row r="955" spans="1:26">
      <c r="A955" t="s">
        <v>1855</v>
      </c>
      <c r="B955" t="s">
        <v>1856</v>
      </c>
      <c r="C955" t="s">
        <v>45</v>
      </c>
      <c r="D955" t="s">
        <v>46</v>
      </c>
      <c r="E955" s="1">
        <v>44185</v>
      </c>
      <c r="F955" t="s">
        <v>96</v>
      </c>
      <c r="G955" t="s">
        <v>323</v>
      </c>
      <c r="H955" t="s">
        <v>59</v>
      </c>
      <c r="I955">
        <v>7</v>
      </c>
      <c r="J955" t="s">
        <v>150</v>
      </c>
      <c r="K955">
        <v>1</v>
      </c>
      <c r="L955" s="3">
        <v>4799</v>
      </c>
      <c r="M955">
        <v>0</v>
      </c>
      <c r="N955" s="3">
        <v>4800</v>
      </c>
      <c r="O955" s="3">
        <v>4800</v>
      </c>
      <c r="P955" t="s">
        <v>74</v>
      </c>
      <c r="Q955" t="s">
        <v>35</v>
      </c>
      <c r="R955" t="s">
        <v>36</v>
      </c>
      <c r="S955" t="s">
        <v>418</v>
      </c>
      <c r="T955" t="s">
        <v>924</v>
      </c>
      <c r="U955" t="s">
        <v>61</v>
      </c>
      <c r="V955" t="s">
        <v>40</v>
      </c>
      <c r="W955">
        <v>3.7</v>
      </c>
      <c r="X955" t="s">
        <v>41</v>
      </c>
      <c r="Y955" t="s">
        <v>42</v>
      </c>
      <c r="Z955">
        <v>2</v>
      </c>
    </row>
    <row r="956" spans="1:26">
      <c r="A956" t="s">
        <v>1857</v>
      </c>
      <c r="B956" t="s">
        <v>275</v>
      </c>
      <c r="C956" t="s">
        <v>28</v>
      </c>
      <c r="D956" t="s">
        <v>46</v>
      </c>
      <c r="E956" s="1">
        <v>44185</v>
      </c>
      <c r="F956" t="s">
        <v>47</v>
      </c>
      <c r="G956" t="s">
        <v>199</v>
      </c>
      <c r="H956" t="s">
        <v>59</v>
      </c>
      <c r="I956">
        <v>10</v>
      </c>
      <c r="J956" t="s">
        <v>98</v>
      </c>
      <c r="K956">
        <v>1</v>
      </c>
      <c r="L956" s="3">
        <v>8299</v>
      </c>
      <c r="M956">
        <v>35</v>
      </c>
      <c r="N956" s="3">
        <v>5390</v>
      </c>
      <c r="O956" s="3">
        <v>5390</v>
      </c>
      <c r="P956" t="s">
        <v>34</v>
      </c>
      <c r="Q956" t="s">
        <v>35</v>
      </c>
      <c r="R956" t="s">
        <v>36</v>
      </c>
      <c r="S956" t="s">
        <v>297</v>
      </c>
      <c r="T956" t="s">
        <v>351</v>
      </c>
      <c r="U956" t="s">
        <v>54</v>
      </c>
      <c r="V956" t="s">
        <v>315</v>
      </c>
      <c r="W956">
        <v>3.4</v>
      </c>
      <c r="X956" t="s">
        <v>41</v>
      </c>
      <c r="Y956" t="s">
        <v>55</v>
      </c>
      <c r="Z956">
        <v>4</v>
      </c>
    </row>
    <row r="957" spans="1:26">
      <c r="A957" t="s">
        <v>1858</v>
      </c>
      <c r="B957" t="s">
        <v>135</v>
      </c>
      <c r="C957" t="s">
        <v>94</v>
      </c>
      <c r="D957" t="s">
        <v>46</v>
      </c>
      <c r="E957" s="1">
        <v>44186</v>
      </c>
      <c r="F957" t="s">
        <v>96</v>
      </c>
      <c r="G957" t="s">
        <v>228</v>
      </c>
      <c r="H957" t="s">
        <v>59</v>
      </c>
      <c r="I957">
        <v>8</v>
      </c>
      <c r="J957" t="s">
        <v>33</v>
      </c>
      <c r="K957">
        <v>1</v>
      </c>
      <c r="L957" s="3">
        <v>5799</v>
      </c>
      <c r="M957">
        <v>0</v>
      </c>
      <c r="N957" s="3">
        <v>5800</v>
      </c>
      <c r="O957" s="3">
        <v>5800</v>
      </c>
      <c r="P957" t="s">
        <v>81</v>
      </c>
      <c r="Q957" t="s">
        <v>82</v>
      </c>
      <c r="R957" t="s">
        <v>36</v>
      </c>
      <c r="S957" t="s">
        <v>68</v>
      </c>
      <c r="T957" t="s">
        <v>400</v>
      </c>
      <c r="U957" t="s">
        <v>91</v>
      </c>
      <c r="V957" t="s">
        <v>315</v>
      </c>
      <c r="W957">
        <v>3.8</v>
      </c>
      <c r="X957" t="s">
        <v>41</v>
      </c>
      <c r="Y957" t="s">
        <v>55</v>
      </c>
      <c r="Z957">
        <v>2</v>
      </c>
    </row>
    <row r="958" spans="1:26">
      <c r="A958" t="s">
        <v>1859</v>
      </c>
      <c r="B958" t="s">
        <v>1860</v>
      </c>
      <c r="C958" t="s">
        <v>28</v>
      </c>
      <c r="D958" t="s">
        <v>95</v>
      </c>
      <c r="E958" s="1">
        <v>44186</v>
      </c>
      <c r="F958" t="s">
        <v>30</v>
      </c>
      <c r="G958" t="s">
        <v>31</v>
      </c>
      <c r="H958" t="s">
        <v>32</v>
      </c>
      <c r="I958">
        <v>11</v>
      </c>
      <c r="J958" t="s">
        <v>67</v>
      </c>
      <c r="K958">
        <v>2</v>
      </c>
      <c r="L958" s="3">
        <v>7899</v>
      </c>
      <c r="M958">
        <v>20</v>
      </c>
      <c r="N958" s="3">
        <v>6320</v>
      </c>
      <c r="O958" s="3">
        <v>12640</v>
      </c>
      <c r="P958" t="s">
        <v>74</v>
      </c>
      <c r="Q958" t="s">
        <v>35</v>
      </c>
      <c r="R958" t="s">
        <v>36</v>
      </c>
      <c r="S958" t="s">
        <v>117</v>
      </c>
      <c r="T958" t="s">
        <v>253</v>
      </c>
      <c r="U958" t="s">
        <v>124</v>
      </c>
      <c r="V958" t="s">
        <v>40</v>
      </c>
      <c r="W958">
        <v>3.9</v>
      </c>
      <c r="X958" t="s">
        <v>106</v>
      </c>
      <c r="Y958" t="s">
        <v>42</v>
      </c>
      <c r="Z958">
        <v>6</v>
      </c>
    </row>
    <row r="959" spans="1:26">
      <c r="A959" t="s">
        <v>1861</v>
      </c>
      <c r="B959" t="s">
        <v>1862</v>
      </c>
      <c r="C959" t="s">
        <v>28</v>
      </c>
      <c r="D959" t="s">
        <v>103</v>
      </c>
      <c r="E959" s="1">
        <v>44187</v>
      </c>
      <c r="F959" t="s">
        <v>96</v>
      </c>
      <c r="G959" t="s">
        <v>97</v>
      </c>
      <c r="H959" t="s">
        <v>49</v>
      </c>
      <c r="I959">
        <v>8</v>
      </c>
      <c r="J959" t="s">
        <v>33</v>
      </c>
      <c r="K959">
        <v>1</v>
      </c>
      <c r="L959" s="3">
        <v>8699</v>
      </c>
      <c r="M959">
        <v>25</v>
      </c>
      <c r="N959" s="3">
        <v>6520</v>
      </c>
      <c r="O959" s="3">
        <v>6520</v>
      </c>
      <c r="P959" t="s">
        <v>74</v>
      </c>
      <c r="Q959" t="s">
        <v>51</v>
      </c>
      <c r="R959" t="s">
        <v>36</v>
      </c>
      <c r="S959" t="s">
        <v>182</v>
      </c>
      <c r="T959" t="s">
        <v>604</v>
      </c>
      <c r="U959" t="s">
        <v>124</v>
      </c>
      <c r="V959" t="s">
        <v>40</v>
      </c>
      <c r="W959">
        <v>4.8</v>
      </c>
      <c r="X959" t="s">
        <v>41</v>
      </c>
      <c r="Y959" t="s">
        <v>42</v>
      </c>
      <c r="Z959">
        <v>2</v>
      </c>
    </row>
    <row r="960" spans="1:26">
      <c r="A960" t="s">
        <v>1863</v>
      </c>
      <c r="B960" t="s">
        <v>1036</v>
      </c>
      <c r="C960" t="s">
        <v>28</v>
      </c>
      <c r="D960" t="s">
        <v>46</v>
      </c>
      <c r="E960" s="1">
        <v>44187</v>
      </c>
      <c r="F960" t="s">
        <v>86</v>
      </c>
      <c r="G960" t="s">
        <v>116</v>
      </c>
      <c r="H960" t="s">
        <v>49</v>
      </c>
      <c r="I960">
        <v>11</v>
      </c>
      <c r="J960" t="s">
        <v>150</v>
      </c>
      <c r="K960">
        <v>1</v>
      </c>
      <c r="L960" s="3">
        <v>5099</v>
      </c>
      <c r="M960">
        <v>15</v>
      </c>
      <c r="N960" s="3">
        <v>4330</v>
      </c>
      <c r="O960" s="3">
        <v>4330</v>
      </c>
      <c r="P960" t="s">
        <v>81</v>
      </c>
      <c r="Q960" t="s">
        <v>51</v>
      </c>
      <c r="R960" t="s">
        <v>36</v>
      </c>
      <c r="S960" t="s">
        <v>112</v>
      </c>
      <c r="T960" t="s">
        <v>250</v>
      </c>
      <c r="U960" t="s">
        <v>91</v>
      </c>
      <c r="V960" t="s">
        <v>969</v>
      </c>
      <c r="W960">
        <v>3.6</v>
      </c>
      <c r="X960" t="s">
        <v>106</v>
      </c>
      <c r="Y960" t="s">
        <v>42</v>
      </c>
      <c r="Z960">
        <v>4</v>
      </c>
    </row>
    <row r="961" spans="1:26">
      <c r="A961" t="s">
        <v>1864</v>
      </c>
      <c r="B961" t="s">
        <v>748</v>
      </c>
      <c r="C961" t="s">
        <v>28</v>
      </c>
      <c r="D961" t="s">
        <v>46</v>
      </c>
      <c r="E961" s="1">
        <v>44187</v>
      </c>
      <c r="F961" t="s">
        <v>96</v>
      </c>
      <c r="G961" t="s">
        <v>155</v>
      </c>
      <c r="H961" t="s">
        <v>111</v>
      </c>
      <c r="I961">
        <v>7</v>
      </c>
      <c r="J961" t="s">
        <v>73</v>
      </c>
      <c r="K961">
        <v>1</v>
      </c>
      <c r="L961" s="3">
        <v>8699</v>
      </c>
      <c r="M961">
        <v>20</v>
      </c>
      <c r="N961" s="3">
        <v>6960</v>
      </c>
      <c r="O961" s="3">
        <v>6960</v>
      </c>
      <c r="P961" t="s">
        <v>74</v>
      </c>
      <c r="Q961" t="s">
        <v>82</v>
      </c>
      <c r="R961" t="s">
        <v>36</v>
      </c>
      <c r="S961" t="s">
        <v>164</v>
      </c>
      <c r="T961" t="s">
        <v>409</v>
      </c>
      <c r="U961" t="s">
        <v>54</v>
      </c>
      <c r="V961" t="s">
        <v>315</v>
      </c>
      <c r="W961">
        <v>4.0999999999999996</v>
      </c>
      <c r="X961" t="s">
        <v>41</v>
      </c>
      <c r="Y961" t="s">
        <v>42</v>
      </c>
      <c r="Z961">
        <v>3</v>
      </c>
    </row>
    <row r="962" spans="1:26">
      <c r="A962" t="s">
        <v>1865</v>
      </c>
      <c r="B962" t="s">
        <v>1866</v>
      </c>
      <c r="C962" t="s">
        <v>28</v>
      </c>
      <c r="D962" t="s">
        <v>29</v>
      </c>
      <c r="E962" s="1">
        <v>44188</v>
      </c>
      <c r="F962" t="s">
        <v>86</v>
      </c>
      <c r="G962" t="s">
        <v>87</v>
      </c>
      <c r="H962" t="s">
        <v>59</v>
      </c>
      <c r="I962">
        <v>9</v>
      </c>
      <c r="J962" t="s">
        <v>73</v>
      </c>
      <c r="K962">
        <v>1</v>
      </c>
      <c r="L962" s="3">
        <v>8599</v>
      </c>
      <c r="M962">
        <v>0</v>
      </c>
      <c r="N962" s="3">
        <v>8600</v>
      </c>
      <c r="O962" s="3">
        <v>8600</v>
      </c>
      <c r="P962" t="s">
        <v>34</v>
      </c>
      <c r="Q962" t="s">
        <v>51</v>
      </c>
      <c r="R962" t="s">
        <v>36</v>
      </c>
      <c r="S962" t="s">
        <v>122</v>
      </c>
      <c r="T962" t="s">
        <v>123</v>
      </c>
      <c r="U962" t="s">
        <v>91</v>
      </c>
      <c r="V962" t="s">
        <v>40</v>
      </c>
      <c r="W962">
        <v>3.8</v>
      </c>
      <c r="X962" t="s">
        <v>41</v>
      </c>
      <c r="Y962" t="s">
        <v>42</v>
      </c>
      <c r="Z962">
        <v>6</v>
      </c>
    </row>
    <row r="963" spans="1:26">
      <c r="A963" t="s">
        <v>1867</v>
      </c>
      <c r="B963" t="s">
        <v>1560</v>
      </c>
      <c r="C963" t="s">
        <v>45</v>
      </c>
      <c r="D963" t="s">
        <v>46</v>
      </c>
      <c r="E963" s="1">
        <v>44188</v>
      </c>
      <c r="F963" t="s">
        <v>96</v>
      </c>
      <c r="G963" t="s">
        <v>97</v>
      </c>
      <c r="H963" t="s">
        <v>49</v>
      </c>
      <c r="I963">
        <v>11</v>
      </c>
      <c r="J963" t="s">
        <v>33</v>
      </c>
      <c r="K963">
        <v>1</v>
      </c>
      <c r="L963" s="3">
        <v>7599</v>
      </c>
      <c r="M963">
        <v>35</v>
      </c>
      <c r="N963" s="3">
        <v>4940</v>
      </c>
      <c r="O963" s="3">
        <v>4940</v>
      </c>
      <c r="P963" t="s">
        <v>50</v>
      </c>
      <c r="Q963" t="s">
        <v>82</v>
      </c>
      <c r="R963" t="s">
        <v>36</v>
      </c>
      <c r="S963" t="s">
        <v>460</v>
      </c>
      <c r="T963" t="s">
        <v>1868</v>
      </c>
      <c r="U963" t="s">
        <v>54</v>
      </c>
      <c r="V963" t="s">
        <v>315</v>
      </c>
      <c r="W963">
        <v>2.4</v>
      </c>
      <c r="X963" t="s">
        <v>41</v>
      </c>
      <c r="Y963" t="s">
        <v>55</v>
      </c>
      <c r="Z963">
        <v>1</v>
      </c>
    </row>
    <row r="964" spans="1:26">
      <c r="A964" t="s">
        <v>1869</v>
      </c>
      <c r="B964" t="s">
        <v>451</v>
      </c>
      <c r="C964" t="s">
        <v>28</v>
      </c>
      <c r="D964" t="s">
        <v>103</v>
      </c>
      <c r="E964" s="1">
        <v>44189</v>
      </c>
      <c r="F964" t="s">
        <v>79</v>
      </c>
      <c r="G964" t="s">
        <v>480</v>
      </c>
      <c r="H964" t="s">
        <v>111</v>
      </c>
      <c r="I964">
        <v>9</v>
      </c>
      <c r="J964" t="s">
        <v>88</v>
      </c>
      <c r="K964">
        <v>2</v>
      </c>
      <c r="L964" s="3">
        <v>3599</v>
      </c>
      <c r="M964">
        <v>30</v>
      </c>
      <c r="N964" s="3">
        <v>2520</v>
      </c>
      <c r="O964" s="3">
        <v>5040</v>
      </c>
      <c r="P964" t="s">
        <v>74</v>
      </c>
      <c r="Q964" t="s">
        <v>51</v>
      </c>
      <c r="R964" t="s">
        <v>36</v>
      </c>
      <c r="S964" t="s">
        <v>168</v>
      </c>
      <c r="T964" t="s">
        <v>714</v>
      </c>
      <c r="U964" t="s">
        <v>124</v>
      </c>
      <c r="V964" t="s">
        <v>315</v>
      </c>
      <c r="W964">
        <v>4.3</v>
      </c>
      <c r="X964" t="s">
        <v>41</v>
      </c>
      <c r="Y964" t="s">
        <v>55</v>
      </c>
      <c r="Z964">
        <v>3</v>
      </c>
    </row>
    <row r="965" spans="1:26">
      <c r="A965" t="s">
        <v>1870</v>
      </c>
      <c r="B965" t="s">
        <v>1775</v>
      </c>
      <c r="C965" t="s">
        <v>28</v>
      </c>
      <c r="D965" t="s">
        <v>46</v>
      </c>
      <c r="E965" s="1">
        <v>44189</v>
      </c>
      <c r="F965" t="s">
        <v>47</v>
      </c>
      <c r="G965" t="s">
        <v>218</v>
      </c>
      <c r="H965" t="s">
        <v>59</v>
      </c>
      <c r="I965">
        <v>7</v>
      </c>
      <c r="J965" t="s">
        <v>73</v>
      </c>
      <c r="K965">
        <v>1</v>
      </c>
      <c r="L965" s="3">
        <v>9399</v>
      </c>
      <c r="M965">
        <v>15</v>
      </c>
      <c r="N965" s="3">
        <v>7990</v>
      </c>
      <c r="O965" s="3">
        <v>7990</v>
      </c>
      <c r="P965" t="s">
        <v>74</v>
      </c>
      <c r="Q965" t="s">
        <v>82</v>
      </c>
      <c r="R965" t="s">
        <v>36</v>
      </c>
      <c r="S965" t="s">
        <v>129</v>
      </c>
      <c r="T965" t="s">
        <v>130</v>
      </c>
      <c r="U965" t="s">
        <v>54</v>
      </c>
      <c r="V965" t="s">
        <v>315</v>
      </c>
      <c r="W965">
        <v>4.9000000000000004</v>
      </c>
      <c r="X965" t="s">
        <v>62</v>
      </c>
      <c r="Y965" t="s">
        <v>55</v>
      </c>
      <c r="Z965">
        <v>2</v>
      </c>
    </row>
    <row r="966" spans="1:26">
      <c r="A966" t="s">
        <v>1871</v>
      </c>
      <c r="B966" t="s">
        <v>387</v>
      </c>
      <c r="C966" t="s">
        <v>45</v>
      </c>
      <c r="D966" t="s">
        <v>95</v>
      </c>
      <c r="E966" s="1">
        <v>44189</v>
      </c>
      <c r="F966" t="s">
        <v>79</v>
      </c>
      <c r="G966" t="s">
        <v>517</v>
      </c>
      <c r="H966" t="s">
        <v>59</v>
      </c>
      <c r="I966">
        <v>9</v>
      </c>
      <c r="J966" t="s">
        <v>67</v>
      </c>
      <c r="K966">
        <v>1</v>
      </c>
      <c r="L966" s="3">
        <v>6699</v>
      </c>
      <c r="M966">
        <v>15</v>
      </c>
      <c r="N966" s="3">
        <v>5690</v>
      </c>
      <c r="O966" s="3">
        <v>5690</v>
      </c>
      <c r="P966" t="s">
        <v>34</v>
      </c>
      <c r="Q966" t="s">
        <v>51</v>
      </c>
      <c r="R966" t="s">
        <v>36</v>
      </c>
      <c r="S966" t="s">
        <v>286</v>
      </c>
      <c r="T966" t="s">
        <v>768</v>
      </c>
      <c r="U966" t="s">
        <v>61</v>
      </c>
      <c r="V966" t="s">
        <v>969</v>
      </c>
      <c r="W966">
        <v>4.3</v>
      </c>
      <c r="X966" t="s">
        <v>41</v>
      </c>
      <c r="Y966" t="s">
        <v>42</v>
      </c>
      <c r="Z966">
        <v>4</v>
      </c>
    </row>
    <row r="967" spans="1:26">
      <c r="A967" t="s">
        <v>1872</v>
      </c>
      <c r="B967" t="s">
        <v>1873</v>
      </c>
      <c r="C967" t="s">
        <v>45</v>
      </c>
      <c r="D967" t="s">
        <v>109</v>
      </c>
      <c r="E967" s="1">
        <v>44190</v>
      </c>
      <c r="F967" t="s">
        <v>30</v>
      </c>
      <c r="G967" t="s">
        <v>110</v>
      </c>
      <c r="H967" t="s">
        <v>111</v>
      </c>
      <c r="I967">
        <v>10</v>
      </c>
      <c r="J967" t="s">
        <v>73</v>
      </c>
      <c r="K967">
        <v>2</v>
      </c>
      <c r="L967" s="3">
        <v>7599</v>
      </c>
      <c r="M967">
        <v>30</v>
      </c>
      <c r="N967" s="3">
        <v>5320</v>
      </c>
      <c r="O967" s="3">
        <v>10640</v>
      </c>
      <c r="P967" t="s">
        <v>74</v>
      </c>
      <c r="Q967" t="s">
        <v>51</v>
      </c>
      <c r="R967" t="s">
        <v>36</v>
      </c>
      <c r="S967" t="s">
        <v>156</v>
      </c>
      <c r="T967" t="s">
        <v>324</v>
      </c>
      <c r="U967" t="s">
        <v>91</v>
      </c>
      <c r="V967" t="s">
        <v>40</v>
      </c>
      <c r="W967">
        <v>5</v>
      </c>
      <c r="X967" t="s">
        <v>62</v>
      </c>
      <c r="Y967" t="s">
        <v>42</v>
      </c>
      <c r="Z967">
        <v>1</v>
      </c>
    </row>
    <row r="968" spans="1:26">
      <c r="A968" t="s">
        <v>1874</v>
      </c>
      <c r="B968" t="s">
        <v>1875</v>
      </c>
      <c r="C968" t="s">
        <v>28</v>
      </c>
      <c r="D968" t="s">
        <v>103</v>
      </c>
      <c r="E968" s="1">
        <v>44191</v>
      </c>
      <c r="F968" t="s">
        <v>96</v>
      </c>
      <c r="G968" t="s">
        <v>97</v>
      </c>
      <c r="H968" t="s">
        <v>49</v>
      </c>
      <c r="I968">
        <v>10</v>
      </c>
      <c r="J968" t="s">
        <v>88</v>
      </c>
      <c r="K968">
        <v>1</v>
      </c>
      <c r="L968" s="3">
        <v>7299</v>
      </c>
      <c r="M968">
        <v>5</v>
      </c>
      <c r="N968" s="3">
        <v>6930</v>
      </c>
      <c r="O968" s="3">
        <v>6930</v>
      </c>
      <c r="P968" t="s">
        <v>74</v>
      </c>
      <c r="Q968" t="s">
        <v>51</v>
      </c>
      <c r="R968" t="s">
        <v>36</v>
      </c>
      <c r="S968" t="s">
        <v>286</v>
      </c>
      <c r="T968" t="s">
        <v>366</v>
      </c>
      <c r="U968" t="s">
        <v>54</v>
      </c>
      <c r="V968" t="s">
        <v>40</v>
      </c>
      <c r="W968">
        <v>3.8</v>
      </c>
      <c r="X968" t="s">
        <v>41</v>
      </c>
      <c r="Y968" t="s">
        <v>55</v>
      </c>
      <c r="Z968">
        <v>2</v>
      </c>
    </row>
    <row r="969" spans="1:26">
      <c r="A969" t="s">
        <v>1876</v>
      </c>
      <c r="B969" t="s">
        <v>486</v>
      </c>
      <c r="C969" t="s">
        <v>45</v>
      </c>
      <c r="D969" t="s">
        <v>109</v>
      </c>
      <c r="E969" s="1">
        <v>44191</v>
      </c>
      <c r="F969" t="s">
        <v>86</v>
      </c>
      <c r="G969" t="s">
        <v>116</v>
      </c>
      <c r="H969" t="s">
        <v>49</v>
      </c>
      <c r="I969">
        <v>9</v>
      </c>
      <c r="J969" t="s">
        <v>67</v>
      </c>
      <c r="K969">
        <v>1</v>
      </c>
      <c r="L969" s="3">
        <v>8599</v>
      </c>
      <c r="M969">
        <v>15</v>
      </c>
      <c r="N969" s="3">
        <v>7310</v>
      </c>
      <c r="O969" s="3">
        <v>7310</v>
      </c>
      <c r="P969" t="s">
        <v>34</v>
      </c>
      <c r="Q969" t="s">
        <v>82</v>
      </c>
      <c r="R969" t="s">
        <v>36</v>
      </c>
      <c r="S969" t="s">
        <v>195</v>
      </c>
      <c r="T969" t="s">
        <v>196</v>
      </c>
      <c r="U969" t="s">
        <v>54</v>
      </c>
      <c r="V969" t="s">
        <v>315</v>
      </c>
      <c r="W969">
        <v>4.5999999999999996</v>
      </c>
      <c r="X969" t="s">
        <v>41</v>
      </c>
      <c r="Y969" t="s">
        <v>42</v>
      </c>
      <c r="Z969">
        <v>2</v>
      </c>
    </row>
    <row r="970" spans="1:26">
      <c r="A970" t="s">
        <v>1877</v>
      </c>
      <c r="B970" t="s">
        <v>1266</v>
      </c>
      <c r="C970" t="s">
        <v>45</v>
      </c>
      <c r="D970" t="s">
        <v>95</v>
      </c>
      <c r="E970" s="1">
        <v>44191</v>
      </c>
      <c r="F970" t="s">
        <v>65</v>
      </c>
      <c r="G970" t="s">
        <v>365</v>
      </c>
      <c r="H970" t="s">
        <v>49</v>
      </c>
      <c r="I970">
        <v>9</v>
      </c>
      <c r="J970" t="s">
        <v>98</v>
      </c>
      <c r="K970">
        <v>1</v>
      </c>
      <c r="L970" s="3">
        <v>4199</v>
      </c>
      <c r="M970">
        <v>10</v>
      </c>
      <c r="N970" s="3">
        <v>3780</v>
      </c>
      <c r="O970" s="3">
        <v>3780</v>
      </c>
      <c r="P970" t="s">
        <v>34</v>
      </c>
      <c r="Q970" t="s">
        <v>51</v>
      </c>
      <c r="R970" t="s">
        <v>36</v>
      </c>
      <c r="S970" t="s">
        <v>358</v>
      </c>
      <c r="T970" t="s">
        <v>464</v>
      </c>
      <c r="U970" t="s">
        <v>91</v>
      </c>
      <c r="V970" t="s">
        <v>315</v>
      </c>
      <c r="W970">
        <v>3.8</v>
      </c>
      <c r="X970" t="s">
        <v>106</v>
      </c>
      <c r="Y970" t="s">
        <v>42</v>
      </c>
      <c r="Z970">
        <v>4</v>
      </c>
    </row>
    <row r="971" spans="1:26">
      <c r="A971" t="s">
        <v>1878</v>
      </c>
      <c r="B971" t="s">
        <v>1347</v>
      </c>
      <c r="C971" t="s">
        <v>94</v>
      </c>
      <c r="D971" t="s">
        <v>95</v>
      </c>
      <c r="E971" s="1">
        <v>44191</v>
      </c>
      <c r="F971" t="s">
        <v>65</v>
      </c>
      <c r="G971" t="s">
        <v>72</v>
      </c>
      <c r="H971" t="s">
        <v>59</v>
      </c>
      <c r="I971">
        <v>8</v>
      </c>
      <c r="J971" t="s">
        <v>67</v>
      </c>
      <c r="K971">
        <v>1</v>
      </c>
      <c r="L971" s="3">
        <v>3099</v>
      </c>
      <c r="M971">
        <v>20</v>
      </c>
      <c r="N971" s="3">
        <v>2480</v>
      </c>
      <c r="O971" s="3">
        <v>2480</v>
      </c>
      <c r="P971" t="s">
        <v>74</v>
      </c>
      <c r="Q971" t="s">
        <v>51</v>
      </c>
      <c r="R971" t="s">
        <v>36</v>
      </c>
      <c r="S971" t="s">
        <v>186</v>
      </c>
      <c r="T971" t="s">
        <v>222</v>
      </c>
      <c r="U971" t="s">
        <v>124</v>
      </c>
      <c r="V971" t="s">
        <v>315</v>
      </c>
      <c r="W971">
        <v>4.5999999999999996</v>
      </c>
      <c r="X971" t="s">
        <v>41</v>
      </c>
      <c r="Y971" t="s">
        <v>42</v>
      </c>
      <c r="Z971">
        <v>5</v>
      </c>
    </row>
    <row r="972" spans="1:26">
      <c r="A972" t="s">
        <v>1879</v>
      </c>
      <c r="B972" t="s">
        <v>1880</v>
      </c>
      <c r="C972" t="s">
        <v>28</v>
      </c>
      <c r="D972" t="s">
        <v>95</v>
      </c>
      <c r="E972" s="1">
        <v>44191</v>
      </c>
      <c r="F972" t="s">
        <v>86</v>
      </c>
      <c r="G972" t="s">
        <v>285</v>
      </c>
      <c r="H972" t="s">
        <v>111</v>
      </c>
      <c r="I972">
        <v>9</v>
      </c>
      <c r="J972" t="s">
        <v>73</v>
      </c>
      <c r="K972">
        <v>3</v>
      </c>
      <c r="L972" s="3">
        <v>4999</v>
      </c>
      <c r="M972">
        <v>30</v>
      </c>
      <c r="N972" s="3">
        <v>3500</v>
      </c>
      <c r="O972" s="3">
        <v>10500</v>
      </c>
      <c r="P972" t="s">
        <v>74</v>
      </c>
      <c r="Q972" t="s">
        <v>51</v>
      </c>
      <c r="R972" t="s">
        <v>36</v>
      </c>
      <c r="S972" t="s">
        <v>37</v>
      </c>
      <c r="T972" t="s">
        <v>484</v>
      </c>
      <c r="U972" t="s">
        <v>54</v>
      </c>
      <c r="V972" t="s">
        <v>40</v>
      </c>
      <c r="W972">
        <v>3.9</v>
      </c>
      <c r="X972" t="s">
        <v>41</v>
      </c>
      <c r="Y972" t="s">
        <v>42</v>
      </c>
      <c r="Z972">
        <v>3</v>
      </c>
    </row>
    <row r="973" spans="1:26">
      <c r="A973" t="s">
        <v>1881</v>
      </c>
      <c r="B973" t="s">
        <v>1882</v>
      </c>
      <c r="C973" t="s">
        <v>45</v>
      </c>
      <c r="D973" t="s">
        <v>103</v>
      </c>
      <c r="E973" s="1">
        <v>44191</v>
      </c>
      <c r="F973" t="s">
        <v>30</v>
      </c>
      <c r="G973" t="s">
        <v>58</v>
      </c>
      <c r="H973" t="s">
        <v>59</v>
      </c>
      <c r="I973">
        <v>9</v>
      </c>
      <c r="J973" t="s">
        <v>33</v>
      </c>
      <c r="K973">
        <v>1</v>
      </c>
      <c r="L973" s="3">
        <v>7799</v>
      </c>
      <c r="M973">
        <v>35</v>
      </c>
      <c r="N973" s="3">
        <v>5070</v>
      </c>
      <c r="O973" s="3">
        <v>5070</v>
      </c>
      <c r="P973" t="s">
        <v>34</v>
      </c>
      <c r="Q973" t="s">
        <v>51</v>
      </c>
      <c r="R973" t="s">
        <v>36</v>
      </c>
      <c r="S973" t="s">
        <v>122</v>
      </c>
      <c r="T973" t="s">
        <v>304</v>
      </c>
      <c r="U973" t="s">
        <v>91</v>
      </c>
      <c r="V973" t="s">
        <v>40</v>
      </c>
      <c r="W973">
        <v>3.4</v>
      </c>
      <c r="X973" t="s">
        <v>62</v>
      </c>
      <c r="Y973" t="s">
        <v>147</v>
      </c>
      <c r="Z973">
        <v>1</v>
      </c>
    </row>
    <row r="974" spans="1:26">
      <c r="A974" t="s">
        <v>1883</v>
      </c>
      <c r="B974" t="s">
        <v>1884</v>
      </c>
      <c r="C974" t="s">
        <v>45</v>
      </c>
      <c r="D974" t="s">
        <v>95</v>
      </c>
      <c r="E974" s="1">
        <v>44191</v>
      </c>
      <c r="F974" t="s">
        <v>65</v>
      </c>
      <c r="G974" t="s">
        <v>365</v>
      </c>
      <c r="H974" t="s">
        <v>49</v>
      </c>
      <c r="I974">
        <v>8</v>
      </c>
      <c r="J974" t="s">
        <v>67</v>
      </c>
      <c r="K974">
        <v>1</v>
      </c>
      <c r="L974" s="3">
        <v>2799</v>
      </c>
      <c r="M974">
        <v>5</v>
      </c>
      <c r="N974" s="3">
        <v>2660</v>
      </c>
      <c r="O974" s="3">
        <v>2660</v>
      </c>
      <c r="P974" t="s">
        <v>34</v>
      </c>
      <c r="Q974" t="s">
        <v>51</v>
      </c>
      <c r="R974" t="s">
        <v>36</v>
      </c>
      <c r="S974" t="s">
        <v>191</v>
      </c>
      <c r="T974" t="s">
        <v>572</v>
      </c>
      <c r="U974" t="s">
        <v>54</v>
      </c>
      <c r="V974" t="s">
        <v>40</v>
      </c>
      <c r="W974">
        <v>3.4</v>
      </c>
      <c r="X974" t="s">
        <v>41</v>
      </c>
      <c r="Y974" t="s">
        <v>55</v>
      </c>
      <c r="Z974">
        <v>2</v>
      </c>
    </row>
    <row r="975" spans="1:26">
      <c r="A975" t="s">
        <v>1885</v>
      </c>
      <c r="B975" t="s">
        <v>1269</v>
      </c>
      <c r="C975" t="s">
        <v>45</v>
      </c>
      <c r="D975" t="s">
        <v>103</v>
      </c>
      <c r="E975" s="1">
        <v>44192</v>
      </c>
      <c r="F975" t="s">
        <v>30</v>
      </c>
      <c r="G975" t="s">
        <v>347</v>
      </c>
      <c r="H975" t="s">
        <v>49</v>
      </c>
      <c r="I975">
        <v>8</v>
      </c>
      <c r="J975" t="s">
        <v>67</v>
      </c>
      <c r="K975">
        <v>1</v>
      </c>
      <c r="L975" s="3">
        <v>4199</v>
      </c>
      <c r="M975">
        <v>25</v>
      </c>
      <c r="N975" s="3">
        <v>3150</v>
      </c>
      <c r="O975" s="3">
        <v>3150</v>
      </c>
      <c r="P975" t="s">
        <v>74</v>
      </c>
      <c r="Q975" t="s">
        <v>35</v>
      </c>
      <c r="R975" t="s">
        <v>36</v>
      </c>
      <c r="S975" t="s">
        <v>191</v>
      </c>
      <c r="T975" t="s">
        <v>572</v>
      </c>
      <c r="U975" t="s">
        <v>54</v>
      </c>
      <c r="V975" t="s">
        <v>315</v>
      </c>
      <c r="W975">
        <v>3.9</v>
      </c>
      <c r="X975" t="s">
        <v>106</v>
      </c>
      <c r="Y975" t="s">
        <v>42</v>
      </c>
      <c r="Z975">
        <v>1</v>
      </c>
    </row>
    <row r="976" spans="1:26">
      <c r="A976" t="s">
        <v>1886</v>
      </c>
      <c r="B976" t="s">
        <v>1887</v>
      </c>
      <c r="C976" t="s">
        <v>45</v>
      </c>
      <c r="D976" t="s">
        <v>109</v>
      </c>
      <c r="E976" s="1">
        <v>44192</v>
      </c>
      <c r="F976" t="s">
        <v>47</v>
      </c>
      <c r="G976" t="s">
        <v>140</v>
      </c>
      <c r="H976" t="s">
        <v>128</v>
      </c>
      <c r="I976">
        <v>11</v>
      </c>
      <c r="J976" t="s">
        <v>98</v>
      </c>
      <c r="K976">
        <v>1</v>
      </c>
      <c r="L976" s="3">
        <v>7299</v>
      </c>
      <c r="M976">
        <v>20</v>
      </c>
      <c r="N976" s="3">
        <v>5840</v>
      </c>
      <c r="O976" s="3">
        <v>5840</v>
      </c>
      <c r="P976" t="s">
        <v>34</v>
      </c>
      <c r="Q976" t="s">
        <v>35</v>
      </c>
      <c r="R976" t="s">
        <v>36</v>
      </c>
      <c r="S976" t="s">
        <v>418</v>
      </c>
      <c r="T976" t="s">
        <v>549</v>
      </c>
      <c r="U976" t="s">
        <v>124</v>
      </c>
      <c r="V976" t="s">
        <v>40</v>
      </c>
      <c r="W976">
        <v>4.0999999999999996</v>
      </c>
      <c r="X976" t="s">
        <v>41</v>
      </c>
      <c r="Y976" t="s">
        <v>42</v>
      </c>
      <c r="Z976">
        <v>4</v>
      </c>
    </row>
    <row r="977" spans="1:26">
      <c r="A977" t="s">
        <v>1888</v>
      </c>
      <c r="B977" t="s">
        <v>793</v>
      </c>
      <c r="C977" t="s">
        <v>94</v>
      </c>
      <c r="D977" t="s">
        <v>103</v>
      </c>
      <c r="E977" s="1">
        <v>44193</v>
      </c>
      <c r="F977" t="s">
        <v>86</v>
      </c>
      <c r="G977" t="s">
        <v>312</v>
      </c>
      <c r="H977" t="s">
        <v>59</v>
      </c>
      <c r="I977">
        <v>12</v>
      </c>
      <c r="J977" t="s">
        <v>67</v>
      </c>
      <c r="K977">
        <v>1</v>
      </c>
      <c r="L977" s="3">
        <v>8599</v>
      </c>
      <c r="M977">
        <v>40</v>
      </c>
      <c r="N977" s="3">
        <v>5160</v>
      </c>
      <c r="O977" s="3">
        <v>5160</v>
      </c>
      <c r="P977" t="s">
        <v>74</v>
      </c>
      <c r="Q977" t="s">
        <v>51</v>
      </c>
      <c r="R977" t="s">
        <v>36</v>
      </c>
      <c r="S977" t="s">
        <v>136</v>
      </c>
      <c r="T977" t="s">
        <v>1693</v>
      </c>
      <c r="U977" t="s">
        <v>61</v>
      </c>
      <c r="V977" t="s">
        <v>315</v>
      </c>
      <c r="W977">
        <v>4.5</v>
      </c>
      <c r="X977" t="s">
        <v>62</v>
      </c>
      <c r="Y977" t="s">
        <v>147</v>
      </c>
      <c r="Z977">
        <v>1</v>
      </c>
    </row>
    <row r="978" spans="1:26">
      <c r="A978" t="s">
        <v>1889</v>
      </c>
      <c r="B978" t="s">
        <v>1890</v>
      </c>
      <c r="C978" t="s">
        <v>45</v>
      </c>
      <c r="D978" t="s">
        <v>95</v>
      </c>
      <c r="E978" s="1">
        <v>44197</v>
      </c>
      <c r="F978" t="s">
        <v>30</v>
      </c>
      <c r="G978" t="s">
        <v>110</v>
      </c>
      <c r="H978" t="s">
        <v>111</v>
      </c>
      <c r="I978">
        <v>11</v>
      </c>
      <c r="J978" t="s">
        <v>67</v>
      </c>
      <c r="K978">
        <v>3</v>
      </c>
      <c r="L978" s="3">
        <v>7399</v>
      </c>
      <c r="M978">
        <v>25</v>
      </c>
      <c r="N978" s="3">
        <v>5550</v>
      </c>
      <c r="O978" s="3">
        <v>16650</v>
      </c>
      <c r="P978" t="s">
        <v>81</v>
      </c>
      <c r="Q978" t="s">
        <v>51</v>
      </c>
      <c r="R978" t="s">
        <v>36</v>
      </c>
      <c r="S978" t="s">
        <v>117</v>
      </c>
      <c r="T978" t="s">
        <v>118</v>
      </c>
      <c r="U978" t="s">
        <v>39</v>
      </c>
      <c r="V978" t="s">
        <v>40</v>
      </c>
      <c r="W978">
        <v>3.7</v>
      </c>
      <c r="X978" t="s">
        <v>106</v>
      </c>
      <c r="Y978" t="s">
        <v>55</v>
      </c>
      <c r="Z978">
        <v>3</v>
      </c>
    </row>
    <row r="979" spans="1:26">
      <c r="A979" t="s">
        <v>1891</v>
      </c>
      <c r="B979" t="s">
        <v>322</v>
      </c>
      <c r="C979" t="s">
        <v>28</v>
      </c>
      <c r="D979" t="s">
        <v>46</v>
      </c>
      <c r="E979" s="1">
        <v>44198</v>
      </c>
      <c r="F979" t="s">
        <v>30</v>
      </c>
      <c r="G979" t="s">
        <v>31</v>
      </c>
      <c r="H979" t="s">
        <v>32</v>
      </c>
      <c r="I979">
        <v>8</v>
      </c>
      <c r="J979" t="s">
        <v>98</v>
      </c>
      <c r="K979">
        <v>2</v>
      </c>
      <c r="L979" s="3">
        <v>8599</v>
      </c>
      <c r="M979">
        <v>20</v>
      </c>
      <c r="N979" s="3">
        <v>6880</v>
      </c>
      <c r="O979" s="3">
        <v>13760</v>
      </c>
      <c r="P979" t="s">
        <v>81</v>
      </c>
      <c r="Q979" t="s">
        <v>35</v>
      </c>
      <c r="R979" t="s">
        <v>36</v>
      </c>
      <c r="S979" t="s">
        <v>418</v>
      </c>
      <c r="T979" t="s">
        <v>613</v>
      </c>
      <c r="U979" t="s">
        <v>54</v>
      </c>
      <c r="V979" t="s">
        <v>969</v>
      </c>
      <c r="W979">
        <v>4.5999999999999996</v>
      </c>
      <c r="X979" t="s">
        <v>106</v>
      </c>
      <c r="Y979" t="s">
        <v>55</v>
      </c>
      <c r="Z979">
        <v>1</v>
      </c>
    </row>
    <row r="980" spans="1:26">
      <c r="A980" t="s">
        <v>1892</v>
      </c>
      <c r="B980" t="s">
        <v>1893</v>
      </c>
      <c r="C980" t="s">
        <v>94</v>
      </c>
      <c r="D980" t="s">
        <v>46</v>
      </c>
      <c r="E980" s="1">
        <v>44198</v>
      </c>
      <c r="F980" t="s">
        <v>47</v>
      </c>
      <c r="G980" t="s">
        <v>140</v>
      </c>
      <c r="H980" t="s">
        <v>128</v>
      </c>
      <c r="I980">
        <v>8</v>
      </c>
      <c r="J980" t="s">
        <v>73</v>
      </c>
      <c r="K980">
        <v>2</v>
      </c>
      <c r="L980" s="3">
        <v>6699</v>
      </c>
      <c r="M980">
        <v>15</v>
      </c>
      <c r="N980" s="3">
        <v>5690</v>
      </c>
      <c r="O980" s="3">
        <v>11380</v>
      </c>
      <c r="P980" t="s">
        <v>74</v>
      </c>
      <c r="Q980" t="s">
        <v>51</v>
      </c>
      <c r="R980" t="s">
        <v>36</v>
      </c>
      <c r="S980" t="s">
        <v>297</v>
      </c>
      <c r="T980" t="s">
        <v>351</v>
      </c>
      <c r="U980" t="s">
        <v>39</v>
      </c>
      <c r="V980" t="s">
        <v>40</v>
      </c>
      <c r="W980">
        <v>4</v>
      </c>
      <c r="X980" t="s">
        <v>41</v>
      </c>
      <c r="Y980" t="s">
        <v>55</v>
      </c>
      <c r="Z980">
        <v>3</v>
      </c>
    </row>
    <row r="981" spans="1:26">
      <c r="A981" t="s">
        <v>1894</v>
      </c>
      <c r="B981" t="s">
        <v>1895</v>
      </c>
      <c r="C981" t="s">
        <v>94</v>
      </c>
      <c r="D981" t="s">
        <v>46</v>
      </c>
      <c r="E981" s="1">
        <v>44200</v>
      </c>
      <c r="F981" t="s">
        <v>30</v>
      </c>
      <c r="G981" t="s">
        <v>214</v>
      </c>
      <c r="H981" t="s">
        <v>128</v>
      </c>
      <c r="I981">
        <v>7</v>
      </c>
      <c r="J981" t="s">
        <v>73</v>
      </c>
      <c r="K981">
        <v>1</v>
      </c>
      <c r="L981" s="3">
        <v>3899</v>
      </c>
      <c r="M981">
        <v>20</v>
      </c>
      <c r="N981" s="3">
        <v>3120</v>
      </c>
      <c r="O981" s="3">
        <v>3120</v>
      </c>
      <c r="P981" t="s">
        <v>74</v>
      </c>
      <c r="Q981" t="s">
        <v>51</v>
      </c>
      <c r="R981" t="s">
        <v>36</v>
      </c>
      <c r="S981" t="s">
        <v>75</v>
      </c>
      <c r="T981" t="s">
        <v>318</v>
      </c>
      <c r="U981" t="s">
        <v>54</v>
      </c>
      <c r="V981" t="s">
        <v>40</v>
      </c>
      <c r="W981">
        <v>3</v>
      </c>
      <c r="X981" t="s">
        <v>41</v>
      </c>
      <c r="Y981" t="s">
        <v>42</v>
      </c>
      <c r="Z981">
        <v>3</v>
      </c>
    </row>
    <row r="982" spans="1:26">
      <c r="A982" t="s">
        <v>1896</v>
      </c>
      <c r="B982" t="s">
        <v>1213</v>
      </c>
      <c r="C982" t="s">
        <v>28</v>
      </c>
      <c r="D982" t="s">
        <v>46</v>
      </c>
      <c r="E982" s="1">
        <v>44201</v>
      </c>
      <c r="F982" t="s">
        <v>30</v>
      </c>
      <c r="G982" t="s">
        <v>58</v>
      </c>
      <c r="H982" t="s">
        <v>59</v>
      </c>
      <c r="I982">
        <v>9</v>
      </c>
      <c r="J982" t="s">
        <v>33</v>
      </c>
      <c r="K982">
        <v>4</v>
      </c>
      <c r="L982" s="3">
        <v>9199</v>
      </c>
      <c r="M982">
        <v>5</v>
      </c>
      <c r="N982" s="3">
        <v>8740</v>
      </c>
      <c r="O982" s="3">
        <v>34960</v>
      </c>
      <c r="P982" t="s">
        <v>74</v>
      </c>
      <c r="Q982" t="s">
        <v>35</v>
      </c>
      <c r="R982" t="s">
        <v>36</v>
      </c>
      <c r="S982" t="s">
        <v>238</v>
      </c>
      <c r="T982" t="s">
        <v>377</v>
      </c>
      <c r="U982" t="s">
        <v>54</v>
      </c>
      <c r="V982" t="s">
        <v>315</v>
      </c>
      <c r="W982">
        <v>4</v>
      </c>
      <c r="X982" t="s">
        <v>106</v>
      </c>
      <c r="Y982" t="s">
        <v>55</v>
      </c>
      <c r="Z982">
        <v>2</v>
      </c>
    </row>
    <row r="983" spans="1:26">
      <c r="A983" t="s">
        <v>1897</v>
      </c>
      <c r="B983" t="s">
        <v>1292</v>
      </c>
      <c r="C983" t="s">
        <v>45</v>
      </c>
      <c r="D983" t="s">
        <v>46</v>
      </c>
      <c r="E983" s="1">
        <v>44202</v>
      </c>
      <c r="F983" t="s">
        <v>47</v>
      </c>
      <c r="G983" t="s">
        <v>121</v>
      </c>
      <c r="H983" t="s">
        <v>111</v>
      </c>
      <c r="I983">
        <v>8</v>
      </c>
      <c r="J983" t="s">
        <v>98</v>
      </c>
      <c r="K983">
        <v>1</v>
      </c>
      <c r="L983" s="3">
        <v>9199</v>
      </c>
      <c r="M983">
        <v>15</v>
      </c>
      <c r="N983" s="3">
        <v>7820</v>
      </c>
      <c r="O983" s="3">
        <v>7820</v>
      </c>
      <c r="P983" t="s">
        <v>34</v>
      </c>
      <c r="Q983" t="s">
        <v>82</v>
      </c>
      <c r="R983" t="s">
        <v>36</v>
      </c>
      <c r="S983" t="s">
        <v>243</v>
      </c>
      <c r="T983" t="s">
        <v>328</v>
      </c>
      <c r="U983" t="s">
        <v>54</v>
      </c>
      <c r="V983" t="s">
        <v>315</v>
      </c>
      <c r="W983">
        <v>4.4000000000000004</v>
      </c>
      <c r="X983" t="s">
        <v>41</v>
      </c>
      <c r="Y983" t="s">
        <v>42</v>
      </c>
      <c r="Z983">
        <v>5</v>
      </c>
    </row>
    <row r="984" spans="1:26">
      <c r="A984" t="s">
        <v>1898</v>
      </c>
      <c r="B984" t="s">
        <v>1899</v>
      </c>
      <c r="C984" t="s">
        <v>28</v>
      </c>
      <c r="D984" t="s">
        <v>46</v>
      </c>
      <c r="E984" s="1">
        <v>44203</v>
      </c>
      <c r="F984" t="s">
        <v>30</v>
      </c>
      <c r="G984" t="s">
        <v>214</v>
      </c>
      <c r="H984" t="s">
        <v>128</v>
      </c>
      <c r="I984">
        <v>11</v>
      </c>
      <c r="J984" t="s">
        <v>88</v>
      </c>
      <c r="K984">
        <v>2</v>
      </c>
      <c r="L984" s="3">
        <v>8999</v>
      </c>
      <c r="M984">
        <v>5</v>
      </c>
      <c r="N984" s="3">
        <v>8550</v>
      </c>
      <c r="O984" s="3">
        <v>17100</v>
      </c>
      <c r="P984" t="s">
        <v>50</v>
      </c>
      <c r="Q984" t="s">
        <v>35</v>
      </c>
      <c r="R984" t="s">
        <v>36</v>
      </c>
      <c r="S984" t="s">
        <v>37</v>
      </c>
      <c r="T984" t="s">
        <v>509</v>
      </c>
      <c r="U984" t="s">
        <v>91</v>
      </c>
      <c r="V984" t="s">
        <v>40</v>
      </c>
      <c r="W984">
        <v>4</v>
      </c>
      <c r="X984" t="s">
        <v>41</v>
      </c>
      <c r="Y984" t="s">
        <v>55</v>
      </c>
      <c r="Z984">
        <v>2</v>
      </c>
    </row>
    <row r="985" spans="1:26">
      <c r="A985" t="s">
        <v>1900</v>
      </c>
      <c r="B985" t="s">
        <v>1856</v>
      </c>
      <c r="C985" t="s">
        <v>28</v>
      </c>
      <c r="D985" t="s">
        <v>46</v>
      </c>
      <c r="E985" s="1">
        <v>44204</v>
      </c>
      <c r="F985" t="s">
        <v>30</v>
      </c>
      <c r="G985" t="s">
        <v>214</v>
      </c>
      <c r="H985" t="s">
        <v>128</v>
      </c>
      <c r="I985">
        <v>12</v>
      </c>
      <c r="J985" t="s">
        <v>67</v>
      </c>
      <c r="K985">
        <v>1</v>
      </c>
      <c r="L985" s="3">
        <v>4799</v>
      </c>
      <c r="M985">
        <v>25</v>
      </c>
      <c r="N985" s="3">
        <v>3600</v>
      </c>
      <c r="O985" s="3">
        <v>3600</v>
      </c>
      <c r="P985" t="s">
        <v>74</v>
      </c>
      <c r="Q985" t="s">
        <v>35</v>
      </c>
      <c r="R985" t="s">
        <v>36</v>
      </c>
      <c r="S985" t="s">
        <v>200</v>
      </c>
      <c r="T985" t="s">
        <v>232</v>
      </c>
      <c r="U985" t="s">
        <v>54</v>
      </c>
      <c r="V985" t="s">
        <v>315</v>
      </c>
      <c r="W985">
        <v>3.3</v>
      </c>
      <c r="X985" t="s">
        <v>41</v>
      </c>
      <c r="Y985" t="s">
        <v>42</v>
      </c>
      <c r="Z985">
        <v>5</v>
      </c>
    </row>
    <row r="986" spans="1:26">
      <c r="A986" t="s">
        <v>1901</v>
      </c>
      <c r="B986" t="s">
        <v>927</v>
      </c>
      <c r="C986" t="s">
        <v>45</v>
      </c>
      <c r="D986" t="s">
        <v>46</v>
      </c>
      <c r="E986" s="1">
        <v>44206</v>
      </c>
      <c r="F986" t="s">
        <v>79</v>
      </c>
      <c r="G986" t="s">
        <v>480</v>
      </c>
      <c r="H986" t="s">
        <v>111</v>
      </c>
      <c r="I986">
        <v>8</v>
      </c>
      <c r="J986" t="s">
        <v>150</v>
      </c>
      <c r="K986">
        <v>3</v>
      </c>
      <c r="L986" s="3">
        <v>4399</v>
      </c>
      <c r="M986">
        <v>0</v>
      </c>
      <c r="N986" s="3">
        <v>4400</v>
      </c>
      <c r="O986" s="3">
        <v>13200</v>
      </c>
      <c r="P986" t="s">
        <v>74</v>
      </c>
      <c r="Q986" t="s">
        <v>51</v>
      </c>
      <c r="R986" t="s">
        <v>36</v>
      </c>
      <c r="S986" t="s">
        <v>68</v>
      </c>
      <c r="T986" t="s">
        <v>207</v>
      </c>
      <c r="U986" t="s">
        <v>124</v>
      </c>
      <c r="V986" t="s">
        <v>315</v>
      </c>
      <c r="W986">
        <v>3.2</v>
      </c>
      <c r="X986" t="s">
        <v>41</v>
      </c>
      <c r="Y986" t="s">
        <v>42</v>
      </c>
      <c r="Z986">
        <v>5</v>
      </c>
    </row>
    <row r="987" spans="1:26">
      <c r="A987" t="s">
        <v>1902</v>
      </c>
      <c r="B987" t="s">
        <v>502</v>
      </c>
      <c r="C987" t="s">
        <v>28</v>
      </c>
      <c r="D987" t="s">
        <v>46</v>
      </c>
      <c r="E987" s="1">
        <v>44211</v>
      </c>
      <c r="F987" t="s">
        <v>65</v>
      </c>
      <c r="G987" t="s">
        <v>279</v>
      </c>
      <c r="H987" t="s">
        <v>111</v>
      </c>
      <c r="I987">
        <v>8</v>
      </c>
      <c r="J987" t="s">
        <v>150</v>
      </c>
      <c r="K987">
        <v>1</v>
      </c>
      <c r="L987" s="3">
        <v>3299</v>
      </c>
      <c r="M987">
        <v>35</v>
      </c>
      <c r="N987" s="3">
        <v>2140</v>
      </c>
      <c r="O987" s="3">
        <v>2140</v>
      </c>
      <c r="P987" t="s">
        <v>74</v>
      </c>
      <c r="Q987" t="s">
        <v>51</v>
      </c>
      <c r="R987" t="s">
        <v>36</v>
      </c>
      <c r="S987" t="s">
        <v>151</v>
      </c>
      <c r="T987" t="s">
        <v>152</v>
      </c>
      <c r="U987" t="s">
        <v>61</v>
      </c>
      <c r="V987" t="s">
        <v>315</v>
      </c>
      <c r="W987">
        <v>3.7</v>
      </c>
      <c r="X987" t="s">
        <v>41</v>
      </c>
      <c r="Y987" t="s">
        <v>42</v>
      </c>
      <c r="Z987">
        <v>5</v>
      </c>
    </row>
    <row r="988" spans="1:26">
      <c r="A988" t="s">
        <v>1903</v>
      </c>
      <c r="B988" t="s">
        <v>1904</v>
      </c>
      <c r="C988" t="s">
        <v>45</v>
      </c>
      <c r="D988" t="s">
        <v>109</v>
      </c>
      <c r="E988" s="1">
        <v>44215</v>
      </c>
      <c r="F988" t="s">
        <v>30</v>
      </c>
      <c r="G988" t="s">
        <v>58</v>
      </c>
      <c r="H988" t="s">
        <v>59</v>
      </c>
      <c r="I988">
        <v>6</v>
      </c>
      <c r="J988" t="s">
        <v>150</v>
      </c>
      <c r="K988">
        <v>1</v>
      </c>
      <c r="L988" s="3">
        <v>5099</v>
      </c>
      <c r="M988">
        <v>20</v>
      </c>
      <c r="N988" s="3">
        <v>4080</v>
      </c>
      <c r="O988" s="3">
        <v>4080</v>
      </c>
      <c r="P988" t="s">
        <v>74</v>
      </c>
      <c r="Q988" t="s">
        <v>51</v>
      </c>
      <c r="R988" t="s">
        <v>36</v>
      </c>
      <c r="S988" t="s">
        <v>418</v>
      </c>
      <c r="T988" t="s">
        <v>419</v>
      </c>
      <c r="U988" t="s">
        <v>61</v>
      </c>
      <c r="V988" t="s">
        <v>40</v>
      </c>
      <c r="W988">
        <v>4.4000000000000004</v>
      </c>
      <c r="X988" t="s">
        <v>41</v>
      </c>
      <c r="Y988" t="s">
        <v>55</v>
      </c>
      <c r="Z988">
        <v>1</v>
      </c>
    </row>
    <row r="989" spans="1:26">
      <c r="A989" t="s">
        <v>1905</v>
      </c>
      <c r="B989" t="s">
        <v>167</v>
      </c>
      <c r="C989" t="s">
        <v>28</v>
      </c>
      <c r="D989" t="s">
        <v>109</v>
      </c>
      <c r="E989" s="1">
        <v>44215</v>
      </c>
      <c r="F989" t="s">
        <v>96</v>
      </c>
      <c r="G989" t="s">
        <v>155</v>
      </c>
      <c r="H989" t="s">
        <v>111</v>
      </c>
      <c r="I989">
        <v>10</v>
      </c>
      <c r="J989" t="s">
        <v>88</v>
      </c>
      <c r="K989">
        <v>1</v>
      </c>
      <c r="L989" s="3">
        <v>7599</v>
      </c>
      <c r="M989">
        <v>0</v>
      </c>
      <c r="N989" s="3">
        <v>7600</v>
      </c>
      <c r="O989" s="3">
        <v>7600</v>
      </c>
      <c r="P989" t="s">
        <v>74</v>
      </c>
      <c r="Q989" t="s">
        <v>51</v>
      </c>
      <c r="R989" t="s">
        <v>36</v>
      </c>
      <c r="S989" t="s">
        <v>141</v>
      </c>
      <c r="T989" t="s">
        <v>728</v>
      </c>
      <c r="U989" t="s">
        <v>91</v>
      </c>
      <c r="V989" t="s">
        <v>969</v>
      </c>
      <c r="W989">
        <v>3.7</v>
      </c>
      <c r="X989" t="s">
        <v>62</v>
      </c>
      <c r="Y989" t="s">
        <v>55</v>
      </c>
      <c r="Z989">
        <v>2</v>
      </c>
    </row>
    <row r="990" spans="1:26">
      <c r="A990" t="s">
        <v>1906</v>
      </c>
      <c r="B990" t="s">
        <v>1059</v>
      </c>
      <c r="C990" t="s">
        <v>45</v>
      </c>
      <c r="D990" t="s">
        <v>103</v>
      </c>
      <c r="E990" s="1">
        <v>44215</v>
      </c>
      <c r="F990" t="s">
        <v>86</v>
      </c>
      <c r="G990" t="s">
        <v>116</v>
      </c>
      <c r="H990" t="s">
        <v>49</v>
      </c>
      <c r="I990">
        <v>7</v>
      </c>
      <c r="J990" t="s">
        <v>88</v>
      </c>
      <c r="K990">
        <v>1</v>
      </c>
      <c r="L990" s="3">
        <v>7799</v>
      </c>
      <c r="M990">
        <v>30</v>
      </c>
      <c r="N990" s="3">
        <v>5460</v>
      </c>
      <c r="O990" s="3">
        <v>5460</v>
      </c>
      <c r="P990" t="s">
        <v>81</v>
      </c>
      <c r="Q990" t="s">
        <v>82</v>
      </c>
      <c r="R990" t="s">
        <v>36</v>
      </c>
      <c r="S990" t="s">
        <v>175</v>
      </c>
      <c r="T990" t="s">
        <v>176</v>
      </c>
      <c r="U990" t="s">
        <v>54</v>
      </c>
      <c r="V990" t="s">
        <v>315</v>
      </c>
      <c r="W990">
        <v>5</v>
      </c>
      <c r="X990" t="s">
        <v>41</v>
      </c>
      <c r="Y990" t="s">
        <v>55</v>
      </c>
      <c r="Z990">
        <v>3</v>
      </c>
    </row>
    <row r="991" spans="1:26">
      <c r="A991" t="s">
        <v>1907</v>
      </c>
      <c r="B991" t="s">
        <v>1908</v>
      </c>
      <c r="C991" t="s">
        <v>45</v>
      </c>
      <c r="D991" t="s">
        <v>46</v>
      </c>
      <c r="E991" s="1">
        <v>44216</v>
      </c>
      <c r="F991" t="s">
        <v>65</v>
      </c>
      <c r="G991" t="s">
        <v>279</v>
      </c>
      <c r="H991" t="s">
        <v>111</v>
      </c>
      <c r="I991">
        <v>8</v>
      </c>
      <c r="J991" t="s">
        <v>67</v>
      </c>
      <c r="K991">
        <v>1</v>
      </c>
      <c r="L991" s="3">
        <v>7599</v>
      </c>
      <c r="M991">
        <v>10</v>
      </c>
      <c r="N991" s="3">
        <v>6840</v>
      </c>
      <c r="O991" s="3">
        <v>6840</v>
      </c>
      <c r="P991" t="s">
        <v>74</v>
      </c>
      <c r="Q991" t="s">
        <v>51</v>
      </c>
      <c r="R991" t="s">
        <v>36</v>
      </c>
      <c r="S991" t="s">
        <v>358</v>
      </c>
      <c r="T991" t="s">
        <v>359</v>
      </c>
      <c r="U991" t="s">
        <v>54</v>
      </c>
      <c r="V991" t="s">
        <v>40</v>
      </c>
      <c r="W991">
        <v>4.5</v>
      </c>
      <c r="X991" t="s">
        <v>41</v>
      </c>
      <c r="Y991" t="s">
        <v>55</v>
      </c>
      <c r="Z991">
        <v>2</v>
      </c>
    </row>
    <row r="992" spans="1:26">
      <c r="A992" t="s">
        <v>1909</v>
      </c>
      <c r="B992" t="s">
        <v>411</v>
      </c>
      <c r="C992" t="s">
        <v>45</v>
      </c>
      <c r="D992" t="s">
        <v>46</v>
      </c>
      <c r="E992" s="1">
        <v>44220</v>
      </c>
      <c r="F992" t="s">
        <v>30</v>
      </c>
      <c r="G992" t="s">
        <v>110</v>
      </c>
      <c r="H992" t="s">
        <v>111</v>
      </c>
      <c r="I992">
        <v>10</v>
      </c>
      <c r="J992" t="s">
        <v>33</v>
      </c>
      <c r="K992">
        <v>2</v>
      </c>
      <c r="L992" s="3">
        <v>6999</v>
      </c>
      <c r="M992">
        <v>25</v>
      </c>
      <c r="N992" s="3">
        <v>5250</v>
      </c>
      <c r="O992" s="3">
        <v>10500</v>
      </c>
      <c r="P992" t="s">
        <v>34</v>
      </c>
      <c r="Q992" t="s">
        <v>51</v>
      </c>
      <c r="R992" t="s">
        <v>36</v>
      </c>
      <c r="S992" t="s">
        <v>68</v>
      </c>
      <c r="T992" t="s">
        <v>811</v>
      </c>
      <c r="U992" t="s">
        <v>54</v>
      </c>
      <c r="V992" t="s">
        <v>969</v>
      </c>
      <c r="W992">
        <v>4.0999999999999996</v>
      </c>
      <c r="X992" t="s">
        <v>41</v>
      </c>
      <c r="Y992" t="s">
        <v>55</v>
      </c>
      <c r="Z992">
        <v>1</v>
      </c>
    </row>
    <row r="993" spans="1:26">
      <c r="A993" t="s">
        <v>1910</v>
      </c>
      <c r="B993" t="s">
        <v>1717</v>
      </c>
      <c r="C993" t="s">
        <v>45</v>
      </c>
      <c r="D993" t="s">
        <v>95</v>
      </c>
      <c r="E993" s="1">
        <v>44220</v>
      </c>
      <c r="F993" t="s">
        <v>65</v>
      </c>
      <c r="G993" t="s">
        <v>279</v>
      </c>
      <c r="H993" t="s">
        <v>111</v>
      </c>
      <c r="I993">
        <v>9</v>
      </c>
      <c r="J993" t="s">
        <v>98</v>
      </c>
      <c r="K993">
        <v>1</v>
      </c>
      <c r="L993" s="3">
        <v>4399</v>
      </c>
      <c r="M993">
        <v>5</v>
      </c>
      <c r="N993" s="3">
        <v>4180</v>
      </c>
      <c r="O993" s="3">
        <v>4180</v>
      </c>
      <c r="P993" t="s">
        <v>74</v>
      </c>
      <c r="Q993" t="s">
        <v>51</v>
      </c>
      <c r="R993" t="s">
        <v>36</v>
      </c>
      <c r="S993" t="s">
        <v>269</v>
      </c>
      <c r="T993" t="s">
        <v>961</v>
      </c>
      <c r="U993" t="s">
        <v>54</v>
      </c>
      <c r="V993" t="s">
        <v>315</v>
      </c>
      <c r="W993">
        <v>3.9</v>
      </c>
      <c r="X993" t="s">
        <v>41</v>
      </c>
      <c r="Y993" t="s">
        <v>42</v>
      </c>
      <c r="Z993">
        <v>5</v>
      </c>
    </row>
    <row r="994" spans="1:26">
      <c r="A994" t="s">
        <v>1911</v>
      </c>
      <c r="B994" t="s">
        <v>1912</v>
      </c>
      <c r="C994" t="s">
        <v>94</v>
      </c>
      <c r="D994" t="s">
        <v>46</v>
      </c>
      <c r="E994" s="1">
        <v>44221</v>
      </c>
      <c r="F994" t="s">
        <v>65</v>
      </c>
      <c r="G994" t="s">
        <v>365</v>
      </c>
      <c r="H994" t="s">
        <v>49</v>
      </c>
      <c r="I994">
        <v>12</v>
      </c>
      <c r="J994" t="s">
        <v>33</v>
      </c>
      <c r="K994">
        <v>1</v>
      </c>
      <c r="L994" s="3">
        <v>4599</v>
      </c>
      <c r="M994">
        <v>35</v>
      </c>
      <c r="N994" s="3">
        <v>2990</v>
      </c>
      <c r="O994" s="3">
        <v>2990</v>
      </c>
      <c r="P994" t="s">
        <v>34</v>
      </c>
      <c r="Q994" t="s">
        <v>51</v>
      </c>
      <c r="R994" t="s">
        <v>36</v>
      </c>
      <c r="S994" t="s">
        <v>75</v>
      </c>
      <c r="T994" t="s">
        <v>215</v>
      </c>
      <c r="U994" t="s">
        <v>54</v>
      </c>
      <c r="V994" t="s">
        <v>40</v>
      </c>
      <c r="W994">
        <v>4.3</v>
      </c>
      <c r="X994" t="s">
        <v>62</v>
      </c>
      <c r="Y994" t="s">
        <v>42</v>
      </c>
      <c r="Z994">
        <v>3</v>
      </c>
    </row>
    <row r="995" spans="1:26">
      <c r="A995" t="s">
        <v>1913</v>
      </c>
      <c r="B995" t="s">
        <v>899</v>
      </c>
      <c r="C995" t="s">
        <v>94</v>
      </c>
      <c r="D995" t="s">
        <v>29</v>
      </c>
      <c r="E995" s="1">
        <v>44222</v>
      </c>
      <c r="F995" t="s">
        <v>79</v>
      </c>
      <c r="G995" t="s">
        <v>480</v>
      </c>
      <c r="H995" t="s">
        <v>111</v>
      </c>
      <c r="I995">
        <v>9</v>
      </c>
      <c r="J995" t="s">
        <v>67</v>
      </c>
      <c r="K995">
        <v>1</v>
      </c>
      <c r="L995" s="3">
        <v>7399</v>
      </c>
      <c r="M995">
        <v>10</v>
      </c>
      <c r="N995" s="3">
        <v>6660</v>
      </c>
      <c r="O995" s="3">
        <v>6660</v>
      </c>
      <c r="P995" t="s">
        <v>34</v>
      </c>
      <c r="Q995" t="s">
        <v>35</v>
      </c>
      <c r="R995" t="s">
        <v>36</v>
      </c>
      <c r="S995" t="s">
        <v>384</v>
      </c>
      <c r="T995" t="s">
        <v>481</v>
      </c>
      <c r="U995" t="s">
        <v>91</v>
      </c>
      <c r="V995" t="s">
        <v>315</v>
      </c>
      <c r="W995">
        <v>3.6</v>
      </c>
      <c r="X995" t="s">
        <v>106</v>
      </c>
      <c r="Y995" t="s">
        <v>147</v>
      </c>
      <c r="Z995">
        <v>1</v>
      </c>
    </row>
    <row r="996" spans="1:26">
      <c r="A996" t="s">
        <v>1914</v>
      </c>
      <c r="B996" t="s">
        <v>1347</v>
      </c>
      <c r="C996" t="s">
        <v>28</v>
      </c>
      <c r="D996" t="s">
        <v>95</v>
      </c>
      <c r="E996" s="1">
        <v>44222</v>
      </c>
      <c r="F996" t="s">
        <v>47</v>
      </c>
      <c r="G996" t="s">
        <v>199</v>
      </c>
      <c r="H996" t="s">
        <v>59</v>
      </c>
      <c r="I996">
        <v>7</v>
      </c>
      <c r="J996" t="s">
        <v>73</v>
      </c>
      <c r="K996">
        <v>2</v>
      </c>
      <c r="L996" s="3">
        <v>6299</v>
      </c>
      <c r="M996">
        <v>10</v>
      </c>
      <c r="N996" s="3">
        <v>5670</v>
      </c>
      <c r="O996" s="3">
        <v>11340</v>
      </c>
      <c r="P996" t="s">
        <v>74</v>
      </c>
      <c r="Q996" t="s">
        <v>51</v>
      </c>
      <c r="R996" t="s">
        <v>36</v>
      </c>
      <c r="S996" t="s">
        <v>186</v>
      </c>
      <c r="T996" t="s">
        <v>187</v>
      </c>
      <c r="U996" t="s">
        <v>91</v>
      </c>
      <c r="V996" t="s">
        <v>315</v>
      </c>
      <c r="W996">
        <v>3</v>
      </c>
      <c r="X996" t="s">
        <v>41</v>
      </c>
      <c r="Y996" t="s">
        <v>42</v>
      </c>
      <c r="Z996">
        <v>7</v>
      </c>
    </row>
    <row r="997" spans="1:26">
      <c r="A997" t="s">
        <v>1915</v>
      </c>
      <c r="B997" t="s">
        <v>1916</v>
      </c>
      <c r="C997" t="s">
        <v>94</v>
      </c>
      <c r="D997" t="s">
        <v>46</v>
      </c>
      <c r="E997" s="1">
        <v>44222</v>
      </c>
      <c r="F997" t="s">
        <v>96</v>
      </c>
      <c r="G997" t="s">
        <v>290</v>
      </c>
      <c r="H997" t="s">
        <v>32</v>
      </c>
      <c r="I997">
        <v>8</v>
      </c>
      <c r="J997" t="s">
        <v>33</v>
      </c>
      <c r="K997">
        <v>2</v>
      </c>
      <c r="L997" s="3">
        <v>6199</v>
      </c>
      <c r="M997">
        <v>15</v>
      </c>
      <c r="N997" s="3">
        <v>5270</v>
      </c>
      <c r="O997" s="3">
        <v>10540</v>
      </c>
      <c r="P997" t="s">
        <v>81</v>
      </c>
      <c r="Q997" t="s">
        <v>51</v>
      </c>
      <c r="R997" t="s">
        <v>36</v>
      </c>
      <c r="S997" t="s">
        <v>75</v>
      </c>
      <c r="T997" t="s">
        <v>318</v>
      </c>
      <c r="U997" t="s">
        <v>39</v>
      </c>
      <c r="V997" t="s">
        <v>40</v>
      </c>
      <c r="W997">
        <v>3.2</v>
      </c>
      <c r="X997" t="s">
        <v>62</v>
      </c>
      <c r="Y997" t="s">
        <v>42</v>
      </c>
      <c r="Z997">
        <v>4</v>
      </c>
    </row>
    <row r="998" spans="1:26">
      <c r="A998" t="s">
        <v>1917</v>
      </c>
      <c r="B998" t="s">
        <v>774</v>
      </c>
      <c r="C998" t="s">
        <v>28</v>
      </c>
      <c r="D998" t="s">
        <v>109</v>
      </c>
      <c r="E998" s="1">
        <v>44223</v>
      </c>
      <c r="F998" t="s">
        <v>96</v>
      </c>
      <c r="G998" t="s">
        <v>97</v>
      </c>
      <c r="H998" t="s">
        <v>49</v>
      </c>
      <c r="I998">
        <v>7</v>
      </c>
      <c r="J998" t="s">
        <v>67</v>
      </c>
      <c r="K998">
        <v>2</v>
      </c>
      <c r="L998" s="3">
        <v>7099</v>
      </c>
      <c r="M998">
        <v>15</v>
      </c>
      <c r="N998" s="3">
        <v>6030</v>
      </c>
      <c r="O998" s="3">
        <v>12060</v>
      </c>
      <c r="P998" t="s">
        <v>34</v>
      </c>
      <c r="Q998" t="s">
        <v>51</v>
      </c>
      <c r="R998" t="s">
        <v>36</v>
      </c>
      <c r="S998" t="s">
        <v>418</v>
      </c>
      <c r="T998" t="s">
        <v>613</v>
      </c>
      <c r="U998" t="s">
        <v>124</v>
      </c>
      <c r="V998" t="s">
        <v>969</v>
      </c>
      <c r="W998">
        <v>3.2</v>
      </c>
      <c r="X998" t="s">
        <v>41</v>
      </c>
      <c r="Y998" t="s">
        <v>55</v>
      </c>
      <c r="Z998">
        <v>4</v>
      </c>
    </row>
    <row r="999" spans="1:26">
      <c r="A999" t="s">
        <v>1918</v>
      </c>
      <c r="B999" t="s">
        <v>633</v>
      </c>
      <c r="C999" t="s">
        <v>45</v>
      </c>
      <c r="D999" t="s">
        <v>95</v>
      </c>
      <c r="E999" s="1">
        <v>44224</v>
      </c>
      <c r="F999" t="s">
        <v>30</v>
      </c>
      <c r="G999" t="s">
        <v>145</v>
      </c>
      <c r="H999" t="s">
        <v>59</v>
      </c>
      <c r="I999">
        <v>9</v>
      </c>
      <c r="J999" t="s">
        <v>98</v>
      </c>
      <c r="K999">
        <v>1</v>
      </c>
      <c r="L999" s="3">
        <v>5099</v>
      </c>
      <c r="M999">
        <v>10</v>
      </c>
      <c r="N999" s="3">
        <v>4590</v>
      </c>
      <c r="O999" s="3">
        <v>4590</v>
      </c>
      <c r="P999" t="s">
        <v>74</v>
      </c>
      <c r="Q999" t="s">
        <v>51</v>
      </c>
      <c r="R999" t="s">
        <v>36</v>
      </c>
      <c r="S999" t="s">
        <v>269</v>
      </c>
      <c r="T999" t="s">
        <v>652</v>
      </c>
      <c r="U999" t="s">
        <v>39</v>
      </c>
      <c r="V999" t="s">
        <v>315</v>
      </c>
      <c r="W999">
        <v>5</v>
      </c>
      <c r="X999" t="s">
        <v>41</v>
      </c>
      <c r="Y999" t="s">
        <v>42</v>
      </c>
      <c r="Z999">
        <v>5</v>
      </c>
    </row>
    <row r="1000" spans="1:26">
      <c r="A1000" t="s">
        <v>1919</v>
      </c>
      <c r="B1000" t="s">
        <v>1409</v>
      </c>
      <c r="C1000" t="s">
        <v>94</v>
      </c>
      <c r="D1000" t="s">
        <v>95</v>
      </c>
      <c r="E1000" s="1">
        <v>44228</v>
      </c>
      <c r="F1000" t="s">
        <v>47</v>
      </c>
      <c r="G1000" t="s">
        <v>48</v>
      </c>
      <c r="H1000" t="s">
        <v>49</v>
      </c>
      <c r="I1000">
        <v>11</v>
      </c>
      <c r="J1000" t="s">
        <v>33</v>
      </c>
      <c r="K1000">
        <v>1</v>
      </c>
      <c r="L1000" s="3">
        <v>8699</v>
      </c>
      <c r="M1000">
        <v>25</v>
      </c>
      <c r="N1000" s="3">
        <v>6520</v>
      </c>
      <c r="O1000" s="3">
        <v>6520</v>
      </c>
      <c r="P1000" t="s">
        <v>81</v>
      </c>
      <c r="Q1000" t="s">
        <v>51</v>
      </c>
      <c r="R1000" t="s">
        <v>36</v>
      </c>
      <c r="S1000" t="s">
        <v>160</v>
      </c>
      <c r="T1000" t="s">
        <v>161</v>
      </c>
      <c r="U1000" t="s">
        <v>54</v>
      </c>
      <c r="V1000" t="s">
        <v>315</v>
      </c>
      <c r="W1000">
        <v>2.8</v>
      </c>
      <c r="X1000" t="s">
        <v>41</v>
      </c>
      <c r="Y1000" t="s">
        <v>42</v>
      </c>
      <c r="Z1000">
        <v>4</v>
      </c>
    </row>
    <row r="1001" spans="1:26">
      <c r="A1001" t="s">
        <v>1920</v>
      </c>
      <c r="B1001" t="s">
        <v>1921</v>
      </c>
      <c r="C1001" t="s">
        <v>45</v>
      </c>
      <c r="D1001" t="s">
        <v>46</v>
      </c>
      <c r="E1001" s="1">
        <v>44228</v>
      </c>
      <c r="F1001" t="s">
        <v>65</v>
      </c>
      <c r="G1001" t="s">
        <v>72</v>
      </c>
      <c r="H1001" t="s">
        <v>59</v>
      </c>
      <c r="I1001">
        <v>8</v>
      </c>
      <c r="J1001" t="s">
        <v>33</v>
      </c>
      <c r="K1001">
        <v>2</v>
      </c>
      <c r="L1001" s="3">
        <v>7899</v>
      </c>
      <c r="M1001">
        <v>25</v>
      </c>
      <c r="N1001" s="3">
        <v>5920</v>
      </c>
      <c r="O1001" s="3">
        <v>11840</v>
      </c>
      <c r="P1001" t="s">
        <v>50</v>
      </c>
      <c r="Q1001" t="s">
        <v>35</v>
      </c>
      <c r="R1001" t="s">
        <v>36</v>
      </c>
      <c r="S1001" t="s">
        <v>160</v>
      </c>
      <c r="T1001" t="s">
        <v>247</v>
      </c>
      <c r="U1001" t="s">
        <v>91</v>
      </c>
      <c r="V1001" t="s">
        <v>40</v>
      </c>
      <c r="W1001">
        <v>4.9000000000000004</v>
      </c>
      <c r="X1001" t="s">
        <v>41</v>
      </c>
      <c r="Y1001" t="s">
        <v>55</v>
      </c>
      <c r="Z1001">
        <v>3</v>
      </c>
    </row>
    <row r="1002" spans="1:26">
      <c r="A1002" t="s">
        <v>1922</v>
      </c>
      <c r="B1002" t="s">
        <v>1923</v>
      </c>
      <c r="C1002" t="s">
        <v>28</v>
      </c>
      <c r="D1002" t="s">
        <v>95</v>
      </c>
      <c r="E1002" s="1">
        <v>44233</v>
      </c>
      <c r="F1002" t="s">
        <v>79</v>
      </c>
      <c r="G1002" t="s">
        <v>80</v>
      </c>
      <c r="H1002" t="s">
        <v>59</v>
      </c>
      <c r="I1002">
        <v>10</v>
      </c>
      <c r="J1002" t="s">
        <v>98</v>
      </c>
      <c r="K1002">
        <v>2</v>
      </c>
      <c r="L1002" s="3">
        <v>3499</v>
      </c>
      <c r="M1002">
        <v>35</v>
      </c>
      <c r="N1002" s="3">
        <v>2270</v>
      </c>
      <c r="O1002" s="3">
        <v>4540</v>
      </c>
      <c r="P1002" t="s">
        <v>34</v>
      </c>
      <c r="Q1002" t="s">
        <v>51</v>
      </c>
      <c r="R1002" t="s">
        <v>36</v>
      </c>
      <c r="S1002" t="s">
        <v>195</v>
      </c>
      <c r="T1002" t="s">
        <v>215</v>
      </c>
      <c r="U1002" t="s">
        <v>124</v>
      </c>
      <c r="V1002" t="s">
        <v>40</v>
      </c>
      <c r="W1002">
        <v>4.8</v>
      </c>
      <c r="X1002" t="s">
        <v>41</v>
      </c>
      <c r="Y1002" t="s">
        <v>55</v>
      </c>
      <c r="Z1002">
        <v>2</v>
      </c>
    </row>
    <row r="1003" spans="1:26">
      <c r="A1003" t="s">
        <v>1924</v>
      </c>
      <c r="B1003" t="s">
        <v>1925</v>
      </c>
      <c r="C1003" t="s">
        <v>28</v>
      </c>
      <c r="D1003" t="s">
        <v>46</v>
      </c>
      <c r="E1003" s="1">
        <v>44233</v>
      </c>
      <c r="F1003" t="s">
        <v>96</v>
      </c>
      <c r="G1003" t="s">
        <v>323</v>
      </c>
      <c r="H1003" t="s">
        <v>59</v>
      </c>
      <c r="I1003">
        <v>10</v>
      </c>
      <c r="J1003" t="s">
        <v>33</v>
      </c>
      <c r="K1003">
        <v>1</v>
      </c>
      <c r="L1003" s="3">
        <v>4999</v>
      </c>
      <c r="M1003">
        <v>20</v>
      </c>
      <c r="N1003" s="3">
        <v>4000</v>
      </c>
      <c r="O1003" s="3">
        <v>4000</v>
      </c>
      <c r="P1003" t="s">
        <v>74</v>
      </c>
      <c r="Q1003" t="s">
        <v>51</v>
      </c>
      <c r="R1003" t="s">
        <v>36</v>
      </c>
      <c r="S1003" t="s">
        <v>460</v>
      </c>
      <c r="T1003" t="s">
        <v>580</v>
      </c>
      <c r="U1003" t="s">
        <v>61</v>
      </c>
      <c r="V1003" t="s">
        <v>40</v>
      </c>
      <c r="W1003">
        <v>4.7</v>
      </c>
      <c r="X1003" t="s">
        <v>41</v>
      </c>
      <c r="Y1003" t="s">
        <v>42</v>
      </c>
      <c r="Z1003">
        <v>5</v>
      </c>
    </row>
    <row r="1004" spans="1:26">
      <c r="A1004" t="s">
        <v>1926</v>
      </c>
      <c r="B1004" t="s">
        <v>1132</v>
      </c>
      <c r="C1004" t="s">
        <v>28</v>
      </c>
      <c r="D1004" t="s">
        <v>46</v>
      </c>
      <c r="E1004" s="1">
        <v>44233</v>
      </c>
      <c r="F1004" t="s">
        <v>96</v>
      </c>
      <c r="G1004" t="s">
        <v>228</v>
      </c>
      <c r="H1004" t="s">
        <v>59</v>
      </c>
      <c r="I1004">
        <v>6</v>
      </c>
      <c r="J1004" t="s">
        <v>33</v>
      </c>
      <c r="K1004">
        <v>1</v>
      </c>
      <c r="L1004" s="3">
        <v>9699</v>
      </c>
      <c r="M1004">
        <v>30</v>
      </c>
      <c r="N1004" s="3">
        <v>6790</v>
      </c>
      <c r="O1004" s="3">
        <v>6790</v>
      </c>
      <c r="P1004" t="s">
        <v>34</v>
      </c>
      <c r="Q1004" t="s">
        <v>82</v>
      </c>
      <c r="R1004" t="s">
        <v>36</v>
      </c>
      <c r="S1004" t="s">
        <v>243</v>
      </c>
      <c r="T1004" t="s">
        <v>273</v>
      </c>
      <c r="U1004" t="s">
        <v>54</v>
      </c>
      <c r="V1004" t="s">
        <v>315</v>
      </c>
      <c r="W1004">
        <v>4.9000000000000004</v>
      </c>
      <c r="X1004" t="s">
        <v>41</v>
      </c>
      <c r="Y1004" t="s">
        <v>55</v>
      </c>
      <c r="Z1004">
        <v>1</v>
      </c>
    </row>
    <row r="1005" spans="1:26">
      <c r="A1005" t="s">
        <v>1927</v>
      </c>
      <c r="B1005" t="s">
        <v>1928</v>
      </c>
      <c r="C1005" t="s">
        <v>28</v>
      </c>
      <c r="D1005" t="s">
        <v>46</v>
      </c>
      <c r="E1005" s="1">
        <v>44234</v>
      </c>
      <c r="F1005" t="s">
        <v>65</v>
      </c>
      <c r="G1005" t="s">
        <v>268</v>
      </c>
      <c r="H1005" t="s">
        <v>128</v>
      </c>
      <c r="I1005">
        <v>9</v>
      </c>
      <c r="J1005" t="s">
        <v>33</v>
      </c>
      <c r="K1005">
        <v>1</v>
      </c>
      <c r="L1005" s="3">
        <v>7999</v>
      </c>
      <c r="M1005">
        <v>40</v>
      </c>
      <c r="N1005" s="3">
        <v>4800</v>
      </c>
      <c r="O1005" s="3">
        <v>4800</v>
      </c>
      <c r="P1005" t="s">
        <v>74</v>
      </c>
      <c r="Q1005" t="s">
        <v>35</v>
      </c>
      <c r="R1005" t="s">
        <v>36</v>
      </c>
      <c r="S1005" t="s">
        <v>75</v>
      </c>
      <c r="T1005" t="s">
        <v>796</v>
      </c>
      <c r="U1005" t="s">
        <v>124</v>
      </c>
      <c r="V1005" t="s">
        <v>40</v>
      </c>
      <c r="W1005">
        <v>3.9</v>
      </c>
      <c r="X1005" t="s">
        <v>41</v>
      </c>
      <c r="Y1005" t="s">
        <v>55</v>
      </c>
      <c r="Z1005">
        <v>3</v>
      </c>
    </row>
    <row r="1006" spans="1:26">
      <c r="A1006" t="s">
        <v>1929</v>
      </c>
      <c r="B1006" t="s">
        <v>644</v>
      </c>
      <c r="C1006" t="s">
        <v>45</v>
      </c>
      <c r="D1006" t="s">
        <v>46</v>
      </c>
      <c r="E1006" s="1">
        <v>44235</v>
      </c>
      <c r="F1006" t="s">
        <v>47</v>
      </c>
      <c r="G1006" t="s">
        <v>48</v>
      </c>
      <c r="H1006" t="s">
        <v>49</v>
      </c>
      <c r="I1006">
        <v>11</v>
      </c>
      <c r="J1006" t="s">
        <v>150</v>
      </c>
      <c r="K1006">
        <v>1</v>
      </c>
      <c r="L1006" s="3">
        <v>5299</v>
      </c>
      <c r="M1006">
        <v>15</v>
      </c>
      <c r="N1006" s="3">
        <v>4500</v>
      </c>
      <c r="O1006" s="3">
        <v>4500</v>
      </c>
      <c r="P1006" t="s">
        <v>74</v>
      </c>
      <c r="Q1006" t="s">
        <v>35</v>
      </c>
      <c r="R1006" t="s">
        <v>36</v>
      </c>
      <c r="S1006" t="s">
        <v>186</v>
      </c>
      <c r="T1006" t="s">
        <v>341</v>
      </c>
      <c r="U1006" t="s">
        <v>39</v>
      </c>
      <c r="V1006" t="s">
        <v>315</v>
      </c>
      <c r="W1006">
        <v>4</v>
      </c>
      <c r="X1006" t="s">
        <v>41</v>
      </c>
      <c r="Y1006" t="s">
        <v>55</v>
      </c>
      <c r="Z1006">
        <v>2</v>
      </c>
    </row>
    <row r="1007" spans="1:26">
      <c r="A1007" t="s">
        <v>1930</v>
      </c>
      <c r="B1007" t="s">
        <v>217</v>
      </c>
      <c r="C1007" t="s">
        <v>28</v>
      </c>
      <c r="D1007" t="s">
        <v>46</v>
      </c>
      <c r="E1007" s="1">
        <v>44235</v>
      </c>
      <c r="F1007" t="s">
        <v>47</v>
      </c>
      <c r="G1007" t="s">
        <v>121</v>
      </c>
      <c r="H1007" t="s">
        <v>111</v>
      </c>
      <c r="I1007">
        <v>10</v>
      </c>
      <c r="J1007" t="s">
        <v>150</v>
      </c>
      <c r="K1007">
        <v>2</v>
      </c>
      <c r="L1007" s="3">
        <v>6799</v>
      </c>
      <c r="M1007">
        <v>25</v>
      </c>
      <c r="N1007" s="3">
        <v>5100</v>
      </c>
      <c r="O1007" s="3">
        <v>10200</v>
      </c>
      <c r="P1007" t="s">
        <v>34</v>
      </c>
      <c r="Q1007" t="s">
        <v>51</v>
      </c>
      <c r="R1007" t="s">
        <v>36</v>
      </c>
      <c r="S1007" t="s">
        <v>200</v>
      </c>
      <c r="T1007" t="s">
        <v>232</v>
      </c>
      <c r="U1007" t="s">
        <v>91</v>
      </c>
      <c r="V1007" t="s">
        <v>315</v>
      </c>
      <c r="W1007">
        <v>4.2</v>
      </c>
      <c r="X1007" t="s">
        <v>41</v>
      </c>
      <c r="Y1007" t="s">
        <v>55</v>
      </c>
      <c r="Z1007">
        <v>3</v>
      </c>
    </row>
    <row r="1008" spans="1:26">
      <c r="A1008" t="s">
        <v>1931</v>
      </c>
      <c r="B1008" t="s">
        <v>1932</v>
      </c>
      <c r="C1008" t="s">
        <v>94</v>
      </c>
      <c r="D1008" t="s">
        <v>46</v>
      </c>
      <c r="E1008" s="1">
        <v>44235</v>
      </c>
      <c r="F1008" t="s">
        <v>47</v>
      </c>
      <c r="G1008" t="s">
        <v>48</v>
      </c>
      <c r="H1008" t="s">
        <v>49</v>
      </c>
      <c r="I1008">
        <v>10</v>
      </c>
      <c r="J1008" t="s">
        <v>150</v>
      </c>
      <c r="K1008">
        <v>1</v>
      </c>
      <c r="L1008" s="3">
        <v>8299</v>
      </c>
      <c r="M1008">
        <v>15</v>
      </c>
      <c r="N1008" s="3">
        <v>7050</v>
      </c>
      <c r="O1008" s="3">
        <v>7050</v>
      </c>
      <c r="P1008" t="s">
        <v>74</v>
      </c>
      <c r="Q1008" t="s">
        <v>51</v>
      </c>
      <c r="R1008" t="s">
        <v>36</v>
      </c>
      <c r="S1008" t="s">
        <v>354</v>
      </c>
      <c r="T1008" t="s">
        <v>431</v>
      </c>
      <c r="U1008" t="s">
        <v>39</v>
      </c>
      <c r="V1008" t="s">
        <v>40</v>
      </c>
      <c r="W1008">
        <v>4.0999999999999996</v>
      </c>
      <c r="X1008" t="s">
        <v>62</v>
      </c>
      <c r="Y1008" t="s">
        <v>55</v>
      </c>
      <c r="Z1008">
        <v>3</v>
      </c>
    </row>
    <row r="1009" spans="1:26">
      <c r="A1009" t="s">
        <v>1933</v>
      </c>
      <c r="B1009" t="s">
        <v>991</v>
      </c>
      <c r="C1009" t="s">
        <v>94</v>
      </c>
      <c r="D1009" t="s">
        <v>103</v>
      </c>
      <c r="E1009" s="1">
        <v>44235</v>
      </c>
      <c r="F1009" t="s">
        <v>47</v>
      </c>
      <c r="G1009" t="s">
        <v>218</v>
      </c>
      <c r="H1009" t="s">
        <v>59</v>
      </c>
      <c r="I1009">
        <v>9</v>
      </c>
      <c r="J1009" t="s">
        <v>88</v>
      </c>
      <c r="K1009">
        <v>2</v>
      </c>
      <c r="L1009" s="3">
        <v>4699</v>
      </c>
      <c r="M1009">
        <v>30</v>
      </c>
      <c r="N1009" s="3">
        <v>3290</v>
      </c>
      <c r="O1009" s="3">
        <v>6580</v>
      </c>
      <c r="P1009" t="s">
        <v>74</v>
      </c>
      <c r="Q1009" t="s">
        <v>35</v>
      </c>
      <c r="R1009" t="s">
        <v>36</v>
      </c>
      <c r="S1009" t="s">
        <v>99</v>
      </c>
      <c r="T1009" t="s">
        <v>335</v>
      </c>
      <c r="U1009" t="s">
        <v>61</v>
      </c>
      <c r="V1009" t="s">
        <v>315</v>
      </c>
      <c r="W1009">
        <v>3.6</v>
      </c>
      <c r="X1009" t="s">
        <v>41</v>
      </c>
      <c r="Y1009" t="s">
        <v>55</v>
      </c>
      <c r="Z1009">
        <v>4</v>
      </c>
    </row>
    <row r="1010" spans="1:26">
      <c r="A1010" t="s">
        <v>1934</v>
      </c>
      <c r="B1010" t="s">
        <v>486</v>
      </c>
      <c r="C1010" t="s">
        <v>28</v>
      </c>
      <c r="D1010" t="s">
        <v>103</v>
      </c>
      <c r="E1010" s="1">
        <v>44236</v>
      </c>
      <c r="F1010" t="s">
        <v>79</v>
      </c>
      <c r="G1010" t="s">
        <v>480</v>
      </c>
      <c r="H1010" t="s">
        <v>111</v>
      </c>
      <c r="I1010">
        <v>7</v>
      </c>
      <c r="J1010" t="s">
        <v>88</v>
      </c>
      <c r="K1010">
        <v>2</v>
      </c>
      <c r="L1010" s="3">
        <v>3699</v>
      </c>
      <c r="M1010">
        <v>15</v>
      </c>
      <c r="N1010" s="3">
        <v>3140</v>
      </c>
      <c r="O1010" s="3">
        <v>6280</v>
      </c>
      <c r="P1010" t="s">
        <v>81</v>
      </c>
      <c r="Q1010" t="s">
        <v>82</v>
      </c>
      <c r="R1010" t="s">
        <v>36</v>
      </c>
      <c r="S1010" t="s">
        <v>122</v>
      </c>
      <c r="T1010" t="s">
        <v>382</v>
      </c>
      <c r="U1010" t="s">
        <v>54</v>
      </c>
      <c r="V1010" t="s">
        <v>315</v>
      </c>
      <c r="W1010">
        <v>3.9</v>
      </c>
      <c r="X1010" t="s">
        <v>41</v>
      </c>
      <c r="Y1010" t="s">
        <v>42</v>
      </c>
      <c r="Z1010">
        <v>5</v>
      </c>
    </row>
    <row r="1011" spans="1:26">
      <c r="A1011" t="s">
        <v>1935</v>
      </c>
      <c r="B1011" t="s">
        <v>1860</v>
      </c>
      <c r="C1011" t="s">
        <v>28</v>
      </c>
      <c r="D1011" t="s">
        <v>46</v>
      </c>
      <c r="E1011" s="1">
        <v>44238</v>
      </c>
      <c r="F1011" t="s">
        <v>86</v>
      </c>
      <c r="G1011" t="s">
        <v>116</v>
      </c>
      <c r="H1011" t="s">
        <v>49</v>
      </c>
      <c r="I1011">
        <v>6</v>
      </c>
      <c r="J1011" t="s">
        <v>88</v>
      </c>
      <c r="K1011">
        <v>1</v>
      </c>
      <c r="L1011" s="3">
        <v>4499</v>
      </c>
      <c r="M1011">
        <v>10</v>
      </c>
      <c r="N1011" s="3">
        <v>4050</v>
      </c>
      <c r="O1011" s="3">
        <v>4050</v>
      </c>
      <c r="P1011" t="s">
        <v>34</v>
      </c>
      <c r="Q1011" t="s">
        <v>82</v>
      </c>
      <c r="R1011" t="s">
        <v>36</v>
      </c>
      <c r="S1011" t="s">
        <v>200</v>
      </c>
      <c r="T1011" t="s">
        <v>204</v>
      </c>
      <c r="U1011" t="s">
        <v>61</v>
      </c>
      <c r="V1011" t="s">
        <v>315</v>
      </c>
      <c r="W1011">
        <v>2.8</v>
      </c>
      <c r="X1011" t="s">
        <v>41</v>
      </c>
      <c r="Y1011" t="s">
        <v>147</v>
      </c>
      <c r="Z1011">
        <v>1</v>
      </c>
    </row>
    <row r="1012" spans="1:26">
      <c r="A1012" t="s">
        <v>1936</v>
      </c>
      <c r="B1012" t="s">
        <v>765</v>
      </c>
      <c r="C1012" t="s">
        <v>45</v>
      </c>
      <c r="D1012" t="s">
        <v>46</v>
      </c>
      <c r="E1012" s="1">
        <v>44238</v>
      </c>
      <c r="F1012" t="s">
        <v>30</v>
      </c>
      <c r="G1012" t="s">
        <v>214</v>
      </c>
      <c r="H1012" t="s">
        <v>128</v>
      </c>
      <c r="I1012">
        <v>11</v>
      </c>
      <c r="J1012" t="s">
        <v>88</v>
      </c>
      <c r="K1012">
        <v>2</v>
      </c>
      <c r="L1012" s="3">
        <v>6299</v>
      </c>
      <c r="M1012">
        <v>5</v>
      </c>
      <c r="N1012" s="3">
        <v>5980</v>
      </c>
      <c r="O1012" s="3">
        <v>11960</v>
      </c>
      <c r="P1012" t="s">
        <v>50</v>
      </c>
      <c r="Q1012" t="s">
        <v>51</v>
      </c>
      <c r="R1012" t="s">
        <v>36</v>
      </c>
      <c r="S1012" t="s">
        <v>243</v>
      </c>
      <c r="T1012" t="s">
        <v>328</v>
      </c>
      <c r="U1012" t="s">
        <v>54</v>
      </c>
      <c r="V1012" t="s">
        <v>315</v>
      </c>
      <c r="W1012">
        <v>2.5</v>
      </c>
      <c r="X1012" t="s">
        <v>62</v>
      </c>
      <c r="Y1012" t="s">
        <v>42</v>
      </c>
      <c r="Z1012">
        <v>3</v>
      </c>
    </row>
    <row r="1013" spans="1:26">
      <c r="A1013" t="s">
        <v>1937</v>
      </c>
      <c r="B1013" t="s">
        <v>1425</v>
      </c>
      <c r="C1013" t="s">
        <v>45</v>
      </c>
      <c r="D1013" t="s">
        <v>103</v>
      </c>
      <c r="E1013" s="1">
        <v>44239</v>
      </c>
      <c r="F1013" t="s">
        <v>96</v>
      </c>
      <c r="G1013" t="s">
        <v>290</v>
      </c>
      <c r="H1013" t="s">
        <v>32</v>
      </c>
      <c r="I1013">
        <v>8</v>
      </c>
      <c r="J1013" t="s">
        <v>73</v>
      </c>
      <c r="K1013">
        <v>1</v>
      </c>
      <c r="L1013" s="3">
        <v>6199</v>
      </c>
      <c r="M1013">
        <v>20</v>
      </c>
      <c r="N1013" s="3">
        <v>4960</v>
      </c>
      <c r="O1013" s="3">
        <v>4960</v>
      </c>
      <c r="P1013" t="s">
        <v>34</v>
      </c>
      <c r="Q1013" t="s">
        <v>51</v>
      </c>
      <c r="R1013" t="s">
        <v>36</v>
      </c>
      <c r="S1013" t="s">
        <v>160</v>
      </c>
      <c r="T1013" t="s">
        <v>161</v>
      </c>
      <c r="U1013" t="s">
        <v>61</v>
      </c>
      <c r="V1013" t="s">
        <v>315</v>
      </c>
      <c r="W1013">
        <v>3.6</v>
      </c>
      <c r="X1013" t="s">
        <v>41</v>
      </c>
      <c r="Y1013" t="s">
        <v>55</v>
      </c>
      <c r="Z1013">
        <v>3</v>
      </c>
    </row>
    <row r="1014" spans="1:26">
      <c r="A1014" t="s">
        <v>1938</v>
      </c>
      <c r="B1014" t="s">
        <v>1431</v>
      </c>
      <c r="C1014" t="s">
        <v>94</v>
      </c>
      <c r="D1014" t="s">
        <v>29</v>
      </c>
      <c r="E1014" s="1">
        <v>44239</v>
      </c>
      <c r="F1014" t="s">
        <v>47</v>
      </c>
      <c r="G1014" t="s">
        <v>199</v>
      </c>
      <c r="H1014" t="s">
        <v>59</v>
      </c>
      <c r="I1014">
        <v>10</v>
      </c>
      <c r="J1014" t="s">
        <v>150</v>
      </c>
      <c r="K1014">
        <v>1</v>
      </c>
      <c r="L1014" s="3">
        <v>7599</v>
      </c>
      <c r="M1014">
        <v>20</v>
      </c>
      <c r="N1014" s="3">
        <v>6080</v>
      </c>
      <c r="O1014" s="3">
        <v>6080</v>
      </c>
      <c r="P1014" t="s">
        <v>34</v>
      </c>
      <c r="Q1014" t="s">
        <v>51</v>
      </c>
      <c r="R1014" t="s">
        <v>36</v>
      </c>
      <c r="S1014" t="s">
        <v>297</v>
      </c>
      <c r="T1014" t="s">
        <v>566</v>
      </c>
      <c r="U1014" t="s">
        <v>124</v>
      </c>
      <c r="V1014" t="s">
        <v>969</v>
      </c>
      <c r="W1014">
        <v>3.7</v>
      </c>
      <c r="X1014" t="s">
        <v>41</v>
      </c>
      <c r="Y1014" t="s">
        <v>55</v>
      </c>
      <c r="Z1014">
        <v>2</v>
      </c>
    </row>
    <row r="1015" spans="1:26">
      <c r="A1015" t="s">
        <v>1939</v>
      </c>
      <c r="B1015" t="s">
        <v>1152</v>
      </c>
      <c r="C1015" t="s">
        <v>28</v>
      </c>
      <c r="D1015" t="s">
        <v>103</v>
      </c>
      <c r="E1015" s="1">
        <v>44240</v>
      </c>
      <c r="F1015" t="s">
        <v>79</v>
      </c>
      <c r="G1015" t="s">
        <v>127</v>
      </c>
      <c r="H1015" t="s">
        <v>128</v>
      </c>
      <c r="I1015">
        <v>11</v>
      </c>
      <c r="J1015" t="s">
        <v>33</v>
      </c>
      <c r="K1015">
        <v>3</v>
      </c>
      <c r="L1015" s="3">
        <v>4599</v>
      </c>
      <c r="M1015">
        <v>0</v>
      </c>
      <c r="N1015" s="3">
        <v>4600</v>
      </c>
      <c r="O1015" s="3">
        <v>13800</v>
      </c>
      <c r="P1015" t="s">
        <v>74</v>
      </c>
      <c r="Q1015" t="s">
        <v>51</v>
      </c>
      <c r="R1015" t="s">
        <v>36</v>
      </c>
      <c r="S1015" t="s">
        <v>104</v>
      </c>
      <c r="T1015" t="s">
        <v>105</v>
      </c>
      <c r="U1015" t="s">
        <v>39</v>
      </c>
      <c r="V1015" t="s">
        <v>315</v>
      </c>
      <c r="W1015">
        <v>3.9</v>
      </c>
      <c r="X1015" t="s">
        <v>41</v>
      </c>
      <c r="Y1015" t="s">
        <v>147</v>
      </c>
      <c r="Z1015">
        <v>1</v>
      </c>
    </row>
    <row r="1016" spans="1:26">
      <c r="A1016" t="s">
        <v>1940</v>
      </c>
      <c r="B1016" t="s">
        <v>1941</v>
      </c>
      <c r="C1016" t="s">
        <v>28</v>
      </c>
      <c r="D1016" t="s">
        <v>29</v>
      </c>
      <c r="E1016" s="1">
        <v>44243</v>
      </c>
      <c r="F1016" t="s">
        <v>96</v>
      </c>
      <c r="G1016" t="s">
        <v>97</v>
      </c>
      <c r="H1016" t="s">
        <v>49</v>
      </c>
      <c r="I1016">
        <v>6</v>
      </c>
      <c r="J1016" t="s">
        <v>33</v>
      </c>
      <c r="K1016">
        <v>2</v>
      </c>
      <c r="L1016" s="3">
        <v>8599</v>
      </c>
      <c r="M1016">
        <v>25</v>
      </c>
      <c r="N1016" s="3">
        <v>6450</v>
      </c>
      <c r="O1016" s="3">
        <v>12900</v>
      </c>
      <c r="P1016" t="s">
        <v>74</v>
      </c>
      <c r="Q1016" t="s">
        <v>35</v>
      </c>
      <c r="R1016" t="s">
        <v>36</v>
      </c>
      <c r="S1016" t="s">
        <v>112</v>
      </c>
      <c r="T1016" t="s">
        <v>133</v>
      </c>
      <c r="U1016" t="s">
        <v>91</v>
      </c>
      <c r="V1016" t="s">
        <v>40</v>
      </c>
      <c r="W1016">
        <v>4.4000000000000004</v>
      </c>
      <c r="X1016" t="s">
        <v>41</v>
      </c>
      <c r="Y1016" t="s">
        <v>42</v>
      </c>
      <c r="Z1016">
        <v>7</v>
      </c>
    </row>
    <row r="1017" spans="1:26">
      <c r="A1017" t="s">
        <v>1942</v>
      </c>
      <c r="B1017" t="s">
        <v>252</v>
      </c>
      <c r="C1017" t="s">
        <v>28</v>
      </c>
      <c r="D1017" t="s">
        <v>95</v>
      </c>
      <c r="E1017" s="1">
        <v>44244</v>
      </c>
      <c r="F1017" t="s">
        <v>86</v>
      </c>
      <c r="G1017" t="s">
        <v>242</v>
      </c>
      <c r="H1017" t="s">
        <v>32</v>
      </c>
      <c r="I1017">
        <v>11</v>
      </c>
      <c r="J1017" t="s">
        <v>98</v>
      </c>
      <c r="K1017">
        <v>1</v>
      </c>
      <c r="L1017" s="3">
        <v>6999</v>
      </c>
      <c r="M1017">
        <v>5</v>
      </c>
      <c r="N1017" s="3">
        <v>6650</v>
      </c>
      <c r="O1017" s="3">
        <v>6650</v>
      </c>
      <c r="P1017" t="s">
        <v>81</v>
      </c>
      <c r="Q1017" t="s">
        <v>82</v>
      </c>
      <c r="R1017" t="s">
        <v>36</v>
      </c>
      <c r="S1017" t="s">
        <v>37</v>
      </c>
      <c r="T1017" t="s">
        <v>38</v>
      </c>
      <c r="U1017" t="s">
        <v>54</v>
      </c>
      <c r="V1017" t="s">
        <v>315</v>
      </c>
      <c r="W1017">
        <v>5</v>
      </c>
      <c r="X1017" t="s">
        <v>62</v>
      </c>
      <c r="Y1017" t="s">
        <v>42</v>
      </c>
      <c r="Z1017">
        <v>2</v>
      </c>
    </row>
    <row r="1018" spans="1:26">
      <c r="A1018" t="s">
        <v>1943</v>
      </c>
      <c r="B1018" t="s">
        <v>1944</v>
      </c>
      <c r="C1018" t="s">
        <v>45</v>
      </c>
      <c r="D1018" t="s">
        <v>46</v>
      </c>
      <c r="E1018" s="1">
        <v>44244</v>
      </c>
      <c r="F1018" t="s">
        <v>30</v>
      </c>
      <c r="G1018" t="s">
        <v>214</v>
      </c>
      <c r="H1018" t="s">
        <v>128</v>
      </c>
      <c r="I1018">
        <v>7</v>
      </c>
      <c r="J1018" t="s">
        <v>67</v>
      </c>
      <c r="K1018">
        <v>1</v>
      </c>
      <c r="L1018" s="3">
        <v>8599</v>
      </c>
      <c r="M1018">
        <v>15</v>
      </c>
      <c r="N1018" s="3">
        <v>7310</v>
      </c>
      <c r="O1018" s="3">
        <v>7310</v>
      </c>
      <c r="P1018" t="s">
        <v>74</v>
      </c>
      <c r="Q1018" t="s">
        <v>51</v>
      </c>
      <c r="R1018" t="s">
        <v>36</v>
      </c>
      <c r="S1018" t="s">
        <v>141</v>
      </c>
      <c r="T1018" t="s">
        <v>362</v>
      </c>
      <c r="U1018" t="s">
        <v>91</v>
      </c>
      <c r="V1018" t="s">
        <v>40</v>
      </c>
      <c r="W1018">
        <v>4.5</v>
      </c>
      <c r="X1018" t="s">
        <v>41</v>
      </c>
      <c r="Y1018" t="s">
        <v>42</v>
      </c>
      <c r="Z1018">
        <v>6</v>
      </c>
    </row>
    <row r="1019" spans="1:26">
      <c r="A1019" t="s">
        <v>1945</v>
      </c>
      <c r="B1019" t="s">
        <v>608</v>
      </c>
      <c r="C1019" t="s">
        <v>45</v>
      </c>
      <c r="D1019" t="s">
        <v>109</v>
      </c>
      <c r="E1019" s="1">
        <v>44246</v>
      </c>
      <c r="F1019" t="s">
        <v>86</v>
      </c>
      <c r="G1019" t="s">
        <v>87</v>
      </c>
      <c r="H1019" t="s">
        <v>59</v>
      </c>
      <c r="I1019">
        <v>9</v>
      </c>
      <c r="J1019" t="s">
        <v>98</v>
      </c>
      <c r="K1019">
        <v>1</v>
      </c>
      <c r="L1019" s="3">
        <v>6599</v>
      </c>
      <c r="M1019">
        <v>20</v>
      </c>
      <c r="N1019" s="3">
        <v>5280</v>
      </c>
      <c r="O1019" s="3">
        <v>5280</v>
      </c>
      <c r="P1019" t="s">
        <v>34</v>
      </c>
      <c r="Q1019" t="s">
        <v>35</v>
      </c>
      <c r="R1019" t="s">
        <v>36</v>
      </c>
      <c r="S1019" t="s">
        <v>99</v>
      </c>
      <c r="T1019" t="s">
        <v>759</v>
      </c>
      <c r="U1019" t="s">
        <v>124</v>
      </c>
      <c r="V1019" t="s">
        <v>315</v>
      </c>
      <c r="W1019">
        <v>4.4000000000000004</v>
      </c>
      <c r="X1019" t="s">
        <v>62</v>
      </c>
      <c r="Y1019" t="s">
        <v>55</v>
      </c>
      <c r="Z1019">
        <v>2</v>
      </c>
    </row>
    <row r="1020" spans="1:26">
      <c r="A1020" t="s">
        <v>1946</v>
      </c>
      <c r="B1020" t="s">
        <v>563</v>
      </c>
      <c r="C1020" t="s">
        <v>45</v>
      </c>
      <c r="D1020" t="s">
        <v>46</v>
      </c>
      <c r="E1020" s="1">
        <v>44252</v>
      </c>
      <c r="F1020" t="s">
        <v>65</v>
      </c>
      <c r="G1020" t="s">
        <v>365</v>
      </c>
      <c r="H1020" t="s">
        <v>49</v>
      </c>
      <c r="I1020">
        <v>8</v>
      </c>
      <c r="J1020" t="s">
        <v>98</v>
      </c>
      <c r="K1020">
        <v>1</v>
      </c>
      <c r="L1020" s="3">
        <v>3299</v>
      </c>
      <c r="M1020">
        <v>20</v>
      </c>
      <c r="N1020" s="3">
        <v>2640</v>
      </c>
      <c r="O1020" s="3">
        <v>2640</v>
      </c>
      <c r="P1020" t="s">
        <v>50</v>
      </c>
      <c r="Q1020" t="s">
        <v>82</v>
      </c>
      <c r="R1020" t="s">
        <v>36</v>
      </c>
      <c r="S1020" t="s">
        <v>68</v>
      </c>
      <c r="T1020" t="s">
        <v>207</v>
      </c>
      <c r="U1020" t="s">
        <v>39</v>
      </c>
      <c r="V1020" t="s">
        <v>315</v>
      </c>
      <c r="W1020">
        <v>4.0999999999999996</v>
      </c>
      <c r="X1020" t="s">
        <v>62</v>
      </c>
      <c r="Y1020" t="s">
        <v>42</v>
      </c>
      <c r="Z1020">
        <v>3</v>
      </c>
    </row>
    <row r="1021" spans="1:26">
      <c r="A1021" t="s">
        <v>1947</v>
      </c>
      <c r="B1021" t="s">
        <v>582</v>
      </c>
      <c r="C1021" t="s">
        <v>94</v>
      </c>
      <c r="D1021" t="s">
        <v>29</v>
      </c>
      <c r="E1021" s="1">
        <v>44254</v>
      </c>
      <c r="F1021" t="s">
        <v>86</v>
      </c>
      <c r="G1021" t="s">
        <v>242</v>
      </c>
      <c r="H1021" t="s">
        <v>32</v>
      </c>
      <c r="I1021">
        <v>9</v>
      </c>
      <c r="J1021" t="s">
        <v>73</v>
      </c>
      <c r="K1021">
        <v>1</v>
      </c>
      <c r="L1021" s="3">
        <v>6199</v>
      </c>
      <c r="M1021">
        <v>20</v>
      </c>
      <c r="N1021" s="3">
        <v>4960</v>
      </c>
      <c r="O1021" s="3">
        <v>4960</v>
      </c>
      <c r="P1021" t="s">
        <v>34</v>
      </c>
      <c r="Q1021" t="s">
        <v>51</v>
      </c>
      <c r="R1021" t="s">
        <v>36</v>
      </c>
      <c r="S1021" t="s">
        <v>160</v>
      </c>
      <c r="T1021" t="s">
        <v>344</v>
      </c>
      <c r="U1021" t="s">
        <v>124</v>
      </c>
      <c r="V1021" t="s">
        <v>315</v>
      </c>
      <c r="W1021">
        <v>3.2</v>
      </c>
      <c r="X1021" t="s">
        <v>41</v>
      </c>
      <c r="Y1021" t="s">
        <v>55</v>
      </c>
      <c r="Z1021">
        <v>1</v>
      </c>
    </row>
    <row r="1022" spans="1:26">
      <c r="A1022" t="s">
        <v>1948</v>
      </c>
      <c r="B1022" t="s">
        <v>1463</v>
      </c>
      <c r="C1022" t="s">
        <v>45</v>
      </c>
      <c r="D1022" t="s">
        <v>46</v>
      </c>
      <c r="E1022" s="1">
        <v>44256</v>
      </c>
      <c r="F1022" t="s">
        <v>30</v>
      </c>
      <c r="G1022" t="s">
        <v>347</v>
      </c>
      <c r="H1022" t="s">
        <v>49</v>
      </c>
      <c r="I1022">
        <v>7</v>
      </c>
      <c r="J1022" t="s">
        <v>33</v>
      </c>
      <c r="K1022">
        <v>1</v>
      </c>
      <c r="L1022" s="3">
        <v>7299</v>
      </c>
      <c r="M1022">
        <v>5</v>
      </c>
      <c r="N1022" s="3">
        <v>6930</v>
      </c>
      <c r="O1022" s="3">
        <v>6930</v>
      </c>
      <c r="P1022" t="s">
        <v>34</v>
      </c>
      <c r="Q1022" t="s">
        <v>82</v>
      </c>
      <c r="R1022" t="s">
        <v>36</v>
      </c>
      <c r="S1022" t="s">
        <v>358</v>
      </c>
      <c r="T1022" t="s">
        <v>464</v>
      </c>
      <c r="U1022" t="s">
        <v>61</v>
      </c>
      <c r="V1022" t="s">
        <v>315</v>
      </c>
      <c r="W1022">
        <v>3.1</v>
      </c>
      <c r="X1022" t="s">
        <v>41</v>
      </c>
      <c r="Y1022" t="s">
        <v>42</v>
      </c>
      <c r="Z1022">
        <v>1</v>
      </c>
    </row>
    <row r="1023" spans="1:26">
      <c r="A1023" t="s">
        <v>1949</v>
      </c>
      <c r="B1023" t="s">
        <v>317</v>
      </c>
      <c r="C1023" t="s">
        <v>94</v>
      </c>
      <c r="D1023" t="s">
        <v>109</v>
      </c>
      <c r="E1023" s="1">
        <v>44256</v>
      </c>
      <c r="F1023" t="s">
        <v>86</v>
      </c>
      <c r="G1023" t="s">
        <v>312</v>
      </c>
      <c r="H1023" t="s">
        <v>59</v>
      </c>
      <c r="I1023">
        <v>10</v>
      </c>
      <c r="J1023" t="s">
        <v>73</v>
      </c>
      <c r="K1023">
        <v>1</v>
      </c>
      <c r="L1023" s="3">
        <v>5699</v>
      </c>
      <c r="M1023">
        <v>30</v>
      </c>
      <c r="N1023" s="3">
        <v>3990</v>
      </c>
      <c r="O1023" s="3">
        <v>3990</v>
      </c>
      <c r="P1023" t="s">
        <v>34</v>
      </c>
      <c r="Q1023" t="s">
        <v>51</v>
      </c>
      <c r="R1023" t="s">
        <v>36</v>
      </c>
      <c r="S1023" t="s">
        <v>52</v>
      </c>
      <c r="T1023" t="s">
        <v>53</v>
      </c>
      <c r="U1023" t="s">
        <v>124</v>
      </c>
      <c r="V1023" t="s">
        <v>969</v>
      </c>
      <c r="W1023">
        <v>4.0999999999999996</v>
      </c>
      <c r="X1023" t="s">
        <v>41</v>
      </c>
      <c r="Y1023" t="s">
        <v>55</v>
      </c>
      <c r="Z1023">
        <v>2</v>
      </c>
    </row>
    <row r="1024" spans="1:26">
      <c r="A1024" t="s">
        <v>1950</v>
      </c>
      <c r="B1024" t="s">
        <v>686</v>
      </c>
      <c r="C1024" t="s">
        <v>45</v>
      </c>
      <c r="D1024" t="s">
        <v>95</v>
      </c>
      <c r="E1024" s="1">
        <v>44257</v>
      </c>
      <c r="F1024" t="s">
        <v>86</v>
      </c>
      <c r="G1024" t="s">
        <v>190</v>
      </c>
      <c r="H1024" t="s">
        <v>128</v>
      </c>
      <c r="I1024">
        <v>12</v>
      </c>
      <c r="J1024" t="s">
        <v>88</v>
      </c>
      <c r="K1024">
        <v>2</v>
      </c>
      <c r="L1024" s="3">
        <v>5199</v>
      </c>
      <c r="M1024">
        <v>15</v>
      </c>
      <c r="N1024" s="3">
        <v>4420</v>
      </c>
      <c r="O1024" s="3">
        <v>8840</v>
      </c>
      <c r="P1024" t="s">
        <v>74</v>
      </c>
      <c r="Q1024" t="s">
        <v>82</v>
      </c>
      <c r="R1024" t="s">
        <v>36</v>
      </c>
      <c r="S1024" t="s">
        <v>175</v>
      </c>
      <c r="T1024" t="s">
        <v>176</v>
      </c>
      <c r="U1024" t="s">
        <v>39</v>
      </c>
      <c r="V1024" t="s">
        <v>969</v>
      </c>
      <c r="W1024">
        <v>4.3</v>
      </c>
      <c r="X1024" t="s">
        <v>41</v>
      </c>
      <c r="Y1024" t="s">
        <v>42</v>
      </c>
      <c r="Z1024">
        <v>4</v>
      </c>
    </row>
    <row r="1025" spans="1:26">
      <c r="A1025" t="s">
        <v>1951</v>
      </c>
      <c r="B1025" t="s">
        <v>756</v>
      </c>
      <c r="C1025" t="s">
        <v>94</v>
      </c>
      <c r="D1025" t="s">
        <v>46</v>
      </c>
      <c r="E1025" s="1">
        <v>44257</v>
      </c>
      <c r="F1025" t="s">
        <v>86</v>
      </c>
      <c r="G1025" t="s">
        <v>116</v>
      </c>
      <c r="H1025" t="s">
        <v>49</v>
      </c>
      <c r="I1025">
        <v>11</v>
      </c>
      <c r="J1025" t="s">
        <v>150</v>
      </c>
      <c r="K1025">
        <v>1</v>
      </c>
      <c r="L1025" s="3">
        <v>5699</v>
      </c>
      <c r="M1025">
        <v>35</v>
      </c>
      <c r="N1025" s="3">
        <v>3700</v>
      </c>
      <c r="O1025" s="3">
        <v>3700</v>
      </c>
      <c r="P1025" t="s">
        <v>74</v>
      </c>
      <c r="Q1025" t="s">
        <v>51</v>
      </c>
      <c r="R1025" t="s">
        <v>36</v>
      </c>
      <c r="S1025" t="s">
        <v>418</v>
      </c>
      <c r="T1025" t="s">
        <v>549</v>
      </c>
      <c r="U1025" t="s">
        <v>124</v>
      </c>
      <c r="V1025" t="s">
        <v>315</v>
      </c>
      <c r="W1025">
        <v>4.3</v>
      </c>
      <c r="X1025" t="s">
        <v>41</v>
      </c>
      <c r="Y1025" t="s">
        <v>42</v>
      </c>
      <c r="Z1025">
        <v>4</v>
      </c>
    </row>
    <row r="1026" spans="1:26">
      <c r="A1026" t="s">
        <v>1952</v>
      </c>
      <c r="B1026" t="s">
        <v>1953</v>
      </c>
      <c r="C1026" t="s">
        <v>28</v>
      </c>
      <c r="D1026" t="s">
        <v>29</v>
      </c>
      <c r="E1026" s="1">
        <v>44257</v>
      </c>
      <c r="F1026" t="s">
        <v>86</v>
      </c>
      <c r="G1026" t="s">
        <v>242</v>
      </c>
      <c r="H1026" t="s">
        <v>32</v>
      </c>
      <c r="I1026">
        <v>11</v>
      </c>
      <c r="J1026" t="s">
        <v>33</v>
      </c>
      <c r="K1026">
        <v>1</v>
      </c>
      <c r="L1026" s="3">
        <v>5799</v>
      </c>
      <c r="M1026">
        <v>10</v>
      </c>
      <c r="N1026" s="3">
        <v>5220</v>
      </c>
      <c r="O1026" s="3">
        <v>5220</v>
      </c>
      <c r="P1026" t="s">
        <v>81</v>
      </c>
      <c r="Q1026" t="s">
        <v>35</v>
      </c>
      <c r="R1026" t="s">
        <v>36</v>
      </c>
      <c r="S1026" t="s">
        <v>243</v>
      </c>
      <c r="T1026" t="s">
        <v>276</v>
      </c>
      <c r="U1026" t="s">
        <v>124</v>
      </c>
      <c r="V1026" t="s">
        <v>40</v>
      </c>
      <c r="W1026">
        <v>3.2</v>
      </c>
      <c r="X1026" t="s">
        <v>41</v>
      </c>
      <c r="Y1026" t="s">
        <v>42</v>
      </c>
      <c r="Z1026">
        <v>5</v>
      </c>
    </row>
    <row r="1027" spans="1:26">
      <c r="A1027" t="s">
        <v>1954</v>
      </c>
      <c r="B1027" t="s">
        <v>750</v>
      </c>
      <c r="C1027" t="s">
        <v>28</v>
      </c>
      <c r="D1027" t="s">
        <v>103</v>
      </c>
      <c r="E1027" s="1">
        <v>44258</v>
      </c>
      <c r="F1027" t="s">
        <v>47</v>
      </c>
      <c r="G1027" t="s">
        <v>199</v>
      </c>
      <c r="H1027" t="s">
        <v>59</v>
      </c>
      <c r="I1027">
        <v>8</v>
      </c>
      <c r="J1027" t="s">
        <v>73</v>
      </c>
      <c r="K1027">
        <v>1</v>
      </c>
      <c r="L1027" s="3">
        <v>5399</v>
      </c>
      <c r="M1027">
        <v>10</v>
      </c>
      <c r="N1027" s="3">
        <v>4860</v>
      </c>
      <c r="O1027" s="3">
        <v>4860</v>
      </c>
      <c r="P1027" t="s">
        <v>74</v>
      </c>
      <c r="Q1027" t="s">
        <v>51</v>
      </c>
      <c r="R1027" t="s">
        <v>36</v>
      </c>
      <c r="S1027" t="s">
        <v>358</v>
      </c>
      <c r="T1027" t="s">
        <v>805</v>
      </c>
      <c r="U1027" t="s">
        <v>39</v>
      </c>
      <c r="V1027" t="s">
        <v>315</v>
      </c>
      <c r="W1027">
        <v>3.8</v>
      </c>
      <c r="X1027" t="s">
        <v>41</v>
      </c>
      <c r="Y1027" t="s">
        <v>42</v>
      </c>
      <c r="Z1027">
        <v>3</v>
      </c>
    </row>
    <row r="1028" spans="1:26">
      <c r="A1028" t="s">
        <v>1955</v>
      </c>
      <c r="B1028" t="s">
        <v>1100</v>
      </c>
      <c r="C1028" t="s">
        <v>45</v>
      </c>
      <c r="D1028" t="s">
        <v>46</v>
      </c>
      <c r="E1028" s="1">
        <v>44259</v>
      </c>
      <c r="F1028" t="s">
        <v>47</v>
      </c>
      <c r="G1028" t="s">
        <v>402</v>
      </c>
      <c r="H1028" t="s">
        <v>32</v>
      </c>
      <c r="I1028">
        <v>6</v>
      </c>
      <c r="J1028" t="s">
        <v>98</v>
      </c>
      <c r="K1028">
        <v>1</v>
      </c>
      <c r="L1028" s="3">
        <v>8499</v>
      </c>
      <c r="M1028">
        <v>20</v>
      </c>
      <c r="N1028" s="3">
        <v>6800</v>
      </c>
      <c r="O1028" s="3">
        <v>6800</v>
      </c>
      <c r="P1028" t="s">
        <v>74</v>
      </c>
      <c r="Q1028" t="s">
        <v>51</v>
      </c>
      <c r="R1028" t="s">
        <v>36</v>
      </c>
      <c r="S1028" t="s">
        <v>68</v>
      </c>
      <c r="T1028" t="s">
        <v>400</v>
      </c>
      <c r="U1028" t="s">
        <v>61</v>
      </c>
      <c r="V1028" t="s">
        <v>315</v>
      </c>
      <c r="W1028">
        <v>3.6</v>
      </c>
      <c r="X1028" t="s">
        <v>41</v>
      </c>
      <c r="Y1028" t="s">
        <v>42</v>
      </c>
      <c r="Z1028">
        <v>3</v>
      </c>
    </row>
    <row r="1029" spans="1:26">
      <c r="A1029" t="s">
        <v>1956</v>
      </c>
      <c r="B1029" t="s">
        <v>843</v>
      </c>
      <c r="C1029" t="s">
        <v>94</v>
      </c>
      <c r="D1029" t="s">
        <v>46</v>
      </c>
      <c r="E1029" s="1">
        <v>44260</v>
      </c>
      <c r="F1029" t="s">
        <v>86</v>
      </c>
      <c r="G1029" t="s">
        <v>190</v>
      </c>
      <c r="H1029" t="s">
        <v>128</v>
      </c>
      <c r="I1029">
        <v>8</v>
      </c>
      <c r="J1029" t="s">
        <v>88</v>
      </c>
      <c r="K1029">
        <v>2</v>
      </c>
      <c r="L1029" s="3">
        <v>5499</v>
      </c>
      <c r="M1029">
        <v>20</v>
      </c>
      <c r="N1029" s="3">
        <v>4400</v>
      </c>
      <c r="O1029" s="3">
        <v>8800</v>
      </c>
      <c r="P1029" t="s">
        <v>74</v>
      </c>
      <c r="Q1029" t="s">
        <v>51</v>
      </c>
      <c r="R1029" t="s">
        <v>36</v>
      </c>
      <c r="S1029" t="s">
        <v>354</v>
      </c>
      <c r="T1029" t="s">
        <v>518</v>
      </c>
      <c r="U1029" t="s">
        <v>91</v>
      </c>
      <c r="V1029" t="s">
        <v>315</v>
      </c>
      <c r="W1029">
        <v>4</v>
      </c>
      <c r="X1029" t="s">
        <v>41</v>
      </c>
      <c r="Y1029" t="s">
        <v>42</v>
      </c>
      <c r="Z1029">
        <v>6</v>
      </c>
    </row>
    <row r="1030" spans="1:26">
      <c r="A1030" t="s">
        <v>1957</v>
      </c>
      <c r="B1030" t="s">
        <v>364</v>
      </c>
      <c r="C1030" t="s">
        <v>94</v>
      </c>
      <c r="D1030" t="s">
        <v>103</v>
      </c>
      <c r="E1030" s="1">
        <v>44260</v>
      </c>
      <c r="F1030" t="s">
        <v>47</v>
      </c>
      <c r="G1030" t="s">
        <v>402</v>
      </c>
      <c r="H1030" t="s">
        <v>32</v>
      </c>
      <c r="I1030">
        <v>11</v>
      </c>
      <c r="J1030" t="s">
        <v>98</v>
      </c>
      <c r="K1030">
        <v>1</v>
      </c>
      <c r="L1030" s="3">
        <v>5599</v>
      </c>
      <c r="M1030">
        <v>20</v>
      </c>
      <c r="N1030" s="3">
        <v>4480</v>
      </c>
      <c r="O1030" s="3">
        <v>4480</v>
      </c>
      <c r="P1030" t="s">
        <v>50</v>
      </c>
      <c r="Q1030" t="s">
        <v>51</v>
      </c>
      <c r="R1030" t="s">
        <v>36</v>
      </c>
      <c r="S1030" t="s">
        <v>338</v>
      </c>
      <c r="T1030" t="s">
        <v>449</v>
      </c>
      <c r="U1030" t="s">
        <v>91</v>
      </c>
      <c r="V1030" t="s">
        <v>315</v>
      </c>
      <c r="W1030">
        <v>3.2</v>
      </c>
      <c r="X1030" t="s">
        <v>41</v>
      </c>
      <c r="Y1030" t="s">
        <v>147</v>
      </c>
      <c r="Z1030">
        <v>1</v>
      </c>
    </row>
    <row r="1031" spans="1:26">
      <c r="A1031" t="s">
        <v>1958</v>
      </c>
      <c r="B1031" t="s">
        <v>293</v>
      </c>
      <c r="C1031" t="s">
        <v>28</v>
      </c>
      <c r="D1031" t="s">
        <v>95</v>
      </c>
      <c r="E1031" s="1">
        <v>44260</v>
      </c>
      <c r="F1031" t="s">
        <v>96</v>
      </c>
      <c r="G1031" t="s">
        <v>228</v>
      </c>
      <c r="H1031" t="s">
        <v>59</v>
      </c>
      <c r="I1031">
        <v>8</v>
      </c>
      <c r="J1031" t="s">
        <v>88</v>
      </c>
      <c r="K1031">
        <v>1</v>
      </c>
      <c r="L1031" s="3">
        <v>9199</v>
      </c>
      <c r="M1031">
        <v>15</v>
      </c>
      <c r="N1031" s="3">
        <v>7820</v>
      </c>
      <c r="O1031" s="3">
        <v>7820</v>
      </c>
      <c r="P1031" t="s">
        <v>34</v>
      </c>
      <c r="Q1031" t="s">
        <v>82</v>
      </c>
      <c r="R1031" t="s">
        <v>36</v>
      </c>
      <c r="S1031" t="s">
        <v>338</v>
      </c>
      <c r="T1031" t="s">
        <v>779</v>
      </c>
      <c r="U1031" t="s">
        <v>39</v>
      </c>
      <c r="V1031" t="s">
        <v>315</v>
      </c>
      <c r="W1031">
        <v>3.9</v>
      </c>
      <c r="X1031" t="s">
        <v>41</v>
      </c>
      <c r="Y1031" t="s">
        <v>42</v>
      </c>
      <c r="Z1031">
        <v>1</v>
      </c>
    </row>
    <row r="1032" spans="1:26">
      <c r="A1032" t="s">
        <v>1959</v>
      </c>
      <c r="B1032" t="s">
        <v>552</v>
      </c>
      <c r="C1032" t="s">
        <v>28</v>
      </c>
      <c r="D1032" t="s">
        <v>46</v>
      </c>
      <c r="E1032" s="1">
        <v>44261</v>
      </c>
      <c r="F1032" t="s">
        <v>86</v>
      </c>
      <c r="G1032" t="s">
        <v>242</v>
      </c>
      <c r="H1032" t="s">
        <v>32</v>
      </c>
      <c r="I1032">
        <v>8</v>
      </c>
      <c r="J1032" t="s">
        <v>67</v>
      </c>
      <c r="K1032">
        <v>1</v>
      </c>
      <c r="L1032" s="3">
        <v>4499</v>
      </c>
      <c r="M1032">
        <v>25</v>
      </c>
      <c r="N1032" s="3">
        <v>3370</v>
      </c>
      <c r="O1032" s="3">
        <v>3370</v>
      </c>
      <c r="P1032" t="s">
        <v>74</v>
      </c>
      <c r="Q1032" t="s">
        <v>51</v>
      </c>
      <c r="R1032" t="s">
        <v>36</v>
      </c>
      <c r="S1032" t="s">
        <v>168</v>
      </c>
      <c r="T1032" t="s">
        <v>557</v>
      </c>
      <c r="U1032" t="s">
        <v>91</v>
      </c>
      <c r="V1032" t="s">
        <v>969</v>
      </c>
      <c r="W1032">
        <v>3.9</v>
      </c>
      <c r="X1032" t="s">
        <v>41</v>
      </c>
      <c r="Y1032" t="s">
        <v>42</v>
      </c>
      <c r="Z1032">
        <v>3</v>
      </c>
    </row>
    <row r="1033" spans="1:26">
      <c r="A1033" t="s">
        <v>1960</v>
      </c>
      <c r="B1033" t="s">
        <v>1961</v>
      </c>
      <c r="C1033" t="s">
        <v>94</v>
      </c>
      <c r="D1033" t="s">
        <v>46</v>
      </c>
      <c r="E1033" s="1">
        <v>44263</v>
      </c>
      <c r="F1033" t="s">
        <v>30</v>
      </c>
      <c r="G1033" t="s">
        <v>58</v>
      </c>
      <c r="H1033" t="s">
        <v>59</v>
      </c>
      <c r="I1033">
        <v>8</v>
      </c>
      <c r="J1033" t="s">
        <v>73</v>
      </c>
      <c r="K1033">
        <v>2</v>
      </c>
      <c r="L1033" s="3">
        <v>4999</v>
      </c>
      <c r="M1033">
        <v>10</v>
      </c>
      <c r="N1033" s="3">
        <v>4500</v>
      </c>
      <c r="O1033" s="3">
        <v>9000</v>
      </c>
      <c r="P1033" t="s">
        <v>74</v>
      </c>
      <c r="Q1033" t="s">
        <v>82</v>
      </c>
      <c r="R1033" t="s">
        <v>36</v>
      </c>
      <c r="S1033" t="s">
        <v>182</v>
      </c>
      <c r="T1033" t="s">
        <v>309</v>
      </c>
      <c r="U1033" t="s">
        <v>61</v>
      </c>
      <c r="V1033" t="s">
        <v>40</v>
      </c>
      <c r="W1033">
        <v>3.6</v>
      </c>
      <c r="X1033" t="s">
        <v>41</v>
      </c>
      <c r="Y1033" t="s">
        <v>42</v>
      </c>
      <c r="Z1033">
        <v>2</v>
      </c>
    </row>
    <row r="1034" spans="1:26">
      <c r="A1034" t="s">
        <v>1962</v>
      </c>
      <c r="B1034" t="s">
        <v>1963</v>
      </c>
      <c r="C1034" t="s">
        <v>28</v>
      </c>
      <c r="D1034" t="s">
        <v>46</v>
      </c>
      <c r="E1034" s="1">
        <v>44265</v>
      </c>
      <c r="F1034" t="s">
        <v>65</v>
      </c>
      <c r="G1034" t="s">
        <v>268</v>
      </c>
      <c r="H1034" t="s">
        <v>128</v>
      </c>
      <c r="I1034">
        <v>11</v>
      </c>
      <c r="J1034" t="s">
        <v>33</v>
      </c>
      <c r="K1034">
        <v>1</v>
      </c>
      <c r="L1034" s="3">
        <v>4899</v>
      </c>
      <c r="M1034">
        <v>25</v>
      </c>
      <c r="N1034" s="3">
        <v>3670</v>
      </c>
      <c r="O1034" s="3">
        <v>3670</v>
      </c>
      <c r="P1034" t="s">
        <v>50</v>
      </c>
      <c r="Q1034" t="s">
        <v>82</v>
      </c>
      <c r="R1034" t="s">
        <v>36</v>
      </c>
      <c r="S1034" t="s">
        <v>195</v>
      </c>
      <c r="T1034" t="s">
        <v>428</v>
      </c>
      <c r="U1034" t="s">
        <v>61</v>
      </c>
      <c r="V1034" t="s">
        <v>40</v>
      </c>
      <c r="W1034">
        <v>4</v>
      </c>
      <c r="X1034" t="s">
        <v>41</v>
      </c>
      <c r="Y1034" t="s">
        <v>42</v>
      </c>
      <c r="Z1034">
        <v>1</v>
      </c>
    </row>
    <row r="1035" spans="1:26">
      <c r="A1035" t="s">
        <v>1964</v>
      </c>
      <c r="B1035" t="s">
        <v>691</v>
      </c>
      <c r="C1035" t="s">
        <v>28</v>
      </c>
      <c r="D1035" t="s">
        <v>103</v>
      </c>
      <c r="E1035" s="1">
        <v>44265</v>
      </c>
      <c r="F1035" t="s">
        <v>65</v>
      </c>
      <c r="G1035" t="s">
        <v>279</v>
      </c>
      <c r="H1035" t="s">
        <v>111</v>
      </c>
      <c r="I1035">
        <v>9</v>
      </c>
      <c r="J1035" t="s">
        <v>73</v>
      </c>
      <c r="K1035">
        <v>1</v>
      </c>
      <c r="L1035" s="3">
        <v>4299</v>
      </c>
      <c r="M1035">
        <v>15</v>
      </c>
      <c r="N1035" s="3">
        <v>3650</v>
      </c>
      <c r="O1035" s="3">
        <v>3650</v>
      </c>
      <c r="P1035" t="s">
        <v>74</v>
      </c>
      <c r="Q1035" t="s">
        <v>82</v>
      </c>
      <c r="R1035" t="s">
        <v>36</v>
      </c>
      <c r="S1035" t="s">
        <v>384</v>
      </c>
      <c r="T1035" t="s">
        <v>385</v>
      </c>
      <c r="U1035" t="s">
        <v>124</v>
      </c>
      <c r="V1035" t="s">
        <v>315</v>
      </c>
      <c r="W1035">
        <v>4.5999999999999996</v>
      </c>
      <c r="X1035" t="s">
        <v>41</v>
      </c>
      <c r="Y1035" t="s">
        <v>42</v>
      </c>
      <c r="Z1035">
        <v>1</v>
      </c>
    </row>
    <row r="1036" spans="1:26">
      <c r="A1036" t="s">
        <v>1965</v>
      </c>
      <c r="B1036" t="s">
        <v>539</v>
      </c>
      <c r="C1036" t="s">
        <v>94</v>
      </c>
      <c r="D1036" t="s">
        <v>29</v>
      </c>
      <c r="E1036" s="1">
        <v>44268</v>
      </c>
      <c r="F1036" t="s">
        <v>79</v>
      </c>
      <c r="G1036" t="s">
        <v>127</v>
      </c>
      <c r="H1036" t="s">
        <v>128</v>
      </c>
      <c r="I1036">
        <v>11</v>
      </c>
      <c r="J1036" t="s">
        <v>88</v>
      </c>
      <c r="K1036">
        <v>2</v>
      </c>
      <c r="L1036" s="3">
        <v>6399</v>
      </c>
      <c r="M1036">
        <v>25</v>
      </c>
      <c r="N1036" s="3">
        <v>4800</v>
      </c>
      <c r="O1036" s="3">
        <v>9600</v>
      </c>
      <c r="P1036" t="s">
        <v>34</v>
      </c>
      <c r="Q1036" t="s">
        <v>82</v>
      </c>
      <c r="R1036" t="s">
        <v>36</v>
      </c>
      <c r="S1036" t="s">
        <v>269</v>
      </c>
      <c r="T1036" t="s">
        <v>652</v>
      </c>
      <c r="U1036" t="s">
        <v>39</v>
      </c>
      <c r="V1036" t="s">
        <v>315</v>
      </c>
      <c r="W1036">
        <v>3.2</v>
      </c>
      <c r="X1036" t="s">
        <v>106</v>
      </c>
      <c r="Y1036" t="s">
        <v>42</v>
      </c>
      <c r="Z1036">
        <v>3</v>
      </c>
    </row>
    <row r="1037" spans="1:26">
      <c r="A1037" t="s">
        <v>1966</v>
      </c>
      <c r="B1037" t="s">
        <v>574</v>
      </c>
      <c r="C1037" t="s">
        <v>28</v>
      </c>
      <c r="D1037" t="s">
        <v>46</v>
      </c>
      <c r="E1037" s="1">
        <v>44268</v>
      </c>
      <c r="F1037" t="s">
        <v>47</v>
      </c>
      <c r="G1037" t="s">
        <v>121</v>
      </c>
      <c r="H1037" t="s">
        <v>111</v>
      </c>
      <c r="I1037">
        <v>7</v>
      </c>
      <c r="J1037" t="s">
        <v>88</v>
      </c>
      <c r="K1037">
        <v>1</v>
      </c>
      <c r="L1037" s="3">
        <v>5899</v>
      </c>
      <c r="M1037">
        <v>10</v>
      </c>
      <c r="N1037" s="3">
        <v>5310</v>
      </c>
      <c r="O1037" s="3">
        <v>5310</v>
      </c>
      <c r="P1037" t="s">
        <v>81</v>
      </c>
      <c r="Q1037" t="s">
        <v>35</v>
      </c>
      <c r="R1037" t="s">
        <v>36</v>
      </c>
      <c r="S1037" t="s">
        <v>384</v>
      </c>
      <c r="T1037" t="s">
        <v>481</v>
      </c>
      <c r="U1037" t="s">
        <v>91</v>
      </c>
      <c r="V1037" t="s">
        <v>315</v>
      </c>
      <c r="W1037">
        <v>4.8</v>
      </c>
      <c r="X1037" t="s">
        <v>41</v>
      </c>
      <c r="Y1037" t="s">
        <v>42</v>
      </c>
      <c r="Z1037">
        <v>2</v>
      </c>
    </row>
    <row r="1038" spans="1:26">
      <c r="A1038" t="s">
        <v>1967</v>
      </c>
      <c r="B1038" t="s">
        <v>1968</v>
      </c>
      <c r="C1038" t="s">
        <v>45</v>
      </c>
      <c r="D1038" t="s">
        <v>46</v>
      </c>
      <c r="E1038" s="1">
        <v>44268</v>
      </c>
      <c r="F1038" t="s">
        <v>86</v>
      </c>
      <c r="G1038" t="s">
        <v>285</v>
      </c>
      <c r="H1038" t="s">
        <v>111</v>
      </c>
      <c r="I1038">
        <v>7</v>
      </c>
      <c r="J1038" t="s">
        <v>150</v>
      </c>
      <c r="K1038">
        <v>2</v>
      </c>
      <c r="L1038" s="3">
        <v>5699</v>
      </c>
      <c r="M1038">
        <v>0</v>
      </c>
      <c r="N1038" s="3">
        <v>5700</v>
      </c>
      <c r="O1038" s="3">
        <v>11400</v>
      </c>
      <c r="P1038" t="s">
        <v>34</v>
      </c>
      <c r="Q1038" t="s">
        <v>51</v>
      </c>
      <c r="R1038" t="s">
        <v>36</v>
      </c>
      <c r="S1038" t="s">
        <v>156</v>
      </c>
      <c r="T1038" t="s">
        <v>157</v>
      </c>
      <c r="U1038" t="s">
        <v>124</v>
      </c>
      <c r="V1038" t="s">
        <v>40</v>
      </c>
      <c r="W1038">
        <v>4.0999999999999996</v>
      </c>
      <c r="X1038" t="s">
        <v>41</v>
      </c>
      <c r="Y1038" t="s">
        <v>55</v>
      </c>
      <c r="Z1038">
        <v>2</v>
      </c>
    </row>
    <row r="1039" spans="1:26">
      <c r="A1039" t="s">
        <v>1969</v>
      </c>
      <c r="B1039" t="s">
        <v>1376</v>
      </c>
      <c r="C1039" t="s">
        <v>94</v>
      </c>
      <c r="D1039" t="s">
        <v>103</v>
      </c>
      <c r="E1039" s="1">
        <v>44269</v>
      </c>
      <c r="F1039" t="s">
        <v>47</v>
      </c>
      <c r="G1039" t="s">
        <v>140</v>
      </c>
      <c r="H1039" t="s">
        <v>128</v>
      </c>
      <c r="I1039">
        <v>9</v>
      </c>
      <c r="J1039" t="s">
        <v>67</v>
      </c>
      <c r="K1039">
        <v>1</v>
      </c>
      <c r="L1039" s="3">
        <v>3899</v>
      </c>
      <c r="M1039">
        <v>15</v>
      </c>
      <c r="N1039" s="3">
        <v>3310</v>
      </c>
      <c r="O1039" s="3">
        <v>3310</v>
      </c>
      <c r="P1039" t="s">
        <v>74</v>
      </c>
      <c r="Q1039" t="s">
        <v>35</v>
      </c>
      <c r="R1039" t="s">
        <v>36</v>
      </c>
      <c r="S1039" t="s">
        <v>164</v>
      </c>
      <c r="T1039" t="s">
        <v>165</v>
      </c>
      <c r="U1039" t="s">
        <v>61</v>
      </c>
      <c r="V1039" t="s">
        <v>969</v>
      </c>
      <c r="W1039">
        <v>3.8</v>
      </c>
      <c r="X1039" t="s">
        <v>41</v>
      </c>
      <c r="Y1039" t="s">
        <v>55</v>
      </c>
      <c r="Z1039">
        <v>2</v>
      </c>
    </row>
    <row r="1040" spans="1:26">
      <c r="A1040" t="s">
        <v>1970</v>
      </c>
      <c r="B1040" t="s">
        <v>1059</v>
      </c>
      <c r="C1040" t="s">
        <v>45</v>
      </c>
      <c r="D1040" t="s">
        <v>103</v>
      </c>
      <c r="E1040" s="1">
        <v>44270</v>
      </c>
      <c r="F1040" t="s">
        <v>96</v>
      </c>
      <c r="G1040" t="s">
        <v>171</v>
      </c>
      <c r="H1040" t="s">
        <v>128</v>
      </c>
      <c r="I1040">
        <v>10</v>
      </c>
      <c r="J1040" t="s">
        <v>33</v>
      </c>
      <c r="K1040">
        <v>2</v>
      </c>
      <c r="L1040" s="3">
        <v>7399</v>
      </c>
      <c r="M1040">
        <v>30</v>
      </c>
      <c r="N1040" s="3">
        <v>5180</v>
      </c>
      <c r="O1040" s="3">
        <v>10360</v>
      </c>
      <c r="P1040" t="s">
        <v>74</v>
      </c>
      <c r="Q1040" t="s">
        <v>82</v>
      </c>
      <c r="R1040" t="s">
        <v>36</v>
      </c>
      <c r="S1040" t="s">
        <v>286</v>
      </c>
      <c r="T1040" t="s">
        <v>768</v>
      </c>
      <c r="U1040" t="s">
        <v>61</v>
      </c>
      <c r="V1040" t="s">
        <v>969</v>
      </c>
      <c r="W1040">
        <v>3.9</v>
      </c>
      <c r="X1040" t="s">
        <v>41</v>
      </c>
      <c r="Y1040" t="s">
        <v>42</v>
      </c>
      <c r="Z1040">
        <v>1</v>
      </c>
    </row>
    <row r="1041" spans="1:26">
      <c r="A1041" t="s">
        <v>1971</v>
      </c>
      <c r="B1041" t="s">
        <v>1285</v>
      </c>
      <c r="C1041" t="s">
        <v>94</v>
      </c>
      <c r="D1041" t="s">
        <v>95</v>
      </c>
      <c r="E1041" s="1">
        <v>44273</v>
      </c>
      <c r="F1041" t="s">
        <v>30</v>
      </c>
      <c r="G1041" t="s">
        <v>110</v>
      </c>
      <c r="H1041" t="s">
        <v>111</v>
      </c>
      <c r="I1041">
        <v>8</v>
      </c>
      <c r="J1041" t="s">
        <v>150</v>
      </c>
      <c r="K1041">
        <v>1</v>
      </c>
      <c r="L1041" s="3">
        <v>9299</v>
      </c>
      <c r="M1041">
        <v>25</v>
      </c>
      <c r="N1041" s="3">
        <v>6970</v>
      </c>
      <c r="O1041" s="3">
        <v>6970</v>
      </c>
      <c r="P1041" t="s">
        <v>34</v>
      </c>
      <c r="Q1041" t="s">
        <v>82</v>
      </c>
      <c r="R1041" t="s">
        <v>36</v>
      </c>
      <c r="S1041" t="s">
        <v>75</v>
      </c>
      <c r="T1041" t="s">
        <v>318</v>
      </c>
      <c r="U1041" t="s">
        <v>91</v>
      </c>
      <c r="V1041" t="s">
        <v>315</v>
      </c>
      <c r="W1041">
        <v>4.0999999999999996</v>
      </c>
      <c r="X1041" t="s">
        <v>41</v>
      </c>
      <c r="Y1041" t="s">
        <v>42</v>
      </c>
      <c r="Z1041">
        <v>3</v>
      </c>
    </row>
    <row r="1042" spans="1:26">
      <c r="A1042" t="s">
        <v>1972</v>
      </c>
      <c r="B1042" t="s">
        <v>1973</v>
      </c>
      <c r="C1042" t="s">
        <v>28</v>
      </c>
      <c r="D1042" t="s">
        <v>103</v>
      </c>
      <c r="E1042" s="1">
        <v>44276</v>
      </c>
      <c r="F1042" t="s">
        <v>30</v>
      </c>
      <c r="G1042" t="s">
        <v>58</v>
      </c>
      <c r="H1042" t="s">
        <v>59</v>
      </c>
      <c r="I1042">
        <v>6</v>
      </c>
      <c r="J1042" t="s">
        <v>73</v>
      </c>
      <c r="K1042">
        <v>1</v>
      </c>
      <c r="L1042" s="3">
        <v>7999</v>
      </c>
      <c r="M1042">
        <v>20</v>
      </c>
      <c r="N1042" s="3">
        <v>6400</v>
      </c>
      <c r="O1042" s="3">
        <v>6400</v>
      </c>
      <c r="P1042" t="s">
        <v>74</v>
      </c>
      <c r="Q1042" t="s">
        <v>51</v>
      </c>
      <c r="R1042" t="s">
        <v>36</v>
      </c>
      <c r="S1042" t="s">
        <v>338</v>
      </c>
      <c r="T1042" t="s">
        <v>338</v>
      </c>
      <c r="U1042" t="s">
        <v>61</v>
      </c>
      <c r="V1042" t="s">
        <v>40</v>
      </c>
      <c r="W1042">
        <v>4.0999999999999996</v>
      </c>
      <c r="X1042" t="s">
        <v>106</v>
      </c>
      <c r="Y1042" t="s">
        <v>42</v>
      </c>
      <c r="Z1042">
        <v>4</v>
      </c>
    </row>
    <row r="1043" spans="1:26">
      <c r="A1043" t="s">
        <v>1974</v>
      </c>
      <c r="B1043" t="s">
        <v>1334</v>
      </c>
      <c r="C1043" t="s">
        <v>94</v>
      </c>
      <c r="D1043" t="s">
        <v>109</v>
      </c>
      <c r="E1043" s="1">
        <v>44279</v>
      </c>
      <c r="F1043" t="s">
        <v>79</v>
      </c>
      <c r="G1043" t="s">
        <v>80</v>
      </c>
      <c r="H1043" t="s">
        <v>59</v>
      </c>
      <c r="I1043">
        <v>7</v>
      </c>
      <c r="J1043" t="s">
        <v>67</v>
      </c>
      <c r="K1043">
        <v>2</v>
      </c>
      <c r="L1043" s="3">
        <v>6699</v>
      </c>
      <c r="M1043">
        <v>5</v>
      </c>
      <c r="N1043" s="3">
        <v>6360</v>
      </c>
      <c r="O1043" s="3">
        <v>12720</v>
      </c>
      <c r="P1043" t="s">
        <v>74</v>
      </c>
      <c r="Q1043" t="s">
        <v>35</v>
      </c>
      <c r="R1043" t="s">
        <v>36</v>
      </c>
      <c r="S1043" t="s">
        <v>186</v>
      </c>
      <c r="T1043" t="s">
        <v>341</v>
      </c>
      <c r="U1043" t="s">
        <v>124</v>
      </c>
      <c r="V1043" t="s">
        <v>315</v>
      </c>
      <c r="W1043">
        <v>3.9</v>
      </c>
      <c r="X1043" t="s">
        <v>41</v>
      </c>
      <c r="Y1043" t="s">
        <v>42</v>
      </c>
      <c r="Z1043">
        <v>5</v>
      </c>
    </row>
    <row r="1044" spans="1:26">
      <c r="A1044" t="s">
        <v>1975</v>
      </c>
      <c r="B1044" t="s">
        <v>1976</v>
      </c>
      <c r="C1044" t="s">
        <v>45</v>
      </c>
      <c r="D1044" t="s">
        <v>46</v>
      </c>
      <c r="E1044" s="1">
        <v>44279</v>
      </c>
      <c r="F1044" t="s">
        <v>79</v>
      </c>
      <c r="G1044" t="s">
        <v>80</v>
      </c>
      <c r="H1044" t="s">
        <v>59</v>
      </c>
      <c r="I1044">
        <v>7</v>
      </c>
      <c r="J1044" t="s">
        <v>33</v>
      </c>
      <c r="K1044">
        <v>3</v>
      </c>
      <c r="L1044" s="3">
        <v>7999</v>
      </c>
      <c r="M1044">
        <v>20</v>
      </c>
      <c r="N1044" s="3">
        <v>6400</v>
      </c>
      <c r="O1044" s="3">
        <v>19200</v>
      </c>
      <c r="P1044" t="s">
        <v>74</v>
      </c>
      <c r="Q1044" t="s">
        <v>82</v>
      </c>
      <c r="R1044" t="s">
        <v>36</v>
      </c>
      <c r="S1044" t="s">
        <v>68</v>
      </c>
      <c r="T1044" t="s">
        <v>400</v>
      </c>
      <c r="U1044" t="s">
        <v>54</v>
      </c>
      <c r="V1044" t="s">
        <v>40</v>
      </c>
      <c r="W1044">
        <v>3.3</v>
      </c>
      <c r="X1044" t="s">
        <v>106</v>
      </c>
      <c r="Y1044" t="s">
        <v>42</v>
      </c>
      <c r="Z1044">
        <v>4</v>
      </c>
    </row>
    <row r="1045" spans="1:26">
      <c r="A1045" t="s">
        <v>1977</v>
      </c>
      <c r="B1045" t="s">
        <v>1887</v>
      </c>
      <c r="C1045" t="s">
        <v>28</v>
      </c>
      <c r="D1045" t="s">
        <v>95</v>
      </c>
      <c r="E1045" s="1">
        <v>44280</v>
      </c>
      <c r="F1045" t="s">
        <v>96</v>
      </c>
      <c r="G1045" t="s">
        <v>97</v>
      </c>
      <c r="H1045" t="s">
        <v>49</v>
      </c>
      <c r="I1045">
        <v>9</v>
      </c>
      <c r="J1045" t="s">
        <v>88</v>
      </c>
      <c r="K1045">
        <v>2</v>
      </c>
      <c r="L1045" s="3">
        <v>5899</v>
      </c>
      <c r="M1045">
        <v>20</v>
      </c>
      <c r="N1045" s="3">
        <v>4720</v>
      </c>
      <c r="O1045" s="3">
        <v>9440</v>
      </c>
      <c r="P1045" t="s">
        <v>81</v>
      </c>
      <c r="Q1045" t="s">
        <v>82</v>
      </c>
      <c r="R1045" t="s">
        <v>36</v>
      </c>
      <c r="S1045" t="s">
        <v>52</v>
      </c>
      <c r="T1045" t="s">
        <v>235</v>
      </c>
      <c r="U1045" t="s">
        <v>39</v>
      </c>
      <c r="V1045" t="s">
        <v>315</v>
      </c>
      <c r="W1045">
        <v>4.7</v>
      </c>
      <c r="X1045" t="s">
        <v>41</v>
      </c>
      <c r="Y1045" t="s">
        <v>42</v>
      </c>
      <c r="Z1045">
        <v>2</v>
      </c>
    </row>
    <row r="1046" spans="1:26">
      <c r="A1046" t="s">
        <v>1978</v>
      </c>
      <c r="B1046" t="s">
        <v>1509</v>
      </c>
      <c r="C1046" t="s">
        <v>45</v>
      </c>
      <c r="D1046" t="s">
        <v>109</v>
      </c>
      <c r="E1046" s="1">
        <v>44280</v>
      </c>
      <c r="F1046" t="s">
        <v>30</v>
      </c>
      <c r="G1046" t="s">
        <v>58</v>
      </c>
      <c r="H1046" t="s">
        <v>59</v>
      </c>
      <c r="I1046">
        <v>11</v>
      </c>
      <c r="J1046" t="s">
        <v>73</v>
      </c>
      <c r="K1046">
        <v>1</v>
      </c>
      <c r="L1046" s="3">
        <v>8999</v>
      </c>
      <c r="M1046">
        <v>15</v>
      </c>
      <c r="N1046" s="3">
        <v>7650</v>
      </c>
      <c r="O1046" s="3">
        <v>7650</v>
      </c>
      <c r="P1046" t="s">
        <v>34</v>
      </c>
      <c r="Q1046" t="s">
        <v>51</v>
      </c>
      <c r="R1046" t="s">
        <v>36</v>
      </c>
      <c r="S1046" t="s">
        <v>238</v>
      </c>
      <c r="T1046" t="s">
        <v>377</v>
      </c>
      <c r="U1046" t="s">
        <v>124</v>
      </c>
      <c r="V1046" t="s">
        <v>315</v>
      </c>
      <c r="W1046">
        <v>4.7</v>
      </c>
      <c r="X1046" t="s">
        <v>106</v>
      </c>
      <c r="Y1046" t="s">
        <v>55</v>
      </c>
      <c r="Z1046">
        <v>3</v>
      </c>
    </row>
    <row r="1047" spans="1:26">
      <c r="A1047" t="s">
        <v>1979</v>
      </c>
      <c r="B1047" t="s">
        <v>1141</v>
      </c>
      <c r="C1047" t="s">
        <v>28</v>
      </c>
      <c r="D1047" t="s">
        <v>46</v>
      </c>
      <c r="E1047" s="1">
        <v>44281</v>
      </c>
      <c r="F1047" t="s">
        <v>65</v>
      </c>
      <c r="G1047" t="s">
        <v>365</v>
      </c>
      <c r="H1047" t="s">
        <v>49</v>
      </c>
      <c r="I1047">
        <v>12</v>
      </c>
      <c r="J1047" t="s">
        <v>98</v>
      </c>
      <c r="K1047">
        <v>1</v>
      </c>
      <c r="L1047" s="3">
        <v>4099</v>
      </c>
      <c r="M1047">
        <v>10</v>
      </c>
      <c r="N1047" s="3">
        <v>3690</v>
      </c>
      <c r="O1047" s="3">
        <v>3690</v>
      </c>
      <c r="P1047" t="s">
        <v>74</v>
      </c>
      <c r="Q1047" t="s">
        <v>82</v>
      </c>
      <c r="R1047" t="s">
        <v>36</v>
      </c>
      <c r="S1047" t="s">
        <v>141</v>
      </c>
      <c r="T1047" t="s">
        <v>362</v>
      </c>
      <c r="U1047" t="s">
        <v>54</v>
      </c>
      <c r="V1047" t="s">
        <v>315</v>
      </c>
      <c r="W1047">
        <v>3.3</v>
      </c>
      <c r="X1047" t="s">
        <v>41</v>
      </c>
      <c r="Y1047" t="s">
        <v>42</v>
      </c>
      <c r="Z1047">
        <v>7</v>
      </c>
    </row>
    <row r="1048" spans="1:26">
      <c r="A1048" t="s">
        <v>1980</v>
      </c>
      <c r="B1048" t="s">
        <v>701</v>
      </c>
      <c r="C1048" t="s">
        <v>28</v>
      </c>
      <c r="D1048" t="s">
        <v>46</v>
      </c>
      <c r="E1048" s="1">
        <v>44281</v>
      </c>
      <c r="F1048" t="s">
        <v>79</v>
      </c>
      <c r="G1048" t="s">
        <v>517</v>
      </c>
      <c r="H1048" t="s">
        <v>59</v>
      </c>
      <c r="I1048">
        <v>10</v>
      </c>
      <c r="J1048" t="s">
        <v>150</v>
      </c>
      <c r="K1048">
        <v>2</v>
      </c>
      <c r="L1048" s="3">
        <v>7699</v>
      </c>
      <c r="M1048">
        <v>25</v>
      </c>
      <c r="N1048" s="3">
        <v>5770</v>
      </c>
      <c r="O1048" s="3">
        <v>11540</v>
      </c>
      <c r="P1048" t="s">
        <v>34</v>
      </c>
      <c r="Q1048" t="s">
        <v>35</v>
      </c>
      <c r="R1048" t="s">
        <v>36</v>
      </c>
      <c r="S1048" t="s">
        <v>112</v>
      </c>
      <c r="T1048" t="s">
        <v>265</v>
      </c>
      <c r="U1048" t="s">
        <v>54</v>
      </c>
      <c r="V1048" t="s">
        <v>315</v>
      </c>
      <c r="W1048">
        <v>4.7</v>
      </c>
      <c r="X1048" t="s">
        <v>41</v>
      </c>
      <c r="Y1048" t="s">
        <v>55</v>
      </c>
      <c r="Z1048">
        <v>2</v>
      </c>
    </row>
    <row r="1049" spans="1:26">
      <c r="A1049" t="s">
        <v>1981</v>
      </c>
      <c r="B1049" t="s">
        <v>561</v>
      </c>
      <c r="C1049" t="s">
        <v>28</v>
      </c>
      <c r="D1049" t="s">
        <v>29</v>
      </c>
      <c r="E1049" s="1">
        <v>44283</v>
      </c>
      <c r="F1049" t="s">
        <v>65</v>
      </c>
      <c r="G1049" t="s">
        <v>365</v>
      </c>
      <c r="H1049" t="s">
        <v>49</v>
      </c>
      <c r="I1049">
        <v>10</v>
      </c>
      <c r="J1049" t="s">
        <v>98</v>
      </c>
      <c r="K1049">
        <v>1</v>
      </c>
      <c r="L1049" s="3">
        <v>5599</v>
      </c>
      <c r="M1049">
        <v>10</v>
      </c>
      <c r="N1049" s="3">
        <v>5040</v>
      </c>
      <c r="O1049" s="3">
        <v>5040</v>
      </c>
      <c r="P1049" t="s">
        <v>50</v>
      </c>
      <c r="Q1049" t="s">
        <v>51</v>
      </c>
      <c r="R1049" t="s">
        <v>36</v>
      </c>
      <c r="S1049" t="s">
        <v>89</v>
      </c>
      <c r="T1049" t="s">
        <v>1982</v>
      </c>
      <c r="U1049" t="s">
        <v>54</v>
      </c>
      <c r="V1049" t="s">
        <v>315</v>
      </c>
      <c r="W1049">
        <v>3.7</v>
      </c>
      <c r="X1049" t="s">
        <v>41</v>
      </c>
      <c r="Y1049" t="s">
        <v>42</v>
      </c>
      <c r="Z1049">
        <v>4</v>
      </c>
    </row>
    <row r="1050" spans="1:26">
      <c r="A1050" t="s">
        <v>1983</v>
      </c>
      <c r="B1050" t="s">
        <v>552</v>
      </c>
      <c r="C1050" t="s">
        <v>28</v>
      </c>
      <c r="D1050" t="s">
        <v>103</v>
      </c>
      <c r="E1050" s="1">
        <v>44283</v>
      </c>
      <c r="F1050" t="s">
        <v>47</v>
      </c>
      <c r="G1050" t="s">
        <v>218</v>
      </c>
      <c r="H1050" t="s">
        <v>59</v>
      </c>
      <c r="I1050">
        <v>9</v>
      </c>
      <c r="J1050" t="s">
        <v>98</v>
      </c>
      <c r="K1050">
        <v>1</v>
      </c>
      <c r="L1050" s="3">
        <v>6399</v>
      </c>
      <c r="M1050">
        <v>15</v>
      </c>
      <c r="N1050" s="3">
        <v>5440</v>
      </c>
      <c r="O1050" s="3">
        <v>5440</v>
      </c>
      <c r="P1050" t="s">
        <v>74</v>
      </c>
      <c r="Q1050" t="s">
        <v>51</v>
      </c>
      <c r="R1050" t="s">
        <v>36</v>
      </c>
      <c r="S1050" t="s">
        <v>182</v>
      </c>
      <c r="T1050" t="s">
        <v>183</v>
      </c>
      <c r="U1050" t="s">
        <v>61</v>
      </c>
      <c r="V1050" t="s">
        <v>969</v>
      </c>
      <c r="W1050">
        <v>4.3</v>
      </c>
      <c r="X1050" t="s">
        <v>41</v>
      </c>
      <c r="Y1050" t="s">
        <v>55</v>
      </c>
      <c r="Z1050">
        <v>2</v>
      </c>
    </row>
    <row r="1051" spans="1:26">
      <c r="A1051" t="s">
        <v>1984</v>
      </c>
      <c r="B1051" t="s">
        <v>1569</v>
      </c>
      <c r="C1051" t="s">
        <v>28</v>
      </c>
      <c r="D1051" t="s">
        <v>109</v>
      </c>
      <c r="E1051" s="1">
        <v>44287</v>
      </c>
      <c r="F1051" t="s">
        <v>86</v>
      </c>
      <c r="G1051" t="s">
        <v>285</v>
      </c>
      <c r="H1051" t="s">
        <v>111</v>
      </c>
      <c r="I1051">
        <v>8</v>
      </c>
      <c r="J1051" t="s">
        <v>73</v>
      </c>
      <c r="K1051">
        <v>1</v>
      </c>
      <c r="L1051" s="3">
        <v>5699</v>
      </c>
      <c r="M1051">
        <v>10</v>
      </c>
      <c r="N1051" s="3">
        <v>5130</v>
      </c>
      <c r="O1051" s="3">
        <v>5130</v>
      </c>
      <c r="P1051" t="s">
        <v>74</v>
      </c>
      <c r="Q1051" t="s">
        <v>51</v>
      </c>
      <c r="R1051" t="s">
        <v>36</v>
      </c>
      <c r="S1051" t="s">
        <v>122</v>
      </c>
      <c r="T1051" t="s">
        <v>123</v>
      </c>
      <c r="U1051" t="s">
        <v>124</v>
      </c>
      <c r="V1051" t="s">
        <v>315</v>
      </c>
      <c r="W1051">
        <v>4.0999999999999996</v>
      </c>
      <c r="X1051" t="s">
        <v>41</v>
      </c>
      <c r="Y1051" t="s">
        <v>42</v>
      </c>
      <c r="Z1051">
        <v>7</v>
      </c>
    </row>
    <row r="1052" spans="1:26">
      <c r="A1052" t="s">
        <v>1985</v>
      </c>
      <c r="B1052" t="s">
        <v>340</v>
      </c>
      <c r="C1052" t="s">
        <v>28</v>
      </c>
      <c r="D1052" t="s">
        <v>46</v>
      </c>
      <c r="E1052" s="1">
        <v>44287</v>
      </c>
      <c r="F1052" t="s">
        <v>86</v>
      </c>
      <c r="G1052" t="s">
        <v>242</v>
      </c>
      <c r="H1052" t="s">
        <v>32</v>
      </c>
      <c r="I1052">
        <v>8</v>
      </c>
      <c r="J1052" t="s">
        <v>67</v>
      </c>
      <c r="K1052">
        <v>1</v>
      </c>
      <c r="L1052" s="3">
        <v>9999</v>
      </c>
      <c r="M1052">
        <v>20</v>
      </c>
      <c r="N1052" s="3">
        <v>8000</v>
      </c>
      <c r="O1052" s="3">
        <v>8000</v>
      </c>
      <c r="P1052" t="s">
        <v>34</v>
      </c>
      <c r="Q1052" t="s">
        <v>82</v>
      </c>
      <c r="R1052" t="s">
        <v>36</v>
      </c>
      <c r="S1052" t="s">
        <v>52</v>
      </c>
      <c r="T1052" t="s">
        <v>235</v>
      </c>
      <c r="U1052" t="s">
        <v>54</v>
      </c>
      <c r="V1052" t="s">
        <v>315</v>
      </c>
      <c r="W1052">
        <v>4.8</v>
      </c>
      <c r="X1052" t="s">
        <v>106</v>
      </c>
      <c r="Y1052" t="s">
        <v>147</v>
      </c>
      <c r="Z1052">
        <v>1</v>
      </c>
    </row>
    <row r="1053" spans="1:26">
      <c r="A1053" t="s">
        <v>1986</v>
      </c>
      <c r="B1053" t="s">
        <v>505</v>
      </c>
      <c r="C1053" t="s">
        <v>45</v>
      </c>
      <c r="D1053" t="s">
        <v>29</v>
      </c>
      <c r="E1053" s="1">
        <v>44289</v>
      </c>
      <c r="F1053" t="s">
        <v>86</v>
      </c>
      <c r="G1053" t="s">
        <v>312</v>
      </c>
      <c r="H1053" t="s">
        <v>59</v>
      </c>
      <c r="I1053">
        <v>8</v>
      </c>
      <c r="J1053" t="s">
        <v>73</v>
      </c>
      <c r="K1053">
        <v>1</v>
      </c>
      <c r="L1053" s="3">
        <v>9199</v>
      </c>
      <c r="M1053">
        <v>30</v>
      </c>
      <c r="N1053" s="3">
        <v>6440</v>
      </c>
      <c r="O1053" s="3">
        <v>6440</v>
      </c>
      <c r="P1053" t="s">
        <v>74</v>
      </c>
      <c r="Q1053" t="s">
        <v>82</v>
      </c>
      <c r="R1053" t="s">
        <v>36</v>
      </c>
      <c r="S1053" t="s">
        <v>99</v>
      </c>
      <c r="T1053" t="s">
        <v>759</v>
      </c>
      <c r="U1053" t="s">
        <v>91</v>
      </c>
      <c r="V1053" t="s">
        <v>315</v>
      </c>
      <c r="W1053">
        <v>4.3</v>
      </c>
      <c r="X1053" t="s">
        <v>41</v>
      </c>
      <c r="Y1053" t="s">
        <v>42</v>
      </c>
      <c r="Z1053">
        <v>4</v>
      </c>
    </row>
    <row r="1054" spans="1:26">
      <c r="A1054" t="s">
        <v>1987</v>
      </c>
      <c r="B1054" t="s">
        <v>1988</v>
      </c>
      <c r="C1054" t="s">
        <v>28</v>
      </c>
      <c r="D1054" t="s">
        <v>46</v>
      </c>
      <c r="E1054" s="1">
        <v>44291</v>
      </c>
      <c r="F1054" t="s">
        <v>79</v>
      </c>
      <c r="G1054" t="s">
        <v>480</v>
      </c>
      <c r="H1054" t="s">
        <v>111</v>
      </c>
      <c r="I1054">
        <v>9</v>
      </c>
      <c r="J1054" t="s">
        <v>73</v>
      </c>
      <c r="K1054">
        <v>1</v>
      </c>
      <c r="L1054" s="3">
        <v>6999</v>
      </c>
      <c r="M1054">
        <v>10</v>
      </c>
      <c r="N1054" s="3">
        <v>6300</v>
      </c>
      <c r="O1054" s="3">
        <v>6300</v>
      </c>
      <c r="P1054" t="s">
        <v>81</v>
      </c>
      <c r="Q1054" t="s">
        <v>51</v>
      </c>
      <c r="R1054" t="s">
        <v>36</v>
      </c>
      <c r="S1054" t="s">
        <v>297</v>
      </c>
      <c r="T1054" t="s">
        <v>390</v>
      </c>
      <c r="U1054" t="s">
        <v>54</v>
      </c>
      <c r="V1054" t="s">
        <v>40</v>
      </c>
      <c r="W1054">
        <v>5</v>
      </c>
      <c r="X1054" t="s">
        <v>41</v>
      </c>
      <c r="Y1054" t="s">
        <v>147</v>
      </c>
      <c r="Z1054">
        <v>1</v>
      </c>
    </row>
    <row r="1055" spans="1:26">
      <c r="A1055" t="s">
        <v>1989</v>
      </c>
      <c r="B1055" t="s">
        <v>1990</v>
      </c>
      <c r="C1055" t="s">
        <v>28</v>
      </c>
      <c r="D1055" t="s">
        <v>95</v>
      </c>
      <c r="E1055" s="1">
        <v>44291</v>
      </c>
      <c r="F1055" t="s">
        <v>86</v>
      </c>
      <c r="G1055" t="s">
        <v>242</v>
      </c>
      <c r="H1055" t="s">
        <v>32</v>
      </c>
      <c r="I1055">
        <v>12</v>
      </c>
      <c r="J1055" t="s">
        <v>33</v>
      </c>
      <c r="K1055">
        <v>2</v>
      </c>
      <c r="L1055" s="3">
        <v>9099</v>
      </c>
      <c r="M1055">
        <v>0</v>
      </c>
      <c r="N1055" s="3">
        <v>9100</v>
      </c>
      <c r="O1055" s="3">
        <v>18200</v>
      </c>
      <c r="P1055" t="s">
        <v>74</v>
      </c>
      <c r="Q1055" t="s">
        <v>35</v>
      </c>
      <c r="R1055" t="s">
        <v>36</v>
      </c>
      <c r="S1055" t="s">
        <v>164</v>
      </c>
      <c r="T1055" t="s">
        <v>314</v>
      </c>
      <c r="U1055" t="s">
        <v>124</v>
      </c>
      <c r="V1055" t="s">
        <v>40</v>
      </c>
      <c r="W1055">
        <v>2.9</v>
      </c>
      <c r="X1055" t="s">
        <v>62</v>
      </c>
      <c r="Y1055" t="s">
        <v>55</v>
      </c>
      <c r="Z1055">
        <v>3</v>
      </c>
    </row>
    <row r="1056" spans="1:26">
      <c r="A1056" t="s">
        <v>1991</v>
      </c>
      <c r="B1056" t="s">
        <v>1992</v>
      </c>
      <c r="C1056" t="s">
        <v>45</v>
      </c>
      <c r="D1056" t="s">
        <v>95</v>
      </c>
      <c r="E1056" s="1">
        <v>44295</v>
      </c>
      <c r="F1056" t="s">
        <v>86</v>
      </c>
      <c r="G1056" t="s">
        <v>312</v>
      </c>
      <c r="H1056" t="s">
        <v>59</v>
      </c>
      <c r="I1056">
        <v>8</v>
      </c>
      <c r="J1056" t="s">
        <v>98</v>
      </c>
      <c r="K1056">
        <v>1</v>
      </c>
      <c r="L1056" s="3">
        <v>9699</v>
      </c>
      <c r="M1056">
        <v>25</v>
      </c>
      <c r="N1056" s="3">
        <v>7270</v>
      </c>
      <c r="O1056" s="3">
        <v>7270</v>
      </c>
      <c r="P1056" t="s">
        <v>34</v>
      </c>
      <c r="Q1056" t="s">
        <v>35</v>
      </c>
      <c r="R1056" t="s">
        <v>36</v>
      </c>
      <c r="S1056" t="s">
        <v>168</v>
      </c>
      <c r="T1056" t="s">
        <v>168</v>
      </c>
      <c r="U1056" t="s">
        <v>61</v>
      </c>
      <c r="V1056" t="s">
        <v>40</v>
      </c>
      <c r="W1056">
        <v>4.8</v>
      </c>
      <c r="X1056" t="s">
        <v>106</v>
      </c>
      <c r="Y1056" t="s">
        <v>42</v>
      </c>
      <c r="Z1056">
        <v>2</v>
      </c>
    </row>
    <row r="1057" spans="1:26">
      <c r="A1057" t="s">
        <v>1993</v>
      </c>
      <c r="B1057" t="s">
        <v>1137</v>
      </c>
      <c r="C1057" t="s">
        <v>94</v>
      </c>
      <c r="D1057" t="s">
        <v>103</v>
      </c>
      <c r="E1057" s="1">
        <v>44296</v>
      </c>
      <c r="F1057" t="s">
        <v>65</v>
      </c>
      <c r="G1057" t="s">
        <v>365</v>
      </c>
      <c r="H1057" t="s">
        <v>49</v>
      </c>
      <c r="I1057">
        <v>12</v>
      </c>
      <c r="J1057" t="s">
        <v>88</v>
      </c>
      <c r="K1057">
        <v>1</v>
      </c>
      <c r="L1057" s="3">
        <v>7099</v>
      </c>
      <c r="M1057">
        <v>10</v>
      </c>
      <c r="N1057" s="3">
        <v>6390</v>
      </c>
      <c r="O1057" s="3">
        <v>6390</v>
      </c>
      <c r="P1057" t="s">
        <v>74</v>
      </c>
      <c r="Q1057" t="s">
        <v>51</v>
      </c>
      <c r="R1057" t="s">
        <v>36</v>
      </c>
      <c r="S1057" t="s">
        <v>200</v>
      </c>
      <c r="T1057" t="s">
        <v>232</v>
      </c>
      <c r="U1057" t="s">
        <v>124</v>
      </c>
      <c r="V1057" t="s">
        <v>315</v>
      </c>
      <c r="W1057">
        <v>4.3</v>
      </c>
      <c r="X1057" t="s">
        <v>62</v>
      </c>
      <c r="Y1057" t="s">
        <v>42</v>
      </c>
      <c r="Z1057">
        <v>1</v>
      </c>
    </row>
    <row r="1058" spans="1:26">
      <c r="A1058" t="s">
        <v>1994</v>
      </c>
      <c r="B1058" t="s">
        <v>1995</v>
      </c>
      <c r="C1058" t="s">
        <v>28</v>
      </c>
      <c r="D1058" t="s">
        <v>46</v>
      </c>
      <c r="E1058" s="1">
        <v>44298</v>
      </c>
      <c r="F1058" t="s">
        <v>86</v>
      </c>
      <c r="G1058" t="s">
        <v>116</v>
      </c>
      <c r="H1058" t="s">
        <v>49</v>
      </c>
      <c r="I1058">
        <v>9</v>
      </c>
      <c r="J1058" t="s">
        <v>67</v>
      </c>
      <c r="K1058">
        <v>1</v>
      </c>
      <c r="L1058" s="3">
        <v>4299</v>
      </c>
      <c r="M1058">
        <v>15</v>
      </c>
      <c r="N1058" s="3">
        <v>3650</v>
      </c>
      <c r="O1058" s="3">
        <v>3650</v>
      </c>
      <c r="P1058" t="s">
        <v>34</v>
      </c>
      <c r="Q1058" t="s">
        <v>35</v>
      </c>
      <c r="R1058" t="s">
        <v>36</v>
      </c>
      <c r="S1058" t="s">
        <v>168</v>
      </c>
      <c r="T1058" t="s">
        <v>168</v>
      </c>
      <c r="U1058" t="s">
        <v>39</v>
      </c>
      <c r="V1058" t="s">
        <v>40</v>
      </c>
      <c r="W1058">
        <v>3.4</v>
      </c>
      <c r="X1058" t="s">
        <v>41</v>
      </c>
      <c r="Y1058" t="s">
        <v>42</v>
      </c>
      <c r="Z1058">
        <v>3</v>
      </c>
    </row>
    <row r="1059" spans="1:26">
      <c r="A1059" t="s">
        <v>1996</v>
      </c>
      <c r="B1059" t="s">
        <v>1326</v>
      </c>
      <c r="C1059" t="s">
        <v>28</v>
      </c>
      <c r="D1059" t="s">
        <v>103</v>
      </c>
      <c r="E1059" s="1">
        <v>44299</v>
      </c>
      <c r="F1059" t="s">
        <v>79</v>
      </c>
      <c r="G1059" t="s">
        <v>174</v>
      </c>
      <c r="H1059" t="s">
        <v>32</v>
      </c>
      <c r="I1059">
        <v>10</v>
      </c>
      <c r="J1059" t="s">
        <v>73</v>
      </c>
      <c r="K1059">
        <v>1</v>
      </c>
      <c r="L1059" s="3">
        <v>4599</v>
      </c>
      <c r="M1059">
        <v>25</v>
      </c>
      <c r="N1059" s="3">
        <v>3450</v>
      </c>
      <c r="O1059" s="3">
        <v>3450</v>
      </c>
      <c r="P1059" t="s">
        <v>81</v>
      </c>
      <c r="Q1059" t="s">
        <v>51</v>
      </c>
      <c r="R1059" t="s">
        <v>36</v>
      </c>
      <c r="S1059" t="s">
        <v>297</v>
      </c>
      <c r="T1059" t="s">
        <v>351</v>
      </c>
      <c r="U1059" t="s">
        <v>54</v>
      </c>
      <c r="V1059" t="s">
        <v>315</v>
      </c>
      <c r="W1059">
        <v>4</v>
      </c>
      <c r="X1059" t="s">
        <v>41</v>
      </c>
      <c r="Y1059" t="s">
        <v>42</v>
      </c>
      <c r="Z1059">
        <v>4</v>
      </c>
    </row>
    <row r="1060" spans="1:26">
      <c r="A1060" t="s">
        <v>1997</v>
      </c>
      <c r="B1060" t="s">
        <v>748</v>
      </c>
      <c r="C1060" t="s">
        <v>45</v>
      </c>
      <c r="D1060" t="s">
        <v>95</v>
      </c>
      <c r="E1060" s="1">
        <v>44300</v>
      </c>
      <c r="F1060" t="s">
        <v>86</v>
      </c>
      <c r="G1060" t="s">
        <v>312</v>
      </c>
      <c r="H1060" t="s">
        <v>59</v>
      </c>
      <c r="I1060">
        <v>7</v>
      </c>
      <c r="J1060" t="s">
        <v>150</v>
      </c>
      <c r="K1060">
        <v>1</v>
      </c>
      <c r="L1060" s="3">
        <v>8299</v>
      </c>
      <c r="M1060">
        <v>25</v>
      </c>
      <c r="N1060" s="3">
        <v>6220</v>
      </c>
      <c r="O1060" s="3">
        <v>6220</v>
      </c>
      <c r="P1060" t="s">
        <v>34</v>
      </c>
      <c r="Q1060" t="s">
        <v>35</v>
      </c>
      <c r="R1060" t="s">
        <v>36</v>
      </c>
      <c r="S1060" t="s">
        <v>160</v>
      </c>
      <c r="T1060" t="s">
        <v>160</v>
      </c>
      <c r="U1060" t="s">
        <v>124</v>
      </c>
      <c r="V1060" t="s">
        <v>315</v>
      </c>
      <c r="W1060">
        <v>3.1</v>
      </c>
      <c r="X1060" t="s">
        <v>106</v>
      </c>
      <c r="Y1060" t="s">
        <v>55</v>
      </c>
      <c r="Z1060">
        <v>2</v>
      </c>
    </row>
    <row r="1061" spans="1:26">
      <c r="A1061" t="s">
        <v>1998</v>
      </c>
      <c r="B1061" t="s">
        <v>1229</v>
      </c>
      <c r="C1061" t="s">
        <v>28</v>
      </c>
      <c r="D1061" t="s">
        <v>46</v>
      </c>
      <c r="E1061" s="1">
        <v>44301</v>
      </c>
      <c r="F1061" t="s">
        <v>65</v>
      </c>
      <c r="G1061" t="s">
        <v>268</v>
      </c>
      <c r="H1061" t="s">
        <v>128</v>
      </c>
      <c r="I1061">
        <v>6</v>
      </c>
      <c r="J1061" t="s">
        <v>73</v>
      </c>
      <c r="K1061">
        <v>1</v>
      </c>
      <c r="L1061" s="3">
        <v>3999</v>
      </c>
      <c r="M1061">
        <v>15</v>
      </c>
      <c r="N1061" s="3">
        <v>3400</v>
      </c>
      <c r="O1061" s="3">
        <v>3400</v>
      </c>
      <c r="P1061" t="s">
        <v>74</v>
      </c>
      <c r="Q1061" t="s">
        <v>35</v>
      </c>
      <c r="R1061" t="s">
        <v>36</v>
      </c>
      <c r="S1061" t="s">
        <v>269</v>
      </c>
      <c r="T1061" t="s">
        <v>652</v>
      </c>
      <c r="U1061" t="s">
        <v>61</v>
      </c>
      <c r="V1061" t="s">
        <v>315</v>
      </c>
      <c r="W1061">
        <v>3.4</v>
      </c>
      <c r="X1061" t="s">
        <v>41</v>
      </c>
      <c r="Y1061" t="s">
        <v>42</v>
      </c>
      <c r="Z1061">
        <v>5</v>
      </c>
    </row>
    <row r="1062" spans="1:26">
      <c r="A1062" t="s">
        <v>1999</v>
      </c>
      <c r="B1062" t="s">
        <v>1126</v>
      </c>
      <c r="C1062" t="s">
        <v>28</v>
      </c>
      <c r="D1062" t="s">
        <v>95</v>
      </c>
      <c r="E1062" s="1">
        <v>44302</v>
      </c>
      <c r="F1062" t="s">
        <v>30</v>
      </c>
      <c r="G1062" t="s">
        <v>145</v>
      </c>
      <c r="H1062" t="s">
        <v>59</v>
      </c>
      <c r="I1062">
        <v>10</v>
      </c>
      <c r="J1062" t="s">
        <v>150</v>
      </c>
      <c r="K1062">
        <v>1</v>
      </c>
      <c r="L1062" s="3">
        <v>8099</v>
      </c>
      <c r="M1062">
        <v>30</v>
      </c>
      <c r="N1062" s="3">
        <v>5670</v>
      </c>
      <c r="O1062" s="3">
        <v>5670</v>
      </c>
      <c r="P1062" t="s">
        <v>34</v>
      </c>
      <c r="Q1062" t="s">
        <v>82</v>
      </c>
      <c r="R1062" t="s">
        <v>36</v>
      </c>
      <c r="S1062" t="s">
        <v>122</v>
      </c>
      <c r="T1062" t="s">
        <v>304</v>
      </c>
      <c r="U1062" t="s">
        <v>91</v>
      </c>
      <c r="V1062" t="s">
        <v>315</v>
      </c>
      <c r="W1062">
        <v>3.9</v>
      </c>
      <c r="X1062" t="s">
        <v>41</v>
      </c>
      <c r="Y1062" t="s">
        <v>42</v>
      </c>
      <c r="Z1062">
        <v>5</v>
      </c>
    </row>
    <row r="1063" spans="1:26">
      <c r="A1063" t="s">
        <v>2000</v>
      </c>
      <c r="B1063" t="s">
        <v>808</v>
      </c>
      <c r="C1063" t="s">
        <v>28</v>
      </c>
      <c r="D1063" t="s">
        <v>95</v>
      </c>
      <c r="E1063" s="1">
        <v>44303</v>
      </c>
      <c r="F1063" t="s">
        <v>79</v>
      </c>
      <c r="G1063" t="s">
        <v>517</v>
      </c>
      <c r="H1063" t="s">
        <v>59</v>
      </c>
      <c r="I1063">
        <v>10</v>
      </c>
      <c r="J1063" t="s">
        <v>150</v>
      </c>
      <c r="K1063">
        <v>1</v>
      </c>
      <c r="L1063" s="3">
        <v>3499</v>
      </c>
      <c r="M1063">
        <v>10</v>
      </c>
      <c r="N1063" s="3">
        <v>3150</v>
      </c>
      <c r="O1063" s="3">
        <v>3150</v>
      </c>
      <c r="P1063" t="s">
        <v>74</v>
      </c>
      <c r="Q1063" t="s">
        <v>51</v>
      </c>
      <c r="R1063" t="s">
        <v>36</v>
      </c>
      <c r="S1063" t="s">
        <v>99</v>
      </c>
      <c r="T1063" t="s">
        <v>100</v>
      </c>
      <c r="U1063" t="s">
        <v>61</v>
      </c>
      <c r="V1063" t="s">
        <v>315</v>
      </c>
      <c r="W1063">
        <v>4.4000000000000004</v>
      </c>
      <c r="X1063" t="s">
        <v>106</v>
      </c>
      <c r="Y1063" t="s">
        <v>55</v>
      </c>
      <c r="Z1063">
        <v>1</v>
      </c>
    </row>
    <row r="1064" spans="1:26">
      <c r="A1064" t="s">
        <v>2001</v>
      </c>
      <c r="B1064" t="s">
        <v>621</v>
      </c>
      <c r="C1064" t="s">
        <v>28</v>
      </c>
      <c r="D1064" t="s">
        <v>103</v>
      </c>
      <c r="E1064" s="1">
        <v>44303</v>
      </c>
      <c r="F1064" t="s">
        <v>79</v>
      </c>
      <c r="G1064" t="s">
        <v>127</v>
      </c>
      <c r="H1064" t="s">
        <v>128</v>
      </c>
      <c r="I1064">
        <v>6</v>
      </c>
      <c r="J1064" t="s">
        <v>98</v>
      </c>
      <c r="K1064">
        <v>1</v>
      </c>
      <c r="L1064" s="3">
        <v>5199</v>
      </c>
      <c r="M1064">
        <v>25</v>
      </c>
      <c r="N1064" s="3">
        <v>3900</v>
      </c>
      <c r="O1064" s="3">
        <v>3900</v>
      </c>
      <c r="P1064" t="s">
        <v>34</v>
      </c>
      <c r="Q1064" t="s">
        <v>35</v>
      </c>
      <c r="R1064" t="s">
        <v>36</v>
      </c>
      <c r="S1064" t="s">
        <v>156</v>
      </c>
      <c r="T1064" t="s">
        <v>324</v>
      </c>
      <c r="U1064" t="s">
        <v>91</v>
      </c>
      <c r="V1064" t="s">
        <v>315</v>
      </c>
      <c r="W1064">
        <v>3.8</v>
      </c>
      <c r="X1064" t="s">
        <v>41</v>
      </c>
      <c r="Y1064" t="s">
        <v>42</v>
      </c>
      <c r="Z1064">
        <v>3</v>
      </c>
    </row>
    <row r="1065" spans="1:26">
      <c r="A1065" t="s">
        <v>2002</v>
      </c>
      <c r="B1065" t="s">
        <v>2003</v>
      </c>
      <c r="C1065" t="s">
        <v>94</v>
      </c>
      <c r="D1065" t="s">
        <v>46</v>
      </c>
      <c r="E1065" s="1">
        <v>44305</v>
      </c>
      <c r="F1065" t="s">
        <v>65</v>
      </c>
      <c r="G1065" t="s">
        <v>365</v>
      </c>
      <c r="H1065" t="s">
        <v>49</v>
      </c>
      <c r="I1065">
        <v>7</v>
      </c>
      <c r="J1065" t="s">
        <v>73</v>
      </c>
      <c r="K1065">
        <v>1</v>
      </c>
      <c r="L1065" s="3">
        <v>3299</v>
      </c>
      <c r="M1065">
        <v>30</v>
      </c>
      <c r="N1065" s="3">
        <v>2310</v>
      </c>
      <c r="O1065" s="3">
        <v>2310</v>
      </c>
      <c r="P1065" t="s">
        <v>74</v>
      </c>
      <c r="Q1065" t="s">
        <v>51</v>
      </c>
      <c r="R1065" t="s">
        <v>36</v>
      </c>
      <c r="S1065" t="s">
        <v>210</v>
      </c>
      <c r="T1065" t="s">
        <v>415</v>
      </c>
      <c r="U1065" t="s">
        <v>124</v>
      </c>
      <c r="V1065" t="s">
        <v>40</v>
      </c>
      <c r="W1065">
        <v>5</v>
      </c>
      <c r="X1065" t="s">
        <v>106</v>
      </c>
      <c r="Y1065" t="s">
        <v>42</v>
      </c>
      <c r="Z1065">
        <v>4</v>
      </c>
    </row>
    <row r="1066" spans="1:26">
      <c r="A1066" t="s">
        <v>2004</v>
      </c>
      <c r="B1066" t="s">
        <v>1294</v>
      </c>
      <c r="C1066" t="s">
        <v>28</v>
      </c>
      <c r="D1066" t="s">
        <v>46</v>
      </c>
      <c r="E1066" s="1">
        <v>44306</v>
      </c>
      <c r="F1066" t="s">
        <v>86</v>
      </c>
      <c r="G1066" t="s">
        <v>116</v>
      </c>
      <c r="H1066" t="s">
        <v>49</v>
      </c>
      <c r="I1066">
        <v>11</v>
      </c>
      <c r="J1066" t="s">
        <v>33</v>
      </c>
      <c r="K1066">
        <v>1</v>
      </c>
      <c r="L1066" s="3">
        <v>7099</v>
      </c>
      <c r="M1066">
        <v>15</v>
      </c>
      <c r="N1066" s="3">
        <v>6030</v>
      </c>
      <c r="O1066" s="3">
        <v>6030</v>
      </c>
      <c r="P1066" t="s">
        <v>74</v>
      </c>
      <c r="Q1066" t="s">
        <v>51</v>
      </c>
      <c r="R1066" t="s">
        <v>36</v>
      </c>
      <c r="S1066" t="s">
        <v>297</v>
      </c>
      <c r="T1066" t="s">
        <v>566</v>
      </c>
      <c r="U1066" t="s">
        <v>54</v>
      </c>
      <c r="V1066" t="s">
        <v>315</v>
      </c>
      <c r="W1066">
        <v>3.7</v>
      </c>
      <c r="X1066" t="s">
        <v>41</v>
      </c>
      <c r="Y1066" t="s">
        <v>147</v>
      </c>
      <c r="Z1066">
        <v>1</v>
      </c>
    </row>
    <row r="1067" spans="1:26">
      <c r="A1067" t="s">
        <v>2005</v>
      </c>
      <c r="B1067" t="s">
        <v>835</v>
      </c>
      <c r="C1067" t="s">
        <v>45</v>
      </c>
      <c r="D1067" t="s">
        <v>29</v>
      </c>
      <c r="E1067" s="1">
        <v>44309</v>
      </c>
      <c r="F1067" t="s">
        <v>79</v>
      </c>
      <c r="G1067" t="s">
        <v>80</v>
      </c>
      <c r="H1067" t="s">
        <v>59</v>
      </c>
      <c r="I1067">
        <v>10</v>
      </c>
      <c r="J1067" t="s">
        <v>33</v>
      </c>
      <c r="K1067">
        <v>2</v>
      </c>
      <c r="L1067" s="3">
        <v>7999</v>
      </c>
      <c r="M1067">
        <v>20</v>
      </c>
      <c r="N1067" s="3">
        <v>6400</v>
      </c>
      <c r="O1067" s="3">
        <v>12800</v>
      </c>
      <c r="P1067" t="s">
        <v>34</v>
      </c>
      <c r="Q1067" t="s">
        <v>82</v>
      </c>
      <c r="R1067" t="s">
        <v>36</v>
      </c>
      <c r="S1067" t="s">
        <v>182</v>
      </c>
      <c r="T1067" t="s">
        <v>309</v>
      </c>
      <c r="U1067" t="s">
        <v>91</v>
      </c>
      <c r="V1067" t="s">
        <v>315</v>
      </c>
      <c r="W1067">
        <v>3.5</v>
      </c>
      <c r="X1067" t="s">
        <v>41</v>
      </c>
      <c r="Y1067" t="s">
        <v>55</v>
      </c>
      <c r="Z1067">
        <v>4</v>
      </c>
    </row>
    <row r="1068" spans="1:26">
      <c r="A1068" t="s">
        <v>2006</v>
      </c>
      <c r="B1068" t="s">
        <v>660</v>
      </c>
      <c r="C1068" t="s">
        <v>45</v>
      </c>
      <c r="D1068" t="s">
        <v>46</v>
      </c>
      <c r="E1068" s="1">
        <v>44310</v>
      </c>
      <c r="F1068" t="s">
        <v>47</v>
      </c>
      <c r="G1068" t="s">
        <v>48</v>
      </c>
      <c r="H1068" t="s">
        <v>49</v>
      </c>
      <c r="I1068">
        <v>8</v>
      </c>
      <c r="J1068" t="s">
        <v>33</v>
      </c>
      <c r="K1068">
        <v>1</v>
      </c>
      <c r="L1068" s="3">
        <v>3699</v>
      </c>
      <c r="M1068">
        <v>10</v>
      </c>
      <c r="N1068" s="3">
        <v>3330</v>
      </c>
      <c r="O1068" s="3">
        <v>3330</v>
      </c>
      <c r="P1068" t="s">
        <v>34</v>
      </c>
      <c r="Q1068" t="s">
        <v>82</v>
      </c>
      <c r="R1068" t="s">
        <v>36</v>
      </c>
      <c r="S1068" t="s">
        <v>195</v>
      </c>
      <c r="T1068" t="s">
        <v>428</v>
      </c>
      <c r="U1068" t="s">
        <v>54</v>
      </c>
      <c r="V1068" t="s">
        <v>315</v>
      </c>
      <c r="W1068">
        <v>4.4000000000000004</v>
      </c>
      <c r="X1068" t="s">
        <v>41</v>
      </c>
      <c r="Y1068" t="s">
        <v>147</v>
      </c>
      <c r="Z1068">
        <v>1</v>
      </c>
    </row>
    <row r="1069" spans="1:26">
      <c r="A1069" t="s">
        <v>2007</v>
      </c>
      <c r="B1069" t="s">
        <v>1374</v>
      </c>
      <c r="C1069" t="s">
        <v>28</v>
      </c>
      <c r="D1069" t="s">
        <v>46</v>
      </c>
      <c r="E1069" s="1">
        <v>44310</v>
      </c>
      <c r="F1069" t="s">
        <v>47</v>
      </c>
      <c r="G1069" t="s">
        <v>48</v>
      </c>
      <c r="H1069" t="s">
        <v>49</v>
      </c>
      <c r="I1069">
        <v>8</v>
      </c>
      <c r="J1069" t="s">
        <v>67</v>
      </c>
      <c r="K1069">
        <v>1</v>
      </c>
      <c r="L1069" s="3">
        <v>7099</v>
      </c>
      <c r="M1069">
        <v>0</v>
      </c>
      <c r="N1069" s="3">
        <v>7100</v>
      </c>
      <c r="O1069" s="3">
        <v>7100</v>
      </c>
      <c r="P1069" t="s">
        <v>81</v>
      </c>
      <c r="Q1069" t="s">
        <v>82</v>
      </c>
      <c r="R1069" t="s">
        <v>36</v>
      </c>
      <c r="S1069" t="s">
        <v>141</v>
      </c>
      <c r="T1069" t="s">
        <v>362</v>
      </c>
      <c r="U1069" t="s">
        <v>61</v>
      </c>
      <c r="V1069" t="s">
        <v>315</v>
      </c>
      <c r="W1069">
        <v>3.9</v>
      </c>
      <c r="X1069" t="s">
        <v>41</v>
      </c>
      <c r="Y1069" t="s">
        <v>55</v>
      </c>
      <c r="Z1069">
        <v>4</v>
      </c>
    </row>
    <row r="1070" spans="1:26">
      <c r="A1070" t="s">
        <v>2008</v>
      </c>
      <c r="B1070" t="s">
        <v>1497</v>
      </c>
      <c r="C1070" t="s">
        <v>45</v>
      </c>
      <c r="D1070" t="s">
        <v>46</v>
      </c>
      <c r="E1070" s="1">
        <v>44311</v>
      </c>
      <c r="F1070" t="s">
        <v>96</v>
      </c>
      <c r="G1070" t="s">
        <v>323</v>
      </c>
      <c r="H1070" t="s">
        <v>59</v>
      </c>
      <c r="I1070">
        <v>7</v>
      </c>
      <c r="J1070" t="s">
        <v>33</v>
      </c>
      <c r="K1070">
        <v>3</v>
      </c>
      <c r="L1070" s="3">
        <v>5699</v>
      </c>
      <c r="M1070">
        <v>20</v>
      </c>
      <c r="N1070" s="3">
        <v>4560</v>
      </c>
      <c r="O1070" s="3">
        <v>13680</v>
      </c>
      <c r="P1070" t="s">
        <v>34</v>
      </c>
      <c r="Q1070" t="s">
        <v>82</v>
      </c>
      <c r="R1070" t="s">
        <v>36</v>
      </c>
      <c r="S1070" t="s">
        <v>182</v>
      </c>
      <c r="T1070" t="s">
        <v>604</v>
      </c>
      <c r="U1070" t="s">
        <v>39</v>
      </c>
      <c r="V1070" t="s">
        <v>315</v>
      </c>
      <c r="W1070">
        <v>3.5</v>
      </c>
      <c r="X1070" t="s">
        <v>41</v>
      </c>
      <c r="Y1070" t="s">
        <v>42</v>
      </c>
      <c r="Z1070">
        <v>2</v>
      </c>
    </row>
    <row r="1071" spans="1:26">
      <c r="A1071" t="s">
        <v>2009</v>
      </c>
      <c r="B1071" t="s">
        <v>406</v>
      </c>
      <c r="C1071" t="s">
        <v>28</v>
      </c>
      <c r="D1071" t="s">
        <v>46</v>
      </c>
      <c r="E1071" s="1">
        <v>44312</v>
      </c>
      <c r="F1071" t="s">
        <v>96</v>
      </c>
      <c r="G1071" t="s">
        <v>171</v>
      </c>
      <c r="H1071" t="s">
        <v>128</v>
      </c>
      <c r="I1071">
        <v>10</v>
      </c>
      <c r="J1071" t="s">
        <v>73</v>
      </c>
      <c r="K1071">
        <v>1</v>
      </c>
      <c r="L1071" s="3">
        <v>8299</v>
      </c>
      <c r="M1071">
        <v>20</v>
      </c>
      <c r="N1071" s="3">
        <v>6640</v>
      </c>
      <c r="O1071" s="3">
        <v>6640</v>
      </c>
      <c r="P1071" t="s">
        <v>74</v>
      </c>
      <c r="Q1071" t="s">
        <v>51</v>
      </c>
      <c r="R1071" t="s">
        <v>36</v>
      </c>
      <c r="S1071" t="s">
        <v>186</v>
      </c>
      <c r="T1071" t="s">
        <v>222</v>
      </c>
      <c r="U1071" t="s">
        <v>61</v>
      </c>
      <c r="V1071" t="s">
        <v>969</v>
      </c>
      <c r="W1071">
        <v>5</v>
      </c>
      <c r="X1071" t="s">
        <v>41</v>
      </c>
      <c r="Y1071" t="s">
        <v>55</v>
      </c>
      <c r="Z1071">
        <v>2</v>
      </c>
    </row>
    <row r="1072" spans="1:26">
      <c r="A1072" t="s">
        <v>2010</v>
      </c>
      <c r="B1072" t="s">
        <v>1429</v>
      </c>
      <c r="C1072" t="s">
        <v>28</v>
      </c>
      <c r="D1072" t="s">
        <v>46</v>
      </c>
      <c r="E1072" s="1">
        <v>44313</v>
      </c>
      <c r="F1072" t="s">
        <v>96</v>
      </c>
      <c r="G1072" t="s">
        <v>290</v>
      </c>
      <c r="H1072" t="s">
        <v>32</v>
      </c>
      <c r="I1072">
        <v>11</v>
      </c>
      <c r="J1072" t="s">
        <v>33</v>
      </c>
      <c r="K1072">
        <v>1</v>
      </c>
      <c r="L1072" s="3">
        <v>5199</v>
      </c>
      <c r="M1072">
        <v>30</v>
      </c>
      <c r="N1072" s="3">
        <v>3640</v>
      </c>
      <c r="O1072" s="3">
        <v>3640</v>
      </c>
      <c r="P1072" t="s">
        <v>74</v>
      </c>
      <c r="Q1072" t="s">
        <v>51</v>
      </c>
      <c r="R1072" t="s">
        <v>36</v>
      </c>
      <c r="S1072" t="s">
        <v>384</v>
      </c>
      <c r="T1072" t="s">
        <v>385</v>
      </c>
      <c r="U1072" t="s">
        <v>124</v>
      </c>
      <c r="V1072" t="s">
        <v>315</v>
      </c>
      <c r="W1072">
        <v>4.7</v>
      </c>
      <c r="X1072" t="s">
        <v>106</v>
      </c>
      <c r="Y1072" t="s">
        <v>42</v>
      </c>
      <c r="Z1072">
        <v>2</v>
      </c>
    </row>
    <row r="1073" spans="1:26">
      <c r="A1073" t="s">
        <v>2011</v>
      </c>
      <c r="B1073" t="s">
        <v>2012</v>
      </c>
      <c r="C1073" t="s">
        <v>45</v>
      </c>
      <c r="D1073" t="s">
        <v>29</v>
      </c>
      <c r="E1073" s="1">
        <v>44313</v>
      </c>
      <c r="F1073" t="s">
        <v>79</v>
      </c>
      <c r="G1073" t="s">
        <v>127</v>
      </c>
      <c r="H1073" t="s">
        <v>128</v>
      </c>
      <c r="I1073">
        <v>9</v>
      </c>
      <c r="J1073" t="s">
        <v>33</v>
      </c>
      <c r="K1073">
        <v>1</v>
      </c>
      <c r="L1073" s="3">
        <v>6699</v>
      </c>
      <c r="M1073">
        <v>10</v>
      </c>
      <c r="N1073" s="3">
        <v>6030</v>
      </c>
      <c r="O1073" s="3">
        <v>6030</v>
      </c>
      <c r="P1073" t="s">
        <v>81</v>
      </c>
      <c r="Q1073" t="s">
        <v>82</v>
      </c>
      <c r="R1073" t="s">
        <v>36</v>
      </c>
      <c r="S1073" t="s">
        <v>141</v>
      </c>
      <c r="T1073" t="s">
        <v>294</v>
      </c>
      <c r="U1073" t="s">
        <v>91</v>
      </c>
      <c r="V1073" t="s">
        <v>40</v>
      </c>
      <c r="W1073">
        <v>5</v>
      </c>
      <c r="X1073" t="s">
        <v>41</v>
      </c>
      <c r="Y1073" t="s">
        <v>42</v>
      </c>
      <c r="Z1073">
        <v>6</v>
      </c>
    </row>
    <row r="1074" spans="1:26">
      <c r="A1074" t="s">
        <v>2013</v>
      </c>
      <c r="B1074" t="s">
        <v>967</v>
      </c>
      <c r="C1074" t="s">
        <v>45</v>
      </c>
      <c r="D1074" t="s">
        <v>29</v>
      </c>
      <c r="E1074" s="1">
        <v>44313</v>
      </c>
      <c r="F1074" t="s">
        <v>30</v>
      </c>
      <c r="G1074" t="s">
        <v>110</v>
      </c>
      <c r="H1074" t="s">
        <v>111</v>
      </c>
      <c r="I1074">
        <v>8</v>
      </c>
      <c r="J1074" t="s">
        <v>150</v>
      </c>
      <c r="K1074">
        <v>1</v>
      </c>
      <c r="L1074" s="3">
        <v>5399</v>
      </c>
      <c r="M1074">
        <v>25</v>
      </c>
      <c r="N1074" s="3">
        <v>4050</v>
      </c>
      <c r="O1074" s="3">
        <v>4050</v>
      </c>
      <c r="P1074" t="s">
        <v>74</v>
      </c>
      <c r="Q1074" t="s">
        <v>35</v>
      </c>
      <c r="R1074" t="s">
        <v>36</v>
      </c>
      <c r="S1074" t="s">
        <v>238</v>
      </c>
      <c r="T1074" t="s">
        <v>377</v>
      </c>
      <c r="U1074" t="s">
        <v>124</v>
      </c>
      <c r="V1074" t="s">
        <v>315</v>
      </c>
      <c r="W1074">
        <v>3.5</v>
      </c>
      <c r="X1074" t="s">
        <v>41</v>
      </c>
      <c r="Y1074" t="s">
        <v>42</v>
      </c>
      <c r="Z1074">
        <v>4</v>
      </c>
    </row>
    <row r="1075" spans="1:26">
      <c r="A1075" t="s">
        <v>2014</v>
      </c>
      <c r="B1075" t="s">
        <v>1580</v>
      </c>
      <c r="C1075" t="s">
        <v>45</v>
      </c>
      <c r="D1075" t="s">
        <v>109</v>
      </c>
      <c r="E1075" s="1">
        <v>44314</v>
      </c>
      <c r="F1075" t="s">
        <v>86</v>
      </c>
      <c r="G1075" t="s">
        <v>312</v>
      </c>
      <c r="H1075" t="s">
        <v>59</v>
      </c>
      <c r="I1075">
        <v>11</v>
      </c>
      <c r="J1075" t="s">
        <v>33</v>
      </c>
      <c r="K1075">
        <v>1</v>
      </c>
      <c r="L1075" s="3">
        <v>6999</v>
      </c>
      <c r="M1075">
        <v>10</v>
      </c>
      <c r="N1075" s="3">
        <v>6300</v>
      </c>
      <c r="O1075" s="3">
        <v>6300</v>
      </c>
      <c r="P1075" t="s">
        <v>74</v>
      </c>
      <c r="Q1075" t="s">
        <v>51</v>
      </c>
      <c r="R1075" t="s">
        <v>36</v>
      </c>
      <c r="S1075" t="s">
        <v>168</v>
      </c>
      <c r="T1075" t="s">
        <v>557</v>
      </c>
      <c r="U1075" t="s">
        <v>61</v>
      </c>
      <c r="V1075" t="s">
        <v>315</v>
      </c>
      <c r="W1075">
        <v>4.7</v>
      </c>
      <c r="X1075" t="s">
        <v>62</v>
      </c>
      <c r="Y1075" t="s">
        <v>42</v>
      </c>
      <c r="Z1075">
        <v>2</v>
      </c>
    </row>
    <row r="1076" spans="1:26">
      <c r="A1076" t="s">
        <v>2015</v>
      </c>
      <c r="B1076" t="s">
        <v>767</v>
      </c>
      <c r="C1076" t="s">
        <v>94</v>
      </c>
      <c r="D1076" t="s">
        <v>103</v>
      </c>
      <c r="E1076" s="1">
        <v>44314</v>
      </c>
      <c r="F1076" t="s">
        <v>96</v>
      </c>
      <c r="G1076" t="s">
        <v>171</v>
      </c>
      <c r="H1076" t="s">
        <v>128</v>
      </c>
      <c r="I1076">
        <v>11</v>
      </c>
      <c r="J1076" t="s">
        <v>88</v>
      </c>
      <c r="K1076">
        <v>1</v>
      </c>
      <c r="L1076" s="3">
        <v>3999</v>
      </c>
      <c r="M1076">
        <v>0</v>
      </c>
      <c r="N1076" s="3">
        <v>4000</v>
      </c>
      <c r="O1076" s="3">
        <v>4000</v>
      </c>
      <c r="P1076" t="s">
        <v>34</v>
      </c>
      <c r="Q1076" t="s">
        <v>35</v>
      </c>
      <c r="R1076" t="s">
        <v>36</v>
      </c>
      <c r="S1076" t="s">
        <v>191</v>
      </c>
      <c r="T1076" t="s">
        <v>521</v>
      </c>
      <c r="U1076" t="s">
        <v>61</v>
      </c>
      <c r="V1076" t="s">
        <v>315</v>
      </c>
      <c r="W1076">
        <v>3</v>
      </c>
      <c r="X1076" t="s">
        <v>41</v>
      </c>
      <c r="Y1076" t="s">
        <v>147</v>
      </c>
      <c r="Z1076">
        <v>1</v>
      </c>
    </row>
    <row r="1077" spans="1:26">
      <c r="A1077" t="s">
        <v>2016</v>
      </c>
      <c r="B1077" t="s">
        <v>2017</v>
      </c>
      <c r="C1077" t="s">
        <v>45</v>
      </c>
      <c r="D1077" t="s">
        <v>29</v>
      </c>
      <c r="E1077" s="1">
        <v>44317</v>
      </c>
      <c r="F1077" t="s">
        <v>79</v>
      </c>
      <c r="G1077" t="s">
        <v>80</v>
      </c>
      <c r="H1077" t="s">
        <v>59</v>
      </c>
      <c r="I1077">
        <v>8</v>
      </c>
      <c r="J1077" t="s">
        <v>98</v>
      </c>
      <c r="K1077">
        <v>2</v>
      </c>
      <c r="L1077" s="3">
        <v>7999</v>
      </c>
      <c r="M1077">
        <v>10</v>
      </c>
      <c r="N1077" s="3">
        <v>7200</v>
      </c>
      <c r="O1077" s="3">
        <v>14400</v>
      </c>
      <c r="P1077" t="s">
        <v>34</v>
      </c>
      <c r="Q1077" t="s">
        <v>51</v>
      </c>
      <c r="R1077" t="s">
        <v>36</v>
      </c>
      <c r="S1077" t="s">
        <v>354</v>
      </c>
      <c r="T1077" t="s">
        <v>518</v>
      </c>
      <c r="U1077" t="s">
        <v>91</v>
      </c>
      <c r="V1077" t="s">
        <v>40</v>
      </c>
      <c r="W1077">
        <v>4.5999999999999996</v>
      </c>
      <c r="X1077" t="s">
        <v>106</v>
      </c>
      <c r="Y1077" t="s">
        <v>42</v>
      </c>
      <c r="Z1077">
        <v>3</v>
      </c>
    </row>
    <row r="1078" spans="1:26">
      <c r="A1078" t="s">
        <v>2018</v>
      </c>
      <c r="B1078" t="s">
        <v>941</v>
      </c>
      <c r="C1078" t="s">
        <v>28</v>
      </c>
      <c r="D1078" t="s">
        <v>46</v>
      </c>
      <c r="E1078" s="1">
        <v>44318</v>
      </c>
      <c r="F1078" t="s">
        <v>96</v>
      </c>
      <c r="G1078" t="s">
        <v>228</v>
      </c>
      <c r="H1078" t="s">
        <v>59</v>
      </c>
      <c r="I1078">
        <v>7</v>
      </c>
      <c r="J1078" t="s">
        <v>150</v>
      </c>
      <c r="K1078">
        <v>1</v>
      </c>
      <c r="L1078" s="3">
        <v>6399</v>
      </c>
      <c r="M1078">
        <v>15</v>
      </c>
      <c r="N1078" s="3">
        <v>5440</v>
      </c>
      <c r="O1078" s="3">
        <v>5440</v>
      </c>
      <c r="P1078" t="s">
        <v>74</v>
      </c>
      <c r="Q1078" t="s">
        <v>35</v>
      </c>
      <c r="R1078" t="s">
        <v>36</v>
      </c>
      <c r="S1078" t="s">
        <v>210</v>
      </c>
      <c r="T1078" t="s">
        <v>680</v>
      </c>
      <c r="U1078" t="s">
        <v>124</v>
      </c>
      <c r="V1078" t="s">
        <v>315</v>
      </c>
      <c r="W1078">
        <v>4.5999999999999996</v>
      </c>
      <c r="X1078" t="s">
        <v>106</v>
      </c>
      <c r="Y1078" t="s">
        <v>55</v>
      </c>
      <c r="Z1078">
        <v>3</v>
      </c>
    </row>
    <row r="1079" spans="1:26">
      <c r="A1079" t="s">
        <v>2019</v>
      </c>
      <c r="B1079" t="s">
        <v>889</v>
      </c>
      <c r="C1079" t="s">
        <v>45</v>
      </c>
      <c r="D1079" t="s">
        <v>46</v>
      </c>
      <c r="E1079" s="1">
        <v>44318</v>
      </c>
      <c r="F1079" t="s">
        <v>30</v>
      </c>
      <c r="G1079" t="s">
        <v>347</v>
      </c>
      <c r="H1079" t="s">
        <v>49</v>
      </c>
      <c r="I1079">
        <v>11</v>
      </c>
      <c r="J1079" t="s">
        <v>73</v>
      </c>
      <c r="K1079">
        <v>1</v>
      </c>
      <c r="L1079" s="3">
        <v>7599</v>
      </c>
      <c r="M1079">
        <v>10</v>
      </c>
      <c r="N1079" s="3">
        <v>6840</v>
      </c>
      <c r="O1079" s="3">
        <v>6840</v>
      </c>
      <c r="P1079" t="s">
        <v>74</v>
      </c>
      <c r="Q1079" t="s">
        <v>51</v>
      </c>
      <c r="R1079" t="s">
        <v>36</v>
      </c>
      <c r="S1079" t="s">
        <v>68</v>
      </c>
      <c r="T1079" t="s">
        <v>811</v>
      </c>
      <c r="U1079" t="s">
        <v>39</v>
      </c>
      <c r="V1079" t="s">
        <v>315</v>
      </c>
      <c r="W1079">
        <v>4.0999999999999996</v>
      </c>
      <c r="X1079" t="s">
        <v>41</v>
      </c>
      <c r="Y1079" t="s">
        <v>42</v>
      </c>
      <c r="Z1079">
        <v>3</v>
      </c>
    </row>
    <row r="1080" spans="1:26">
      <c r="A1080" t="s">
        <v>2020</v>
      </c>
      <c r="B1080" t="s">
        <v>2021</v>
      </c>
      <c r="C1080" t="s">
        <v>45</v>
      </c>
      <c r="D1080" t="s">
        <v>29</v>
      </c>
      <c r="E1080" s="1">
        <v>44318</v>
      </c>
      <c r="F1080" t="s">
        <v>47</v>
      </c>
      <c r="G1080" t="s">
        <v>218</v>
      </c>
      <c r="H1080" t="s">
        <v>59</v>
      </c>
      <c r="I1080">
        <v>9</v>
      </c>
      <c r="J1080" t="s">
        <v>73</v>
      </c>
      <c r="K1080">
        <v>1</v>
      </c>
      <c r="L1080" s="3">
        <v>4599</v>
      </c>
      <c r="M1080">
        <v>25</v>
      </c>
      <c r="N1080" s="3">
        <v>3450</v>
      </c>
      <c r="O1080" s="3">
        <v>3450</v>
      </c>
      <c r="P1080" t="s">
        <v>34</v>
      </c>
      <c r="Q1080" t="s">
        <v>51</v>
      </c>
      <c r="R1080" t="s">
        <v>36</v>
      </c>
      <c r="S1080" t="s">
        <v>297</v>
      </c>
      <c r="T1080" t="s">
        <v>390</v>
      </c>
      <c r="U1080" t="s">
        <v>54</v>
      </c>
      <c r="V1080" t="s">
        <v>40</v>
      </c>
      <c r="W1080">
        <v>4.2</v>
      </c>
      <c r="X1080" t="s">
        <v>106</v>
      </c>
      <c r="Y1080" t="s">
        <v>42</v>
      </c>
      <c r="Z1080">
        <v>3</v>
      </c>
    </row>
    <row r="1081" spans="1:26">
      <c r="A1081" t="s">
        <v>2022</v>
      </c>
      <c r="B1081" t="s">
        <v>1808</v>
      </c>
      <c r="C1081" t="s">
        <v>28</v>
      </c>
      <c r="D1081" t="s">
        <v>46</v>
      </c>
      <c r="E1081" s="1">
        <v>44319</v>
      </c>
      <c r="F1081" t="s">
        <v>65</v>
      </c>
      <c r="G1081" t="s">
        <v>66</v>
      </c>
      <c r="H1081" t="s">
        <v>59</v>
      </c>
      <c r="I1081">
        <v>6</v>
      </c>
      <c r="J1081" t="s">
        <v>67</v>
      </c>
      <c r="K1081">
        <v>2</v>
      </c>
      <c r="L1081" s="3">
        <v>5499</v>
      </c>
      <c r="M1081">
        <v>25</v>
      </c>
      <c r="N1081" s="3">
        <v>4120</v>
      </c>
      <c r="O1081" s="3">
        <v>8240</v>
      </c>
      <c r="P1081" t="s">
        <v>81</v>
      </c>
      <c r="Q1081" t="s">
        <v>82</v>
      </c>
      <c r="R1081" t="s">
        <v>36</v>
      </c>
      <c r="S1081" t="s">
        <v>117</v>
      </c>
      <c r="T1081" t="s">
        <v>118</v>
      </c>
      <c r="U1081" t="s">
        <v>61</v>
      </c>
      <c r="V1081" t="s">
        <v>315</v>
      </c>
      <c r="W1081">
        <v>4.4000000000000004</v>
      </c>
      <c r="X1081" t="s">
        <v>106</v>
      </c>
      <c r="Y1081" t="s">
        <v>42</v>
      </c>
      <c r="Z1081">
        <v>2</v>
      </c>
    </row>
    <row r="1082" spans="1:26">
      <c r="A1082" t="s">
        <v>2023</v>
      </c>
      <c r="B1082" t="s">
        <v>1805</v>
      </c>
      <c r="C1082" t="s">
        <v>45</v>
      </c>
      <c r="D1082" t="s">
        <v>103</v>
      </c>
      <c r="E1082" s="1">
        <v>44320</v>
      </c>
      <c r="F1082" t="s">
        <v>47</v>
      </c>
      <c r="G1082" t="s">
        <v>140</v>
      </c>
      <c r="H1082" t="s">
        <v>128</v>
      </c>
      <c r="I1082">
        <v>7</v>
      </c>
      <c r="J1082" t="s">
        <v>98</v>
      </c>
      <c r="K1082">
        <v>1</v>
      </c>
      <c r="L1082" s="3">
        <v>8399</v>
      </c>
      <c r="M1082">
        <v>15</v>
      </c>
      <c r="N1082" s="3">
        <v>7140</v>
      </c>
      <c r="O1082" s="3">
        <v>7140</v>
      </c>
      <c r="P1082" t="s">
        <v>74</v>
      </c>
      <c r="Q1082" t="s">
        <v>82</v>
      </c>
      <c r="R1082" t="s">
        <v>36</v>
      </c>
      <c r="S1082" t="s">
        <v>75</v>
      </c>
      <c r="T1082" t="s">
        <v>76</v>
      </c>
      <c r="U1082" t="s">
        <v>61</v>
      </c>
      <c r="V1082" t="s">
        <v>315</v>
      </c>
      <c r="W1082">
        <v>4.2</v>
      </c>
      <c r="X1082" t="s">
        <v>41</v>
      </c>
      <c r="Y1082" t="s">
        <v>147</v>
      </c>
      <c r="Z1082">
        <v>1</v>
      </c>
    </row>
    <row r="1083" spans="1:26">
      <c r="A1083" t="s">
        <v>2024</v>
      </c>
      <c r="B1083" t="s">
        <v>2025</v>
      </c>
      <c r="C1083" t="s">
        <v>28</v>
      </c>
      <c r="D1083" t="s">
        <v>95</v>
      </c>
      <c r="E1083" s="1">
        <v>44321</v>
      </c>
      <c r="F1083" t="s">
        <v>86</v>
      </c>
      <c r="G1083" t="s">
        <v>87</v>
      </c>
      <c r="H1083" t="s">
        <v>59</v>
      </c>
      <c r="I1083">
        <v>10</v>
      </c>
      <c r="J1083" t="s">
        <v>33</v>
      </c>
      <c r="K1083">
        <v>3</v>
      </c>
      <c r="L1083" s="3">
        <v>6499</v>
      </c>
      <c r="M1083">
        <v>35</v>
      </c>
      <c r="N1083" s="3">
        <v>4220</v>
      </c>
      <c r="O1083" s="3">
        <v>12660</v>
      </c>
      <c r="P1083" t="s">
        <v>81</v>
      </c>
      <c r="Q1083" t="s">
        <v>51</v>
      </c>
      <c r="R1083" t="s">
        <v>36</v>
      </c>
      <c r="S1083" t="s">
        <v>122</v>
      </c>
      <c r="T1083" t="s">
        <v>372</v>
      </c>
      <c r="U1083" t="s">
        <v>39</v>
      </c>
      <c r="V1083" t="s">
        <v>40</v>
      </c>
      <c r="W1083">
        <v>4.3</v>
      </c>
      <c r="X1083" t="s">
        <v>41</v>
      </c>
      <c r="Y1083" t="s">
        <v>42</v>
      </c>
      <c r="Z1083">
        <v>5</v>
      </c>
    </row>
    <row r="1084" spans="1:26">
      <c r="A1084" t="s">
        <v>2026</v>
      </c>
      <c r="B1084" t="s">
        <v>2027</v>
      </c>
      <c r="C1084" t="s">
        <v>45</v>
      </c>
      <c r="D1084" t="s">
        <v>103</v>
      </c>
      <c r="E1084" s="1">
        <v>44322</v>
      </c>
      <c r="F1084" t="s">
        <v>65</v>
      </c>
      <c r="G1084" t="s">
        <v>279</v>
      </c>
      <c r="H1084" t="s">
        <v>111</v>
      </c>
      <c r="I1084">
        <v>12</v>
      </c>
      <c r="J1084" t="s">
        <v>73</v>
      </c>
      <c r="K1084">
        <v>1</v>
      </c>
      <c r="L1084" s="3">
        <v>5499</v>
      </c>
      <c r="M1084">
        <v>20</v>
      </c>
      <c r="N1084" s="3">
        <v>4400</v>
      </c>
      <c r="O1084" s="3">
        <v>4400</v>
      </c>
      <c r="P1084" t="s">
        <v>74</v>
      </c>
      <c r="Q1084" t="s">
        <v>35</v>
      </c>
      <c r="R1084" t="s">
        <v>36</v>
      </c>
      <c r="S1084" t="s">
        <v>37</v>
      </c>
      <c r="T1084" t="s">
        <v>509</v>
      </c>
      <c r="U1084" t="s">
        <v>124</v>
      </c>
      <c r="V1084" t="s">
        <v>40</v>
      </c>
      <c r="W1084">
        <v>2.9</v>
      </c>
      <c r="X1084" t="s">
        <v>41</v>
      </c>
      <c r="Y1084" t="s">
        <v>42</v>
      </c>
      <c r="Z1084">
        <v>2</v>
      </c>
    </row>
    <row r="1085" spans="1:26">
      <c r="A1085" t="s">
        <v>2028</v>
      </c>
      <c r="B1085" t="s">
        <v>2029</v>
      </c>
      <c r="C1085" t="s">
        <v>45</v>
      </c>
      <c r="D1085" t="s">
        <v>103</v>
      </c>
      <c r="E1085" s="1">
        <v>44322</v>
      </c>
      <c r="F1085" t="s">
        <v>86</v>
      </c>
      <c r="G1085" t="s">
        <v>285</v>
      </c>
      <c r="H1085" t="s">
        <v>111</v>
      </c>
      <c r="I1085">
        <v>11</v>
      </c>
      <c r="J1085" t="s">
        <v>67</v>
      </c>
      <c r="K1085">
        <v>2</v>
      </c>
      <c r="L1085" s="3">
        <v>5599</v>
      </c>
      <c r="M1085">
        <v>25</v>
      </c>
      <c r="N1085" s="3">
        <v>4200</v>
      </c>
      <c r="O1085" s="3">
        <v>8400</v>
      </c>
      <c r="P1085" t="s">
        <v>74</v>
      </c>
      <c r="Q1085" t="s">
        <v>51</v>
      </c>
      <c r="R1085" t="s">
        <v>36</v>
      </c>
      <c r="S1085" t="s">
        <v>112</v>
      </c>
      <c r="T1085" t="s">
        <v>133</v>
      </c>
      <c r="U1085" t="s">
        <v>124</v>
      </c>
      <c r="V1085" t="s">
        <v>40</v>
      </c>
      <c r="W1085">
        <v>5</v>
      </c>
      <c r="X1085" t="s">
        <v>41</v>
      </c>
      <c r="Y1085" t="s">
        <v>42</v>
      </c>
      <c r="Z1085">
        <v>4</v>
      </c>
    </row>
    <row r="1086" spans="1:26">
      <c r="A1086" t="s">
        <v>2030</v>
      </c>
      <c r="B1086" t="s">
        <v>2003</v>
      </c>
      <c r="C1086" t="s">
        <v>28</v>
      </c>
      <c r="D1086" t="s">
        <v>103</v>
      </c>
      <c r="E1086" s="1">
        <v>44323</v>
      </c>
      <c r="F1086" t="s">
        <v>47</v>
      </c>
      <c r="G1086" t="s">
        <v>48</v>
      </c>
      <c r="H1086" t="s">
        <v>49</v>
      </c>
      <c r="I1086">
        <v>9</v>
      </c>
      <c r="J1086" t="s">
        <v>67</v>
      </c>
      <c r="K1086">
        <v>1</v>
      </c>
      <c r="L1086" s="3">
        <v>7599</v>
      </c>
      <c r="M1086">
        <v>20</v>
      </c>
      <c r="N1086" s="3">
        <v>6080</v>
      </c>
      <c r="O1086" s="3">
        <v>6080</v>
      </c>
      <c r="P1086" t="s">
        <v>74</v>
      </c>
      <c r="Q1086" t="s">
        <v>51</v>
      </c>
      <c r="R1086" t="s">
        <v>36</v>
      </c>
      <c r="S1086" t="s">
        <v>156</v>
      </c>
      <c r="T1086" t="s">
        <v>257</v>
      </c>
      <c r="U1086" t="s">
        <v>91</v>
      </c>
      <c r="V1086" t="s">
        <v>315</v>
      </c>
      <c r="W1086">
        <v>3.7</v>
      </c>
      <c r="X1086" t="s">
        <v>62</v>
      </c>
      <c r="Y1086" t="s">
        <v>42</v>
      </c>
      <c r="Z1086">
        <v>4</v>
      </c>
    </row>
    <row r="1087" spans="1:26">
      <c r="A1087" t="s">
        <v>2031</v>
      </c>
      <c r="B1087" t="s">
        <v>2032</v>
      </c>
      <c r="C1087" t="s">
        <v>28</v>
      </c>
      <c r="D1087" t="s">
        <v>103</v>
      </c>
      <c r="E1087" s="1">
        <v>44324</v>
      </c>
      <c r="F1087" t="s">
        <v>96</v>
      </c>
      <c r="G1087" t="s">
        <v>171</v>
      </c>
      <c r="H1087" t="s">
        <v>128</v>
      </c>
      <c r="I1087">
        <v>8</v>
      </c>
      <c r="J1087" t="s">
        <v>67</v>
      </c>
      <c r="K1087">
        <v>2</v>
      </c>
      <c r="L1087" s="3">
        <v>6699</v>
      </c>
      <c r="M1087">
        <v>10</v>
      </c>
      <c r="N1087" s="3">
        <v>6030</v>
      </c>
      <c r="O1087" s="3">
        <v>12060</v>
      </c>
      <c r="P1087" t="s">
        <v>50</v>
      </c>
      <c r="Q1087" t="s">
        <v>35</v>
      </c>
      <c r="R1087" t="s">
        <v>36</v>
      </c>
      <c r="S1087" t="s">
        <v>168</v>
      </c>
      <c r="T1087" t="s">
        <v>168</v>
      </c>
      <c r="U1087" t="s">
        <v>54</v>
      </c>
      <c r="V1087" t="s">
        <v>40</v>
      </c>
      <c r="W1087">
        <v>4.2</v>
      </c>
      <c r="X1087" t="s">
        <v>41</v>
      </c>
      <c r="Y1087" t="s">
        <v>55</v>
      </c>
      <c r="Z1087">
        <v>3</v>
      </c>
    </row>
    <row r="1088" spans="1:26">
      <c r="A1088" t="s">
        <v>2033</v>
      </c>
      <c r="B1088" t="s">
        <v>719</v>
      </c>
      <c r="C1088" t="s">
        <v>94</v>
      </c>
      <c r="D1088" t="s">
        <v>95</v>
      </c>
      <c r="E1088" s="1">
        <v>44325</v>
      </c>
      <c r="F1088" t="s">
        <v>86</v>
      </c>
      <c r="G1088" t="s">
        <v>190</v>
      </c>
      <c r="H1088" t="s">
        <v>128</v>
      </c>
      <c r="I1088">
        <v>9</v>
      </c>
      <c r="J1088" t="s">
        <v>67</v>
      </c>
      <c r="K1088">
        <v>1</v>
      </c>
      <c r="L1088" s="3">
        <v>4199</v>
      </c>
      <c r="M1088">
        <v>0</v>
      </c>
      <c r="N1088" s="3">
        <v>4200</v>
      </c>
      <c r="O1088" s="3">
        <v>4200</v>
      </c>
      <c r="P1088" t="s">
        <v>34</v>
      </c>
      <c r="Q1088" t="s">
        <v>51</v>
      </c>
      <c r="R1088" t="s">
        <v>36</v>
      </c>
      <c r="S1088" t="s">
        <v>160</v>
      </c>
      <c r="T1088" t="s">
        <v>247</v>
      </c>
      <c r="U1088" t="s">
        <v>54</v>
      </c>
      <c r="V1088" t="s">
        <v>969</v>
      </c>
      <c r="W1088">
        <v>4</v>
      </c>
      <c r="X1088" t="s">
        <v>106</v>
      </c>
      <c r="Y1088" t="s">
        <v>42</v>
      </c>
      <c r="Z1088">
        <v>6</v>
      </c>
    </row>
    <row r="1089" spans="1:26">
      <c r="A1089" t="s">
        <v>2034</v>
      </c>
      <c r="B1089" t="s">
        <v>2035</v>
      </c>
      <c r="C1089" t="s">
        <v>94</v>
      </c>
      <c r="D1089" t="s">
        <v>46</v>
      </c>
      <c r="E1089" s="1">
        <v>44325</v>
      </c>
      <c r="F1089" t="s">
        <v>96</v>
      </c>
      <c r="G1089" t="s">
        <v>171</v>
      </c>
      <c r="H1089" t="s">
        <v>128</v>
      </c>
      <c r="I1089">
        <v>10</v>
      </c>
      <c r="J1089" t="s">
        <v>73</v>
      </c>
      <c r="K1089">
        <v>1</v>
      </c>
      <c r="L1089" s="3">
        <v>7799</v>
      </c>
      <c r="M1089">
        <v>20</v>
      </c>
      <c r="N1089" s="3">
        <v>6240</v>
      </c>
      <c r="O1089" s="3">
        <v>6240</v>
      </c>
      <c r="P1089" t="s">
        <v>74</v>
      </c>
      <c r="Q1089" t="s">
        <v>51</v>
      </c>
      <c r="R1089" t="s">
        <v>36</v>
      </c>
      <c r="S1089" t="s">
        <v>156</v>
      </c>
      <c r="T1089" t="s">
        <v>157</v>
      </c>
      <c r="U1089" t="s">
        <v>54</v>
      </c>
      <c r="V1089" t="s">
        <v>40</v>
      </c>
      <c r="W1089">
        <v>4.5999999999999996</v>
      </c>
      <c r="X1089" t="s">
        <v>62</v>
      </c>
      <c r="Y1089" t="s">
        <v>42</v>
      </c>
      <c r="Z1089">
        <v>1</v>
      </c>
    </row>
    <row r="1090" spans="1:26">
      <c r="A1090" t="s">
        <v>2036</v>
      </c>
      <c r="B1090" t="s">
        <v>2037</v>
      </c>
      <c r="C1090" t="s">
        <v>28</v>
      </c>
      <c r="D1090" t="s">
        <v>46</v>
      </c>
      <c r="E1090" s="1">
        <v>44325</v>
      </c>
      <c r="F1090" t="s">
        <v>30</v>
      </c>
      <c r="G1090" t="s">
        <v>58</v>
      </c>
      <c r="H1090" t="s">
        <v>59</v>
      </c>
      <c r="I1090">
        <v>12</v>
      </c>
      <c r="J1090" t="s">
        <v>98</v>
      </c>
      <c r="K1090">
        <v>1</v>
      </c>
      <c r="L1090" s="3">
        <v>9099</v>
      </c>
      <c r="M1090">
        <v>25</v>
      </c>
      <c r="N1090" s="3">
        <v>6820</v>
      </c>
      <c r="O1090" s="3">
        <v>6820</v>
      </c>
      <c r="P1090" t="s">
        <v>81</v>
      </c>
      <c r="Q1090" t="s">
        <v>35</v>
      </c>
      <c r="R1090" t="s">
        <v>36</v>
      </c>
      <c r="S1090" t="s">
        <v>182</v>
      </c>
      <c r="T1090" t="s">
        <v>604</v>
      </c>
      <c r="U1090" t="s">
        <v>39</v>
      </c>
      <c r="V1090" t="s">
        <v>40</v>
      </c>
      <c r="W1090">
        <v>4.0999999999999996</v>
      </c>
      <c r="X1090" t="s">
        <v>62</v>
      </c>
      <c r="Y1090" t="s">
        <v>42</v>
      </c>
      <c r="Z1090">
        <v>2</v>
      </c>
    </row>
    <row r="1091" spans="1:26">
      <c r="A1091" t="s">
        <v>2038</v>
      </c>
      <c r="B1091" t="s">
        <v>1443</v>
      </c>
      <c r="C1091" t="s">
        <v>28</v>
      </c>
      <c r="D1091" t="s">
        <v>95</v>
      </c>
      <c r="E1091" s="1">
        <v>44325</v>
      </c>
      <c r="F1091" t="s">
        <v>96</v>
      </c>
      <c r="G1091" t="s">
        <v>228</v>
      </c>
      <c r="H1091" t="s">
        <v>59</v>
      </c>
      <c r="I1091">
        <v>9</v>
      </c>
      <c r="J1091" t="s">
        <v>98</v>
      </c>
      <c r="K1091">
        <v>1</v>
      </c>
      <c r="L1091" s="3">
        <v>7299</v>
      </c>
      <c r="M1091">
        <v>20</v>
      </c>
      <c r="N1091" s="3">
        <v>5840</v>
      </c>
      <c r="O1091" s="3">
        <v>5840</v>
      </c>
      <c r="P1091" t="s">
        <v>74</v>
      </c>
      <c r="Q1091" t="s">
        <v>51</v>
      </c>
      <c r="R1091" t="s">
        <v>36</v>
      </c>
      <c r="S1091" t="s">
        <v>89</v>
      </c>
      <c r="T1091" t="s">
        <v>1982</v>
      </c>
      <c r="U1091" t="s">
        <v>39</v>
      </c>
      <c r="V1091" t="s">
        <v>315</v>
      </c>
      <c r="W1091">
        <v>4.4000000000000004</v>
      </c>
      <c r="X1091" t="s">
        <v>41</v>
      </c>
      <c r="Y1091" t="s">
        <v>55</v>
      </c>
      <c r="Z1091">
        <v>2</v>
      </c>
    </row>
    <row r="1092" spans="1:26">
      <c r="A1092" t="s">
        <v>2039</v>
      </c>
      <c r="B1092" t="s">
        <v>1235</v>
      </c>
      <c r="C1092" t="s">
        <v>94</v>
      </c>
      <c r="D1092" t="s">
        <v>95</v>
      </c>
      <c r="E1092" s="1">
        <v>44327</v>
      </c>
      <c r="F1092" t="s">
        <v>30</v>
      </c>
      <c r="G1092" t="s">
        <v>214</v>
      </c>
      <c r="H1092" t="s">
        <v>128</v>
      </c>
      <c r="I1092">
        <v>7</v>
      </c>
      <c r="J1092" t="s">
        <v>73</v>
      </c>
      <c r="K1092">
        <v>3</v>
      </c>
      <c r="L1092" s="3">
        <v>4399</v>
      </c>
      <c r="M1092">
        <v>15</v>
      </c>
      <c r="N1092" s="3">
        <v>3740</v>
      </c>
      <c r="O1092" s="3">
        <v>11220</v>
      </c>
      <c r="P1092" t="s">
        <v>34</v>
      </c>
      <c r="Q1092" t="s">
        <v>51</v>
      </c>
      <c r="R1092" t="s">
        <v>36</v>
      </c>
      <c r="S1092" t="s">
        <v>141</v>
      </c>
      <c r="T1092" t="s">
        <v>142</v>
      </c>
      <c r="U1092" t="s">
        <v>39</v>
      </c>
      <c r="V1092" t="s">
        <v>315</v>
      </c>
      <c r="W1092">
        <v>4.2</v>
      </c>
      <c r="X1092" t="s">
        <v>41</v>
      </c>
      <c r="Y1092" t="s">
        <v>42</v>
      </c>
      <c r="Z1092">
        <v>3</v>
      </c>
    </row>
    <row r="1093" spans="1:26">
      <c r="A1093" t="s">
        <v>2040</v>
      </c>
      <c r="B1093" t="s">
        <v>1027</v>
      </c>
      <c r="C1093" t="s">
        <v>45</v>
      </c>
      <c r="D1093" t="s">
        <v>29</v>
      </c>
      <c r="E1093" s="1">
        <v>44327</v>
      </c>
      <c r="F1093" t="s">
        <v>65</v>
      </c>
      <c r="G1093" t="s">
        <v>268</v>
      </c>
      <c r="H1093" t="s">
        <v>128</v>
      </c>
      <c r="I1093">
        <v>10</v>
      </c>
      <c r="J1093" t="s">
        <v>73</v>
      </c>
      <c r="K1093">
        <v>1</v>
      </c>
      <c r="L1093" s="3">
        <v>3099</v>
      </c>
      <c r="M1093">
        <v>10</v>
      </c>
      <c r="N1093" s="3">
        <v>2790</v>
      </c>
      <c r="O1093" s="3">
        <v>2790</v>
      </c>
      <c r="P1093" t="s">
        <v>50</v>
      </c>
      <c r="Q1093" t="s">
        <v>51</v>
      </c>
      <c r="R1093" t="s">
        <v>36</v>
      </c>
      <c r="S1093" t="s">
        <v>191</v>
      </c>
      <c r="T1093" t="s">
        <v>332</v>
      </c>
      <c r="U1093" t="s">
        <v>124</v>
      </c>
      <c r="V1093" t="s">
        <v>969</v>
      </c>
      <c r="W1093">
        <v>3.9</v>
      </c>
      <c r="X1093" t="s">
        <v>41</v>
      </c>
      <c r="Y1093" t="s">
        <v>55</v>
      </c>
      <c r="Z1093">
        <v>3</v>
      </c>
    </row>
    <row r="1094" spans="1:26">
      <c r="A1094" t="s">
        <v>2041</v>
      </c>
      <c r="B1094" t="s">
        <v>2042</v>
      </c>
      <c r="C1094" t="s">
        <v>45</v>
      </c>
      <c r="D1094" t="s">
        <v>29</v>
      </c>
      <c r="E1094" s="1">
        <v>44329</v>
      </c>
      <c r="F1094" t="s">
        <v>96</v>
      </c>
      <c r="G1094" t="s">
        <v>97</v>
      </c>
      <c r="H1094" t="s">
        <v>49</v>
      </c>
      <c r="I1094">
        <v>10</v>
      </c>
      <c r="J1094" t="s">
        <v>98</v>
      </c>
      <c r="K1094">
        <v>1</v>
      </c>
      <c r="L1094" s="3">
        <v>3999</v>
      </c>
      <c r="M1094">
        <v>30</v>
      </c>
      <c r="N1094" s="3">
        <v>2800</v>
      </c>
      <c r="O1094" s="3">
        <v>2800</v>
      </c>
      <c r="P1094" t="s">
        <v>34</v>
      </c>
      <c r="Q1094" t="s">
        <v>51</v>
      </c>
      <c r="R1094" t="s">
        <v>36</v>
      </c>
      <c r="S1094" t="s">
        <v>286</v>
      </c>
      <c r="T1094" t="s">
        <v>737</v>
      </c>
      <c r="U1094" t="s">
        <v>124</v>
      </c>
      <c r="V1094" t="s">
        <v>40</v>
      </c>
      <c r="W1094">
        <v>2.8</v>
      </c>
      <c r="X1094" t="s">
        <v>41</v>
      </c>
      <c r="Y1094" t="s">
        <v>147</v>
      </c>
      <c r="Z1094">
        <v>1</v>
      </c>
    </row>
    <row r="1095" spans="1:26">
      <c r="A1095" t="s">
        <v>2043</v>
      </c>
      <c r="B1095" t="s">
        <v>1884</v>
      </c>
      <c r="C1095" t="s">
        <v>28</v>
      </c>
      <c r="D1095" t="s">
        <v>46</v>
      </c>
      <c r="E1095" s="1">
        <v>44330</v>
      </c>
      <c r="F1095" t="s">
        <v>65</v>
      </c>
      <c r="G1095" t="s">
        <v>279</v>
      </c>
      <c r="H1095" t="s">
        <v>111</v>
      </c>
      <c r="I1095">
        <v>7</v>
      </c>
      <c r="J1095" t="s">
        <v>73</v>
      </c>
      <c r="K1095">
        <v>2</v>
      </c>
      <c r="L1095" s="3">
        <v>4899</v>
      </c>
      <c r="M1095">
        <v>20</v>
      </c>
      <c r="N1095" s="3">
        <v>3920</v>
      </c>
      <c r="O1095" s="3">
        <v>7840</v>
      </c>
      <c r="P1095" t="s">
        <v>74</v>
      </c>
      <c r="Q1095" t="s">
        <v>82</v>
      </c>
      <c r="R1095" t="s">
        <v>36</v>
      </c>
      <c r="S1095" t="s">
        <v>68</v>
      </c>
      <c r="T1095" t="s">
        <v>811</v>
      </c>
      <c r="U1095" t="s">
        <v>54</v>
      </c>
      <c r="V1095" t="s">
        <v>315</v>
      </c>
      <c r="W1095">
        <v>4.7</v>
      </c>
      <c r="X1095" t="s">
        <v>41</v>
      </c>
      <c r="Y1095" t="s">
        <v>42</v>
      </c>
      <c r="Z1095">
        <v>4</v>
      </c>
    </row>
    <row r="1096" spans="1:26">
      <c r="A1096" t="s">
        <v>2044</v>
      </c>
      <c r="B1096" t="s">
        <v>468</v>
      </c>
      <c r="C1096" t="s">
        <v>94</v>
      </c>
      <c r="D1096" t="s">
        <v>46</v>
      </c>
      <c r="E1096" s="1">
        <v>44333</v>
      </c>
      <c r="F1096" t="s">
        <v>65</v>
      </c>
      <c r="G1096" t="s">
        <v>279</v>
      </c>
      <c r="H1096" t="s">
        <v>111</v>
      </c>
      <c r="I1096">
        <v>9</v>
      </c>
      <c r="J1096" t="s">
        <v>150</v>
      </c>
      <c r="K1096">
        <v>1</v>
      </c>
      <c r="L1096" s="3">
        <v>4599</v>
      </c>
      <c r="M1096">
        <v>20</v>
      </c>
      <c r="N1096" s="3">
        <v>3680</v>
      </c>
      <c r="O1096" s="3">
        <v>3680</v>
      </c>
      <c r="P1096" t="s">
        <v>50</v>
      </c>
      <c r="Q1096" t="s">
        <v>82</v>
      </c>
      <c r="R1096" t="s">
        <v>36</v>
      </c>
      <c r="S1096" t="s">
        <v>338</v>
      </c>
      <c r="T1096" t="s">
        <v>449</v>
      </c>
      <c r="U1096" t="s">
        <v>61</v>
      </c>
      <c r="V1096" t="s">
        <v>315</v>
      </c>
      <c r="W1096">
        <v>3.7</v>
      </c>
      <c r="X1096" t="s">
        <v>106</v>
      </c>
      <c r="Y1096" t="s">
        <v>55</v>
      </c>
      <c r="Z1096">
        <v>3</v>
      </c>
    </row>
    <row r="1097" spans="1:26">
      <c r="A1097" t="s">
        <v>2045</v>
      </c>
      <c r="B1097" t="s">
        <v>882</v>
      </c>
      <c r="C1097" t="s">
        <v>28</v>
      </c>
      <c r="D1097" t="s">
        <v>46</v>
      </c>
      <c r="E1097" s="1">
        <v>44334</v>
      </c>
      <c r="F1097" t="s">
        <v>65</v>
      </c>
      <c r="G1097" t="s">
        <v>268</v>
      </c>
      <c r="H1097" t="s">
        <v>128</v>
      </c>
      <c r="I1097">
        <v>12</v>
      </c>
      <c r="J1097" t="s">
        <v>67</v>
      </c>
      <c r="K1097">
        <v>3</v>
      </c>
      <c r="L1097" s="3">
        <v>5499</v>
      </c>
      <c r="M1097">
        <v>10</v>
      </c>
      <c r="N1097" s="3">
        <v>4950</v>
      </c>
      <c r="O1097" s="3">
        <v>14850</v>
      </c>
      <c r="P1097" t="s">
        <v>50</v>
      </c>
      <c r="Q1097" t="s">
        <v>51</v>
      </c>
      <c r="R1097" t="s">
        <v>36</v>
      </c>
      <c r="S1097" t="s">
        <v>243</v>
      </c>
      <c r="T1097" t="s">
        <v>276</v>
      </c>
      <c r="U1097" t="s">
        <v>124</v>
      </c>
      <c r="V1097" t="s">
        <v>315</v>
      </c>
      <c r="W1097">
        <v>4.7</v>
      </c>
      <c r="X1097" t="s">
        <v>62</v>
      </c>
      <c r="Y1097" t="s">
        <v>42</v>
      </c>
      <c r="Z1097">
        <v>4</v>
      </c>
    </row>
    <row r="1098" spans="1:26">
      <c r="A1098" t="s">
        <v>2046</v>
      </c>
      <c r="B1098" t="s">
        <v>1191</v>
      </c>
      <c r="C1098" t="s">
        <v>28</v>
      </c>
      <c r="D1098" t="s">
        <v>46</v>
      </c>
      <c r="E1098" s="1">
        <v>44337</v>
      </c>
      <c r="F1098" t="s">
        <v>79</v>
      </c>
      <c r="G1098" t="s">
        <v>301</v>
      </c>
      <c r="H1098" t="s">
        <v>49</v>
      </c>
      <c r="I1098">
        <v>8</v>
      </c>
      <c r="J1098" t="s">
        <v>73</v>
      </c>
      <c r="K1098">
        <v>1</v>
      </c>
      <c r="L1098" s="3">
        <v>6999</v>
      </c>
      <c r="M1098">
        <v>25</v>
      </c>
      <c r="N1098" s="3">
        <v>5250</v>
      </c>
      <c r="O1098" s="3">
        <v>5250</v>
      </c>
      <c r="P1098" t="s">
        <v>50</v>
      </c>
      <c r="Q1098" t="s">
        <v>35</v>
      </c>
      <c r="R1098" t="s">
        <v>36</v>
      </c>
      <c r="S1098" t="s">
        <v>168</v>
      </c>
      <c r="T1098" t="s">
        <v>168</v>
      </c>
      <c r="U1098" t="s">
        <v>91</v>
      </c>
      <c r="V1098" t="s">
        <v>315</v>
      </c>
      <c r="W1098">
        <v>4.5</v>
      </c>
      <c r="X1098" t="s">
        <v>106</v>
      </c>
      <c r="Y1098" t="s">
        <v>42</v>
      </c>
      <c r="Z1098">
        <v>7</v>
      </c>
    </row>
    <row r="1099" spans="1:26">
      <c r="A1099" t="s">
        <v>2047</v>
      </c>
      <c r="B1099" t="s">
        <v>2048</v>
      </c>
      <c r="C1099" t="s">
        <v>94</v>
      </c>
      <c r="D1099" t="s">
        <v>103</v>
      </c>
      <c r="E1099" s="1">
        <v>44338</v>
      </c>
      <c r="F1099" t="s">
        <v>79</v>
      </c>
      <c r="G1099" t="s">
        <v>517</v>
      </c>
      <c r="H1099" t="s">
        <v>59</v>
      </c>
      <c r="I1099">
        <v>10</v>
      </c>
      <c r="J1099" t="s">
        <v>150</v>
      </c>
      <c r="K1099">
        <v>2</v>
      </c>
      <c r="L1099" s="3">
        <v>3599</v>
      </c>
      <c r="M1099">
        <v>25</v>
      </c>
      <c r="N1099" s="3">
        <v>2700</v>
      </c>
      <c r="O1099" s="3">
        <v>5400</v>
      </c>
      <c r="P1099" t="s">
        <v>74</v>
      </c>
      <c r="Q1099" t="s">
        <v>51</v>
      </c>
      <c r="R1099" t="s">
        <v>36</v>
      </c>
      <c r="S1099" t="s">
        <v>156</v>
      </c>
      <c r="T1099" t="s">
        <v>257</v>
      </c>
      <c r="U1099" t="s">
        <v>91</v>
      </c>
      <c r="V1099" t="s">
        <v>40</v>
      </c>
      <c r="W1099">
        <v>3.2</v>
      </c>
      <c r="X1099" t="s">
        <v>106</v>
      </c>
      <c r="Y1099" t="s">
        <v>42</v>
      </c>
      <c r="Z1099">
        <v>7</v>
      </c>
    </row>
    <row r="1100" spans="1:26">
      <c r="A1100" t="s">
        <v>2049</v>
      </c>
      <c r="B1100" t="s">
        <v>126</v>
      </c>
      <c r="C1100" t="s">
        <v>94</v>
      </c>
      <c r="D1100" t="s">
        <v>29</v>
      </c>
      <c r="E1100" s="1">
        <v>44338</v>
      </c>
      <c r="F1100" t="s">
        <v>65</v>
      </c>
      <c r="G1100" t="s">
        <v>72</v>
      </c>
      <c r="H1100" t="s">
        <v>59</v>
      </c>
      <c r="I1100">
        <v>8</v>
      </c>
      <c r="J1100" t="s">
        <v>98</v>
      </c>
      <c r="K1100">
        <v>1</v>
      </c>
      <c r="L1100" s="3">
        <v>6299</v>
      </c>
      <c r="M1100">
        <v>35</v>
      </c>
      <c r="N1100" s="3">
        <v>4090</v>
      </c>
      <c r="O1100" s="3">
        <v>4090</v>
      </c>
      <c r="P1100" t="s">
        <v>74</v>
      </c>
      <c r="Q1100" t="s">
        <v>51</v>
      </c>
      <c r="R1100" t="s">
        <v>36</v>
      </c>
      <c r="S1100" t="s">
        <v>418</v>
      </c>
      <c r="T1100" t="s">
        <v>419</v>
      </c>
      <c r="U1100" t="s">
        <v>39</v>
      </c>
      <c r="V1100" t="s">
        <v>315</v>
      </c>
      <c r="W1100">
        <v>3.2</v>
      </c>
      <c r="X1100" t="s">
        <v>62</v>
      </c>
      <c r="Y1100" t="s">
        <v>42</v>
      </c>
      <c r="Z1100">
        <v>1</v>
      </c>
    </row>
    <row r="1101" spans="1:26">
      <c r="A1101" t="s">
        <v>2050</v>
      </c>
      <c r="B1101" t="s">
        <v>529</v>
      </c>
      <c r="C1101" t="s">
        <v>45</v>
      </c>
      <c r="D1101" t="s">
        <v>103</v>
      </c>
      <c r="E1101" s="1">
        <v>44340</v>
      </c>
      <c r="F1101" t="s">
        <v>65</v>
      </c>
      <c r="G1101" t="s">
        <v>72</v>
      </c>
      <c r="H1101" t="s">
        <v>59</v>
      </c>
      <c r="I1101">
        <v>9</v>
      </c>
      <c r="J1101" t="s">
        <v>98</v>
      </c>
      <c r="K1101">
        <v>2</v>
      </c>
      <c r="L1101" s="3">
        <v>7199</v>
      </c>
      <c r="M1101">
        <v>15</v>
      </c>
      <c r="N1101" s="3">
        <v>6120</v>
      </c>
      <c r="O1101" s="3">
        <v>12240</v>
      </c>
      <c r="P1101" t="s">
        <v>81</v>
      </c>
      <c r="Q1101" t="s">
        <v>51</v>
      </c>
      <c r="R1101" t="s">
        <v>36</v>
      </c>
      <c r="S1101" t="s">
        <v>418</v>
      </c>
      <c r="T1101" t="s">
        <v>924</v>
      </c>
      <c r="U1101" t="s">
        <v>39</v>
      </c>
      <c r="V1101" t="s">
        <v>315</v>
      </c>
      <c r="W1101">
        <v>3.8</v>
      </c>
      <c r="X1101" t="s">
        <v>41</v>
      </c>
      <c r="Y1101" t="s">
        <v>55</v>
      </c>
      <c r="Z1101">
        <v>3</v>
      </c>
    </row>
    <row r="1102" spans="1:26">
      <c r="A1102" t="s">
        <v>2051</v>
      </c>
      <c r="B1102" t="s">
        <v>633</v>
      </c>
      <c r="C1102" t="s">
        <v>28</v>
      </c>
      <c r="D1102" t="s">
        <v>103</v>
      </c>
      <c r="E1102" s="1">
        <v>44340</v>
      </c>
      <c r="F1102" t="s">
        <v>96</v>
      </c>
      <c r="G1102" t="s">
        <v>171</v>
      </c>
      <c r="H1102" t="s">
        <v>128</v>
      </c>
      <c r="I1102">
        <v>11</v>
      </c>
      <c r="J1102" t="s">
        <v>150</v>
      </c>
      <c r="K1102">
        <v>1</v>
      </c>
      <c r="L1102" s="3">
        <v>4299</v>
      </c>
      <c r="M1102">
        <v>20</v>
      </c>
      <c r="N1102" s="3">
        <v>3440</v>
      </c>
      <c r="O1102" s="3">
        <v>3440</v>
      </c>
      <c r="P1102" t="s">
        <v>34</v>
      </c>
      <c r="Q1102" t="s">
        <v>82</v>
      </c>
      <c r="R1102" t="s">
        <v>36</v>
      </c>
      <c r="S1102" t="s">
        <v>175</v>
      </c>
      <c r="T1102" t="s">
        <v>495</v>
      </c>
      <c r="U1102" t="s">
        <v>54</v>
      </c>
      <c r="V1102" t="s">
        <v>969</v>
      </c>
      <c r="W1102">
        <v>3.9</v>
      </c>
      <c r="X1102" t="s">
        <v>106</v>
      </c>
      <c r="Y1102" t="s">
        <v>55</v>
      </c>
      <c r="Z1102">
        <v>2</v>
      </c>
    </row>
    <row r="1103" spans="1:26">
      <c r="A1103" t="s">
        <v>2052</v>
      </c>
      <c r="B1103" t="s">
        <v>2053</v>
      </c>
      <c r="C1103" t="s">
        <v>28</v>
      </c>
      <c r="D1103" t="s">
        <v>29</v>
      </c>
      <c r="E1103" s="1">
        <v>44341</v>
      </c>
      <c r="F1103" t="s">
        <v>86</v>
      </c>
      <c r="G1103" t="s">
        <v>87</v>
      </c>
      <c r="H1103" t="s">
        <v>59</v>
      </c>
      <c r="I1103">
        <v>8</v>
      </c>
      <c r="J1103" t="s">
        <v>67</v>
      </c>
      <c r="K1103">
        <v>1</v>
      </c>
      <c r="L1103" s="3">
        <v>7499</v>
      </c>
      <c r="M1103">
        <v>15</v>
      </c>
      <c r="N1103" s="3">
        <v>6370</v>
      </c>
      <c r="O1103" s="3">
        <v>6370</v>
      </c>
      <c r="P1103" t="s">
        <v>74</v>
      </c>
      <c r="Q1103" t="s">
        <v>82</v>
      </c>
      <c r="R1103" t="s">
        <v>36</v>
      </c>
      <c r="S1103" t="s">
        <v>238</v>
      </c>
      <c r="T1103" t="s">
        <v>377</v>
      </c>
      <c r="U1103" t="s">
        <v>54</v>
      </c>
      <c r="V1103" t="s">
        <v>40</v>
      </c>
      <c r="W1103">
        <v>5</v>
      </c>
      <c r="X1103" t="s">
        <v>41</v>
      </c>
      <c r="Y1103" t="s">
        <v>55</v>
      </c>
      <c r="Z1103">
        <v>2</v>
      </c>
    </row>
    <row r="1104" spans="1:26">
      <c r="A1104" t="s">
        <v>2054</v>
      </c>
      <c r="B1104" t="s">
        <v>2055</v>
      </c>
      <c r="C1104" t="s">
        <v>28</v>
      </c>
      <c r="D1104" t="s">
        <v>103</v>
      </c>
      <c r="E1104" s="1">
        <v>44342</v>
      </c>
      <c r="F1104" t="s">
        <v>65</v>
      </c>
      <c r="G1104" t="s">
        <v>268</v>
      </c>
      <c r="H1104" t="s">
        <v>128</v>
      </c>
      <c r="I1104">
        <v>10</v>
      </c>
      <c r="J1104" t="s">
        <v>88</v>
      </c>
      <c r="K1104">
        <v>1</v>
      </c>
      <c r="L1104" s="3">
        <v>4899</v>
      </c>
      <c r="M1104">
        <v>0</v>
      </c>
      <c r="N1104" s="3">
        <v>4900</v>
      </c>
      <c r="O1104" s="3">
        <v>4900</v>
      </c>
      <c r="P1104" t="s">
        <v>34</v>
      </c>
      <c r="Q1104" t="s">
        <v>51</v>
      </c>
      <c r="R1104" t="s">
        <v>36</v>
      </c>
      <c r="S1104" t="s">
        <v>338</v>
      </c>
      <c r="T1104" t="s">
        <v>394</v>
      </c>
      <c r="U1104" t="s">
        <v>39</v>
      </c>
      <c r="V1104" t="s">
        <v>40</v>
      </c>
      <c r="W1104">
        <v>4.4000000000000004</v>
      </c>
      <c r="X1104" t="s">
        <v>41</v>
      </c>
      <c r="Y1104" t="s">
        <v>147</v>
      </c>
      <c r="Z1104">
        <v>2</v>
      </c>
    </row>
    <row r="1105" spans="1:26">
      <c r="A1105" t="s">
        <v>2056</v>
      </c>
      <c r="B1105" t="s">
        <v>2032</v>
      </c>
      <c r="C1105" t="s">
        <v>94</v>
      </c>
      <c r="D1105" t="s">
        <v>46</v>
      </c>
      <c r="E1105" s="1">
        <v>44348</v>
      </c>
      <c r="F1105" t="s">
        <v>79</v>
      </c>
      <c r="G1105" t="s">
        <v>480</v>
      </c>
      <c r="H1105" t="s">
        <v>111</v>
      </c>
      <c r="I1105">
        <v>7</v>
      </c>
      <c r="J1105" t="s">
        <v>33</v>
      </c>
      <c r="K1105">
        <v>1</v>
      </c>
      <c r="L1105" s="3">
        <v>4299</v>
      </c>
      <c r="M1105">
        <v>20</v>
      </c>
      <c r="N1105" s="3">
        <v>3440</v>
      </c>
      <c r="O1105" s="3">
        <v>3440</v>
      </c>
      <c r="P1105" t="s">
        <v>81</v>
      </c>
      <c r="Q1105" t="s">
        <v>51</v>
      </c>
      <c r="R1105" t="s">
        <v>36</v>
      </c>
      <c r="S1105" t="s">
        <v>75</v>
      </c>
      <c r="T1105" t="s">
        <v>215</v>
      </c>
      <c r="U1105" t="s">
        <v>39</v>
      </c>
      <c r="V1105" t="s">
        <v>315</v>
      </c>
      <c r="W1105">
        <v>5</v>
      </c>
      <c r="X1105" t="s">
        <v>41</v>
      </c>
      <c r="Y1105" t="s">
        <v>42</v>
      </c>
      <c r="Z1105">
        <v>4</v>
      </c>
    </row>
    <row r="1106" spans="1:26">
      <c r="A1106" t="s">
        <v>2057</v>
      </c>
      <c r="B1106" t="s">
        <v>1271</v>
      </c>
      <c r="C1106" t="s">
        <v>45</v>
      </c>
      <c r="D1106" t="s">
        <v>46</v>
      </c>
      <c r="E1106" s="1">
        <v>44348</v>
      </c>
      <c r="F1106" t="s">
        <v>86</v>
      </c>
      <c r="G1106" t="s">
        <v>190</v>
      </c>
      <c r="H1106" t="s">
        <v>128</v>
      </c>
      <c r="I1106">
        <v>8</v>
      </c>
      <c r="J1106" t="s">
        <v>73</v>
      </c>
      <c r="K1106">
        <v>1</v>
      </c>
      <c r="L1106" s="3">
        <v>3999</v>
      </c>
      <c r="M1106">
        <v>20</v>
      </c>
      <c r="N1106" s="3">
        <v>3200</v>
      </c>
      <c r="O1106" s="3">
        <v>3200</v>
      </c>
      <c r="P1106" t="s">
        <v>34</v>
      </c>
      <c r="Q1106" t="s">
        <v>82</v>
      </c>
      <c r="R1106" t="s">
        <v>36</v>
      </c>
      <c r="S1106" t="s">
        <v>354</v>
      </c>
      <c r="T1106" t="s">
        <v>434</v>
      </c>
      <c r="U1106" t="s">
        <v>39</v>
      </c>
      <c r="V1106" t="s">
        <v>315</v>
      </c>
      <c r="W1106">
        <v>4.5999999999999996</v>
      </c>
      <c r="X1106" t="s">
        <v>41</v>
      </c>
      <c r="Y1106" t="s">
        <v>42</v>
      </c>
      <c r="Z1106">
        <v>6</v>
      </c>
    </row>
    <row r="1107" spans="1:26">
      <c r="A1107" t="s">
        <v>2058</v>
      </c>
      <c r="B1107" t="s">
        <v>392</v>
      </c>
      <c r="C1107" t="s">
        <v>28</v>
      </c>
      <c r="D1107" t="s">
        <v>46</v>
      </c>
      <c r="E1107" s="1">
        <v>44349</v>
      </c>
      <c r="F1107" t="s">
        <v>86</v>
      </c>
      <c r="G1107" t="s">
        <v>312</v>
      </c>
      <c r="H1107" t="s">
        <v>59</v>
      </c>
      <c r="I1107">
        <v>7</v>
      </c>
      <c r="J1107" t="s">
        <v>150</v>
      </c>
      <c r="K1107">
        <v>1</v>
      </c>
      <c r="L1107" s="3">
        <v>8999</v>
      </c>
      <c r="M1107">
        <v>10</v>
      </c>
      <c r="N1107" s="3">
        <v>8100</v>
      </c>
      <c r="O1107" s="3">
        <v>8100</v>
      </c>
      <c r="P1107" t="s">
        <v>34</v>
      </c>
      <c r="Q1107" t="s">
        <v>51</v>
      </c>
      <c r="R1107" t="s">
        <v>36</v>
      </c>
      <c r="S1107" t="s">
        <v>37</v>
      </c>
      <c r="T1107" t="s">
        <v>38</v>
      </c>
      <c r="U1107" t="s">
        <v>39</v>
      </c>
      <c r="V1107" t="s">
        <v>969</v>
      </c>
      <c r="W1107">
        <v>3.5</v>
      </c>
      <c r="X1107" t="s">
        <v>62</v>
      </c>
      <c r="Y1107" t="s">
        <v>42</v>
      </c>
      <c r="Z1107">
        <v>2</v>
      </c>
    </row>
    <row r="1108" spans="1:26">
      <c r="A1108" t="s">
        <v>2059</v>
      </c>
      <c r="B1108" t="s">
        <v>27</v>
      </c>
      <c r="C1108" t="s">
        <v>45</v>
      </c>
      <c r="D1108" t="s">
        <v>46</v>
      </c>
      <c r="E1108" s="1">
        <v>44350</v>
      </c>
      <c r="F1108" t="s">
        <v>47</v>
      </c>
      <c r="G1108" t="s">
        <v>121</v>
      </c>
      <c r="H1108" t="s">
        <v>111</v>
      </c>
      <c r="I1108">
        <v>9</v>
      </c>
      <c r="J1108" t="s">
        <v>98</v>
      </c>
      <c r="K1108">
        <v>1</v>
      </c>
      <c r="L1108" s="3">
        <v>5399</v>
      </c>
      <c r="M1108">
        <v>0</v>
      </c>
      <c r="N1108" s="3">
        <v>5400</v>
      </c>
      <c r="O1108" s="3">
        <v>5400</v>
      </c>
      <c r="P1108" t="s">
        <v>81</v>
      </c>
      <c r="Q1108" t="s">
        <v>51</v>
      </c>
      <c r="R1108" t="s">
        <v>36</v>
      </c>
      <c r="S1108" t="s">
        <v>200</v>
      </c>
      <c r="T1108" t="s">
        <v>219</v>
      </c>
      <c r="U1108" t="s">
        <v>124</v>
      </c>
      <c r="V1108" t="s">
        <v>315</v>
      </c>
      <c r="W1108">
        <v>2.1</v>
      </c>
      <c r="X1108" t="s">
        <v>41</v>
      </c>
      <c r="Y1108" t="s">
        <v>42</v>
      </c>
      <c r="Z1108">
        <v>7</v>
      </c>
    </row>
    <row r="1109" spans="1:26">
      <c r="A1109" t="s">
        <v>2060</v>
      </c>
      <c r="B1109" t="s">
        <v>2061</v>
      </c>
      <c r="C1109" t="s">
        <v>28</v>
      </c>
      <c r="D1109" t="s">
        <v>46</v>
      </c>
      <c r="E1109" s="1">
        <v>44351</v>
      </c>
      <c r="F1109" t="s">
        <v>65</v>
      </c>
      <c r="G1109" t="s">
        <v>279</v>
      </c>
      <c r="H1109" t="s">
        <v>111</v>
      </c>
      <c r="I1109">
        <v>8</v>
      </c>
      <c r="J1109" t="s">
        <v>67</v>
      </c>
      <c r="K1109">
        <v>1</v>
      </c>
      <c r="L1109" s="3">
        <v>8199</v>
      </c>
      <c r="M1109">
        <v>15</v>
      </c>
      <c r="N1109" s="3">
        <v>6970</v>
      </c>
      <c r="O1109" s="3">
        <v>6970</v>
      </c>
      <c r="P1109" t="s">
        <v>74</v>
      </c>
      <c r="Q1109" t="s">
        <v>51</v>
      </c>
      <c r="R1109" t="s">
        <v>36</v>
      </c>
      <c r="S1109" t="s">
        <v>122</v>
      </c>
      <c r="T1109" t="s">
        <v>382</v>
      </c>
      <c r="U1109" t="s">
        <v>54</v>
      </c>
      <c r="V1109" t="s">
        <v>40</v>
      </c>
      <c r="W1109">
        <v>4.3</v>
      </c>
      <c r="X1109" t="s">
        <v>62</v>
      </c>
      <c r="Y1109" t="s">
        <v>42</v>
      </c>
      <c r="Z1109">
        <v>2</v>
      </c>
    </row>
    <row r="1110" spans="1:26">
      <c r="A1110" t="s">
        <v>2062</v>
      </c>
      <c r="B1110" t="s">
        <v>2063</v>
      </c>
      <c r="C1110" t="s">
        <v>28</v>
      </c>
      <c r="D1110" t="s">
        <v>46</v>
      </c>
      <c r="E1110" s="1">
        <v>44352</v>
      </c>
      <c r="F1110" t="s">
        <v>86</v>
      </c>
      <c r="G1110" t="s">
        <v>116</v>
      </c>
      <c r="H1110" t="s">
        <v>49</v>
      </c>
      <c r="I1110">
        <v>7</v>
      </c>
      <c r="J1110" t="s">
        <v>33</v>
      </c>
      <c r="K1110">
        <v>1</v>
      </c>
      <c r="L1110" s="3">
        <v>7899</v>
      </c>
      <c r="M1110">
        <v>15</v>
      </c>
      <c r="N1110" s="3">
        <v>6710</v>
      </c>
      <c r="O1110" s="3">
        <v>6710</v>
      </c>
      <c r="P1110" t="s">
        <v>74</v>
      </c>
      <c r="Q1110" t="s">
        <v>51</v>
      </c>
      <c r="R1110" t="s">
        <v>36</v>
      </c>
      <c r="S1110" t="s">
        <v>243</v>
      </c>
      <c r="T1110" t="s">
        <v>328</v>
      </c>
      <c r="U1110" t="s">
        <v>61</v>
      </c>
      <c r="V1110" t="s">
        <v>40</v>
      </c>
      <c r="W1110">
        <v>3.5</v>
      </c>
      <c r="X1110" t="s">
        <v>62</v>
      </c>
      <c r="Y1110" t="s">
        <v>42</v>
      </c>
      <c r="Z1110">
        <v>6</v>
      </c>
    </row>
    <row r="1111" spans="1:26">
      <c r="A1111" t="s">
        <v>2064</v>
      </c>
      <c r="B1111" t="s">
        <v>459</v>
      </c>
      <c r="C1111" t="s">
        <v>28</v>
      </c>
      <c r="D1111" t="s">
        <v>103</v>
      </c>
      <c r="E1111" s="1">
        <v>44353</v>
      </c>
      <c r="F1111" t="s">
        <v>30</v>
      </c>
      <c r="G1111" t="s">
        <v>214</v>
      </c>
      <c r="H1111" t="s">
        <v>128</v>
      </c>
      <c r="I1111">
        <v>8</v>
      </c>
      <c r="J1111" t="s">
        <v>88</v>
      </c>
      <c r="K1111">
        <v>1</v>
      </c>
      <c r="L1111" s="3">
        <v>5499</v>
      </c>
      <c r="M1111">
        <v>20</v>
      </c>
      <c r="N1111" s="3">
        <v>4400</v>
      </c>
      <c r="O1111" s="3">
        <v>4400</v>
      </c>
      <c r="P1111" t="s">
        <v>74</v>
      </c>
      <c r="Q1111" t="s">
        <v>82</v>
      </c>
      <c r="R1111" t="s">
        <v>36</v>
      </c>
      <c r="S1111" t="s">
        <v>186</v>
      </c>
      <c r="T1111" t="s">
        <v>341</v>
      </c>
      <c r="U1111" t="s">
        <v>39</v>
      </c>
      <c r="V1111" t="s">
        <v>315</v>
      </c>
      <c r="W1111">
        <v>4.5999999999999996</v>
      </c>
      <c r="X1111" t="s">
        <v>41</v>
      </c>
      <c r="Y1111" t="s">
        <v>55</v>
      </c>
      <c r="Z1111">
        <v>2</v>
      </c>
    </row>
    <row r="1112" spans="1:26">
      <c r="A1112" t="s">
        <v>2065</v>
      </c>
      <c r="B1112" t="s">
        <v>1294</v>
      </c>
      <c r="C1112" t="s">
        <v>28</v>
      </c>
      <c r="D1112" t="s">
        <v>95</v>
      </c>
      <c r="E1112" s="1">
        <v>44354</v>
      </c>
      <c r="F1112" t="s">
        <v>86</v>
      </c>
      <c r="G1112" t="s">
        <v>190</v>
      </c>
      <c r="H1112" t="s">
        <v>128</v>
      </c>
      <c r="I1112">
        <v>9</v>
      </c>
      <c r="J1112" t="s">
        <v>98</v>
      </c>
      <c r="K1112">
        <v>1</v>
      </c>
      <c r="L1112" s="3">
        <v>5999</v>
      </c>
      <c r="M1112">
        <v>5</v>
      </c>
      <c r="N1112" s="3">
        <v>5700</v>
      </c>
      <c r="O1112" s="3">
        <v>5700</v>
      </c>
      <c r="P1112" t="s">
        <v>74</v>
      </c>
      <c r="Q1112" t="s">
        <v>35</v>
      </c>
      <c r="R1112" t="s">
        <v>36</v>
      </c>
      <c r="S1112" t="s">
        <v>243</v>
      </c>
      <c r="T1112" t="s">
        <v>276</v>
      </c>
      <c r="U1112" t="s">
        <v>39</v>
      </c>
      <c r="V1112" t="s">
        <v>969</v>
      </c>
      <c r="W1112">
        <v>3.2</v>
      </c>
      <c r="X1112" t="s">
        <v>41</v>
      </c>
      <c r="Y1112" t="s">
        <v>55</v>
      </c>
      <c r="Z1112">
        <v>2</v>
      </c>
    </row>
    <row r="1113" spans="1:26">
      <c r="A1113" t="s">
        <v>2066</v>
      </c>
      <c r="B1113" t="s">
        <v>1152</v>
      </c>
      <c r="C1113" t="s">
        <v>94</v>
      </c>
      <c r="D1113" t="s">
        <v>46</v>
      </c>
      <c r="E1113" s="1">
        <v>44354</v>
      </c>
      <c r="F1113" t="s">
        <v>86</v>
      </c>
      <c r="G1113" t="s">
        <v>190</v>
      </c>
      <c r="H1113" t="s">
        <v>128</v>
      </c>
      <c r="I1113">
        <v>7</v>
      </c>
      <c r="J1113" t="s">
        <v>150</v>
      </c>
      <c r="K1113">
        <v>1</v>
      </c>
      <c r="L1113" s="3">
        <v>6799</v>
      </c>
      <c r="M1113">
        <v>15</v>
      </c>
      <c r="N1113" s="3">
        <v>5780</v>
      </c>
      <c r="O1113" s="3">
        <v>5780</v>
      </c>
      <c r="P1113" t="s">
        <v>74</v>
      </c>
      <c r="Q1113" t="s">
        <v>51</v>
      </c>
      <c r="R1113" t="s">
        <v>36</v>
      </c>
      <c r="S1113" t="s">
        <v>75</v>
      </c>
      <c r="T1113" t="s">
        <v>796</v>
      </c>
      <c r="U1113" t="s">
        <v>61</v>
      </c>
      <c r="V1113" t="s">
        <v>969</v>
      </c>
      <c r="W1113">
        <v>3.7</v>
      </c>
      <c r="X1113" t="s">
        <v>41</v>
      </c>
      <c r="Y1113" t="s">
        <v>55</v>
      </c>
      <c r="Z1113">
        <v>2</v>
      </c>
    </row>
    <row r="1114" spans="1:26">
      <c r="A1114" t="s">
        <v>2067</v>
      </c>
      <c r="B1114" t="s">
        <v>1231</v>
      </c>
      <c r="C1114" t="s">
        <v>45</v>
      </c>
      <c r="D1114" t="s">
        <v>46</v>
      </c>
      <c r="E1114" s="1">
        <v>44356</v>
      </c>
      <c r="F1114" t="s">
        <v>65</v>
      </c>
      <c r="G1114" t="s">
        <v>365</v>
      </c>
      <c r="H1114" t="s">
        <v>49</v>
      </c>
      <c r="I1114">
        <v>6</v>
      </c>
      <c r="J1114" t="s">
        <v>88</v>
      </c>
      <c r="K1114">
        <v>1</v>
      </c>
      <c r="L1114" s="3">
        <v>6499</v>
      </c>
      <c r="M1114">
        <v>25</v>
      </c>
      <c r="N1114" s="3">
        <v>4870</v>
      </c>
      <c r="O1114" s="3">
        <v>4870</v>
      </c>
      <c r="P1114" t="s">
        <v>74</v>
      </c>
      <c r="Q1114" t="s">
        <v>51</v>
      </c>
      <c r="R1114" t="s">
        <v>36</v>
      </c>
      <c r="S1114" t="s">
        <v>129</v>
      </c>
      <c r="T1114" t="s">
        <v>655</v>
      </c>
      <c r="U1114" t="s">
        <v>54</v>
      </c>
      <c r="V1114" t="s">
        <v>315</v>
      </c>
      <c r="W1114">
        <v>3.7</v>
      </c>
      <c r="X1114" t="s">
        <v>106</v>
      </c>
      <c r="Y1114" t="s">
        <v>42</v>
      </c>
      <c r="Z1114">
        <v>5</v>
      </c>
    </row>
    <row r="1115" spans="1:26">
      <c r="A1115" t="s">
        <v>2068</v>
      </c>
      <c r="B1115" t="s">
        <v>436</v>
      </c>
      <c r="C1115" t="s">
        <v>45</v>
      </c>
      <c r="D1115" t="s">
        <v>95</v>
      </c>
      <c r="E1115" s="1">
        <v>44357</v>
      </c>
      <c r="F1115" t="s">
        <v>79</v>
      </c>
      <c r="G1115" t="s">
        <v>174</v>
      </c>
      <c r="H1115" t="s">
        <v>32</v>
      </c>
      <c r="I1115">
        <v>8</v>
      </c>
      <c r="J1115" t="s">
        <v>73</v>
      </c>
      <c r="K1115">
        <v>2</v>
      </c>
      <c r="L1115" s="3">
        <v>5599</v>
      </c>
      <c r="M1115">
        <v>15</v>
      </c>
      <c r="N1115" s="3">
        <v>4760</v>
      </c>
      <c r="O1115" s="3">
        <v>9520</v>
      </c>
      <c r="P1115" t="s">
        <v>34</v>
      </c>
      <c r="Q1115" t="s">
        <v>51</v>
      </c>
      <c r="R1115" t="s">
        <v>36</v>
      </c>
      <c r="S1115" t="s">
        <v>210</v>
      </c>
      <c r="T1115" t="s">
        <v>211</v>
      </c>
      <c r="U1115" t="s">
        <v>39</v>
      </c>
      <c r="V1115" t="s">
        <v>315</v>
      </c>
      <c r="W1115">
        <v>3.9</v>
      </c>
      <c r="X1115" t="s">
        <v>41</v>
      </c>
      <c r="Y1115" t="s">
        <v>42</v>
      </c>
      <c r="Z1115">
        <v>3</v>
      </c>
    </row>
    <row r="1116" spans="1:26">
      <c r="A1116" t="s">
        <v>2069</v>
      </c>
      <c r="B1116" t="s">
        <v>2070</v>
      </c>
      <c r="C1116" t="s">
        <v>94</v>
      </c>
      <c r="D1116" t="s">
        <v>46</v>
      </c>
      <c r="E1116" s="1">
        <v>44358</v>
      </c>
      <c r="F1116" t="s">
        <v>65</v>
      </c>
      <c r="G1116" t="s">
        <v>268</v>
      </c>
      <c r="H1116" t="s">
        <v>128</v>
      </c>
      <c r="I1116">
        <v>8</v>
      </c>
      <c r="J1116" t="s">
        <v>73</v>
      </c>
      <c r="K1116">
        <v>1</v>
      </c>
      <c r="L1116" s="3">
        <v>6199</v>
      </c>
      <c r="M1116">
        <v>20</v>
      </c>
      <c r="N1116" s="3">
        <v>4960</v>
      </c>
      <c r="O1116" s="3">
        <v>4960</v>
      </c>
      <c r="P1116" t="s">
        <v>74</v>
      </c>
      <c r="Q1116" t="s">
        <v>51</v>
      </c>
      <c r="R1116" t="s">
        <v>36</v>
      </c>
      <c r="S1116" t="s">
        <v>297</v>
      </c>
      <c r="T1116" t="s">
        <v>351</v>
      </c>
      <c r="U1116" t="s">
        <v>91</v>
      </c>
      <c r="V1116" t="s">
        <v>40</v>
      </c>
      <c r="W1116">
        <v>4.5</v>
      </c>
      <c r="X1116" t="s">
        <v>41</v>
      </c>
      <c r="Y1116" t="s">
        <v>42</v>
      </c>
      <c r="Z1116">
        <v>4</v>
      </c>
    </row>
    <row r="1117" spans="1:26">
      <c r="A1117" t="s">
        <v>2071</v>
      </c>
      <c r="B1117" t="s">
        <v>308</v>
      </c>
      <c r="C1117" t="s">
        <v>94</v>
      </c>
      <c r="D1117" t="s">
        <v>46</v>
      </c>
      <c r="E1117" s="1">
        <v>44359</v>
      </c>
      <c r="F1117" t="s">
        <v>86</v>
      </c>
      <c r="G1117" t="s">
        <v>190</v>
      </c>
      <c r="H1117" t="s">
        <v>128</v>
      </c>
      <c r="I1117">
        <v>9</v>
      </c>
      <c r="J1117" t="s">
        <v>67</v>
      </c>
      <c r="K1117">
        <v>3</v>
      </c>
      <c r="L1117" s="3">
        <v>5299</v>
      </c>
      <c r="M1117">
        <v>10</v>
      </c>
      <c r="N1117" s="3">
        <v>4770</v>
      </c>
      <c r="O1117" s="3">
        <v>14310</v>
      </c>
      <c r="P1117" t="s">
        <v>34</v>
      </c>
      <c r="Q1117" t="s">
        <v>51</v>
      </c>
      <c r="R1117" t="s">
        <v>36</v>
      </c>
      <c r="S1117" t="s">
        <v>52</v>
      </c>
      <c r="T1117" t="s">
        <v>60</v>
      </c>
      <c r="U1117" t="s">
        <v>39</v>
      </c>
      <c r="V1117" t="s">
        <v>315</v>
      </c>
      <c r="W1117">
        <v>4.3</v>
      </c>
      <c r="X1117" t="s">
        <v>41</v>
      </c>
      <c r="Y1117" t="s">
        <v>42</v>
      </c>
      <c r="Z1117">
        <v>4</v>
      </c>
    </row>
    <row r="1118" spans="1:26">
      <c r="A1118" t="s">
        <v>2072</v>
      </c>
      <c r="B1118" t="s">
        <v>684</v>
      </c>
      <c r="C1118" t="s">
        <v>28</v>
      </c>
      <c r="D1118" t="s">
        <v>95</v>
      </c>
      <c r="E1118" s="1">
        <v>44359</v>
      </c>
      <c r="F1118" t="s">
        <v>96</v>
      </c>
      <c r="G1118" t="s">
        <v>290</v>
      </c>
      <c r="H1118" t="s">
        <v>32</v>
      </c>
      <c r="I1118">
        <v>7</v>
      </c>
      <c r="J1118" t="s">
        <v>33</v>
      </c>
      <c r="K1118">
        <v>1</v>
      </c>
      <c r="L1118" s="3">
        <v>5799</v>
      </c>
      <c r="M1118">
        <v>10</v>
      </c>
      <c r="N1118" s="3">
        <v>5220</v>
      </c>
      <c r="O1118" s="3">
        <v>5220</v>
      </c>
      <c r="P1118" t="s">
        <v>81</v>
      </c>
      <c r="Q1118" t="s">
        <v>51</v>
      </c>
      <c r="R1118" t="s">
        <v>36</v>
      </c>
      <c r="S1118" t="s">
        <v>112</v>
      </c>
      <c r="T1118" t="s">
        <v>133</v>
      </c>
      <c r="U1118" t="s">
        <v>124</v>
      </c>
      <c r="V1118" t="s">
        <v>315</v>
      </c>
      <c r="W1118">
        <v>4.0999999999999996</v>
      </c>
      <c r="X1118" t="s">
        <v>62</v>
      </c>
      <c r="Y1118" t="s">
        <v>42</v>
      </c>
      <c r="Z1118">
        <v>3</v>
      </c>
    </row>
    <row r="1119" spans="1:26">
      <c r="A1119" t="s">
        <v>2073</v>
      </c>
      <c r="B1119" t="s">
        <v>559</v>
      </c>
      <c r="C1119" t="s">
        <v>94</v>
      </c>
      <c r="D1119" t="s">
        <v>95</v>
      </c>
      <c r="E1119" s="1">
        <v>44361</v>
      </c>
      <c r="F1119" t="s">
        <v>96</v>
      </c>
      <c r="G1119" t="s">
        <v>290</v>
      </c>
      <c r="H1119" t="s">
        <v>32</v>
      </c>
      <c r="I1119">
        <v>10</v>
      </c>
      <c r="J1119" t="s">
        <v>98</v>
      </c>
      <c r="K1119">
        <v>1</v>
      </c>
      <c r="L1119" s="3">
        <v>8099</v>
      </c>
      <c r="M1119">
        <v>5</v>
      </c>
      <c r="N1119" s="3">
        <v>7690</v>
      </c>
      <c r="O1119" s="3">
        <v>7690</v>
      </c>
      <c r="P1119" t="s">
        <v>74</v>
      </c>
      <c r="Q1119" t="s">
        <v>51</v>
      </c>
      <c r="R1119" t="s">
        <v>36</v>
      </c>
      <c r="S1119" t="s">
        <v>243</v>
      </c>
      <c r="T1119" t="s">
        <v>244</v>
      </c>
      <c r="U1119" t="s">
        <v>124</v>
      </c>
      <c r="V1119" t="s">
        <v>315</v>
      </c>
      <c r="W1119">
        <v>4.8</v>
      </c>
      <c r="X1119" t="s">
        <v>41</v>
      </c>
      <c r="Y1119" t="s">
        <v>55</v>
      </c>
      <c r="Z1119">
        <v>1</v>
      </c>
    </row>
    <row r="1120" spans="1:26">
      <c r="A1120" t="s">
        <v>2074</v>
      </c>
      <c r="B1120" t="s">
        <v>1627</v>
      </c>
      <c r="C1120" t="s">
        <v>28</v>
      </c>
      <c r="D1120" t="s">
        <v>46</v>
      </c>
      <c r="E1120" s="1">
        <v>44361</v>
      </c>
      <c r="F1120" t="s">
        <v>30</v>
      </c>
      <c r="G1120" t="s">
        <v>58</v>
      </c>
      <c r="H1120" t="s">
        <v>59</v>
      </c>
      <c r="I1120">
        <v>8</v>
      </c>
      <c r="J1120" t="s">
        <v>98</v>
      </c>
      <c r="K1120">
        <v>2</v>
      </c>
      <c r="L1120" s="3">
        <v>6899</v>
      </c>
      <c r="M1120">
        <v>15</v>
      </c>
      <c r="N1120" s="3">
        <v>5860</v>
      </c>
      <c r="O1120" s="3">
        <v>11720</v>
      </c>
      <c r="P1120" t="s">
        <v>74</v>
      </c>
      <c r="Q1120" t="s">
        <v>82</v>
      </c>
      <c r="R1120" t="s">
        <v>36</v>
      </c>
      <c r="S1120" t="s">
        <v>418</v>
      </c>
      <c r="T1120" t="s">
        <v>924</v>
      </c>
      <c r="U1120" t="s">
        <v>91</v>
      </c>
      <c r="V1120" t="s">
        <v>315</v>
      </c>
      <c r="W1120">
        <v>3.5</v>
      </c>
      <c r="X1120" t="s">
        <v>62</v>
      </c>
      <c r="Y1120" t="s">
        <v>42</v>
      </c>
      <c r="Z1120">
        <v>1</v>
      </c>
    </row>
    <row r="1121" spans="1:26">
      <c r="A1121" t="s">
        <v>2075</v>
      </c>
      <c r="B1121" t="s">
        <v>2076</v>
      </c>
      <c r="C1121" t="s">
        <v>45</v>
      </c>
      <c r="D1121" t="s">
        <v>103</v>
      </c>
      <c r="E1121" s="1">
        <v>44361</v>
      </c>
      <c r="F1121" t="s">
        <v>96</v>
      </c>
      <c r="G1121" t="s">
        <v>97</v>
      </c>
      <c r="H1121" t="s">
        <v>49</v>
      </c>
      <c r="I1121">
        <v>11</v>
      </c>
      <c r="J1121" t="s">
        <v>67</v>
      </c>
      <c r="K1121">
        <v>1</v>
      </c>
      <c r="L1121" s="3">
        <v>4599</v>
      </c>
      <c r="M1121">
        <v>15</v>
      </c>
      <c r="N1121" s="3">
        <v>3910</v>
      </c>
      <c r="O1121" s="3">
        <v>3910</v>
      </c>
      <c r="P1121" t="s">
        <v>74</v>
      </c>
      <c r="Q1121" t="s">
        <v>51</v>
      </c>
      <c r="R1121" t="s">
        <v>36</v>
      </c>
      <c r="S1121" t="s">
        <v>338</v>
      </c>
      <c r="T1121" t="s">
        <v>449</v>
      </c>
      <c r="U1121" t="s">
        <v>54</v>
      </c>
      <c r="V1121" t="s">
        <v>40</v>
      </c>
      <c r="W1121">
        <v>4.5999999999999996</v>
      </c>
      <c r="X1121" t="s">
        <v>41</v>
      </c>
      <c r="Y1121" t="s">
        <v>55</v>
      </c>
      <c r="Z1121">
        <v>1</v>
      </c>
    </row>
    <row r="1122" spans="1:26">
      <c r="A1122" t="s">
        <v>2077</v>
      </c>
      <c r="B1122" t="s">
        <v>2078</v>
      </c>
      <c r="C1122" t="s">
        <v>94</v>
      </c>
      <c r="D1122" t="s">
        <v>46</v>
      </c>
      <c r="E1122" s="1">
        <v>44364</v>
      </c>
      <c r="F1122" t="s">
        <v>79</v>
      </c>
      <c r="G1122" t="s">
        <v>174</v>
      </c>
      <c r="H1122" t="s">
        <v>32</v>
      </c>
      <c r="I1122">
        <v>11</v>
      </c>
      <c r="J1122" t="s">
        <v>73</v>
      </c>
      <c r="K1122">
        <v>2</v>
      </c>
      <c r="L1122" s="3">
        <v>7899</v>
      </c>
      <c r="M1122">
        <v>35</v>
      </c>
      <c r="N1122" s="3">
        <v>5130</v>
      </c>
      <c r="O1122" s="3">
        <v>10260</v>
      </c>
      <c r="P1122" t="s">
        <v>81</v>
      </c>
      <c r="Q1122" t="s">
        <v>82</v>
      </c>
      <c r="R1122" t="s">
        <v>36</v>
      </c>
      <c r="S1122" t="s">
        <v>460</v>
      </c>
      <c r="T1122" t="s">
        <v>1868</v>
      </c>
      <c r="U1122" t="s">
        <v>54</v>
      </c>
      <c r="V1122" t="s">
        <v>40</v>
      </c>
      <c r="W1122">
        <v>3.3</v>
      </c>
      <c r="X1122" t="s">
        <v>41</v>
      </c>
      <c r="Y1122" t="s">
        <v>42</v>
      </c>
      <c r="Z1122">
        <v>4</v>
      </c>
    </row>
    <row r="1123" spans="1:26">
      <c r="A1123" t="s">
        <v>2079</v>
      </c>
      <c r="B1123" t="s">
        <v>2080</v>
      </c>
      <c r="C1123" t="s">
        <v>28</v>
      </c>
      <c r="D1123" t="s">
        <v>29</v>
      </c>
      <c r="E1123" s="1">
        <v>44366</v>
      </c>
      <c r="F1123" t="s">
        <v>30</v>
      </c>
      <c r="G1123" t="s">
        <v>31</v>
      </c>
      <c r="H1123" t="s">
        <v>32</v>
      </c>
      <c r="I1123">
        <v>8</v>
      </c>
      <c r="J1123" t="s">
        <v>98</v>
      </c>
      <c r="K1123">
        <v>1</v>
      </c>
      <c r="L1123" s="3">
        <v>5399</v>
      </c>
      <c r="M1123">
        <v>15</v>
      </c>
      <c r="N1123" s="3">
        <v>4590</v>
      </c>
      <c r="O1123" s="3">
        <v>4590</v>
      </c>
      <c r="P1123" t="s">
        <v>34</v>
      </c>
      <c r="Q1123" t="s">
        <v>51</v>
      </c>
      <c r="R1123" t="s">
        <v>36</v>
      </c>
      <c r="S1123" t="s">
        <v>384</v>
      </c>
      <c r="T1123" t="s">
        <v>481</v>
      </c>
      <c r="U1123" t="s">
        <v>61</v>
      </c>
      <c r="V1123" t="s">
        <v>40</v>
      </c>
      <c r="W1123">
        <v>4</v>
      </c>
      <c r="X1123" t="s">
        <v>62</v>
      </c>
      <c r="Y1123" t="s">
        <v>42</v>
      </c>
      <c r="Z1123">
        <v>7</v>
      </c>
    </row>
    <row r="1124" spans="1:26">
      <c r="A1124" t="s">
        <v>2081</v>
      </c>
      <c r="B1124" t="s">
        <v>209</v>
      </c>
      <c r="C1124" t="s">
        <v>28</v>
      </c>
      <c r="D1124" t="s">
        <v>95</v>
      </c>
      <c r="E1124" s="1">
        <v>44366</v>
      </c>
      <c r="F1124" t="s">
        <v>30</v>
      </c>
      <c r="G1124" t="s">
        <v>347</v>
      </c>
      <c r="H1124" t="s">
        <v>49</v>
      </c>
      <c r="I1124">
        <v>7</v>
      </c>
      <c r="J1124" t="s">
        <v>88</v>
      </c>
      <c r="K1124">
        <v>2</v>
      </c>
      <c r="L1124" s="3">
        <v>7299</v>
      </c>
      <c r="M1124">
        <v>15</v>
      </c>
      <c r="N1124" s="3">
        <v>6200</v>
      </c>
      <c r="O1124" s="3">
        <v>12400</v>
      </c>
      <c r="P1124" t="s">
        <v>50</v>
      </c>
      <c r="Q1124" t="s">
        <v>82</v>
      </c>
      <c r="R1124" t="s">
        <v>36</v>
      </c>
      <c r="S1124" t="s">
        <v>52</v>
      </c>
      <c r="T1124" t="s">
        <v>60</v>
      </c>
      <c r="U1124" t="s">
        <v>61</v>
      </c>
      <c r="V1124" t="s">
        <v>315</v>
      </c>
      <c r="W1124">
        <v>4.5999999999999996</v>
      </c>
      <c r="X1124" t="s">
        <v>106</v>
      </c>
      <c r="Y1124" t="s">
        <v>55</v>
      </c>
      <c r="Z1124">
        <v>1</v>
      </c>
    </row>
    <row r="1125" spans="1:26">
      <c r="A1125" t="s">
        <v>2082</v>
      </c>
      <c r="B1125" t="s">
        <v>1582</v>
      </c>
      <c r="C1125" t="s">
        <v>28</v>
      </c>
      <c r="D1125" t="s">
        <v>95</v>
      </c>
      <c r="E1125" s="1">
        <v>44367</v>
      </c>
      <c r="F1125" t="s">
        <v>30</v>
      </c>
      <c r="G1125" t="s">
        <v>110</v>
      </c>
      <c r="H1125" t="s">
        <v>111</v>
      </c>
      <c r="I1125">
        <v>10</v>
      </c>
      <c r="J1125" t="s">
        <v>98</v>
      </c>
      <c r="K1125">
        <v>3</v>
      </c>
      <c r="L1125" s="3">
        <v>4099</v>
      </c>
      <c r="M1125">
        <v>25</v>
      </c>
      <c r="N1125" s="3">
        <v>3070</v>
      </c>
      <c r="O1125" s="3">
        <v>9210</v>
      </c>
      <c r="P1125" t="s">
        <v>50</v>
      </c>
      <c r="Q1125" t="s">
        <v>82</v>
      </c>
      <c r="R1125" t="s">
        <v>36</v>
      </c>
      <c r="S1125" t="s">
        <v>99</v>
      </c>
      <c r="T1125" t="s">
        <v>229</v>
      </c>
      <c r="U1125" t="s">
        <v>61</v>
      </c>
      <c r="V1125" t="s">
        <v>315</v>
      </c>
      <c r="W1125">
        <v>4.7</v>
      </c>
      <c r="X1125" t="s">
        <v>62</v>
      </c>
      <c r="Y1125" t="s">
        <v>147</v>
      </c>
      <c r="Z1125">
        <v>1</v>
      </c>
    </row>
    <row r="1126" spans="1:26">
      <c r="A1126" t="s">
        <v>2083</v>
      </c>
      <c r="B1126" t="s">
        <v>705</v>
      </c>
      <c r="C1126" t="s">
        <v>28</v>
      </c>
      <c r="D1126" t="s">
        <v>103</v>
      </c>
      <c r="E1126" s="1">
        <v>44367</v>
      </c>
      <c r="F1126" t="s">
        <v>30</v>
      </c>
      <c r="G1126" t="s">
        <v>214</v>
      </c>
      <c r="H1126" t="s">
        <v>128</v>
      </c>
      <c r="I1126">
        <v>8</v>
      </c>
      <c r="J1126" t="s">
        <v>67</v>
      </c>
      <c r="K1126">
        <v>1</v>
      </c>
      <c r="L1126" s="3">
        <v>5499</v>
      </c>
      <c r="M1126">
        <v>10</v>
      </c>
      <c r="N1126" s="3">
        <v>4950</v>
      </c>
      <c r="O1126" s="3">
        <v>4950</v>
      </c>
      <c r="P1126" t="s">
        <v>74</v>
      </c>
      <c r="Q1126" t="s">
        <v>82</v>
      </c>
      <c r="R1126" t="s">
        <v>36</v>
      </c>
      <c r="S1126" t="s">
        <v>238</v>
      </c>
      <c r="T1126" t="s">
        <v>239</v>
      </c>
      <c r="U1126" t="s">
        <v>91</v>
      </c>
      <c r="V1126" t="s">
        <v>315</v>
      </c>
      <c r="W1126">
        <v>3.9</v>
      </c>
      <c r="X1126" t="s">
        <v>41</v>
      </c>
      <c r="Y1126" t="s">
        <v>42</v>
      </c>
      <c r="Z1126">
        <v>2</v>
      </c>
    </row>
    <row r="1127" spans="1:26">
      <c r="A1127" t="s">
        <v>2084</v>
      </c>
      <c r="B1127" t="s">
        <v>778</v>
      </c>
      <c r="C1127" t="s">
        <v>45</v>
      </c>
      <c r="D1127" t="s">
        <v>103</v>
      </c>
      <c r="E1127" s="1">
        <v>44367</v>
      </c>
      <c r="F1127" t="s">
        <v>47</v>
      </c>
      <c r="G1127" t="s">
        <v>402</v>
      </c>
      <c r="H1127" t="s">
        <v>32</v>
      </c>
      <c r="I1127">
        <v>7</v>
      </c>
      <c r="J1127" t="s">
        <v>88</v>
      </c>
      <c r="K1127">
        <v>2</v>
      </c>
      <c r="L1127" s="3">
        <v>6899</v>
      </c>
      <c r="M1127">
        <v>20</v>
      </c>
      <c r="N1127" s="3">
        <v>5520</v>
      </c>
      <c r="O1127" s="3">
        <v>11040</v>
      </c>
      <c r="P1127" t="s">
        <v>81</v>
      </c>
      <c r="Q1127" t="s">
        <v>35</v>
      </c>
      <c r="R1127" t="s">
        <v>36</v>
      </c>
      <c r="S1127" t="s">
        <v>37</v>
      </c>
      <c r="T1127" t="s">
        <v>509</v>
      </c>
      <c r="U1127" t="s">
        <v>91</v>
      </c>
      <c r="V1127" t="s">
        <v>315</v>
      </c>
      <c r="W1127">
        <v>4.2</v>
      </c>
      <c r="X1127" t="s">
        <v>41</v>
      </c>
      <c r="Y1127" t="s">
        <v>42</v>
      </c>
      <c r="Z1127">
        <v>1</v>
      </c>
    </row>
    <row r="1128" spans="1:26">
      <c r="A1128" t="s">
        <v>2085</v>
      </c>
      <c r="B1128" t="s">
        <v>2021</v>
      </c>
      <c r="C1128" t="s">
        <v>28</v>
      </c>
      <c r="D1128" t="s">
        <v>46</v>
      </c>
      <c r="E1128" s="1">
        <v>44369</v>
      </c>
      <c r="F1128" t="s">
        <v>30</v>
      </c>
      <c r="G1128" t="s">
        <v>214</v>
      </c>
      <c r="H1128" t="s">
        <v>128</v>
      </c>
      <c r="I1128">
        <v>7</v>
      </c>
      <c r="J1128" t="s">
        <v>150</v>
      </c>
      <c r="K1128">
        <v>1</v>
      </c>
      <c r="L1128" s="3">
        <v>4099</v>
      </c>
      <c r="M1128">
        <v>20</v>
      </c>
      <c r="N1128" s="3">
        <v>3280</v>
      </c>
      <c r="O1128" s="3">
        <v>3280</v>
      </c>
      <c r="P1128" t="s">
        <v>74</v>
      </c>
      <c r="Q1128" t="s">
        <v>51</v>
      </c>
      <c r="R1128" t="s">
        <v>36</v>
      </c>
      <c r="S1128" t="s">
        <v>99</v>
      </c>
      <c r="T1128" t="s">
        <v>229</v>
      </c>
      <c r="U1128" t="s">
        <v>54</v>
      </c>
      <c r="V1128" t="s">
        <v>315</v>
      </c>
      <c r="W1128">
        <v>4.5</v>
      </c>
      <c r="X1128" t="s">
        <v>41</v>
      </c>
      <c r="Y1128" t="s">
        <v>42</v>
      </c>
      <c r="Z1128">
        <v>4</v>
      </c>
    </row>
    <row r="1129" spans="1:26">
      <c r="A1129" t="s">
        <v>2086</v>
      </c>
      <c r="B1129" t="s">
        <v>2087</v>
      </c>
      <c r="C1129" t="s">
        <v>45</v>
      </c>
      <c r="D1129" t="s">
        <v>103</v>
      </c>
      <c r="E1129" s="1">
        <v>44369</v>
      </c>
      <c r="F1129" t="s">
        <v>96</v>
      </c>
      <c r="G1129" t="s">
        <v>228</v>
      </c>
      <c r="H1129" t="s">
        <v>59</v>
      </c>
      <c r="I1129">
        <v>11</v>
      </c>
      <c r="J1129" t="s">
        <v>98</v>
      </c>
      <c r="K1129">
        <v>1</v>
      </c>
      <c r="L1129" s="3">
        <v>6899</v>
      </c>
      <c r="M1129">
        <v>15</v>
      </c>
      <c r="N1129" s="3">
        <v>5860</v>
      </c>
      <c r="O1129" s="3">
        <v>5860</v>
      </c>
      <c r="P1129" t="s">
        <v>81</v>
      </c>
      <c r="Q1129" t="s">
        <v>51</v>
      </c>
      <c r="R1129" t="s">
        <v>36</v>
      </c>
      <c r="S1129" t="s">
        <v>175</v>
      </c>
      <c r="T1129" t="s">
        <v>495</v>
      </c>
      <c r="U1129" t="s">
        <v>124</v>
      </c>
      <c r="V1129" t="s">
        <v>40</v>
      </c>
      <c r="W1129">
        <v>4.0999999999999996</v>
      </c>
      <c r="X1129" t="s">
        <v>41</v>
      </c>
      <c r="Y1129" t="s">
        <v>42</v>
      </c>
      <c r="Z1129">
        <v>5</v>
      </c>
    </row>
    <row r="1130" spans="1:26">
      <c r="A1130" t="s">
        <v>2088</v>
      </c>
      <c r="B1130" t="s">
        <v>1558</v>
      </c>
      <c r="C1130" t="s">
        <v>28</v>
      </c>
      <c r="D1130" t="s">
        <v>95</v>
      </c>
      <c r="E1130" s="1">
        <v>44369</v>
      </c>
      <c r="F1130" t="s">
        <v>86</v>
      </c>
      <c r="G1130" t="s">
        <v>87</v>
      </c>
      <c r="H1130" t="s">
        <v>59</v>
      </c>
      <c r="I1130">
        <v>8</v>
      </c>
      <c r="J1130" t="s">
        <v>150</v>
      </c>
      <c r="K1130">
        <v>1</v>
      </c>
      <c r="L1130" s="3">
        <v>6099</v>
      </c>
      <c r="M1130">
        <v>30</v>
      </c>
      <c r="N1130" s="3">
        <v>4270</v>
      </c>
      <c r="O1130" s="3">
        <v>4270</v>
      </c>
      <c r="P1130" t="s">
        <v>74</v>
      </c>
      <c r="Q1130" t="s">
        <v>82</v>
      </c>
      <c r="R1130" t="s">
        <v>36</v>
      </c>
      <c r="S1130" t="s">
        <v>191</v>
      </c>
      <c r="T1130" t="s">
        <v>192</v>
      </c>
      <c r="U1130" t="s">
        <v>39</v>
      </c>
      <c r="V1130" t="s">
        <v>315</v>
      </c>
      <c r="W1130">
        <v>4.2</v>
      </c>
      <c r="X1130" t="s">
        <v>106</v>
      </c>
      <c r="Y1130" t="s">
        <v>42</v>
      </c>
      <c r="Z1130">
        <v>7</v>
      </c>
    </row>
    <row r="1131" spans="1:26">
      <c r="A1131" t="s">
        <v>2089</v>
      </c>
      <c r="B1131" t="s">
        <v>2090</v>
      </c>
      <c r="C1131" t="s">
        <v>45</v>
      </c>
      <c r="D1131" t="s">
        <v>103</v>
      </c>
      <c r="E1131" s="1">
        <v>44369</v>
      </c>
      <c r="F1131" t="s">
        <v>79</v>
      </c>
      <c r="G1131" t="s">
        <v>517</v>
      </c>
      <c r="H1131" t="s">
        <v>59</v>
      </c>
      <c r="I1131">
        <v>8</v>
      </c>
      <c r="J1131" t="s">
        <v>73</v>
      </c>
      <c r="K1131">
        <v>4</v>
      </c>
      <c r="L1131" s="3">
        <v>7099</v>
      </c>
      <c r="M1131">
        <v>5</v>
      </c>
      <c r="N1131" s="3">
        <v>6740</v>
      </c>
      <c r="O1131" s="3">
        <v>26960</v>
      </c>
      <c r="P1131" t="s">
        <v>74</v>
      </c>
      <c r="Q1131" t="s">
        <v>82</v>
      </c>
      <c r="R1131" t="s">
        <v>36</v>
      </c>
      <c r="S1131" t="s">
        <v>52</v>
      </c>
      <c r="T1131" t="s">
        <v>235</v>
      </c>
      <c r="U1131" t="s">
        <v>39</v>
      </c>
      <c r="V1131" t="s">
        <v>40</v>
      </c>
      <c r="W1131">
        <v>4.4000000000000004</v>
      </c>
      <c r="X1131" t="s">
        <v>41</v>
      </c>
      <c r="Y1131" t="s">
        <v>42</v>
      </c>
      <c r="Z1131">
        <v>6</v>
      </c>
    </row>
    <row r="1132" spans="1:26">
      <c r="A1132" t="s">
        <v>2091</v>
      </c>
      <c r="B1132" t="s">
        <v>1020</v>
      </c>
      <c r="C1132" t="s">
        <v>28</v>
      </c>
      <c r="D1132" t="s">
        <v>103</v>
      </c>
      <c r="E1132" s="1">
        <v>44370</v>
      </c>
      <c r="F1132" t="s">
        <v>65</v>
      </c>
      <c r="G1132" t="s">
        <v>256</v>
      </c>
      <c r="H1132" t="s">
        <v>32</v>
      </c>
      <c r="I1132">
        <v>9</v>
      </c>
      <c r="J1132" t="s">
        <v>150</v>
      </c>
      <c r="K1132">
        <v>1</v>
      </c>
      <c r="L1132" s="3">
        <v>8599</v>
      </c>
      <c r="M1132">
        <v>30</v>
      </c>
      <c r="N1132" s="3">
        <v>6020</v>
      </c>
      <c r="O1132" s="3">
        <v>6020</v>
      </c>
      <c r="P1132" t="s">
        <v>34</v>
      </c>
      <c r="Q1132" t="s">
        <v>51</v>
      </c>
      <c r="R1132" t="s">
        <v>36</v>
      </c>
      <c r="S1132" t="s">
        <v>238</v>
      </c>
      <c r="T1132" t="s">
        <v>260</v>
      </c>
      <c r="U1132" t="s">
        <v>124</v>
      </c>
      <c r="V1132" t="s">
        <v>315</v>
      </c>
      <c r="W1132">
        <v>3.5</v>
      </c>
      <c r="X1132" t="s">
        <v>41</v>
      </c>
      <c r="Y1132" t="s">
        <v>42</v>
      </c>
      <c r="Z1132">
        <v>2</v>
      </c>
    </row>
    <row r="1133" spans="1:26">
      <c r="A1133" t="s">
        <v>2092</v>
      </c>
      <c r="B1133" t="s">
        <v>1761</v>
      </c>
      <c r="C1133" t="s">
        <v>45</v>
      </c>
      <c r="D1133" t="s">
        <v>46</v>
      </c>
      <c r="E1133" s="1">
        <v>44372</v>
      </c>
      <c r="F1133" t="s">
        <v>86</v>
      </c>
      <c r="G1133" t="s">
        <v>87</v>
      </c>
      <c r="H1133" t="s">
        <v>59</v>
      </c>
      <c r="I1133">
        <v>9</v>
      </c>
      <c r="J1133" t="s">
        <v>73</v>
      </c>
      <c r="K1133">
        <v>1</v>
      </c>
      <c r="L1133" s="3">
        <v>4399</v>
      </c>
      <c r="M1133">
        <v>10</v>
      </c>
      <c r="N1133" s="3">
        <v>3960</v>
      </c>
      <c r="O1133" s="3">
        <v>3960</v>
      </c>
      <c r="P1133" t="s">
        <v>74</v>
      </c>
      <c r="Q1133" t="s">
        <v>51</v>
      </c>
      <c r="R1133" t="s">
        <v>36</v>
      </c>
      <c r="S1133" t="s">
        <v>89</v>
      </c>
      <c r="T1133" t="s">
        <v>90</v>
      </c>
      <c r="U1133" t="s">
        <v>54</v>
      </c>
      <c r="V1133" t="s">
        <v>315</v>
      </c>
      <c r="W1133">
        <v>4.4000000000000004</v>
      </c>
      <c r="X1133" t="s">
        <v>41</v>
      </c>
      <c r="Y1133" t="s">
        <v>42</v>
      </c>
      <c r="Z1133">
        <v>7</v>
      </c>
    </row>
    <row r="1134" spans="1:26">
      <c r="A1134" t="s">
        <v>2093</v>
      </c>
      <c r="B1134" t="s">
        <v>289</v>
      </c>
      <c r="C1134" t="s">
        <v>28</v>
      </c>
      <c r="D1134" t="s">
        <v>29</v>
      </c>
      <c r="E1134" s="1">
        <v>44375</v>
      </c>
      <c r="F1134" t="s">
        <v>86</v>
      </c>
      <c r="G1134" t="s">
        <v>312</v>
      </c>
      <c r="H1134" t="s">
        <v>59</v>
      </c>
      <c r="I1134">
        <v>10</v>
      </c>
      <c r="J1134" t="s">
        <v>33</v>
      </c>
      <c r="K1134">
        <v>1</v>
      </c>
      <c r="L1134" s="3">
        <v>7399</v>
      </c>
      <c r="M1134">
        <v>5</v>
      </c>
      <c r="N1134" s="3">
        <v>7030</v>
      </c>
      <c r="O1134" s="3">
        <v>7030</v>
      </c>
      <c r="P1134" t="s">
        <v>81</v>
      </c>
      <c r="Q1134" t="s">
        <v>82</v>
      </c>
      <c r="R1134" t="s">
        <v>36</v>
      </c>
      <c r="S1134" t="s">
        <v>168</v>
      </c>
      <c r="T1134" t="s">
        <v>557</v>
      </c>
      <c r="U1134" t="s">
        <v>39</v>
      </c>
      <c r="V1134" t="s">
        <v>315</v>
      </c>
      <c r="W1134">
        <v>4.4000000000000004</v>
      </c>
      <c r="X1134" t="s">
        <v>41</v>
      </c>
      <c r="Y1134" t="s">
        <v>42</v>
      </c>
      <c r="Z1134">
        <v>7</v>
      </c>
    </row>
    <row r="1135" spans="1:26">
      <c r="A1135" t="s">
        <v>2094</v>
      </c>
      <c r="B1135" t="s">
        <v>1525</v>
      </c>
      <c r="C1135" t="s">
        <v>45</v>
      </c>
      <c r="D1135" t="s">
        <v>103</v>
      </c>
      <c r="E1135" s="1">
        <v>44378</v>
      </c>
      <c r="F1135" t="s">
        <v>86</v>
      </c>
      <c r="G1135" t="s">
        <v>242</v>
      </c>
      <c r="H1135" t="s">
        <v>32</v>
      </c>
      <c r="I1135">
        <v>11</v>
      </c>
      <c r="J1135" t="s">
        <v>67</v>
      </c>
      <c r="K1135">
        <v>3</v>
      </c>
      <c r="L1135" s="3">
        <v>6399</v>
      </c>
      <c r="M1135">
        <v>0</v>
      </c>
      <c r="N1135" s="3">
        <v>6400</v>
      </c>
      <c r="O1135" s="3">
        <v>19200</v>
      </c>
      <c r="P1135" t="s">
        <v>34</v>
      </c>
      <c r="Q1135" t="s">
        <v>51</v>
      </c>
      <c r="R1135" t="s">
        <v>36</v>
      </c>
      <c r="S1135" t="s">
        <v>175</v>
      </c>
      <c r="T1135" t="s">
        <v>865</v>
      </c>
      <c r="U1135" t="s">
        <v>61</v>
      </c>
      <c r="V1135" t="s">
        <v>315</v>
      </c>
      <c r="W1135">
        <v>3.2</v>
      </c>
      <c r="X1135" t="s">
        <v>41</v>
      </c>
      <c r="Y1135" t="s">
        <v>42</v>
      </c>
      <c r="Z1135">
        <v>2</v>
      </c>
    </row>
    <row r="1136" spans="1:26">
      <c r="A1136" t="s">
        <v>2095</v>
      </c>
      <c r="B1136" t="s">
        <v>644</v>
      </c>
      <c r="C1136" t="s">
        <v>94</v>
      </c>
      <c r="D1136" t="s">
        <v>103</v>
      </c>
      <c r="E1136" s="1">
        <v>44378</v>
      </c>
      <c r="F1136" t="s">
        <v>65</v>
      </c>
      <c r="G1136" t="s">
        <v>279</v>
      </c>
      <c r="H1136" t="s">
        <v>111</v>
      </c>
      <c r="I1136">
        <v>8</v>
      </c>
      <c r="J1136" t="s">
        <v>67</v>
      </c>
      <c r="K1136">
        <v>2</v>
      </c>
      <c r="L1136" s="3">
        <v>8199</v>
      </c>
      <c r="M1136">
        <v>20</v>
      </c>
      <c r="N1136" s="3">
        <v>6560</v>
      </c>
      <c r="O1136" s="3">
        <v>13120</v>
      </c>
      <c r="P1136" t="s">
        <v>74</v>
      </c>
      <c r="Q1136" t="s">
        <v>82</v>
      </c>
      <c r="R1136" t="s">
        <v>36</v>
      </c>
      <c r="S1136" t="s">
        <v>168</v>
      </c>
      <c r="T1136" t="s">
        <v>557</v>
      </c>
      <c r="U1136" t="s">
        <v>54</v>
      </c>
      <c r="V1136" t="s">
        <v>969</v>
      </c>
      <c r="W1136">
        <v>3.3</v>
      </c>
      <c r="X1136" t="s">
        <v>41</v>
      </c>
      <c r="Y1136" t="s">
        <v>147</v>
      </c>
      <c r="Z1136">
        <v>1</v>
      </c>
    </row>
    <row r="1137" spans="1:26">
      <c r="A1137" t="s">
        <v>2096</v>
      </c>
      <c r="B1137" t="s">
        <v>1511</v>
      </c>
      <c r="C1137" t="s">
        <v>45</v>
      </c>
      <c r="D1137" t="s">
        <v>46</v>
      </c>
      <c r="E1137" s="1">
        <v>44379</v>
      </c>
      <c r="F1137" t="s">
        <v>96</v>
      </c>
      <c r="G1137" t="s">
        <v>323</v>
      </c>
      <c r="H1137" t="s">
        <v>59</v>
      </c>
      <c r="I1137">
        <v>7</v>
      </c>
      <c r="J1137" t="s">
        <v>98</v>
      </c>
      <c r="K1137">
        <v>2</v>
      </c>
      <c r="L1137" s="3">
        <v>4799</v>
      </c>
      <c r="M1137">
        <v>30</v>
      </c>
      <c r="N1137" s="3">
        <v>3360</v>
      </c>
      <c r="O1137" s="3">
        <v>6720</v>
      </c>
      <c r="P1137" t="s">
        <v>50</v>
      </c>
      <c r="Q1137" t="s">
        <v>82</v>
      </c>
      <c r="R1137" t="s">
        <v>36</v>
      </c>
      <c r="S1137" t="s">
        <v>151</v>
      </c>
      <c r="T1137" t="s">
        <v>506</v>
      </c>
      <c r="U1137" t="s">
        <v>91</v>
      </c>
      <c r="V1137" t="s">
        <v>315</v>
      </c>
      <c r="W1137">
        <v>4.5</v>
      </c>
      <c r="X1137" t="s">
        <v>41</v>
      </c>
      <c r="Y1137" t="s">
        <v>55</v>
      </c>
      <c r="Z1137">
        <v>2</v>
      </c>
    </row>
    <row r="1138" spans="1:26">
      <c r="A1138" t="s">
        <v>2097</v>
      </c>
      <c r="B1138" t="s">
        <v>2098</v>
      </c>
      <c r="C1138" t="s">
        <v>28</v>
      </c>
      <c r="D1138" t="s">
        <v>46</v>
      </c>
      <c r="E1138" s="1">
        <v>44381</v>
      </c>
      <c r="F1138" t="s">
        <v>96</v>
      </c>
      <c r="G1138" t="s">
        <v>171</v>
      </c>
      <c r="H1138" t="s">
        <v>128</v>
      </c>
      <c r="I1138">
        <v>7</v>
      </c>
      <c r="J1138" t="s">
        <v>73</v>
      </c>
      <c r="K1138">
        <v>1</v>
      </c>
      <c r="L1138" s="3">
        <v>4999</v>
      </c>
      <c r="M1138">
        <v>0</v>
      </c>
      <c r="N1138" s="3">
        <v>5000</v>
      </c>
      <c r="O1138" s="3">
        <v>5000</v>
      </c>
      <c r="P1138" t="s">
        <v>34</v>
      </c>
      <c r="Q1138" t="s">
        <v>51</v>
      </c>
      <c r="R1138" t="s">
        <v>36</v>
      </c>
      <c r="S1138" t="s">
        <v>384</v>
      </c>
      <c r="T1138" t="s">
        <v>481</v>
      </c>
      <c r="U1138" t="s">
        <v>54</v>
      </c>
      <c r="V1138" t="s">
        <v>40</v>
      </c>
      <c r="W1138">
        <v>4</v>
      </c>
      <c r="X1138" t="s">
        <v>41</v>
      </c>
      <c r="Y1138" t="s">
        <v>55</v>
      </c>
      <c r="Z1138">
        <v>3</v>
      </c>
    </row>
    <row r="1139" spans="1:26">
      <c r="A1139" t="s">
        <v>2099</v>
      </c>
      <c r="B1139" t="s">
        <v>831</v>
      </c>
      <c r="C1139" t="s">
        <v>94</v>
      </c>
      <c r="D1139" t="s">
        <v>46</v>
      </c>
      <c r="E1139" s="1">
        <v>44382</v>
      </c>
      <c r="F1139" t="s">
        <v>30</v>
      </c>
      <c r="G1139" t="s">
        <v>58</v>
      </c>
      <c r="H1139" t="s">
        <v>59</v>
      </c>
      <c r="I1139">
        <v>7</v>
      </c>
      <c r="J1139" t="s">
        <v>88</v>
      </c>
      <c r="K1139">
        <v>2</v>
      </c>
      <c r="L1139" s="3">
        <v>7499</v>
      </c>
      <c r="M1139">
        <v>30</v>
      </c>
      <c r="N1139" s="3">
        <v>5250</v>
      </c>
      <c r="O1139" s="3">
        <v>10500</v>
      </c>
      <c r="P1139" t="s">
        <v>74</v>
      </c>
      <c r="Q1139" t="s">
        <v>82</v>
      </c>
      <c r="R1139" t="s">
        <v>36</v>
      </c>
      <c r="S1139" t="s">
        <v>164</v>
      </c>
      <c r="T1139" t="s">
        <v>165</v>
      </c>
      <c r="U1139" t="s">
        <v>54</v>
      </c>
      <c r="V1139" t="s">
        <v>315</v>
      </c>
      <c r="W1139">
        <v>4.8</v>
      </c>
      <c r="X1139" t="s">
        <v>41</v>
      </c>
      <c r="Y1139" t="s">
        <v>147</v>
      </c>
      <c r="Z1139">
        <v>1</v>
      </c>
    </row>
    <row r="1140" spans="1:26">
      <c r="A1140" t="s">
        <v>2100</v>
      </c>
      <c r="B1140" t="s">
        <v>1165</v>
      </c>
      <c r="C1140" t="s">
        <v>28</v>
      </c>
      <c r="D1140" t="s">
        <v>103</v>
      </c>
      <c r="E1140" s="1">
        <v>44383</v>
      </c>
      <c r="F1140" t="s">
        <v>47</v>
      </c>
      <c r="G1140" t="s">
        <v>140</v>
      </c>
      <c r="H1140" t="s">
        <v>128</v>
      </c>
      <c r="I1140">
        <v>9</v>
      </c>
      <c r="J1140" t="s">
        <v>88</v>
      </c>
      <c r="K1140">
        <v>1</v>
      </c>
      <c r="L1140" s="3">
        <v>4999</v>
      </c>
      <c r="M1140">
        <v>15</v>
      </c>
      <c r="N1140" s="3">
        <v>4250</v>
      </c>
      <c r="O1140" s="3">
        <v>4250</v>
      </c>
      <c r="P1140" t="s">
        <v>34</v>
      </c>
      <c r="Q1140" t="s">
        <v>82</v>
      </c>
      <c r="R1140" t="s">
        <v>36</v>
      </c>
      <c r="S1140" t="s">
        <v>354</v>
      </c>
      <c r="T1140" t="s">
        <v>431</v>
      </c>
      <c r="U1140" t="s">
        <v>54</v>
      </c>
      <c r="V1140" t="s">
        <v>315</v>
      </c>
      <c r="W1140">
        <v>3.9</v>
      </c>
      <c r="X1140" t="s">
        <v>106</v>
      </c>
      <c r="Y1140" t="s">
        <v>55</v>
      </c>
      <c r="Z1140">
        <v>1</v>
      </c>
    </row>
    <row r="1141" spans="1:26">
      <c r="A1141" t="s">
        <v>2101</v>
      </c>
      <c r="B1141" t="s">
        <v>376</v>
      </c>
      <c r="C1141" t="s">
        <v>28</v>
      </c>
      <c r="D1141" t="s">
        <v>46</v>
      </c>
      <c r="E1141" s="1">
        <v>44383</v>
      </c>
      <c r="F1141" t="s">
        <v>30</v>
      </c>
      <c r="G1141" t="s">
        <v>58</v>
      </c>
      <c r="H1141" t="s">
        <v>59</v>
      </c>
      <c r="I1141">
        <v>9</v>
      </c>
      <c r="J1141" t="s">
        <v>98</v>
      </c>
      <c r="K1141">
        <v>1</v>
      </c>
      <c r="L1141" s="3">
        <v>4999</v>
      </c>
      <c r="M1141">
        <v>25</v>
      </c>
      <c r="N1141" s="3">
        <v>3750</v>
      </c>
      <c r="O1141" s="3">
        <v>3750</v>
      </c>
      <c r="P1141" t="s">
        <v>74</v>
      </c>
      <c r="Q1141" t="s">
        <v>35</v>
      </c>
      <c r="R1141" t="s">
        <v>36</v>
      </c>
      <c r="S1141" t="s">
        <v>122</v>
      </c>
      <c r="T1141" t="s">
        <v>382</v>
      </c>
      <c r="U1141" t="s">
        <v>39</v>
      </c>
      <c r="V1141" t="s">
        <v>969</v>
      </c>
      <c r="W1141">
        <v>4.5</v>
      </c>
      <c r="X1141" t="s">
        <v>41</v>
      </c>
      <c r="Y1141" t="s">
        <v>55</v>
      </c>
      <c r="Z1141">
        <v>3</v>
      </c>
    </row>
    <row r="1142" spans="1:26">
      <c r="A1142" t="s">
        <v>2102</v>
      </c>
      <c r="B1142" t="s">
        <v>2103</v>
      </c>
      <c r="C1142" t="s">
        <v>28</v>
      </c>
      <c r="D1142" t="s">
        <v>109</v>
      </c>
      <c r="E1142" s="1">
        <v>44386</v>
      </c>
      <c r="F1142" t="s">
        <v>65</v>
      </c>
      <c r="G1142" t="s">
        <v>72</v>
      </c>
      <c r="H1142" t="s">
        <v>59</v>
      </c>
      <c r="I1142">
        <v>8</v>
      </c>
      <c r="J1142" t="s">
        <v>98</v>
      </c>
      <c r="K1142">
        <v>1</v>
      </c>
      <c r="L1142" s="3">
        <v>6199</v>
      </c>
      <c r="M1142">
        <v>25</v>
      </c>
      <c r="N1142" s="3">
        <v>4650</v>
      </c>
      <c r="O1142" s="3">
        <v>4650</v>
      </c>
      <c r="P1142" t="s">
        <v>34</v>
      </c>
      <c r="Q1142" t="s">
        <v>51</v>
      </c>
      <c r="R1142" t="s">
        <v>36</v>
      </c>
      <c r="S1142" t="s">
        <v>269</v>
      </c>
      <c r="T1142" t="s">
        <v>652</v>
      </c>
      <c r="U1142" t="s">
        <v>124</v>
      </c>
      <c r="V1142" t="s">
        <v>40</v>
      </c>
      <c r="W1142">
        <v>5</v>
      </c>
      <c r="X1142" t="s">
        <v>62</v>
      </c>
      <c r="Y1142" t="s">
        <v>147</v>
      </c>
      <c r="Z1142">
        <v>1</v>
      </c>
    </row>
    <row r="1143" spans="1:26">
      <c r="A1143" t="s">
        <v>2104</v>
      </c>
      <c r="B1143" t="s">
        <v>1429</v>
      </c>
      <c r="C1143" t="s">
        <v>94</v>
      </c>
      <c r="D1143" t="s">
        <v>46</v>
      </c>
      <c r="E1143" s="1">
        <v>44386</v>
      </c>
      <c r="F1143" t="s">
        <v>96</v>
      </c>
      <c r="G1143" t="s">
        <v>97</v>
      </c>
      <c r="H1143" t="s">
        <v>49</v>
      </c>
      <c r="I1143">
        <v>8</v>
      </c>
      <c r="J1143" t="s">
        <v>67</v>
      </c>
      <c r="K1143">
        <v>2</v>
      </c>
      <c r="L1143" s="3">
        <v>9499</v>
      </c>
      <c r="M1143">
        <v>15</v>
      </c>
      <c r="N1143" s="3">
        <v>8070</v>
      </c>
      <c r="O1143" s="3">
        <v>16140</v>
      </c>
      <c r="P1143" t="s">
        <v>34</v>
      </c>
      <c r="Q1143" t="s">
        <v>35</v>
      </c>
      <c r="R1143" t="s">
        <v>36</v>
      </c>
      <c r="S1143" t="s">
        <v>37</v>
      </c>
      <c r="T1143" t="s">
        <v>509</v>
      </c>
      <c r="U1143" t="s">
        <v>54</v>
      </c>
      <c r="V1143" t="s">
        <v>969</v>
      </c>
      <c r="W1143">
        <v>2</v>
      </c>
      <c r="X1143" t="s">
        <v>62</v>
      </c>
      <c r="Y1143" t="s">
        <v>147</v>
      </c>
      <c r="Z1143">
        <v>1</v>
      </c>
    </row>
    <row r="1144" spans="1:26">
      <c r="A1144" t="s">
        <v>2105</v>
      </c>
      <c r="B1144" t="s">
        <v>823</v>
      </c>
      <c r="C1144" t="s">
        <v>28</v>
      </c>
      <c r="D1144" t="s">
        <v>46</v>
      </c>
      <c r="E1144" s="1">
        <v>44388</v>
      </c>
      <c r="F1144" t="s">
        <v>30</v>
      </c>
      <c r="G1144" t="s">
        <v>214</v>
      </c>
      <c r="H1144" t="s">
        <v>128</v>
      </c>
      <c r="I1144">
        <v>10</v>
      </c>
      <c r="J1144" t="s">
        <v>98</v>
      </c>
      <c r="K1144">
        <v>1</v>
      </c>
      <c r="L1144" s="3">
        <v>4499</v>
      </c>
      <c r="M1144">
        <v>35</v>
      </c>
      <c r="N1144" s="3">
        <v>2920</v>
      </c>
      <c r="O1144" s="3">
        <v>2920</v>
      </c>
      <c r="P1144" t="s">
        <v>50</v>
      </c>
      <c r="Q1144" t="s">
        <v>82</v>
      </c>
      <c r="R1144" t="s">
        <v>36</v>
      </c>
      <c r="S1144" t="s">
        <v>238</v>
      </c>
      <c r="T1144" t="s">
        <v>260</v>
      </c>
      <c r="U1144" t="s">
        <v>124</v>
      </c>
      <c r="V1144" t="s">
        <v>969</v>
      </c>
      <c r="W1144">
        <v>3.6</v>
      </c>
      <c r="X1144" t="s">
        <v>62</v>
      </c>
      <c r="Y1144" t="s">
        <v>55</v>
      </c>
      <c r="Z1144">
        <v>3</v>
      </c>
    </row>
    <row r="1145" spans="1:26">
      <c r="A1145" t="s">
        <v>2106</v>
      </c>
      <c r="B1145" t="s">
        <v>1411</v>
      </c>
      <c r="C1145" t="s">
        <v>28</v>
      </c>
      <c r="D1145" t="s">
        <v>95</v>
      </c>
      <c r="E1145" s="1">
        <v>44388</v>
      </c>
      <c r="F1145" t="s">
        <v>86</v>
      </c>
      <c r="G1145" t="s">
        <v>87</v>
      </c>
      <c r="H1145" t="s">
        <v>59</v>
      </c>
      <c r="I1145">
        <v>7</v>
      </c>
      <c r="J1145" t="s">
        <v>73</v>
      </c>
      <c r="K1145">
        <v>2</v>
      </c>
      <c r="L1145" s="3">
        <v>6499</v>
      </c>
      <c r="M1145">
        <v>10</v>
      </c>
      <c r="N1145" s="3">
        <v>5850</v>
      </c>
      <c r="O1145" s="3">
        <v>11700</v>
      </c>
      <c r="P1145" t="s">
        <v>50</v>
      </c>
      <c r="Q1145" t="s">
        <v>82</v>
      </c>
      <c r="R1145" t="s">
        <v>36</v>
      </c>
      <c r="S1145" t="s">
        <v>182</v>
      </c>
      <c r="T1145" t="s">
        <v>604</v>
      </c>
      <c r="U1145" t="s">
        <v>124</v>
      </c>
      <c r="V1145" t="s">
        <v>315</v>
      </c>
      <c r="W1145">
        <v>3.4</v>
      </c>
      <c r="X1145" t="s">
        <v>41</v>
      </c>
      <c r="Y1145" t="s">
        <v>55</v>
      </c>
      <c r="Z1145">
        <v>3</v>
      </c>
    </row>
    <row r="1146" spans="1:26">
      <c r="A1146" t="s">
        <v>2107</v>
      </c>
      <c r="B1146" t="s">
        <v>2108</v>
      </c>
      <c r="C1146" t="s">
        <v>45</v>
      </c>
      <c r="D1146" t="s">
        <v>109</v>
      </c>
      <c r="E1146" s="1">
        <v>44389</v>
      </c>
      <c r="F1146" t="s">
        <v>96</v>
      </c>
      <c r="G1146" t="s">
        <v>228</v>
      </c>
      <c r="H1146" t="s">
        <v>59</v>
      </c>
      <c r="I1146">
        <v>11</v>
      </c>
      <c r="J1146" t="s">
        <v>150</v>
      </c>
      <c r="K1146">
        <v>2</v>
      </c>
      <c r="L1146" s="3">
        <v>6499</v>
      </c>
      <c r="M1146">
        <v>15</v>
      </c>
      <c r="N1146" s="3">
        <v>5520</v>
      </c>
      <c r="O1146" s="3">
        <v>11040</v>
      </c>
      <c r="P1146" t="s">
        <v>34</v>
      </c>
      <c r="Q1146" t="s">
        <v>51</v>
      </c>
      <c r="R1146" t="s">
        <v>36</v>
      </c>
      <c r="S1146" t="s">
        <v>168</v>
      </c>
      <c r="T1146" t="s">
        <v>714</v>
      </c>
      <c r="U1146" t="s">
        <v>91</v>
      </c>
      <c r="V1146" t="s">
        <v>40</v>
      </c>
      <c r="W1146">
        <v>3.7</v>
      </c>
      <c r="X1146" t="s">
        <v>41</v>
      </c>
      <c r="Y1146" t="s">
        <v>42</v>
      </c>
      <c r="Z1146">
        <v>4</v>
      </c>
    </row>
    <row r="1147" spans="1:26">
      <c r="A1147" t="s">
        <v>2109</v>
      </c>
      <c r="B1147" t="s">
        <v>2029</v>
      </c>
      <c r="C1147" t="s">
        <v>45</v>
      </c>
      <c r="D1147" t="s">
        <v>46</v>
      </c>
      <c r="E1147" s="1">
        <v>44390</v>
      </c>
      <c r="F1147" t="s">
        <v>86</v>
      </c>
      <c r="G1147" t="s">
        <v>285</v>
      </c>
      <c r="H1147" t="s">
        <v>111</v>
      </c>
      <c r="I1147">
        <v>11</v>
      </c>
      <c r="J1147" t="s">
        <v>73</v>
      </c>
      <c r="K1147">
        <v>1</v>
      </c>
      <c r="L1147" s="3">
        <v>7999</v>
      </c>
      <c r="M1147">
        <v>30</v>
      </c>
      <c r="N1147" s="3">
        <v>5600</v>
      </c>
      <c r="O1147" s="3">
        <v>5600</v>
      </c>
      <c r="P1147" t="s">
        <v>74</v>
      </c>
      <c r="Q1147" t="s">
        <v>35</v>
      </c>
      <c r="R1147" t="s">
        <v>36</v>
      </c>
      <c r="S1147" t="s">
        <v>37</v>
      </c>
      <c r="T1147" t="s">
        <v>1122</v>
      </c>
      <c r="U1147" t="s">
        <v>39</v>
      </c>
      <c r="V1147" t="s">
        <v>315</v>
      </c>
      <c r="W1147">
        <v>4.5999999999999996</v>
      </c>
      <c r="X1147" t="s">
        <v>41</v>
      </c>
      <c r="Y1147" t="s">
        <v>42</v>
      </c>
      <c r="Z1147">
        <v>3</v>
      </c>
    </row>
    <row r="1148" spans="1:26">
      <c r="A1148" t="s">
        <v>2110</v>
      </c>
      <c r="B1148" t="s">
        <v>2111</v>
      </c>
      <c r="C1148" t="s">
        <v>28</v>
      </c>
      <c r="D1148" t="s">
        <v>29</v>
      </c>
      <c r="E1148" s="1">
        <v>44390</v>
      </c>
      <c r="F1148" t="s">
        <v>86</v>
      </c>
      <c r="G1148" t="s">
        <v>116</v>
      </c>
      <c r="H1148" t="s">
        <v>49</v>
      </c>
      <c r="I1148">
        <v>11</v>
      </c>
      <c r="J1148" t="s">
        <v>98</v>
      </c>
      <c r="K1148">
        <v>1</v>
      </c>
      <c r="L1148" s="3">
        <v>7499</v>
      </c>
      <c r="M1148">
        <v>5</v>
      </c>
      <c r="N1148" s="3">
        <v>7120</v>
      </c>
      <c r="O1148" s="3">
        <v>7120</v>
      </c>
      <c r="P1148" t="s">
        <v>74</v>
      </c>
      <c r="Q1148" t="s">
        <v>51</v>
      </c>
      <c r="R1148" t="s">
        <v>36</v>
      </c>
      <c r="S1148" t="s">
        <v>129</v>
      </c>
      <c r="T1148" t="s">
        <v>146</v>
      </c>
      <c r="U1148" t="s">
        <v>39</v>
      </c>
      <c r="V1148" t="s">
        <v>40</v>
      </c>
      <c r="W1148">
        <v>3.9</v>
      </c>
      <c r="X1148" t="s">
        <v>106</v>
      </c>
      <c r="Y1148" t="s">
        <v>42</v>
      </c>
      <c r="Z1148">
        <v>5</v>
      </c>
    </row>
    <row r="1149" spans="1:26">
      <c r="A1149" t="s">
        <v>2112</v>
      </c>
      <c r="B1149" t="s">
        <v>955</v>
      </c>
      <c r="C1149" t="s">
        <v>28</v>
      </c>
      <c r="D1149" t="s">
        <v>29</v>
      </c>
      <c r="E1149" s="1">
        <v>44391</v>
      </c>
      <c r="F1149" t="s">
        <v>79</v>
      </c>
      <c r="G1149" t="s">
        <v>127</v>
      </c>
      <c r="H1149" t="s">
        <v>128</v>
      </c>
      <c r="I1149">
        <v>7</v>
      </c>
      <c r="J1149" t="s">
        <v>98</v>
      </c>
      <c r="K1149">
        <v>1</v>
      </c>
      <c r="L1149" s="3">
        <v>5999</v>
      </c>
      <c r="M1149">
        <v>10</v>
      </c>
      <c r="N1149" s="3">
        <v>5400</v>
      </c>
      <c r="O1149" s="3">
        <v>5400</v>
      </c>
      <c r="P1149" t="s">
        <v>74</v>
      </c>
      <c r="Q1149" t="s">
        <v>51</v>
      </c>
      <c r="R1149" t="s">
        <v>36</v>
      </c>
      <c r="S1149" t="s">
        <v>129</v>
      </c>
      <c r="T1149" t="s">
        <v>282</v>
      </c>
      <c r="U1149" t="s">
        <v>124</v>
      </c>
      <c r="V1149" t="s">
        <v>315</v>
      </c>
      <c r="W1149">
        <v>5</v>
      </c>
      <c r="X1149" t="s">
        <v>62</v>
      </c>
      <c r="Y1149" t="s">
        <v>42</v>
      </c>
      <c r="Z1149">
        <v>3</v>
      </c>
    </row>
    <row r="1150" spans="1:26">
      <c r="A1150" t="s">
        <v>2113</v>
      </c>
      <c r="B1150" t="s">
        <v>2114</v>
      </c>
      <c r="C1150" t="s">
        <v>45</v>
      </c>
      <c r="D1150" t="s">
        <v>46</v>
      </c>
      <c r="E1150" s="1">
        <v>44391</v>
      </c>
      <c r="F1150" t="s">
        <v>30</v>
      </c>
      <c r="G1150" t="s">
        <v>347</v>
      </c>
      <c r="H1150" t="s">
        <v>49</v>
      </c>
      <c r="I1150">
        <v>6</v>
      </c>
      <c r="J1150" t="s">
        <v>73</v>
      </c>
      <c r="K1150">
        <v>1</v>
      </c>
      <c r="L1150" s="3">
        <v>3599</v>
      </c>
      <c r="M1150">
        <v>30</v>
      </c>
      <c r="N1150" s="3">
        <v>2520</v>
      </c>
      <c r="O1150" s="3">
        <v>2520</v>
      </c>
      <c r="P1150" t="s">
        <v>34</v>
      </c>
      <c r="Q1150" t="s">
        <v>35</v>
      </c>
      <c r="R1150" t="s">
        <v>36</v>
      </c>
      <c r="S1150" t="s">
        <v>200</v>
      </c>
      <c r="T1150" t="s">
        <v>232</v>
      </c>
      <c r="U1150" t="s">
        <v>54</v>
      </c>
      <c r="V1150" t="s">
        <v>40</v>
      </c>
      <c r="W1150">
        <v>4.7</v>
      </c>
      <c r="X1150" t="s">
        <v>62</v>
      </c>
      <c r="Y1150" t="s">
        <v>42</v>
      </c>
      <c r="Z1150">
        <v>3</v>
      </c>
    </row>
    <row r="1151" spans="1:26">
      <c r="A1151" t="s">
        <v>2115</v>
      </c>
      <c r="B1151" t="s">
        <v>1995</v>
      </c>
      <c r="C1151" t="s">
        <v>94</v>
      </c>
      <c r="D1151" t="s">
        <v>29</v>
      </c>
      <c r="E1151" s="1">
        <v>44391</v>
      </c>
      <c r="F1151" t="s">
        <v>47</v>
      </c>
      <c r="G1151" t="s">
        <v>218</v>
      </c>
      <c r="H1151" t="s">
        <v>59</v>
      </c>
      <c r="I1151">
        <v>7</v>
      </c>
      <c r="J1151" t="s">
        <v>67</v>
      </c>
      <c r="K1151">
        <v>1</v>
      </c>
      <c r="L1151" s="3">
        <v>9599</v>
      </c>
      <c r="M1151">
        <v>30</v>
      </c>
      <c r="N1151" s="3">
        <v>6720</v>
      </c>
      <c r="O1151" s="3">
        <v>6720</v>
      </c>
      <c r="P1151" t="s">
        <v>34</v>
      </c>
      <c r="Q1151" t="s">
        <v>35</v>
      </c>
      <c r="R1151" t="s">
        <v>36</v>
      </c>
      <c r="S1151" t="s">
        <v>418</v>
      </c>
      <c r="T1151" t="s">
        <v>419</v>
      </c>
      <c r="U1151" t="s">
        <v>91</v>
      </c>
      <c r="V1151" t="s">
        <v>315</v>
      </c>
      <c r="W1151">
        <v>3.9</v>
      </c>
      <c r="X1151" t="s">
        <v>62</v>
      </c>
      <c r="Y1151" t="s">
        <v>147</v>
      </c>
      <c r="Z1151">
        <v>1</v>
      </c>
    </row>
    <row r="1152" spans="1:26">
      <c r="A1152" t="s">
        <v>2116</v>
      </c>
      <c r="B1152" t="s">
        <v>2117</v>
      </c>
      <c r="C1152" t="s">
        <v>28</v>
      </c>
      <c r="D1152" t="s">
        <v>46</v>
      </c>
      <c r="E1152" s="1">
        <v>44394</v>
      </c>
      <c r="F1152" t="s">
        <v>86</v>
      </c>
      <c r="G1152" t="s">
        <v>190</v>
      </c>
      <c r="H1152" t="s">
        <v>128</v>
      </c>
      <c r="I1152">
        <v>9</v>
      </c>
      <c r="J1152" t="s">
        <v>88</v>
      </c>
      <c r="K1152">
        <v>1</v>
      </c>
      <c r="L1152" s="3">
        <v>4799</v>
      </c>
      <c r="M1152">
        <v>10</v>
      </c>
      <c r="N1152" s="3">
        <v>4320</v>
      </c>
      <c r="O1152" s="3">
        <v>4320</v>
      </c>
      <c r="P1152" t="s">
        <v>74</v>
      </c>
      <c r="Q1152" t="s">
        <v>35</v>
      </c>
      <c r="R1152" t="s">
        <v>36</v>
      </c>
      <c r="S1152" t="s">
        <v>37</v>
      </c>
      <c r="T1152" t="s">
        <v>1122</v>
      </c>
      <c r="U1152" t="s">
        <v>61</v>
      </c>
      <c r="V1152" t="s">
        <v>40</v>
      </c>
      <c r="W1152">
        <v>4.0999999999999996</v>
      </c>
      <c r="X1152" t="s">
        <v>41</v>
      </c>
      <c r="Y1152" t="s">
        <v>55</v>
      </c>
      <c r="Z1152">
        <v>3</v>
      </c>
    </row>
    <row r="1153" spans="1:26">
      <c r="A1153" t="s">
        <v>2118</v>
      </c>
      <c r="B1153" t="s">
        <v>237</v>
      </c>
      <c r="C1153" t="s">
        <v>94</v>
      </c>
      <c r="D1153" t="s">
        <v>29</v>
      </c>
      <c r="E1153" s="1">
        <v>44395</v>
      </c>
      <c r="F1153" t="s">
        <v>30</v>
      </c>
      <c r="G1153" t="s">
        <v>31</v>
      </c>
      <c r="H1153" t="s">
        <v>32</v>
      </c>
      <c r="I1153">
        <v>10</v>
      </c>
      <c r="J1153" t="s">
        <v>33</v>
      </c>
      <c r="K1153">
        <v>1</v>
      </c>
      <c r="L1153" s="3">
        <v>9499</v>
      </c>
      <c r="M1153">
        <v>5</v>
      </c>
      <c r="N1153" s="3">
        <v>9020</v>
      </c>
      <c r="O1153" s="3">
        <v>9020</v>
      </c>
      <c r="P1153" t="s">
        <v>50</v>
      </c>
      <c r="Q1153" t="s">
        <v>35</v>
      </c>
      <c r="R1153" t="s">
        <v>36</v>
      </c>
      <c r="S1153" t="s">
        <v>243</v>
      </c>
      <c r="T1153" t="s">
        <v>244</v>
      </c>
      <c r="U1153" t="s">
        <v>54</v>
      </c>
      <c r="V1153" t="s">
        <v>315</v>
      </c>
      <c r="W1153">
        <v>4.8</v>
      </c>
      <c r="X1153" t="s">
        <v>41</v>
      </c>
      <c r="Y1153" t="s">
        <v>42</v>
      </c>
      <c r="Z1153">
        <v>1</v>
      </c>
    </row>
    <row r="1154" spans="1:26">
      <c r="A1154" t="s">
        <v>2119</v>
      </c>
      <c r="B1154" t="s">
        <v>1445</v>
      </c>
      <c r="C1154" t="s">
        <v>45</v>
      </c>
      <c r="D1154" t="s">
        <v>103</v>
      </c>
      <c r="E1154" s="1">
        <v>44395</v>
      </c>
      <c r="F1154" t="s">
        <v>30</v>
      </c>
      <c r="G1154" t="s">
        <v>347</v>
      </c>
      <c r="H1154" t="s">
        <v>49</v>
      </c>
      <c r="I1154">
        <v>6</v>
      </c>
      <c r="J1154" t="s">
        <v>98</v>
      </c>
      <c r="K1154">
        <v>1</v>
      </c>
      <c r="L1154" s="3">
        <v>6699</v>
      </c>
      <c r="M1154">
        <v>10</v>
      </c>
      <c r="N1154" s="3">
        <v>6030</v>
      </c>
      <c r="O1154" s="3">
        <v>6030</v>
      </c>
      <c r="P1154" t="s">
        <v>50</v>
      </c>
      <c r="Q1154" t="s">
        <v>35</v>
      </c>
      <c r="R1154" t="s">
        <v>36</v>
      </c>
      <c r="S1154" t="s">
        <v>75</v>
      </c>
      <c r="T1154" t="s">
        <v>796</v>
      </c>
      <c r="U1154" t="s">
        <v>61</v>
      </c>
      <c r="V1154" t="s">
        <v>315</v>
      </c>
      <c r="W1154">
        <v>3.1</v>
      </c>
      <c r="X1154" t="s">
        <v>41</v>
      </c>
      <c r="Y1154" t="s">
        <v>55</v>
      </c>
      <c r="Z1154">
        <v>3</v>
      </c>
    </row>
    <row r="1155" spans="1:26">
      <c r="A1155" t="s">
        <v>2120</v>
      </c>
      <c r="B1155" t="s">
        <v>44</v>
      </c>
      <c r="C1155" t="s">
        <v>45</v>
      </c>
      <c r="D1155" t="s">
        <v>29</v>
      </c>
      <c r="E1155" s="1">
        <v>44395</v>
      </c>
      <c r="F1155" t="s">
        <v>79</v>
      </c>
      <c r="G1155" t="s">
        <v>80</v>
      </c>
      <c r="H1155" t="s">
        <v>59</v>
      </c>
      <c r="I1155">
        <v>11</v>
      </c>
      <c r="J1155" t="s">
        <v>67</v>
      </c>
      <c r="K1155">
        <v>1</v>
      </c>
      <c r="L1155" s="3">
        <v>3999</v>
      </c>
      <c r="M1155">
        <v>25</v>
      </c>
      <c r="N1155" s="3">
        <v>3000</v>
      </c>
      <c r="O1155" s="3">
        <v>3000</v>
      </c>
      <c r="P1155" t="s">
        <v>74</v>
      </c>
      <c r="Q1155" t="s">
        <v>35</v>
      </c>
      <c r="R1155" t="s">
        <v>36</v>
      </c>
      <c r="S1155" t="s">
        <v>136</v>
      </c>
      <c r="T1155" t="s">
        <v>638</v>
      </c>
      <c r="U1155" t="s">
        <v>39</v>
      </c>
      <c r="V1155" t="s">
        <v>315</v>
      </c>
      <c r="W1155">
        <v>4.2</v>
      </c>
      <c r="X1155" t="s">
        <v>106</v>
      </c>
      <c r="Y1155" t="s">
        <v>55</v>
      </c>
      <c r="Z1155">
        <v>1</v>
      </c>
    </row>
    <row r="1156" spans="1:26">
      <c r="A1156" t="s">
        <v>2121</v>
      </c>
      <c r="B1156" t="s">
        <v>2122</v>
      </c>
      <c r="C1156" t="s">
        <v>45</v>
      </c>
      <c r="D1156" t="s">
        <v>46</v>
      </c>
      <c r="E1156" s="1">
        <v>44396</v>
      </c>
      <c r="F1156" t="s">
        <v>65</v>
      </c>
      <c r="G1156" t="s">
        <v>256</v>
      </c>
      <c r="H1156" t="s">
        <v>32</v>
      </c>
      <c r="I1156">
        <v>10</v>
      </c>
      <c r="J1156" t="s">
        <v>33</v>
      </c>
      <c r="K1156">
        <v>2</v>
      </c>
      <c r="L1156" s="3">
        <v>3499</v>
      </c>
      <c r="M1156">
        <v>40</v>
      </c>
      <c r="N1156" s="3">
        <v>2100</v>
      </c>
      <c r="O1156" s="3">
        <v>4200</v>
      </c>
      <c r="P1156" t="s">
        <v>34</v>
      </c>
      <c r="Q1156" t="s">
        <v>51</v>
      </c>
      <c r="R1156" t="s">
        <v>36</v>
      </c>
      <c r="S1156" t="s">
        <v>136</v>
      </c>
      <c r="T1156" t="s">
        <v>137</v>
      </c>
      <c r="U1156" t="s">
        <v>124</v>
      </c>
      <c r="V1156" t="s">
        <v>40</v>
      </c>
      <c r="W1156">
        <v>4.4000000000000004</v>
      </c>
      <c r="X1156" t="s">
        <v>41</v>
      </c>
      <c r="Y1156" t="s">
        <v>55</v>
      </c>
      <c r="Z1156">
        <v>3</v>
      </c>
    </row>
    <row r="1157" spans="1:26">
      <c r="A1157" t="s">
        <v>2123</v>
      </c>
      <c r="B1157" t="s">
        <v>1315</v>
      </c>
      <c r="C1157" t="s">
        <v>28</v>
      </c>
      <c r="D1157" t="s">
        <v>103</v>
      </c>
      <c r="E1157" s="1">
        <v>44397</v>
      </c>
      <c r="F1157" t="s">
        <v>65</v>
      </c>
      <c r="G1157" t="s">
        <v>66</v>
      </c>
      <c r="H1157" t="s">
        <v>59</v>
      </c>
      <c r="I1157">
        <v>9</v>
      </c>
      <c r="J1157" t="s">
        <v>98</v>
      </c>
      <c r="K1157">
        <v>2</v>
      </c>
      <c r="L1157" s="3">
        <v>4499</v>
      </c>
      <c r="M1157">
        <v>10</v>
      </c>
      <c r="N1157" s="3">
        <v>4050</v>
      </c>
      <c r="O1157" s="3">
        <v>8100</v>
      </c>
      <c r="P1157" t="s">
        <v>81</v>
      </c>
      <c r="Q1157" t="s">
        <v>35</v>
      </c>
      <c r="R1157" t="s">
        <v>36</v>
      </c>
      <c r="S1157" t="s">
        <v>37</v>
      </c>
      <c r="T1157" t="s">
        <v>1122</v>
      </c>
      <c r="U1157" t="s">
        <v>61</v>
      </c>
      <c r="V1157" t="s">
        <v>315</v>
      </c>
      <c r="W1157">
        <v>5</v>
      </c>
      <c r="X1157" t="s">
        <v>41</v>
      </c>
      <c r="Y1157" t="s">
        <v>42</v>
      </c>
      <c r="Z1157">
        <v>2</v>
      </c>
    </row>
    <row r="1158" spans="1:26">
      <c r="A1158" t="s">
        <v>2124</v>
      </c>
      <c r="B1158" t="s">
        <v>819</v>
      </c>
      <c r="C1158" t="s">
        <v>94</v>
      </c>
      <c r="D1158" t="s">
        <v>103</v>
      </c>
      <c r="E1158" s="1">
        <v>44400</v>
      </c>
      <c r="F1158" t="s">
        <v>30</v>
      </c>
      <c r="G1158" t="s">
        <v>145</v>
      </c>
      <c r="H1158" t="s">
        <v>59</v>
      </c>
      <c r="I1158">
        <v>10</v>
      </c>
      <c r="J1158" t="s">
        <v>73</v>
      </c>
      <c r="K1158">
        <v>1</v>
      </c>
      <c r="L1158" s="3">
        <v>9399</v>
      </c>
      <c r="M1158">
        <v>0</v>
      </c>
      <c r="N1158" s="3">
        <v>9400</v>
      </c>
      <c r="O1158" s="3">
        <v>9400</v>
      </c>
      <c r="P1158" t="s">
        <v>74</v>
      </c>
      <c r="Q1158" t="s">
        <v>35</v>
      </c>
      <c r="R1158" t="s">
        <v>36</v>
      </c>
      <c r="S1158" t="s">
        <v>156</v>
      </c>
      <c r="T1158" t="s">
        <v>257</v>
      </c>
      <c r="U1158" t="s">
        <v>39</v>
      </c>
      <c r="V1158" t="s">
        <v>315</v>
      </c>
      <c r="W1158">
        <v>2.8</v>
      </c>
      <c r="X1158" t="s">
        <v>41</v>
      </c>
      <c r="Y1158" t="s">
        <v>55</v>
      </c>
      <c r="Z1158">
        <v>3</v>
      </c>
    </row>
    <row r="1159" spans="1:26">
      <c r="A1159" t="s">
        <v>2125</v>
      </c>
      <c r="B1159" t="s">
        <v>2126</v>
      </c>
      <c r="C1159" t="s">
        <v>45</v>
      </c>
      <c r="D1159" t="s">
        <v>103</v>
      </c>
      <c r="E1159" s="1">
        <v>44400</v>
      </c>
      <c r="F1159" t="s">
        <v>47</v>
      </c>
      <c r="G1159" t="s">
        <v>218</v>
      </c>
      <c r="H1159" t="s">
        <v>59</v>
      </c>
      <c r="I1159">
        <v>10</v>
      </c>
      <c r="J1159" t="s">
        <v>67</v>
      </c>
      <c r="K1159">
        <v>1</v>
      </c>
      <c r="L1159" s="3">
        <v>8599</v>
      </c>
      <c r="M1159">
        <v>20</v>
      </c>
      <c r="N1159" s="3">
        <v>6880</v>
      </c>
      <c r="O1159" s="3">
        <v>6880</v>
      </c>
      <c r="P1159" t="s">
        <v>81</v>
      </c>
      <c r="Q1159" t="s">
        <v>35</v>
      </c>
      <c r="R1159" t="s">
        <v>36</v>
      </c>
      <c r="S1159" t="s">
        <v>269</v>
      </c>
      <c r="T1159" t="s">
        <v>961</v>
      </c>
      <c r="U1159" t="s">
        <v>124</v>
      </c>
      <c r="V1159" t="s">
        <v>40</v>
      </c>
      <c r="W1159">
        <v>3.1</v>
      </c>
      <c r="X1159" t="s">
        <v>106</v>
      </c>
      <c r="Y1159" t="s">
        <v>42</v>
      </c>
      <c r="Z1159">
        <v>5</v>
      </c>
    </row>
    <row r="1160" spans="1:26">
      <c r="A1160" t="s">
        <v>2127</v>
      </c>
      <c r="B1160" t="s">
        <v>2128</v>
      </c>
      <c r="C1160" t="s">
        <v>45</v>
      </c>
      <c r="D1160" t="s">
        <v>29</v>
      </c>
      <c r="E1160" s="1">
        <v>44402</v>
      </c>
      <c r="F1160" t="s">
        <v>79</v>
      </c>
      <c r="G1160" t="s">
        <v>480</v>
      </c>
      <c r="H1160" t="s">
        <v>111</v>
      </c>
      <c r="I1160">
        <v>11</v>
      </c>
      <c r="J1160" t="s">
        <v>98</v>
      </c>
      <c r="K1160">
        <v>1</v>
      </c>
      <c r="L1160" s="3">
        <v>3699</v>
      </c>
      <c r="M1160">
        <v>25</v>
      </c>
      <c r="N1160" s="3">
        <v>2770</v>
      </c>
      <c r="O1160" s="3">
        <v>2770</v>
      </c>
      <c r="P1160" t="s">
        <v>74</v>
      </c>
      <c r="Q1160" t="s">
        <v>51</v>
      </c>
      <c r="R1160" t="s">
        <v>36</v>
      </c>
      <c r="S1160" t="s">
        <v>164</v>
      </c>
      <c r="T1160" t="s">
        <v>314</v>
      </c>
      <c r="U1160" t="s">
        <v>124</v>
      </c>
      <c r="V1160" t="s">
        <v>40</v>
      </c>
      <c r="W1160">
        <v>4.5</v>
      </c>
      <c r="X1160" t="s">
        <v>41</v>
      </c>
      <c r="Y1160" t="s">
        <v>42</v>
      </c>
      <c r="Z1160">
        <v>3</v>
      </c>
    </row>
    <row r="1161" spans="1:26">
      <c r="A1161" t="s">
        <v>2129</v>
      </c>
      <c r="B1161" t="s">
        <v>2130</v>
      </c>
      <c r="C1161" t="s">
        <v>28</v>
      </c>
      <c r="D1161" t="s">
        <v>29</v>
      </c>
      <c r="E1161" s="1">
        <v>44403</v>
      </c>
      <c r="F1161" t="s">
        <v>30</v>
      </c>
      <c r="G1161" t="s">
        <v>347</v>
      </c>
      <c r="H1161" t="s">
        <v>49</v>
      </c>
      <c r="I1161">
        <v>8</v>
      </c>
      <c r="J1161" t="s">
        <v>33</v>
      </c>
      <c r="K1161">
        <v>1</v>
      </c>
      <c r="L1161" s="3">
        <v>7299</v>
      </c>
      <c r="M1161">
        <v>20</v>
      </c>
      <c r="N1161" s="3">
        <v>5840</v>
      </c>
      <c r="O1161" s="3">
        <v>5840</v>
      </c>
      <c r="P1161" t="s">
        <v>34</v>
      </c>
      <c r="Q1161" t="s">
        <v>51</v>
      </c>
      <c r="R1161" t="s">
        <v>36</v>
      </c>
      <c r="S1161" t="s">
        <v>358</v>
      </c>
      <c r="T1161" t="s">
        <v>805</v>
      </c>
      <c r="U1161" t="s">
        <v>39</v>
      </c>
      <c r="V1161" t="s">
        <v>40</v>
      </c>
      <c r="W1161">
        <v>4</v>
      </c>
      <c r="X1161" t="s">
        <v>41</v>
      </c>
      <c r="Y1161" t="s">
        <v>55</v>
      </c>
      <c r="Z1161">
        <v>4</v>
      </c>
    </row>
    <row r="1162" spans="1:26">
      <c r="A1162" t="s">
        <v>2131</v>
      </c>
      <c r="B1162" t="s">
        <v>2132</v>
      </c>
      <c r="C1162" t="s">
        <v>45</v>
      </c>
      <c r="D1162" t="s">
        <v>29</v>
      </c>
      <c r="E1162" s="1">
        <v>44404</v>
      </c>
      <c r="F1162" t="s">
        <v>30</v>
      </c>
      <c r="G1162" t="s">
        <v>347</v>
      </c>
      <c r="H1162" t="s">
        <v>49</v>
      </c>
      <c r="I1162">
        <v>8</v>
      </c>
      <c r="J1162" t="s">
        <v>67</v>
      </c>
      <c r="K1162">
        <v>3</v>
      </c>
      <c r="L1162" s="3">
        <v>6499</v>
      </c>
      <c r="M1162">
        <v>10</v>
      </c>
      <c r="N1162" s="3">
        <v>5850</v>
      </c>
      <c r="O1162" s="3">
        <v>17550</v>
      </c>
      <c r="P1162" t="s">
        <v>74</v>
      </c>
      <c r="Q1162" t="s">
        <v>51</v>
      </c>
      <c r="R1162" t="s">
        <v>36</v>
      </c>
      <c r="S1162" t="s">
        <v>182</v>
      </c>
      <c r="T1162" t="s">
        <v>604</v>
      </c>
      <c r="U1162" t="s">
        <v>39</v>
      </c>
      <c r="V1162" t="s">
        <v>40</v>
      </c>
      <c r="W1162">
        <v>3.7</v>
      </c>
      <c r="X1162" t="s">
        <v>41</v>
      </c>
      <c r="Y1162" t="s">
        <v>55</v>
      </c>
      <c r="Z1162">
        <v>4</v>
      </c>
    </row>
    <row r="1163" spans="1:26">
      <c r="A1163" t="s">
        <v>2133</v>
      </c>
      <c r="B1163" t="s">
        <v>466</v>
      </c>
      <c r="C1163" t="s">
        <v>45</v>
      </c>
      <c r="D1163" t="s">
        <v>109</v>
      </c>
      <c r="E1163" s="1">
        <v>44405</v>
      </c>
      <c r="F1163" t="s">
        <v>30</v>
      </c>
      <c r="G1163" t="s">
        <v>347</v>
      </c>
      <c r="H1163" t="s">
        <v>49</v>
      </c>
      <c r="I1163">
        <v>11</v>
      </c>
      <c r="J1163" t="s">
        <v>150</v>
      </c>
      <c r="K1163">
        <v>2</v>
      </c>
      <c r="L1163" s="3">
        <v>3999</v>
      </c>
      <c r="M1163">
        <v>10</v>
      </c>
      <c r="N1163" s="3">
        <v>3600</v>
      </c>
      <c r="O1163" s="3">
        <v>7200</v>
      </c>
      <c r="P1163" t="s">
        <v>34</v>
      </c>
      <c r="Q1163" t="s">
        <v>51</v>
      </c>
      <c r="R1163" t="s">
        <v>36</v>
      </c>
      <c r="S1163" t="s">
        <v>136</v>
      </c>
      <c r="T1163" t="s">
        <v>137</v>
      </c>
      <c r="U1163" t="s">
        <v>61</v>
      </c>
      <c r="V1163" t="s">
        <v>315</v>
      </c>
      <c r="W1163">
        <v>3.7</v>
      </c>
      <c r="X1163" t="s">
        <v>41</v>
      </c>
      <c r="Y1163" t="s">
        <v>42</v>
      </c>
      <c r="Z1163">
        <v>3</v>
      </c>
    </row>
    <row r="1164" spans="1:26">
      <c r="A1164" t="s">
        <v>2134</v>
      </c>
      <c r="B1164" t="s">
        <v>2135</v>
      </c>
      <c r="C1164" t="s">
        <v>28</v>
      </c>
      <c r="D1164" t="s">
        <v>29</v>
      </c>
      <c r="E1164" s="1">
        <v>44405</v>
      </c>
      <c r="F1164" t="s">
        <v>79</v>
      </c>
      <c r="G1164" t="s">
        <v>127</v>
      </c>
      <c r="H1164" t="s">
        <v>128</v>
      </c>
      <c r="I1164">
        <v>10</v>
      </c>
      <c r="J1164" t="s">
        <v>150</v>
      </c>
      <c r="K1164">
        <v>1</v>
      </c>
      <c r="L1164" s="3">
        <v>6699</v>
      </c>
      <c r="M1164">
        <v>10</v>
      </c>
      <c r="N1164" s="3">
        <v>6030</v>
      </c>
      <c r="O1164" s="3">
        <v>6030</v>
      </c>
      <c r="P1164" t="s">
        <v>81</v>
      </c>
      <c r="Q1164" t="s">
        <v>51</v>
      </c>
      <c r="R1164" t="s">
        <v>36</v>
      </c>
      <c r="S1164" t="s">
        <v>460</v>
      </c>
      <c r="T1164" t="s">
        <v>580</v>
      </c>
      <c r="U1164" t="s">
        <v>61</v>
      </c>
      <c r="V1164" t="s">
        <v>40</v>
      </c>
      <c r="W1164">
        <v>4</v>
      </c>
      <c r="X1164" t="s">
        <v>62</v>
      </c>
      <c r="Y1164" t="s">
        <v>42</v>
      </c>
      <c r="Z1164">
        <v>2</v>
      </c>
    </row>
    <row r="1165" spans="1:26">
      <c r="A1165" t="s">
        <v>2136</v>
      </c>
      <c r="B1165" t="s">
        <v>1744</v>
      </c>
      <c r="C1165" t="s">
        <v>45</v>
      </c>
      <c r="D1165" t="s">
        <v>103</v>
      </c>
      <c r="E1165" s="1">
        <v>44409</v>
      </c>
      <c r="F1165" t="s">
        <v>47</v>
      </c>
      <c r="G1165" t="s">
        <v>140</v>
      </c>
      <c r="H1165" t="s">
        <v>128</v>
      </c>
      <c r="I1165">
        <v>6</v>
      </c>
      <c r="J1165" t="s">
        <v>67</v>
      </c>
      <c r="K1165">
        <v>1</v>
      </c>
      <c r="L1165" s="3">
        <v>8199</v>
      </c>
      <c r="M1165">
        <v>5</v>
      </c>
      <c r="N1165" s="3">
        <v>7790</v>
      </c>
      <c r="O1165" s="3">
        <v>7790</v>
      </c>
      <c r="P1165" t="s">
        <v>74</v>
      </c>
      <c r="Q1165" t="s">
        <v>35</v>
      </c>
      <c r="R1165" t="s">
        <v>36</v>
      </c>
      <c r="S1165" t="s">
        <v>286</v>
      </c>
      <c r="T1165" t="s">
        <v>287</v>
      </c>
      <c r="U1165" t="s">
        <v>54</v>
      </c>
      <c r="V1165" t="s">
        <v>315</v>
      </c>
      <c r="W1165">
        <v>4.7</v>
      </c>
      <c r="X1165" t="s">
        <v>41</v>
      </c>
      <c r="Y1165" t="s">
        <v>42</v>
      </c>
      <c r="Z1165">
        <v>7</v>
      </c>
    </row>
    <row r="1166" spans="1:26">
      <c r="A1166" t="s">
        <v>2137</v>
      </c>
      <c r="B1166" t="s">
        <v>565</v>
      </c>
      <c r="C1166" t="s">
        <v>28</v>
      </c>
      <c r="D1166" t="s">
        <v>95</v>
      </c>
      <c r="E1166" s="1">
        <v>44409</v>
      </c>
      <c r="F1166" t="s">
        <v>30</v>
      </c>
      <c r="G1166" t="s">
        <v>347</v>
      </c>
      <c r="H1166" t="s">
        <v>49</v>
      </c>
      <c r="I1166">
        <v>10</v>
      </c>
      <c r="J1166" t="s">
        <v>67</v>
      </c>
      <c r="K1166">
        <v>1</v>
      </c>
      <c r="L1166" s="3">
        <v>4299</v>
      </c>
      <c r="M1166">
        <v>25</v>
      </c>
      <c r="N1166" s="3">
        <v>3220</v>
      </c>
      <c r="O1166" s="3">
        <v>3220</v>
      </c>
      <c r="P1166" t="s">
        <v>81</v>
      </c>
      <c r="Q1166" t="s">
        <v>51</v>
      </c>
      <c r="R1166" t="s">
        <v>36</v>
      </c>
      <c r="S1166" t="s">
        <v>160</v>
      </c>
      <c r="T1166" t="s">
        <v>160</v>
      </c>
      <c r="U1166" t="s">
        <v>124</v>
      </c>
      <c r="V1166" t="s">
        <v>315</v>
      </c>
      <c r="W1166">
        <v>5</v>
      </c>
      <c r="X1166" t="s">
        <v>41</v>
      </c>
      <c r="Y1166" t="s">
        <v>55</v>
      </c>
      <c r="Z1166">
        <v>1</v>
      </c>
    </row>
    <row r="1167" spans="1:26">
      <c r="A1167" t="s">
        <v>2138</v>
      </c>
      <c r="B1167" t="s">
        <v>2139</v>
      </c>
      <c r="C1167" t="s">
        <v>28</v>
      </c>
      <c r="D1167" t="s">
        <v>29</v>
      </c>
      <c r="E1167" s="1">
        <v>44410</v>
      </c>
      <c r="F1167" t="s">
        <v>86</v>
      </c>
      <c r="G1167" t="s">
        <v>190</v>
      </c>
      <c r="H1167" t="s">
        <v>128</v>
      </c>
      <c r="I1167">
        <v>8</v>
      </c>
      <c r="J1167" t="s">
        <v>73</v>
      </c>
      <c r="K1167">
        <v>1</v>
      </c>
      <c r="L1167" s="3">
        <v>7999</v>
      </c>
      <c r="M1167">
        <v>10</v>
      </c>
      <c r="N1167" s="3">
        <v>7200</v>
      </c>
      <c r="O1167" s="3">
        <v>7200</v>
      </c>
      <c r="P1167" t="s">
        <v>34</v>
      </c>
      <c r="Q1167" t="s">
        <v>51</v>
      </c>
      <c r="R1167" t="s">
        <v>36</v>
      </c>
      <c r="S1167" t="s">
        <v>99</v>
      </c>
      <c r="T1167" t="s">
        <v>759</v>
      </c>
      <c r="U1167" t="s">
        <v>61</v>
      </c>
      <c r="V1167" t="s">
        <v>40</v>
      </c>
      <c r="W1167">
        <v>4</v>
      </c>
      <c r="X1167" t="s">
        <v>41</v>
      </c>
      <c r="Y1167" t="s">
        <v>42</v>
      </c>
      <c r="Z1167">
        <v>6</v>
      </c>
    </row>
    <row r="1168" spans="1:26">
      <c r="A1168" t="s">
        <v>2140</v>
      </c>
      <c r="B1168" t="s">
        <v>1007</v>
      </c>
      <c r="C1168" t="s">
        <v>94</v>
      </c>
      <c r="D1168" t="s">
        <v>29</v>
      </c>
      <c r="E1168" s="1">
        <v>44410</v>
      </c>
      <c r="F1168" t="s">
        <v>65</v>
      </c>
      <c r="G1168" t="s">
        <v>365</v>
      </c>
      <c r="H1168" t="s">
        <v>49</v>
      </c>
      <c r="I1168">
        <v>11</v>
      </c>
      <c r="J1168" t="s">
        <v>33</v>
      </c>
      <c r="K1168">
        <v>1</v>
      </c>
      <c r="L1168" s="3">
        <v>4099</v>
      </c>
      <c r="M1168">
        <v>10</v>
      </c>
      <c r="N1168" s="3">
        <v>3690</v>
      </c>
      <c r="O1168" s="3">
        <v>3690</v>
      </c>
      <c r="P1168" t="s">
        <v>74</v>
      </c>
      <c r="Q1168" t="s">
        <v>82</v>
      </c>
      <c r="R1168" t="s">
        <v>36</v>
      </c>
      <c r="S1168" t="s">
        <v>104</v>
      </c>
      <c r="T1168" t="s">
        <v>291</v>
      </c>
      <c r="U1168" t="s">
        <v>124</v>
      </c>
      <c r="V1168" t="s">
        <v>315</v>
      </c>
      <c r="W1168">
        <v>3.8</v>
      </c>
      <c r="X1168" t="s">
        <v>41</v>
      </c>
      <c r="Y1168" t="s">
        <v>42</v>
      </c>
      <c r="Z1168">
        <v>7</v>
      </c>
    </row>
    <row r="1169" spans="1:26">
      <c r="A1169" t="s">
        <v>2141</v>
      </c>
      <c r="B1169" t="s">
        <v>662</v>
      </c>
      <c r="C1169" t="s">
        <v>28</v>
      </c>
      <c r="D1169" t="s">
        <v>29</v>
      </c>
      <c r="E1169" s="1">
        <v>44411</v>
      </c>
      <c r="F1169" t="s">
        <v>47</v>
      </c>
      <c r="G1169" t="s">
        <v>48</v>
      </c>
      <c r="H1169" t="s">
        <v>49</v>
      </c>
      <c r="I1169">
        <v>8</v>
      </c>
      <c r="J1169" t="s">
        <v>98</v>
      </c>
      <c r="K1169">
        <v>1</v>
      </c>
      <c r="L1169" s="3">
        <v>7599</v>
      </c>
      <c r="M1169">
        <v>15</v>
      </c>
      <c r="N1169" s="3">
        <v>6460</v>
      </c>
      <c r="O1169" s="3">
        <v>6460</v>
      </c>
      <c r="P1169" t="s">
        <v>34</v>
      </c>
      <c r="Q1169" t="s">
        <v>51</v>
      </c>
      <c r="R1169" t="s">
        <v>36</v>
      </c>
      <c r="S1169" t="s">
        <v>418</v>
      </c>
      <c r="T1169" t="s">
        <v>924</v>
      </c>
      <c r="U1169" t="s">
        <v>124</v>
      </c>
      <c r="V1169" t="s">
        <v>315</v>
      </c>
      <c r="W1169">
        <v>3.7</v>
      </c>
      <c r="X1169" t="s">
        <v>41</v>
      </c>
      <c r="Y1169" t="s">
        <v>55</v>
      </c>
      <c r="Z1169">
        <v>3</v>
      </c>
    </row>
    <row r="1170" spans="1:26">
      <c r="A1170" t="s">
        <v>2142</v>
      </c>
      <c r="B1170" t="s">
        <v>778</v>
      </c>
      <c r="C1170" t="s">
        <v>28</v>
      </c>
      <c r="D1170" t="s">
        <v>46</v>
      </c>
      <c r="E1170" s="1">
        <v>44411</v>
      </c>
      <c r="F1170" t="s">
        <v>79</v>
      </c>
      <c r="G1170" t="s">
        <v>517</v>
      </c>
      <c r="H1170" t="s">
        <v>59</v>
      </c>
      <c r="I1170">
        <v>11</v>
      </c>
      <c r="J1170" t="s">
        <v>150</v>
      </c>
      <c r="K1170">
        <v>1</v>
      </c>
      <c r="L1170" s="3">
        <v>4499</v>
      </c>
      <c r="M1170">
        <v>15</v>
      </c>
      <c r="N1170" s="3">
        <v>3820</v>
      </c>
      <c r="O1170" s="3">
        <v>3820</v>
      </c>
      <c r="P1170" t="s">
        <v>81</v>
      </c>
      <c r="Q1170" t="s">
        <v>51</v>
      </c>
      <c r="R1170" t="s">
        <v>36</v>
      </c>
      <c r="S1170" t="s">
        <v>210</v>
      </c>
      <c r="T1170" t="s">
        <v>412</v>
      </c>
      <c r="U1170" t="s">
        <v>61</v>
      </c>
      <c r="V1170" t="s">
        <v>315</v>
      </c>
      <c r="W1170">
        <v>3.9</v>
      </c>
      <c r="X1170" t="s">
        <v>41</v>
      </c>
      <c r="Y1170" t="s">
        <v>147</v>
      </c>
      <c r="Z1170">
        <v>1</v>
      </c>
    </row>
    <row r="1171" spans="1:26">
      <c r="A1171" t="s">
        <v>2143</v>
      </c>
      <c r="B1171" t="s">
        <v>2144</v>
      </c>
      <c r="C1171" t="s">
        <v>45</v>
      </c>
      <c r="D1171" t="s">
        <v>29</v>
      </c>
      <c r="E1171" s="1">
        <v>44414</v>
      </c>
      <c r="F1171" t="s">
        <v>47</v>
      </c>
      <c r="G1171" t="s">
        <v>48</v>
      </c>
      <c r="H1171" t="s">
        <v>49</v>
      </c>
      <c r="I1171">
        <v>10</v>
      </c>
      <c r="J1171" t="s">
        <v>150</v>
      </c>
      <c r="K1171">
        <v>1</v>
      </c>
      <c r="L1171" s="3">
        <v>3999</v>
      </c>
      <c r="M1171">
        <v>15</v>
      </c>
      <c r="N1171" s="3">
        <v>3400</v>
      </c>
      <c r="O1171" s="3">
        <v>3400</v>
      </c>
      <c r="P1171" t="s">
        <v>34</v>
      </c>
      <c r="Q1171" t="s">
        <v>82</v>
      </c>
      <c r="R1171" t="s">
        <v>36</v>
      </c>
      <c r="S1171" t="s">
        <v>122</v>
      </c>
      <c r="T1171" t="s">
        <v>372</v>
      </c>
      <c r="U1171" t="s">
        <v>124</v>
      </c>
      <c r="V1171" t="s">
        <v>40</v>
      </c>
      <c r="W1171">
        <v>5</v>
      </c>
      <c r="X1171" t="s">
        <v>41</v>
      </c>
      <c r="Y1171" t="s">
        <v>42</v>
      </c>
      <c r="Z1171">
        <v>4</v>
      </c>
    </row>
    <row r="1172" spans="1:26">
      <c r="A1172" t="s">
        <v>2145</v>
      </c>
      <c r="B1172" t="s">
        <v>2146</v>
      </c>
      <c r="C1172" t="s">
        <v>45</v>
      </c>
      <c r="D1172" t="s">
        <v>29</v>
      </c>
      <c r="E1172" s="1">
        <v>44415</v>
      </c>
      <c r="F1172" t="s">
        <v>96</v>
      </c>
      <c r="G1172" t="s">
        <v>323</v>
      </c>
      <c r="H1172" t="s">
        <v>59</v>
      </c>
      <c r="I1172">
        <v>11</v>
      </c>
      <c r="J1172" t="s">
        <v>33</v>
      </c>
      <c r="K1172">
        <v>1</v>
      </c>
      <c r="L1172" s="3">
        <v>5299</v>
      </c>
      <c r="M1172">
        <v>5</v>
      </c>
      <c r="N1172" s="3">
        <v>5030</v>
      </c>
      <c r="O1172" s="3">
        <v>5030</v>
      </c>
      <c r="P1172" t="s">
        <v>74</v>
      </c>
      <c r="Q1172" t="s">
        <v>82</v>
      </c>
      <c r="R1172" t="s">
        <v>36</v>
      </c>
      <c r="S1172" t="s">
        <v>358</v>
      </c>
      <c r="T1172" t="s">
        <v>359</v>
      </c>
      <c r="U1172" t="s">
        <v>54</v>
      </c>
      <c r="V1172" t="s">
        <v>40</v>
      </c>
      <c r="W1172">
        <v>3.4</v>
      </c>
      <c r="X1172" t="s">
        <v>41</v>
      </c>
      <c r="Y1172" t="s">
        <v>42</v>
      </c>
      <c r="Z1172">
        <v>3</v>
      </c>
    </row>
    <row r="1173" spans="1:26">
      <c r="A1173" t="s">
        <v>2147</v>
      </c>
      <c r="B1173" t="s">
        <v>411</v>
      </c>
      <c r="C1173" t="s">
        <v>28</v>
      </c>
      <c r="D1173" t="s">
        <v>46</v>
      </c>
      <c r="E1173" s="1">
        <v>44418</v>
      </c>
      <c r="F1173" t="s">
        <v>65</v>
      </c>
      <c r="G1173" t="s">
        <v>279</v>
      </c>
      <c r="H1173" t="s">
        <v>111</v>
      </c>
      <c r="I1173">
        <v>7</v>
      </c>
      <c r="J1173" t="s">
        <v>73</v>
      </c>
      <c r="K1173">
        <v>3</v>
      </c>
      <c r="L1173" s="3">
        <v>4299</v>
      </c>
      <c r="M1173">
        <v>20</v>
      </c>
      <c r="N1173" s="3">
        <v>3440</v>
      </c>
      <c r="O1173" s="3">
        <v>10320</v>
      </c>
      <c r="P1173" t="s">
        <v>74</v>
      </c>
      <c r="Q1173" t="s">
        <v>82</v>
      </c>
      <c r="R1173" t="s">
        <v>36</v>
      </c>
      <c r="S1173" t="s">
        <v>297</v>
      </c>
      <c r="T1173" t="s">
        <v>390</v>
      </c>
      <c r="U1173" t="s">
        <v>61</v>
      </c>
      <c r="V1173" t="s">
        <v>969</v>
      </c>
      <c r="W1173">
        <v>4.5999999999999996</v>
      </c>
      <c r="X1173" t="s">
        <v>41</v>
      </c>
      <c r="Y1173" t="s">
        <v>42</v>
      </c>
      <c r="Z1173">
        <v>3</v>
      </c>
    </row>
    <row r="1174" spans="1:26">
      <c r="A1174" t="s">
        <v>2148</v>
      </c>
      <c r="B1174" t="s">
        <v>1655</v>
      </c>
      <c r="C1174" t="s">
        <v>45</v>
      </c>
      <c r="D1174" t="s">
        <v>46</v>
      </c>
      <c r="E1174" s="1">
        <v>44419</v>
      </c>
      <c r="F1174" t="s">
        <v>86</v>
      </c>
      <c r="G1174" t="s">
        <v>190</v>
      </c>
      <c r="H1174" t="s">
        <v>128</v>
      </c>
      <c r="I1174">
        <v>7</v>
      </c>
      <c r="J1174" t="s">
        <v>73</v>
      </c>
      <c r="K1174">
        <v>1</v>
      </c>
      <c r="L1174" s="3">
        <v>6599</v>
      </c>
      <c r="M1174">
        <v>10</v>
      </c>
      <c r="N1174" s="3">
        <v>5940</v>
      </c>
      <c r="O1174" s="3">
        <v>5940</v>
      </c>
      <c r="P1174" t="s">
        <v>74</v>
      </c>
      <c r="Q1174" t="s">
        <v>51</v>
      </c>
      <c r="R1174" t="s">
        <v>36</v>
      </c>
      <c r="S1174" t="s">
        <v>129</v>
      </c>
      <c r="T1174" t="s">
        <v>282</v>
      </c>
      <c r="U1174" t="s">
        <v>91</v>
      </c>
      <c r="V1174" t="s">
        <v>315</v>
      </c>
      <c r="W1174">
        <v>4.0999999999999996</v>
      </c>
      <c r="X1174" t="s">
        <v>41</v>
      </c>
      <c r="Y1174" t="s">
        <v>42</v>
      </c>
      <c r="Z1174">
        <v>5</v>
      </c>
    </row>
    <row r="1175" spans="1:26">
      <c r="A1175" t="s">
        <v>2149</v>
      </c>
      <c r="B1175" t="s">
        <v>739</v>
      </c>
      <c r="C1175" t="s">
        <v>45</v>
      </c>
      <c r="D1175" t="s">
        <v>46</v>
      </c>
      <c r="E1175" s="1">
        <v>44421</v>
      </c>
      <c r="F1175" t="s">
        <v>65</v>
      </c>
      <c r="G1175" t="s">
        <v>256</v>
      </c>
      <c r="H1175" t="s">
        <v>32</v>
      </c>
      <c r="I1175">
        <v>6</v>
      </c>
      <c r="J1175" t="s">
        <v>98</v>
      </c>
      <c r="K1175">
        <v>1</v>
      </c>
      <c r="L1175" s="3">
        <v>7699</v>
      </c>
      <c r="M1175">
        <v>15</v>
      </c>
      <c r="N1175" s="3">
        <v>6540</v>
      </c>
      <c r="O1175" s="3">
        <v>6540</v>
      </c>
      <c r="P1175" t="s">
        <v>74</v>
      </c>
      <c r="Q1175" t="s">
        <v>51</v>
      </c>
      <c r="R1175" t="s">
        <v>36</v>
      </c>
      <c r="S1175" t="s">
        <v>200</v>
      </c>
      <c r="T1175" t="s">
        <v>204</v>
      </c>
      <c r="U1175" t="s">
        <v>39</v>
      </c>
      <c r="V1175" t="s">
        <v>969</v>
      </c>
      <c r="W1175">
        <v>5</v>
      </c>
      <c r="X1175" t="s">
        <v>41</v>
      </c>
      <c r="Y1175" t="s">
        <v>147</v>
      </c>
      <c r="Z1175">
        <v>2</v>
      </c>
    </row>
    <row r="1176" spans="1:26">
      <c r="A1176" t="s">
        <v>2150</v>
      </c>
      <c r="B1176" t="s">
        <v>159</v>
      </c>
      <c r="C1176" t="s">
        <v>28</v>
      </c>
      <c r="D1176" t="s">
        <v>46</v>
      </c>
      <c r="E1176" s="1">
        <v>44422</v>
      </c>
      <c r="F1176" t="s">
        <v>30</v>
      </c>
      <c r="G1176" t="s">
        <v>58</v>
      </c>
      <c r="H1176" t="s">
        <v>59</v>
      </c>
      <c r="I1176">
        <v>9</v>
      </c>
      <c r="J1176" t="s">
        <v>150</v>
      </c>
      <c r="K1176">
        <v>2</v>
      </c>
      <c r="L1176" s="3">
        <v>7599</v>
      </c>
      <c r="M1176">
        <v>35</v>
      </c>
      <c r="N1176" s="3">
        <v>4940</v>
      </c>
      <c r="O1176" s="3">
        <v>9880</v>
      </c>
      <c r="P1176" t="s">
        <v>34</v>
      </c>
      <c r="Q1176" t="s">
        <v>51</v>
      </c>
      <c r="R1176" t="s">
        <v>36</v>
      </c>
      <c r="S1176" t="s">
        <v>191</v>
      </c>
      <c r="T1176" t="s">
        <v>572</v>
      </c>
      <c r="U1176" t="s">
        <v>39</v>
      </c>
      <c r="V1176" t="s">
        <v>315</v>
      </c>
      <c r="W1176">
        <v>3.7</v>
      </c>
      <c r="X1176" t="s">
        <v>41</v>
      </c>
      <c r="Y1176" t="s">
        <v>42</v>
      </c>
      <c r="Z1176">
        <v>4</v>
      </c>
    </row>
    <row r="1177" spans="1:26">
      <c r="A1177" t="s">
        <v>2151</v>
      </c>
      <c r="B1177" t="s">
        <v>1741</v>
      </c>
      <c r="C1177" t="s">
        <v>45</v>
      </c>
      <c r="D1177" t="s">
        <v>46</v>
      </c>
      <c r="E1177" s="1">
        <v>44424</v>
      </c>
      <c r="F1177" t="s">
        <v>96</v>
      </c>
      <c r="G1177" t="s">
        <v>171</v>
      </c>
      <c r="H1177" t="s">
        <v>128</v>
      </c>
      <c r="I1177">
        <v>8</v>
      </c>
      <c r="J1177" t="s">
        <v>73</v>
      </c>
      <c r="K1177">
        <v>1</v>
      </c>
      <c r="L1177" s="3">
        <v>5099</v>
      </c>
      <c r="M1177">
        <v>20</v>
      </c>
      <c r="N1177" s="3">
        <v>4080</v>
      </c>
      <c r="O1177" s="3">
        <v>4080</v>
      </c>
      <c r="P1177" t="s">
        <v>74</v>
      </c>
      <c r="Q1177" t="s">
        <v>35</v>
      </c>
      <c r="R1177" t="s">
        <v>36</v>
      </c>
      <c r="S1177" t="s">
        <v>68</v>
      </c>
      <c r="T1177" t="s">
        <v>207</v>
      </c>
      <c r="U1177" t="s">
        <v>54</v>
      </c>
      <c r="V1177" t="s">
        <v>315</v>
      </c>
      <c r="W1177">
        <v>3.5</v>
      </c>
      <c r="X1177" t="s">
        <v>41</v>
      </c>
      <c r="Y1177" t="s">
        <v>55</v>
      </c>
      <c r="Z1177">
        <v>3</v>
      </c>
    </row>
    <row r="1178" spans="1:26">
      <c r="A1178" t="s">
        <v>2152</v>
      </c>
      <c r="B1178" t="s">
        <v>1875</v>
      </c>
      <c r="C1178" t="s">
        <v>28</v>
      </c>
      <c r="D1178" t="s">
        <v>103</v>
      </c>
      <c r="E1178" s="1">
        <v>44429</v>
      </c>
      <c r="F1178" t="s">
        <v>65</v>
      </c>
      <c r="G1178" t="s">
        <v>66</v>
      </c>
      <c r="H1178" t="s">
        <v>59</v>
      </c>
      <c r="I1178">
        <v>9</v>
      </c>
      <c r="J1178" t="s">
        <v>88</v>
      </c>
      <c r="K1178">
        <v>2</v>
      </c>
      <c r="L1178" s="3">
        <v>5999</v>
      </c>
      <c r="M1178">
        <v>20</v>
      </c>
      <c r="N1178" s="3">
        <v>4800</v>
      </c>
      <c r="O1178" s="3">
        <v>9600</v>
      </c>
      <c r="P1178" t="s">
        <v>74</v>
      </c>
      <c r="Q1178" t="s">
        <v>35</v>
      </c>
      <c r="R1178" t="s">
        <v>36</v>
      </c>
      <c r="S1178" t="s">
        <v>210</v>
      </c>
      <c r="T1178" t="s">
        <v>680</v>
      </c>
      <c r="U1178" t="s">
        <v>54</v>
      </c>
      <c r="V1178" t="s">
        <v>315</v>
      </c>
      <c r="W1178">
        <v>4.7</v>
      </c>
      <c r="X1178" t="s">
        <v>41</v>
      </c>
      <c r="Y1178" t="s">
        <v>55</v>
      </c>
      <c r="Z1178">
        <v>2</v>
      </c>
    </row>
    <row r="1179" spans="1:26">
      <c r="A1179" t="s">
        <v>2153</v>
      </c>
      <c r="B1179" t="s">
        <v>1399</v>
      </c>
      <c r="C1179" t="s">
        <v>28</v>
      </c>
      <c r="D1179" t="s">
        <v>95</v>
      </c>
      <c r="E1179" s="1">
        <v>44429</v>
      </c>
      <c r="F1179" t="s">
        <v>79</v>
      </c>
      <c r="G1179" t="s">
        <v>80</v>
      </c>
      <c r="H1179" t="s">
        <v>59</v>
      </c>
      <c r="I1179">
        <v>8</v>
      </c>
      <c r="J1179" t="s">
        <v>67</v>
      </c>
      <c r="K1179">
        <v>1</v>
      </c>
      <c r="L1179" s="3">
        <v>8599</v>
      </c>
      <c r="M1179">
        <v>25</v>
      </c>
      <c r="N1179" s="3">
        <v>6450</v>
      </c>
      <c r="O1179" s="3">
        <v>6450</v>
      </c>
      <c r="P1179" t="s">
        <v>74</v>
      </c>
      <c r="Q1179" t="s">
        <v>51</v>
      </c>
      <c r="R1179" t="s">
        <v>36</v>
      </c>
      <c r="S1179" t="s">
        <v>182</v>
      </c>
      <c r="T1179" t="s">
        <v>183</v>
      </c>
      <c r="U1179" t="s">
        <v>124</v>
      </c>
      <c r="V1179" t="s">
        <v>315</v>
      </c>
      <c r="W1179">
        <v>4.7</v>
      </c>
      <c r="X1179" t="s">
        <v>41</v>
      </c>
      <c r="Y1179" t="s">
        <v>42</v>
      </c>
      <c r="Z1179">
        <v>5</v>
      </c>
    </row>
    <row r="1180" spans="1:26">
      <c r="A1180" t="s">
        <v>2154</v>
      </c>
      <c r="B1180" t="s">
        <v>221</v>
      </c>
      <c r="C1180" t="s">
        <v>45</v>
      </c>
      <c r="D1180" t="s">
        <v>103</v>
      </c>
      <c r="E1180" s="1">
        <v>44430</v>
      </c>
      <c r="F1180" t="s">
        <v>30</v>
      </c>
      <c r="G1180" t="s">
        <v>58</v>
      </c>
      <c r="H1180" t="s">
        <v>59</v>
      </c>
      <c r="I1180">
        <v>8</v>
      </c>
      <c r="J1180" t="s">
        <v>98</v>
      </c>
      <c r="K1180">
        <v>2</v>
      </c>
      <c r="L1180" s="3">
        <v>7499</v>
      </c>
      <c r="M1180">
        <v>35</v>
      </c>
      <c r="N1180" s="3">
        <v>4870</v>
      </c>
      <c r="O1180" s="3">
        <v>9740</v>
      </c>
      <c r="P1180" t="s">
        <v>74</v>
      </c>
      <c r="Q1180" t="s">
        <v>82</v>
      </c>
      <c r="R1180" t="s">
        <v>36</v>
      </c>
      <c r="S1180" t="s">
        <v>384</v>
      </c>
      <c r="T1180" t="s">
        <v>1217</v>
      </c>
      <c r="U1180" t="s">
        <v>39</v>
      </c>
      <c r="V1180" t="s">
        <v>315</v>
      </c>
      <c r="W1180">
        <v>4.3</v>
      </c>
      <c r="X1180" t="s">
        <v>106</v>
      </c>
      <c r="Y1180" t="s">
        <v>55</v>
      </c>
      <c r="Z1180">
        <v>2</v>
      </c>
    </row>
    <row r="1181" spans="1:26">
      <c r="A1181" t="s">
        <v>2155</v>
      </c>
      <c r="B1181" t="s">
        <v>1652</v>
      </c>
      <c r="C1181" t="s">
        <v>28</v>
      </c>
      <c r="D1181" t="s">
        <v>95</v>
      </c>
      <c r="E1181" s="1">
        <v>44430</v>
      </c>
      <c r="F1181" t="s">
        <v>96</v>
      </c>
      <c r="G1181" t="s">
        <v>290</v>
      </c>
      <c r="H1181" t="s">
        <v>32</v>
      </c>
      <c r="I1181">
        <v>7</v>
      </c>
      <c r="J1181" t="s">
        <v>88</v>
      </c>
      <c r="K1181">
        <v>1</v>
      </c>
      <c r="L1181" s="3">
        <v>4599</v>
      </c>
      <c r="M1181">
        <v>10</v>
      </c>
      <c r="N1181" s="3">
        <v>4140</v>
      </c>
      <c r="O1181" s="3">
        <v>4140</v>
      </c>
      <c r="P1181" t="s">
        <v>74</v>
      </c>
      <c r="Q1181" t="s">
        <v>51</v>
      </c>
      <c r="R1181" t="s">
        <v>36</v>
      </c>
      <c r="S1181" t="s">
        <v>269</v>
      </c>
      <c r="T1181" t="s">
        <v>652</v>
      </c>
      <c r="U1181" t="s">
        <v>54</v>
      </c>
      <c r="V1181" t="s">
        <v>315</v>
      </c>
      <c r="W1181">
        <v>5</v>
      </c>
      <c r="X1181" t="s">
        <v>106</v>
      </c>
      <c r="Y1181" t="s">
        <v>55</v>
      </c>
      <c r="Z1181">
        <v>2</v>
      </c>
    </row>
    <row r="1182" spans="1:26">
      <c r="A1182" t="s">
        <v>2156</v>
      </c>
      <c r="B1182" t="s">
        <v>2157</v>
      </c>
      <c r="C1182" t="s">
        <v>45</v>
      </c>
      <c r="D1182" t="s">
        <v>109</v>
      </c>
      <c r="E1182" s="1">
        <v>44431</v>
      </c>
      <c r="F1182" t="s">
        <v>65</v>
      </c>
      <c r="G1182" t="s">
        <v>72</v>
      </c>
      <c r="H1182" t="s">
        <v>59</v>
      </c>
      <c r="I1182">
        <v>9</v>
      </c>
      <c r="J1182" t="s">
        <v>98</v>
      </c>
      <c r="K1182">
        <v>2</v>
      </c>
      <c r="L1182" s="3">
        <v>5299</v>
      </c>
      <c r="M1182">
        <v>5</v>
      </c>
      <c r="N1182" s="3">
        <v>5030</v>
      </c>
      <c r="O1182" s="3">
        <v>10060</v>
      </c>
      <c r="P1182" t="s">
        <v>50</v>
      </c>
      <c r="Q1182" t="s">
        <v>51</v>
      </c>
      <c r="R1182" t="s">
        <v>36</v>
      </c>
      <c r="S1182" t="s">
        <v>122</v>
      </c>
      <c r="T1182" t="s">
        <v>382</v>
      </c>
      <c r="U1182" t="s">
        <v>39</v>
      </c>
      <c r="V1182" t="s">
        <v>40</v>
      </c>
      <c r="W1182">
        <v>3.1</v>
      </c>
      <c r="X1182" t="s">
        <v>41</v>
      </c>
      <c r="Y1182" t="s">
        <v>42</v>
      </c>
      <c r="Z1182">
        <v>3</v>
      </c>
    </row>
    <row r="1183" spans="1:26">
      <c r="A1183" t="s">
        <v>2158</v>
      </c>
      <c r="B1183" t="s">
        <v>1203</v>
      </c>
      <c r="C1183" t="s">
        <v>28</v>
      </c>
      <c r="D1183" t="s">
        <v>29</v>
      </c>
      <c r="E1183" s="1">
        <v>44431</v>
      </c>
      <c r="F1183" t="s">
        <v>30</v>
      </c>
      <c r="G1183" t="s">
        <v>214</v>
      </c>
      <c r="H1183" t="s">
        <v>128</v>
      </c>
      <c r="I1183">
        <v>8</v>
      </c>
      <c r="J1183" t="s">
        <v>150</v>
      </c>
      <c r="K1183">
        <v>1</v>
      </c>
      <c r="L1183" s="3">
        <v>8899</v>
      </c>
      <c r="M1183">
        <v>10</v>
      </c>
      <c r="N1183" s="3">
        <v>8010</v>
      </c>
      <c r="O1183" s="3">
        <v>8010</v>
      </c>
      <c r="P1183" t="s">
        <v>74</v>
      </c>
      <c r="Q1183" t="s">
        <v>51</v>
      </c>
      <c r="R1183" t="s">
        <v>36</v>
      </c>
      <c r="S1183" t="s">
        <v>168</v>
      </c>
      <c r="T1183" t="s">
        <v>168</v>
      </c>
      <c r="U1183" t="s">
        <v>91</v>
      </c>
      <c r="V1183" t="s">
        <v>315</v>
      </c>
      <c r="W1183">
        <v>4.5</v>
      </c>
      <c r="X1183" t="s">
        <v>41</v>
      </c>
      <c r="Y1183" t="s">
        <v>55</v>
      </c>
      <c r="Z1183">
        <v>2</v>
      </c>
    </row>
    <row r="1184" spans="1:26">
      <c r="A1184" t="s">
        <v>2159</v>
      </c>
      <c r="B1184" t="s">
        <v>835</v>
      </c>
      <c r="C1184" t="s">
        <v>28</v>
      </c>
      <c r="D1184" t="s">
        <v>29</v>
      </c>
      <c r="E1184" s="1">
        <v>44432</v>
      </c>
      <c r="F1184" t="s">
        <v>30</v>
      </c>
      <c r="G1184" t="s">
        <v>347</v>
      </c>
      <c r="H1184" t="s">
        <v>49</v>
      </c>
      <c r="I1184">
        <v>6</v>
      </c>
      <c r="J1184" t="s">
        <v>33</v>
      </c>
      <c r="K1184">
        <v>1</v>
      </c>
      <c r="L1184" s="3">
        <v>6899</v>
      </c>
      <c r="M1184">
        <v>25</v>
      </c>
      <c r="N1184" s="3">
        <v>5170</v>
      </c>
      <c r="O1184" s="3">
        <v>5170</v>
      </c>
      <c r="P1184" t="s">
        <v>34</v>
      </c>
      <c r="Q1184" t="s">
        <v>82</v>
      </c>
      <c r="R1184" t="s">
        <v>36</v>
      </c>
      <c r="S1184" t="s">
        <v>68</v>
      </c>
      <c r="T1184" t="s">
        <v>207</v>
      </c>
      <c r="U1184" t="s">
        <v>54</v>
      </c>
      <c r="V1184" t="s">
        <v>969</v>
      </c>
      <c r="W1184">
        <v>4</v>
      </c>
      <c r="X1184" t="s">
        <v>41</v>
      </c>
      <c r="Y1184" t="s">
        <v>42</v>
      </c>
      <c r="Z1184">
        <v>6</v>
      </c>
    </row>
    <row r="1185" spans="1:26">
      <c r="A1185" t="s">
        <v>2160</v>
      </c>
      <c r="B1185" t="s">
        <v>2161</v>
      </c>
      <c r="C1185" t="s">
        <v>28</v>
      </c>
      <c r="D1185" t="s">
        <v>103</v>
      </c>
      <c r="E1185" s="1">
        <v>44432</v>
      </c>
      <c r="F1185" t="s">
        <v>86</v>
      </c>
      <c r="G1185" t="s">
        <v>312</v>
      </c>
      <c r="H1185" t="s">
        <v>59</v>
      </c>
      <c r="I1185">
        <v>7</v>
      </c>
      <c r="J1185" t="s">
        <v>98</v>
      </c>
      <c r="K1185">
        <v>1</v>
      </c>
      <c r="L1185" s="3">
        <v>8199</v>
      </c>
      <c r="M1185">
        <v>25</v>
      </c>
      <c r="N1185" s="3">
        <v>6150</v>
      </c>
      <c r="O1185" s="3">
        <v>6150</v>
      </c>
      <c r="P1185" t="s">
        <v>74</v>
      </c>
      <c r="Q1185" t="s">
        <v>82</v>
      </c>
      <c r="R1185" t="s">
        <v>36</v>
      </c>
      <c r="S1185" t="s">
        <v>195</v>
      </c>
      <c r="T1185" t="s">
        <v>665</v>
      </c>
      <c r="U1185" t="s">
        <v>39</v>
      </c>
      <c r="V1185" t="s">
        <v>40</v>
      </c>
      <c r="W1185">
        <v>3.8</v>
      </c>
      <c r="X1185" t="s">
        <v>62</v>
      </c>
      <c r="Y1185" t="s">
        <v>42</v>
      </c>
      <c r="Z1185">
        <v>5</v>
      </c>
    </row>
    <row r="1186" spans="1:26">
      <c r="A1186" t="s">
        <v>2162</v>
      </c>
      <c r="B1186" t="s">
        <v>741</v>
      </c>
      <c r="C1186" t="s">
        <v>28</v>
      </c>
      <c r="D1186" t="s">
        <v>46</v>
      </c>
      <c r="E1186" s="1">
        <v>44433</v>
      </c>
      <c r="F1186" t="s">
        <v>47</v>
      </c>
      <c r="G1186" t="s">
        <v>121</v>
      </c>
      <c r="H1186" t="s">
        <v>111</v>
      </c>
      <c r="I1186">
        <v>6</v>
      </c>
      <c r="J1186" t="s">
        <v>73</v>
      </c>
      <c r="K1186">
        <v>1</v>
      </c>
      <c r="L1186" s="3">
        <v>5799</v>
      </c>
      <c r="M1186">
        <v>5</v>
      </c>
      <c r="N1186" s="3">
        <v>5510</v>
      </c>
      <c r="O1186" s="3">
        <v>5510</v>
      </c>
      <c r="P1186" t="s">
        <v>74</v>
      </c>
      <c r="Q1186" t="s">
        <v>51</v>
      </c>
      <c r="R1186" t="s">
        <v>36</v>
      </c>
      <c r="S1186" t="s">
        <v>200</v>
      </c>
      <c r="T1186" t="s">
        <v>201</v>
      </c>
      <c r="U1186" t="s">
        <v>54</v>
      </c>
      <c r="V1186" t="s">
        <v>315</v>
      </c>
      <c r="W1186">
        <v>4.3</v>
      </c>
      <c r="X1186" t="s">
        <v>41</v>
      </c>
      <c r="Y1186" t="s">
        <v>42</v>
      </c>
      <c r="Z1186">
        <v>1</v>
      </c>
    </row>
    <row r="1187" spans="1:26">
      <c r="A1187" t="s">
        <v>2163</v>
      </c>
      <c r="B1187" t="s">
        <v>330</v>
      </c>
      <c r="C1187" t="s">
        <v>28</v>
      </c>
      <c r="D1187" t="s">
        <v>95</v>
      </c>
      <c r="E1187" s="1">
        <v>44436</v>
      </c>
      <c r="F1187" t="s">
        <v>79</v>
      </c>
      <c r="G1187" t="s">
        <v>174</v>
      </c>
      <c r="H1187" t="s">
        <v>32</v>
      </c>
      <c r="I1187">
        <v>8</v>
      </c>
      <c r="J1187" t="s">
        <v>73</v>
      </c>
      <c r="K1187">
        <v>1</v>
      </c>
      <c r="L1187" s="3">
        <v>7899</v>
      </c>
      <c r="M1187">
        <v>15</v>
      </c>
      <c r="N1187" s="3">
        <v>6710</v>
      </c>
      <c r="O1187" s="3">
        <v>6710</v>
      </c>
      <c r="P1187" t="s">
        <v>34</v>
      </c>
      <c r="Q1187" t="s">
        <v>35</v>
      </c>
      <c r="R1187" t="s">
        <v>36</v>
      </c>
      <c r="S1187" t="s">
        <v>200</v>
      </c>
      <c r="T1187" t="s">
        <v>204</v>
      </c>
      <c r="U1187" t="s">
        <v>61</v>
      </c>
      <c r="V1187" t="s">
        <v>315</v>
      </c>
      <c r="W1187">
        <v>5</v>
      </c>
      <c r="X1187" t="s">
        <v>62</v>
      </c>
      <c r="Y1187" t="s">
        <v>42</v>
      </c>
      <c r="Z1187">
        <v>5</v>
      </c>
    </row>
    <row r="1188" spans="1:26">
      <c r="A1188" t="s">
        <v>2164</v>
      </c>
      <c r="B1188" t="s">
        <v>1569</v>
      </c>
      <c r="C1188" t="s">
        <v>45</v>
      </c>
      <c r="D1188" t="s">
        <v>46</v>
      </c>
      <c r="E1188" s="1">
        <v>44440</v>
      </c>
      <c r="F1188" t="s">
        <v>86</v>
      </c>
      <c r="G1188" t="s">
        <v>190</v>
      </c>
      <c r="H1188" t="s">
        <v>128</v>
      </c>
      <c r="I1188">
        <v>6</v>
      </c>
      <c r="J1188" t="s">
        <v>73</v>
      </c>
      <c r="K1188">
        <v>1</v>
      </c>
      <c r="L1188" s="3">
        <v>6099</v>
      </c>
      <c r="M1188">
        <v>15</v>
      </c>
      <c r="N1188" s="3">
        <v>5180</v>
      </c>
      <c r="O1188" s="3">
        <v>5180</v>
      </c>
      <c r="P1188" t="s">
        <v>74</v>
      </c>
      <c r="Q1188" t="s">
        <v>51</v>
      </c>
      <c r="R1188" t="s">
        <v>36</v>
      </c>
      <c r="S1188" t="s">
        <v>460</v>
      </c>
      <c r="T1188" t="s">
        <v>461</v>
      </c>
      <c r="U1188" t="s">
        <v>39</v>
      </c>
      <c r="V1188" t="s">
        <v>315</v>
      </c>
      <c r="W1188">
        <v>4.4000000000000004</v>
      </c>
      <c r="X1188" t="s">
        <v>106</v>
      </c>
      <c r="Y1188" t="s">
        <v>42</v>
      </c>
      <c r="Z1188">
        <v>3</v>
      </c>
    </row>
    <row r="1189" spans="1:26">
      <c r="A1189" t="s">
        <v>2165</v>
      </c>
      <c r="B1189" t="s">
        <v>1201</v>
      </c>
      <c r="C1189" t="s">
        <v>28</v>
      </c>
      <c r="D1189" t="s">
        <v>46</v>
      </c>
      <c r="E1189" s="1">
        <v>44440</v>
      </c>
      <c r="F1189" t="s">
        <v>86</v>
      </c>
      <c r="G1189" t="s">
        <v>87</v>
      </c>
      <c r="H1189" t="s">
        <v>59</v>
      </c>
      <c r="I1189">
        <v>8</v>
      </c>
      <c r="J1189" t="s">
        <v>73</v>
      </c>
      <c r="K1189">
        <v>1</v>
      </c>
      <c r="L1189" s="3">
        <v>8099</v>
      </c>
      <c r="M1189">
        <v>25</v>
      </c>
      <c r="N1189" s="3">
        <v>6070</v>
      </c>
      <c r="O1189" s="3">
        <v>6070</v>
      </c>
      <c r="P1189" t="s">
        <v>50</v>
      </c>
      <c r="Q1189" t="s">
        <v>51</v>
      </c>
      <c r="R1189" t="s">
        <v>36</v>
      </c>
      <c r="S1189" t="s">
        <v>112</v>
      </c>
      <c r="T1189" t="s">
        <v>250</v>
      </c>
      <c r="U1189" t="s">
        <v>54</v>
      </c>
      <c r="V1189" t="s">
        <v>315</v>
      </c>
      <c r="W1189">
        <v>3.3</v>
      </c>
      <c r="X1189" t="s">
        <v>62</v>
      </c>
      <c r="Y1189" t="s">
        <v>55</v>
      </c>
      <c r="Z1189">
        <v>2</v>
      </c>
    </row>
    <row r="1190" spans="1:26">
      <c r="A1190" t="s">
        <v>2166</v>
      </c>
      <c r="B1190" t="s">
        <v>2167</v>
      </c>
      <c r="C1190" t="s">
        <v>45</v>
      </c>
      <c r="D1190" t="s">
        <v>103</v>
      </c>
      <c r="E1190" s="1">
        <v>44440</v>
      </c>
      <c r="F1190" t="s">
        <v>79</v>
      </c>
      <c r="G1190" t="s">
        <v>174</v>
      </c>
      <c r="H1190" t="s">
        <v>32</v>
      </c>
      <c r="I1190">
        <v>7</v>
      </c>
      <c r="J1190" t="s">
        <v>73</v>
      </c>
      <c r="K1190">
        <v>1</v>
      </c>
      <c r="L1190" s="3">
        <v>6999</v>
      </c>
      <c r="M1190">
        <v>15</v>
      </c>
      <c r="N1190" s="3">
        <v>5950</v>
      </c>
      <c r="O1190" s="3">
        <v>5950</v>
      </c>
      <c r="P1190" t="s">
        <v>74</v>
      </c>
      <c r="Q1190" t="s">
        <v>35</v>
      </c>
      <c r="R1190" t="s">
        <v>36</v>
      </c>
      <c r="S1190" t="s">
        <v>186</v>
      </c>
      <c r="T1190" t="s">
        <v>397</v>
      </c>
      <c r="U1190" t="s">
        <v>39</v>
      </c>
      <c r="V1190" t="s">
        <v>40</v>
      </c>
      <c r="W1190">
        <v>5</v>
      </c>
      <c r="X1190" t="s">
        <v>41</v>
      </c>
      <c r="Y1190" t="s">
        <v>42</v>
      </c>
      <c r="Z1190">
        <v>2</v>
      </c>
    </row>
    <row r="1191" spans="1:26">
      <c r="A1191" t="s">
        <v>2168</v>
      </c>
      <c r="B1191" t="s">
        <v>2169</v>
      </c>
      <c r="C1191" t="s">
        <v>45</v>
      </c>
      <c r="D1191" t="s">
        <v>29</v>
      </c>
      <c r="E1191" s="1">
        <v>44441</v>
      </c>
      <c r="F1191" t="s">
        <v>86</v>
      </c>
      <c r="G1191" t="s">
        <v>190</v>
      </c>
      <c r="H1191" t="s">
        <v>128</v>
      </c>
      <c r="I1191">
        <v>7</v>
      </c>
      <c r="J1191" t="s">
        <v>150</v>
      </c>
      <c r="K1191">
        <v>3</v>
      </c>
      <c r="L1191" s="3">
        <v>7799</v>
      </c>
      <c r="M1191">
        <v>20</v>
      </c>
      <c r="N1191" s="3">
        <v>6240</v>
      </c>
      <c r="O1191" s="3">
        <v>18720</v>
      </c>
      <c r="P1191" t="s">
        <v>74</v>
      </c>
      <c r="Q1191" t="s">
        <v>35</v>
      </c>
      <c r="R1191" t="s">
        <v>36</v>
      </c>
      <c r="S1191" t="s">
        <v>151</v>
      </c>
      <c r="T1191" t="s">
        <v>152</v>
      </c>
      <c r="U1191" t="s">
        <v>61</v>
      </c>
      <c r="V1191" t="s">
        <v>40</v>
      </c>
      <c r="W1191">
        <v>2.7</v>
      </c>
      <c r="X1191" t="s">
        <v>41</v>
      </c>
      <c r="Y1191" t="s">
        <v>42</v>
      </c>
      <c r="Z1191">
        <v>5</v>
      </c>
    </row>
    <row r="1192" spans="1:26">
      <c r="A1192" t="s">
        <v>2170</v>
      </c>
      <c r="B1192" t="s">
        <v>1354</v>
      </c>
      <c r="C1192" t="s">
        <v>45</v>
      </c>
      <c r="D1192" t="s">
        <v>109</v>
      </c>
      <c r="E1192" s="1">
        <v>44442</v>
      </c>
      <c r="F1192" t="s">
        <v>30</v>
      </c>
      <c r="G1192" t="s">
        <v>58</v>
      </c>
      <c r="H1192" t="s">
        <v>59</v>
      </c>
      <c r="I1192">
        <v>11</v>
      </c>
      <c r="J1192" t="s">
        <v>88</v>
      </c>
      <c r="K1192">
        <v>1</v>
      </c>
      <c r="L1192" s="3">
        <v>5099</v>
      </c>
      <c r="M1192">
        <v>20</v>
      </c>
      <c r="N1192" s="3">
        <v>4080</v>
      </c>
      <c r="O1192" s="3">
        <v>4080</v>
      </c>
      <c r="P1192" t="s">
        <v>74</v>
      </c>
      <c r="Q1192" t="s">
        <v>35</v>
      </c>
      <c r="R1192" t="s">
        <v>36</v>
      </c>
      <c r="S1192" t="s">
        <v>269</v>
      </c>
      <c r="T1192" t="s">
        <v>575</v>
      </c>
      <c r="U1192" t="s">
        <v>61</v>
      </c>
      <c r="V1192" t="s">
        <v>969</v>
      </c>
      <c r="W1192">
        <v>4.2</v>
      </c>
      <c r="X1192" t="s">
        <v>41</v>
      </c>
      <c r="Y1192" t="s">
        <v>42</v>
      </c>
      <c r="Z1192">
        <v>2</v>
      </c>
    </row>
    <row r="1193" spans="1:26">
      <c r="A1193" t="s">
        <v>2171</v>
      </c>
      <c r="B1193" t="s">
        <v>1670</v>
      </c>
      <c r="C1193" t="s">
        <v>28</v>
      </c>
      <c r="D1193" t="s">
        <v>29</v>
      </c>
      <c r="E1193" s="1">
        <v>44443</v>
      </c>
      <c r="F1193" t="s">
        <v>86</v>
      </c>
      <c r="G1193" t="s">
        <v>242</v>
      </c>
      <c r="H1193" t="s">
        <v>32</v>
      </c>
      <c r="I1193">
        <v>7</v>
      </c>
      <c r="J1193" t="s">
        <v>73</v>
      </c>
      <c r="K1193">
        <v>1</v>
      </c>
      <c r="L1193" s="3">
        <v>5399</v>
      </c>
      <c r="M1193">
        <v>15</v>
      </c>
      <c r="N1193" s="3">
        <v>4590</v>
      </c>
      <c r="O1193" s="3">
        <v>4590</v>
      </c>
      <c r="P1193" t="s">
        <v>74</v>
      </c>
      <c r="Q1193" t="s">
        <v>82</v>
      </c>
      <c r="R1193" t="s">
        <v>36</v>
      </c>
      <c r="S1193" t="s">
        <v>384</v>
      </c>
      <c r="T1193" t="s">
        <v>1217</v>
      </c>
      <c r="U1193" t="s">
        <v>91</v>
      </c>
      <c r="V1193" t="s">
        <v>315</v>
      </c>
      <c r="W1193">
        <v>5</v>
      </c>
      <c r="X1193" t="s">
        <v>41</v>
      </c>
      <c r="Y1193" t="s">
        <v>42</v>
      </c>
      <c r="Z1193">
        <v>4</v>
      </c>
    </row>
    <row r="1194" spans="1:26">
      <c r="A1194" t="s">
        <v>2172</v>
      </c>
      <c r="B1194" t="s">
        <v>1027</v>
      </c>
      <c r="C1194" t="s">
        <v>28</v>
      </c>
      <c r="D1194" t="s">
        <v>109</v>
      </c>
      <c r="E1194" s="1">
        <v>44443</v>
      </c>
      <c r="F1194" t="s">
        <v>79</v>
      </c>
      <c r="G1194" t="s">
        <v>80</v>
      </c>
      <c r="H1194" t="s">
        <v>59</v>
      </c>
      <c r="I1194">
        <v>11</v>
      </c>
      <c r="J1194" t="s">
        <v>33</v>
      </c>
      <c r="K1194">
        <v>1</v>
      </c>
      <c r="L1194" s="3">
        <v>4999</v>
      </c>
      <c r="M1194">
        <v>15</v>
      </c>
      <c r="N1194" s="3">
        <v>4250</v>
      </c>
      <c r="O1194" s="3">
        <v>4250</v>
      </c>
      <c r="P1194" t="s">
        <v>34</v>
      </c>
      <c r="Q1194" t="s">
        <v>35</v>
      </c>
      <c r="R1194" t="s">
        <v>36</v>
      </c>
      <c r="S1194" t="s">
        <v>164</v>
      </c>
      <c r="T1194" t="s">
        <v>409</v>
      </c>
      <c r="U1194" t="s">
        <v>54</v>
      </c>
      <c r="V1194" t="s">
        <v>969</v>
      </c>
      <c r="W1194">
        <v>4.7</v>
      </c>
      <c r="X1194" t="s">
        <v>41</v>
      </c>
      <c r="Y1194" t="s">
        <v>42</v>
      </c>
      <c r="Z1194">
        <v>7</v>
      </c>
    </row>
    <row r="1195" spans="1:26">
      <c r="A1195" t="s">
        <v>2173</v>
      </c>
      <c r="B1195" t="s">
        <v>2174</v>
      </c>
      <c r="C1195" t="s">
        <v>45</v>
      </c>
      <c r="D1195" t="s">
        <v>95</v>
      </c>
      <c r="E1195" s="1">
        <v>44444</v>
      </c>
      <c r="F1195" t="s">
        <v>47</v>
      </c>
      <c r="G1195" t="s">
        <v>402</v>
      </c>
      <c r="H1195" t="s">
        <v>32</v>
      </c>
      <c r="I1195">
        <v>11</v>
      </c>
      <c r="J1195" t="s">
        <v>73</v>
      </c>
      <c r="K1195">
        <v>1</v>
      </c>
      <c r="L1195" s="3">
        <v>5999</v>
      </c>
      <c r="M1195">
        <v>35</v>
      </c>
      <c r="N1195" s="3">
        <v>3900</v>
      </c>
      <c r="O1195" s="3">
        <v>3900</v>
      </c>
      <c r="P1195" t="s">
        <v>34</v>
      </c>
      <c r="Q1195" t="s">
        <v>82</v>
      </c>
      <c r="R1195" t="s">
        <v>36</v>
      </c>
      <c r="S1195" t="s">
        <v>117</v>
      </c>
      <c r="T1195" t="s">
        <v>751</v>
      </c>
      <c r="U1195" t="s">
        <v>61</v>
      </c>
      <c r="V1195" t="s">
        <v>40</v>
      </c>
      <c r="W1195">
        <v>4</v>
      </c>
      <c r="X1195" t="s">
        <v>41</v>
      </c>
      <c r="Y1195" t="s">
        <v>42</v>
      </c>
      <c r="Z1195">
        <v>3</v>
      </c>
    </row>
    <row r="1196" spans="1:26">
      <c r="A1196" t="s">
        <v>2175</v>
      </c>
      <c r="B1196" t="s">
        <v>699</v>
      </c>
      <c r="C1196" t="s">
        <v>28</v>
      </c>
      <c r="D1196" t="s">
        <v>29</v>
      </c>
      <c r="E1196" s="1">
        <v>44444</v>
      </c>
      <c r="F1196" t="s">
        <v>96</v>
      </c>
      <c r="G1196" t="s">
        <v>97</v>
      </c>
      <c r="H1196" t="s">
        <v>49</v>
      </c>
      <c r="I1196">
        <v>7</v>
      </c>
      <c r="J1196" t="s">
        <v>67</v>
      </c>
      <c r="K1196">
        <v>2</v>
      </c>
      <c r="L1196" s="3">
        <v>7399</v>
      </c>
      <c r="M1196">
        <v>15</v>
      </c>
      <c r="N1196" s="3">
        <v>6290</v>
      </c>
      <c r="O1196" s="3">
        <v>12580</v>
      </c>
      <c r="P1196" t="s">
        <v>34</v>
      </c>
      <c r="Q1196" t="s">
        <v>51</v>
      </c>
      <c r="R1196" t="s">
        <v>36</v>
      </c>
      <c r="S1196" t="s">
        <v>354</v>
      </c>
      <c r="T1196" t="s">
        <v>518</v>
      </c>
      <c r="U1196" t="s">
        <v>54</v>
      </c>
      <c r="V1196" t="s">
        <v>315</v>
      </c>
      <c r="W1196">
        <v>3</v>
      </c>
      <c r="X1196" t="s">
        <v>106</v>
      </c>
      <c r="Y1196" t="s">
        <v>42</v>
      </c>
      <c r="Z1196">
        <v>3</v>
      </c>
    </row>
    <row r="1197" spans="1:26">
      <c r="A1197" t="s">
        <v>2176</v>
      </c>
      <c r="B1197" t="s">
        <v>1706</v>
      </c>
      <c r="C1197" t="s">
        <v>45</v>
      </c>
      <c r="D1197" t="s">
        <v>46</v>
      </c>
      <c r="E1197" s="1">
        <v>44445</v>
      </c>
      <c r="F1197" t="s">
        <v>65</v>
      </c>
      <c r="G1197" t="s">
        <v>268</v>
      </c>
      <c r="H1197" t="s">
        <v>128</v>
      </c>
      <c r="I1197">
        <v>9</v>
      </c>
      <c r="J1197" t="s">
        <v>33</v>
      </c>
      <c r="K1197">
        <v>2</v>
      </c>
      <c r="L1197" s="3">
        <v>3799</v>
      </c>
      <c r="M1197">
        <v>15</v>
      </c>
      <c r="N1197" s="3">
        <v>3230</v>
      </c>
      <c r="O1197" s="3">
        <v>6460</v>
      </c>
      <c r="P1197" t="s">
        <v>34</v>
      </c>
      <c r="Q1197" t="s">
        <v>51</v>
      </c>
      <c r="R1197" t="s">
        <v>36</v>
      </c>
      <c r="S1197" t="s">
        <v>354</v>
      </c>
      <c r="T1197" t="s">
        <v>431</v>
      </c>
      <c r="U1197" t="s">
        <v>124</v>
      </c>
      <c r="V1197" t="s">
        <v>315</v>
      </c>
      <c r="W1197">
        <v>4.9000000000000004</v>
      </c>
      <c r="X1197" t="s">
        <v>41</v>
      </c>
      <c r="Y1197" t="s">
        <v>147</v>
      </c>
      <c r="Z1197">
        <v>1</v>
      </c>
    </row>
    <row r="1198" spans="1:26">
      <c r="A1198" t="s">
        <v>2177</v>
      </c>
      <c r="B1198" t="s">
        <v>1010</v>
      </c>
      <c r="C1198" t="s">
        <v>28</v>
      </c>
      <c r="D1198" t="s">
        <v>103</v>
      </c>
      <c r="E1198" s="1">
        <v>44446</v>
      </c>
      <c r="F1198" t="s">
        <v>86</v>
      </c>
      <c r="G1198" t="s">
        <v>87</v>
      </c>
      <c r="H1198" t="s">
        <v>59</v>
      </c>
      <c r="I1198">
        <v>8</v>
      </c>
      <c r="J1198" t="s">
        <v>88</v>
      </c>
      <c r="K1198">
        <v>4</v>
      </c>
      <c r="L1198" s="3">
        <v>6799</v>
      </c>
      <c r="M1198">
        <v>0</v>
      </c>
      <c r="N1198" s="3">
        <v>6800</v>
      </c>
      <c r="O1198" s="3">
        <v>27200</v>
      </c>
      <c r="P1198" t="s">
        <v>50</v>
      </c>
      <c r="Q1198" t="s">
        <v>82</v>
      </c>
      <c r="R1198" t="s">
        <v>36</v>
      </c>
      <c r="S1198" t="s">
        <v>384</v>
      </c>
      <c r="T1198" t="s">
        <v>444</v>
      </c>
      <c r="U1198" t="s">
        <v>39</v>
      </c>
      <c r="V1198" t="s">
        <v>315</v>
      </c>
      <c r="W1198">
        <v>4.5</v>
      </c>
      <c r="X1198" t="s">
        <v>106</v>
      </c>
      <c r="Y1198" t="s">
        <v>42</v>
      </c>
      <c r="Z1198">
        <v>3</v>
      </c>
    </row>
    <row r="1199" spans="1:26">
      <c r="A1199" t="s">
        <v>2178</v>
      </c>
      <c r="B1199" t="s">
        <v>2126</v>
      </c>
      <c r="C1199" t="s">
        <v>28</v>
      </c>
      <c r="D1199" t="s">
        <v>109</v>
      </c>
      <c r="E1199" s="1">
        <v>44447</v>
      </c>
      <c r="F1199" t="s">
        <v>65</v>
      </c>
      <c r="G1199" t="s">
        <v>268</v>
      </c>
      <c r="H1199" t="s">
        <v>128</v>
      </c>
      <c r="I1199">
        <v>11</v>
      </c>
      <c r="J1199" t="s">
        <v>33</v>
      </c>
      <c r="K1199">
        <v>3</v>
      </c>
      <c r="L1199" s="3">
        <v>8399</v>
      </c>
      <c r="M1199">
        <v>0</v>
      </c>
      <c r="N1199" s="3">
        <v>8400</v>
      </c>
      <c r="O1199" s="3">
        <v>25200</v>
      </c>
      <c r="P1199" t="s">
        <v>81</v>
      </c>
      <c r="Q1199" t="s">
        <v>51</v>
      </c>
      <c r="R1199" t="s">
        <v>36</v>
      </c>
      <c r="S1199" t="s">
        <v>418</v>
      </c>
      <c r="T1199" t="s">
        <v>924</v>
      </c>
      <c r="U1199" t="s">
        <v>91</v>
      </c>
      <c r="V1199" t="s">
        <v>315</v>
      </c>
      <c r="W1199">
        <v>3.4</v>
      </c>
      <c r="X1199" t="s">
        <v>41</v>
      </c>
      <c r="Y1199" t="s">
        <v>55</v>
      </c>
      <c r="Z1199">
        <v>3</v>
      </c>
    </row>
    <row r="1200" spans="1:26">
      <c r="A1200" t="s">
        <v>2179</v>
      </c>
      <c r="B1200" t="s">
        <v>1285</v>
      </c>
      <c r="C1200" t="s">
        <v>28</v>
      </c>
      <c r="D1200" t="s">
        <v>46</v>
      </c>
      <c r="E1200" s="1">
        <v>44447</v>
      </c>
      <c r="F1200" t="s">
        <v>30</v>
      </c>
      <c r="G1200" t="s">
        <v>58</v>
      </c>
      <c r="H1200" t="s">
        <v>59</v>
      </c>
      <c r="I1200">
        <v>6</v>
      </c>
      <c r="J1200" t="s">
        <v>33</v>
      </c>
      <c r="K1200">
        <v>1</v>
      </c>
      <c r="L1200" s="3">
        <v>5599</v>
      </c>
      <c r="M1200">
        <v>15</v>
      </c>
      <c r="N1200" s="3">
        <v>4760</v>
      </c>
      <c r="O1200" s="3">
        <v>4760</v>
      </c>
      <c r="P1200" t="s">
        <v>74</v>
      </c>
      <c r="Q1200" t="s">
        <v>51</v>
      </c>
      <c r="R1200" t="s">
        <v>36</v>
      </c>
      <c r="S1200" t="s">
        <v>99</v>
      </c>
      <c r="T1200" t="s">
        <v>335</v>
      </c>
      <c r="U1200" t="s">
        <v>91</v>
      </c>
      <c r="V1200" t="s">
        <v>315</v>
      </c>
      <c r="W1200">
        <v>5</v>
      </c>
      <c r="X1200" t="s">
        <v>62</v>
      </c>
      <c r="Y1200" t="s">
        <v>42</v>
      </c>
      <c r="Z1200">
        <v>5</v>
      </c>
    </row>
    <row r="1201" spans="1:26">
      <c r="A1201" t="s">
        <v>2180</v>
      </c>
      <c r="B1201" t="s">
        <v>870</v>
      </c>
      <c r="C1201" t="s">
        <v>45</v>
      </c>
      <c r="D1201" t="s">
        <v>29</v>
      </c>
      <c r="E1201" s="1">
        <v>44450</v>
      </c>
      <c r="F1201" t="s">
        <v>96</v>
      </c>
      <c r="G1201" t="s">
        <v>155</v>
      </c>
      <c r="H1201" t="s">
        <v>111</v>
      </c>
      <c r="I1201">
        <v>11</v>
      </c>
      <c r="J1201" t="s">
        <v>33</v>
      </c>
      <c r="K1201">
        <v>1</v>
      </c>
      <c r="L1201" s="3">
        <v>4799</v>
      </c>
      <c r="M1201">
        <v>25</v>
      </c>
      <c r="N1201" s="3">
        <v>3600</v>
      </c>
      <c r="O1201" s="3">
        <v>3600</v>
      </c>
      <c r="P1201" t="s">
        <v>50</v>
      </c>
      <c r="Q1201" t="s">
        <v>82</v>
      </c>
      <c r="R1201" t="s">
        <v>36</v>
      </c>
      <c r="S1201" t="s">
        <v>200</v>
      </c>
      <c r="T1201" t="s">
        <v>232</v>
      </c>
      <c r="U1201" t="s">
        <v>91</v>
      </c>
      <c r="V1201" t="s">
        <v>315</v>
      </c>
      <c r="W1201">
        <v>3</v>
      </c>
      <c r="X1201" t="s">
        <v>106</v>
      </c>
      <c r="Y1201" t="s">
        <v>55</v>
      </c>
      <c r="Z1201">
        <v>3</v>
      </c>
    </row>
    <row r="1202" spans="1:26">
      <c r="A1202" t="s">
        <v>2181</v>
      </c>
      <c r="B1202" t="s">
        <v>854</v>
      </c>
      <c r="C1202" t="s">
        <v>45</v>
      </c>
      <c r="D1202" t="s">
        <v>103</v>
      </c>
      <c r="E1202" s="1">
        <v>44451</v>
      </c>
      <c r="F1202" t="s">
        <v>47</v>
      </c>
      <c r="G1202" t="s">
        <v>121</v>
      </c>
      <c r="H1202" t="s">
        <v>111</v>
      </c>
      <c r="I1202">
        <v>6</v>
      </c>
      <c r="J1202" t="s">
        <v>98</v>
      </c>
      <c r="K1202">
        <v>3</v>
      </c>
      <c r="L1202" s="3">
        <v>5999</v>
      </c>
      <c r="M1202">
        <v>10</v>
      </c>
      <c r="N1202" s="3">
        <v>5400</v>
      </c>
      <c r="O1202" s="3">
        <v>16200</v>
      </c>
      <c r="P1202" t="s">
        <v>34</v>
      </c>
      <c r="Q1202" t="s">
        <v>35</v>
      </c>
      <c r="R1202" t="s">
        <v>36</v>
      </c>
      <c r="S1202" t="s">
        <v>117</v>
      </c>
      <c r="T1202" t="s">
        <v>751</v>
      </c>
      <c r="U1202" t="s">
        <v>39</v>
      </c>
      <c r="V1202" t="s">
        <v>315</v>
      </c>
      <c r="W1202">
        <v>4.5</v>
      </c>
      <c r="X1202" t="s">
        <v>41</v>
      </c>
      <c r="Y1202" t="s">
        <v>42</v>
      </c>
      <c r="Z1202">
        <v>2</v>
      </c>
    </row>
    <row r="1203" spans="1:26">
      <c r="A1203" t="s">
        <v>2182</v>
      </c>
      <c r="B1203" t="s">
        <v>1240</v>
      </c>
      <c r="C1203" t="s">
        <v>94</v>
      </c>
      <c r="D1203" t="s">
        <v>103</v>
      </c>
      <c r="E1203" s="1">
        <v>44452</v>
      </c>
      <c r="F1203" t="s">
        <v>86</v>
      </c>
      <c r="G1203" t="s">
        <v>312</v>
      </c>
      <c r="H1203" t="s">
        <v>59</v>
      </c>
      <c r="I1203">
        <v>11</v>
      </c>
      <c r="J1203" t="s">
        <v>33</v>
      </c>
      <c r="K1203">
        <v>3</v>
      </c>
      <c r="L1203" s="3">
        <v>5199</v>
      </c>
      <c r="M1203">
        <v>15</v>
      </c>
      <c r="N1203" s="3">
        <v>4420</v>
      </c>
      <c r="O1203" s="3">
        <v>13260</v>
      </c>
      <c r="P1203" t="s">
        <v>74</v>
      </c>
      <c r="Q1203" t="s">
        <v>35</v>
      </c>
      <c r="R1203" t="s">
        <v>36</v>
      </c>
      <c r="S1203" t="s">
        <v>175</v>
      </c>
      <c r="T1203" t="s">
        <v>176</v>
      </c>
      <c r="U1203" t="s">
        <v>54</v>
      </c>
      <c r="V1203" t="s">
        <v>315</v>
      </c>
      <c r="W1203">
        <v>4</v>
      </c>
      <c r="X1203" t="s">
        <v>62</v>
      </c>
      <c r="Y1203" t="s">
        <v>55</v>
      </c>
      <c r="Z1203">
        <v>2</v>
      </c>
    </row>
    <row r="1204" spans="1:26">
      <c r="A1204" t="s">
        <v>2183</v>
      </c>
      <c r="B1204" t="s">
        <v>623</v>
      </c>
      <c r="C1204" t="s">
        <v>28</v>
      </c>
      <c r="D1204" t="s">
        <v>103</v>
      </c>
      <c r="E1204" s="1">
        <v>44457</v>
      </c>
      <c r="F1204" t="s">
        <v>65</v>
      </c>
      <c r="G1204" t="s">
        <v>365</v>
      </c>
      <c r="H1204" t="s">
        <v>49</v>
      </c>
      <c r="I1204">
        <v>11</v>
      </c>
      <c r="J1204" t="s">
        <v>98</v>
      </c>
      <c r="K1204">
        <v>1</v>
      </c>
      <c r="L1204" s="3">
        <v>7399</v>
      </c>
      <c r="M1204">
        <v>30</v>
      </c>
      <c r="N1204" s="3">
        <v>5180</v>
      </c>
      <c r="O1204" s="3">
        <v>5180</v>
      </c>
      <c r="P1204" t="s">
        <v>34</v>
      </c>
      <c r="Q1204" t="s">
        <v>51</v>
      </c>
      <c r="R1204" t="s">
        <v>36</v>
      </c>
      <c r="S1204" t="s">
        <v>358</v>
      </c>
      <c r="T1204" t="s">
        <v>464</v>
      </c>
      <c r="U1204" t="s">
        <v>61</v>
      </c>
      <c r="V1204" t="s">
        <v>315</v>
      </c>
      <c r="W1204">
        <v>5</v>
      </c>
      <c r="X1204" t="s">
        <v>41</v>
      </c>
      <c r="Y1204" t="s">
        <v>42</v>
      </c>
      <c r="Z1204">
        <v>5</v>
      </c>
    </row>
    <row r="1205" spans="1:26">
      <c r="A1205" t="s">
        <v>2184</v>
      </c>
      <c r="B1205" t="s">
        <v>2185</v>
      </c>
      <c r="C1205" t="s">
        <v>45</v>
      </c>
      <c r="D1205" t="s">
        <v>46</v>
      </c>
      <c r="E1205" s="1">
        <v>44458</v>
      </c>
      <c r="F1205" t="s">
        <v>79</v>
      </c>
      <c r="G1205" t="s">
        <v>480</v>
      </c>
      <c r="H1205" t="s">
        <v>111</v>
      </c>
      <c r="I1205">
        <v>6</v>
      </c>
      <c r="J1205" t="s">
        <v>73</v>
      </c>
      <c r="K1205">
        <v>1</v>
      </c>
      <c r="L1205" s="3">
        <v>4699</v>
      </c>
      <c r="M1205">
        <v>35</v>
      </c>
      <c r="N1205" s="3">
        <v>3050</v>
      </c>
      <c r="O1205" s="3">
        <v>3050</v>
      </c>
      <c r="P1205" t="s">
        <v>74</v>
      </c>
      <c r="Q1205" t="s">
        <v>82</v>
      </c>
      <c r="R1205" t="s">
        <v>36</v>
      </c>
      <c r="S1205" t="s">
        <v>37</v>
      </c>
      <c r="T1205" t="s">
        <v>38</v>
      </c>
      <c r="U1205" t="s">
        <v>54</v>
      </c>
      <c r="V1205" t="s">
        <v>40</v>
      </c>
      <c r="W1205">
        <v>4.3</v>
      </c>
      <c r="X1205" t="s">
        <v>62</v>
      </c>
      <c r="Y1205" t="s">
        <v>42</v>
      </c>
      <c r="Z1205">
        <v>6</v>
      </c>
    </row>
    <row r="1206" spans="1:26">
      <c r="A1206" t="s">
        <v>2186</v>
      </c>
      <c r="B1206" t="s">
        <v>1572</v>
      </c>
      <c r="C1206" t="s">
        <v>28</v>
      </c>
      <c r="D1206" t="s">
        <v>95</v>
      </c>
      <c r="E1206" s="1">
        <v>44459</v>
      </c>
      <c r="F1206" t="s">
        <v>30</v>
      </c>
      <c r="G1206" t="s">
        <v>31</v>
      </c>
      <c r="H1206" t="s">
        <v>32</v>
      </c>
      <c r="I1206">
        <v>10</v>
      </c>
      <c r="J1206" t="s">
        <v>73</v>
      </c>
      <c r="K1206">
        <v>2</v>
      </c>
      <c r="L1206" s="3">
        <v>7799</v>
      </c>
      <c r="M1206">
        <v>10</v>
      </c>
      <c r="N1206" s="3">
        <v>7020</v>
      </c>
      <c r="O1206" s="3">
        <v>14040</v>
      </c>
      <c r="P1206" t="s">
        <v>74</v>
      </c>
      <c r="Q1206" t="s">
        <v>51</v>
      </c>
      <c r="R1206" t="s">
        <v>36</v>
      </c>
      <c r="S1206" t="s">
        <v>384</v>
      </c>
      <c r="T1206" t="s">
        <v>481</v>
      </c>
      <c r="U1206" t="s">
        <v>124</v>
      </c>
      <c r="V1206" t="s">
        <v>315</v>
      </c>
      <c r="W1206">
        <v>3.6</v>
      </c>
      <c r="X1206" t="s">
        <v>41</v>
      </c>
      <c r="Y1206" t="s">
        <v>42</v>
      </c>
      <c r="Z1206">
        <v>5</v>
      </c>
    </row>
    <row r="1207" spans="1:26">
      <c r="A1207" t="s">
        <v>2187</v>
      </c>
      <c r="B1207" t="s">
        <v>1485</v>
      </c>
      <c r="C1207" t="s">
        <v>28</v>
      </c>
      <c r="D1207" t="s">
        <v>29</v>
      </c>
      <c r="E1207" s="1">
        <v>44459</v>
      </c>
      <c r="F1207" t="s">
        <v>47</v>
      </c>
      <c r="G1207" t="s">
        <v>218</v>
      </c>
      <c r="H1207" t="s">
        <v>59</v>
      </c>
      <c r="I1207">
        <v>8</v>
      </c>
      <c r="J1207" t="s">
        <v>150</v>
      </c>
      <c r="K1207">
        <v>1</v>
      </c>
      <c r="L1207" s="3">
        <v>8199</v>
      </c>
      <c r="M1207">
        <v>15</v>
      </c>
      <c r="N1207" s="3">
        <v>6970</v>
      </c>
      <c r="O1207" s="3">
        <v>6970</v>
      </c>
      <c r="P1207" t="s">
        <v>34</v>
      </c>
      <c r="Q1207" t="s">
        <v>51</v>
      </c>
      <c r="R1207" t="s">
        <v>36</v>
      </c>
      <c r="S1207" t="s">
        <v>117</v>
      </c>
      <c r="T1207" t="s">
        <v>751</v>
      </c>
      <c r="U1207" t="s">
        <v>91</v>
      </c>
      <c r="V1207" t="s">
        <v>315</v>
      </c>
      <c r="W1207">
        <v>3.3</v>
      </c>
      <c r="X1207" t="s">
        <v>41</v>
      </c>
      <c r="Y1207" t="s">
        <v>42</v>
      </c>
      <c r="Z1207">
        <v>6</v>
      </c>
    </row>
    <row r="1208" spans="1:26">
      <c r="A1208" t="s">
        <v>2188</v>
      </c>
      <c r="B1208" t="s">
        <v>1661</v>
      </c>
      <c r="C1208" t="s">
        <v>94</v>
      </c>
      <c r="D1208" t="s">
        <v>103</v>
      </c>
      <c r="E1208" s="1">
        <v>44460</v>
      </c>
      <c r="F1208" t="s">
        <v>79</v>
      </c>
      <c r="G1208" t="s">
        <v>80</v>
      </c>
      <c r="H1208" t="s">
        <v>59</v>
      </c>
      <c r="I1208">
        <v>9</v>
      </c>
      <c r="J1208" t="s">
        <v>98</v>
      </c>
      <c r="K1208">
        <v>1</v>
      </c>
      <c r="L1208" s="3">
        <v>8699</v>
      </c>
      <c r="M1208">
        <v>15</v>
      </c>
      <c r="N1208" s="3">
        <v>7390</v>
      </c>
      <c r="O1208" s="3">
        <v>7390</v>
      </c>
      <c r="P1208" t="s">
        <v>34</v>
      </c>
      <c r="Q1208" t="s">
        <v>82</v>
      </c>
      <c r="R1208" t="s">
        <v>36</v>
      </c>
      <c r="S1208" t="s">
        <v>269</v>
      </c>
      <c r="T1208" t="s">
        <v>270</v>
      </c>
      <c r="U1208" t="s">
        <v>39</v>
      </c>
      <c r="V1208" t="s">
        <v>315</v>
      </c>
      <c r="W1208">
        <v>3.3</v>
      </c>
      <c r="X1208" t="s">
        <v>106</v>
      </c>
      <c r="Y1208" t="s">
        <v>55</v>
      </c>
      <c r="Z1208">
        <v>2</v>
      </c>
    </row>
    <row r="1209" spans="1:26">
      <c r="A1209" t="s">
        <v>2189</v>
      </c>
      <c r="B1209" t="s">
        <v>1271</v>
      </c>
      <c r="C1209" t="s">
        <v>28</v>
      </c>
      <c r="D1209" t="s">
        <v>29</v>
      </c>
      <c r="E1209" s="1">
        <v>44461</v>
      </c>
      <c r="F1209" t="s">
        <v>79</v>
      </c>
      <c r="G1209" t="s">
        <v>517</v>
      </c>
      <c r="H1209" t="s">
        <v>59</v>
      </c>
      <c r="I1209">
        <v>8</v>
      </c>
      <c r="J1209" t="s">
        <v>33</v>
      </c>
      <c r="K1209">
        <v>1</v>
      </c>
      <c r="L1209" s="3">
        <v>5699</v>
      </c>
      <c r="M1209">
        <v>30</v>
      </c>
      <c r="N1209" s="3">
        <v>3990</v>
      </c>
      <c r="O1209" s="3">
        <v>3990</v>
      </c>
      <c r="P1209" t="s">
        <v>74</v>
      </c>
      <c r="Q1209" t="s">
        <v>35</v>
      </c>
      <c r="R1209" t="s">
        <v>36</v>
      </c>
      <c r="S1209" t="s">
        <v>210</v>
      </c>
      <c r="T1209" t="s">
        <v>415</v>
      </c>
      <c r="U1209" t="s">
        <v>124</v>
      </c>
      <c r="V1209" t="s">
        <v>315</v>
      </c>
      <c r="W1209">
        <v>5</v>
      </c>
      <c r="X1209" t="s">
        <v>41</v>
      </c>
      <c r="Y1209" t="s">
        <v>55</v>
      </c>
      <c r="Z1209">
        <v>3</v>
      </c>
    </row>
    <row r="1210" spans="1:26">
      <c r="A1210" t="s">
        <v>2190</v>
      </c>
      <c r="B1210" t="s">
        <v>788</v>
      </c>
      <c r="C1210" t="s">
        <v>28</v>
      </c>
      <c r="D1210" t="s">
        <v>103</v>
      </c>
      <c r="E1210" s="1">
        <v>44461</v>
      </c>
      <c r="F1210" t="s">
        <v>30</v>
      </c>
      <c r="G1210" t="s">
        <v>214</v>
      </c>
      <c r="H1210" t="s">
        <v>128</v>
      </c>
      <c r="I1210">
        <v>9</v>
      </c>
      <c r="J1210" t="s">
        <v>33</v>
      </c>
      <c r="K1210">
        <v>1</v>
      </c>
      <c r="L1210" s="3">
        <v>9099</v>
      </c>
      <c r="M1210">
        <v>20</v>
      </c>
      <c r="N1210" s="3">
        <v>7280</v>
      </c>
      <c r="O1210" s="3">
        <v>7280</v>
      </c>
      <c r="P1210" t="s">
        <v>81</v>
      </c>
      <c r="Q1210" t="s">
        <v>82</v>
      </c>
      <c r="R1210" t="s">
        <v>36</v>
      </c>
      <c r="S1210" t="s">
        <v>168</v>
      </c>
      <c r="T1210" t="s">
        <v>532</v>
      </c>
      <c r="U1210" t="s">
        <v>39</v>
      </c>
      <c r="V1210" t="s">
        <v>315</v>
      </c>
      <c r="W1210">
        <v>4.0999999999999996</v>
      </c>
      <c r="X1210" t="s">
        <v>106</v>
      </c>
      <c r="Y1210" t="s">
        <v>42</v>
      </c>
      <c r="Z1210">
        <v>2</v>
      </c>
    </row>
    <row r="1211" spans="1:26">
      <c r="A1211" t="s">
        <v>2191</v>
      </c>
      <c r="B1211" t="s">
        <v>85</v>
      </c>
      <c r="C1211" t="s">
        <v>45</v>
      </c>
      <c r="D1211" t="s">
        <v>29</v>
      </c>
      <c r="E1211" s="1">
        <v>44461</v>
      </c>
      <c r="F1211" t="s">
        <v>30</v>
      </c>
      <c r="G1211" t="s">
        <v>110</v>
      </c>
      <c r="H1211" t="s">
        <v>111</v>
      </c>
      <c r="I1211">
        <v>10</v>
      </c>
      <c r="J1211" t="s">
        <v>33</v>
      </c>
      <c r="K1211">
        <v>1</v>
      </c>
      <c r="L1211" s="3">
        <v>7399</v>
      </c>
      <c r="M1211">
        <v>10</v>
      </c>
      <c r="N1211" s="3">
        <v>6660</v>
      </c>
      <c r="O1211" s="3">
        <v>6660</v>
      </c>
      <c r="P1211" t="s">
        <v>34</v>
      </c>
      <c r="Q1211" t="s">
        <v>51</v>
      </c>
      <c r="R1211" t="s">
        <v>36</v>
      </c>
      <c r="S1211" t="s">
        <v>238</v>
      </c>
      <c r="T1211" t="s">
        <v>239</v>
      </c>
      <c r="U1211" t="s">
        <v>39</v>
      </c>
      <c r="V1211" t="s">
        <v>969</v>
      </c>
      <c r="W1211">
        <v>4.0999999999999996</v>
      </c>
      <c r="X1211" t="s">
        <v>41</v>
      </c>
      <c r="Y1211" t="s">
        <v>42</v>
      </c>
      <c r="Z1211">
        <v>3</v>
      </c>
    </row>
    <row r="1212" spans="1:26">
      <c r="A1212" t="s">
        <v>2192</v>
      </c>
      <c r="B1212" t="s">
        <v>320</v>
      </c>
      <c r="C1212" t="s">
        <v>45</v>
      </c>
      <c r="D1212" t="s">
        <v>46</v>
      </c>
      <c r="E1212" s="1">
        <v>44463</v>
      </c>
      <c r="F1212" t="s">
        <v>96</v>
      </c>
      <c r="G1212" t="s">
        <v>323</v>
      </c>
      <c r="H1212" t="s">
        <v>59</v>
      </c>
      <c r="I1212">
        <v>9</v>
      </c>
      <c r="J1212" t="s">
        <v>33</v>
      </c>
      <c r="K1212">
        <v>2</v>
      </c>
      <c r="L1212" s="3">
        <v>8799</v>
      </c>
      <c r="M1212">
        <v>35</v>
      </c>
      <c r="N1212" s="3">
        <v>5720</v>
      </c>
      <c r="O1212" s="3">
        <v>11440</v>
      </c>
      <c r="P1212" t="s">
        <v>34</v>
      </c>
      <c r="Q1212" t="s">
        <v>51</v>
      </c>
      <c r="R1212" t="s">
        <v>36</v>
      </c>
      <c r="S1212" t="s">
        <v>297</v>
      </c>
      <c r="T1212" t="s">
        <v>351</v>
      </c>
      <c r="U1212" t="s">
        <v>54</v>
      </c>
      <c r="V1212" t="s">
        <v>315</v>
      </c>
      <c r="W1212">
        <v>4.5999999999999996</v>
      </c>
      <c r="X1212" t="s">
        <v>62</v>
      </c>
      <c r="Y1212" t="s">
        <v>42</v>
      </c>
      <c r="Z1212">
        <v>7</v>
      </c>
    </row>
    <row r="1213" spans="1:26">
      <c r="A1213" t="s">
        <v>2193</v>
      </c>
      <c r="B1213" t="s">
        <v>644</v>
      </c>
      <c r="C1213" t="s">
        <v>28</v>
      </c>
      <c r="D1213" t="s">
        <v>46</v>
      </c>
      <c r="E1213" s="1">
        <v>44463</v>
      </c>
      <c r="F1213" t="s">
        <v>96</v>
      </c>
      <c r="G1213" t="s">
        <v>290</v>
      </c>
      <c r="H1213" t="s">
        <v>32</v>
      </c>
      <c r="I1213">
        <v>7</v>
      </c>
      <c r="J1213" t="s">
        <v>73</v>
      </c>
      <c r="K1213">
        <v>1</v>
      </c>
      <c r="L1213" s="3">
        <v>5799</v>
      </c>
      <c r="M1213">
        <v>30</v>
      </c>
      <c r="N1213" s="3">
        <v>4060</v>
      </c>
      <c r="O1213" s="3">
        <v>4060</v>
      </c>
      <c r="P1213" t="s">
        <v>74</v>
      </c>
      <c r="Q1213" t="s">
        <v>82</v>
      </c>
      <c r="R1213" t="s">
        <v>36</v>
      </c>
      <c r="S1213" t="s">
        <v>99</v>
      </c>
      <c r="T1213" t="s">
        <v>100</v>
      </c>
      <c r="U1213" t="s">
        <v>54</v>
      </c>
      <c r="V1213" t="s">
        <v>969</v>
      </c>
      <c r="W1213">
        <v>4.4000000000000004</v>
      </c>
      <c r="X1213" t="s">
        <v>62</v>
      </c>
      <c r="Y1213" t="s">
        <v>55</v>
      </c>
      <c r="Z1213">
        <v>3</v>
      </c>
    </row>
    <row r="1214" spans="1:26">
      <c r="A1214" t="s">
        <v>2194</v>
      </c>
      <c r="B1214" t="s">
        <v>311</v>
      </c>
      <c r="C1214" t="s">
        <v>28</v>
      </c>
      <c r="D1214" t="s">
        <v>29</v>
      </c>
      <c r="E1214" s="1">
        <v>44463</v>
      </c>
      <c r="F1214" t="s">
        <v>86</v>
      </c>
      <c r="G1214" t="s">
        <v>312</v>
      </c>
      <c r="H1214" t="s">
        <v>59</v>
      </c>
      <c r="I1214">
        <v>7</v>
      </c>
      <c r="J1214" t="s">
        <v>33</v>
      </c>
      <c r="K1214">
        <v>1</v>
      </c>
      <c r="L1214" s="3">
        <v>4499</v>
      </c>
      <c r="M1214">
        <v>5</v>
      </c>
      <c r="N1214" s="3">
        <v>4270</v>
      </c>
      <c r="O1214" s="3">
        <v>4270</v>
      </c>
      <c r="P1214" t="s">
        <v>74</v>
      </c>
      <c r="Q1214" t="s">
        <v>35</v>
      </c>
      <c r="R1214" t="s">
        <v>36</v>
      </c>
      <c r="S1214" t="s">
        <v>418</v>
      </c>
      <c r="T1214" t="s">
        <v>419</v>
      </c>
      <c r="U1214" t="s">
        <v>91</v>
      </c>
      <c r="V1214" t="s">
        <v>315</v>
      </c>
      <c r="W1214">
        <v>3.9</v>
      </c>
      <c r="X1214" t="s">
        <v>41</v>
      </c>
      <c r="Y1214" t="s">
        <v>55</v>
      </c>
      <c r="Z1214">
        <v>2</v>
      </c>
    </row>
    <row r="1215" spans="1:26">
      <c r="A1215" t="s">
        <v>2195</v>
      </c>
      <c r="B1215" t="s">
        <v>2196</v>
      </c>
      <c r="C1215" t="s">
        <v>94</v>
      </c>
      <c r="D1215" t="s">
        <v>29</v>
      </c>
      <c r="E1215" s="1">
        <v>44464</v>
      </c>
      <c r="F1215" t="s">
        <v>79</v>
      </c>
      <c r="G1215" t="s">
        <v>480</v>
      </c>
      <c r="H1215" t="s">
        <v>111</v>
      </c>
      <c r="I1215">
        <v>11</v>
      </c>
      <c r="J1215" t="s">
        <v>73</v>
      </c>
      <c r="K1215">
        <v>1</v>
      </c>
      <c r="L1215" s="3">
        <v>4699</v>
      </c>
      <c r="M1215">
        <v>15</v>
      </c>
      <c r="N1215" s="3">
        <v>3990</v>
      </c>
      <c r="O1215" s="3">
        <v>3990</v>
      </c>
      <c r="P1215" t="s">
        <v>74</v>
      </c>
      <c r="Q1215" t="s">
        <v>35</v>
      </c>
      <c r="R1215" t="s">
        <v>36</v>
      </c>
      <c r="S1215" t="s">
        <v>164</v>
      </c>
      <c r="T1215" t="s">
        <v>409</v>
      </c>
      <c r="U1215" t="s">
        <v>54</v>
      </c>
      <c r="V1215" t="s">
        <v>40</v>
      </c>
      <c r="W1215">
        <v>3.9</v>
      </c>
      <c r="X1215" t="s">
        <v>41</v>
      </c>
      <c r="Y1215" t="s">
        <v>42</v>
      </c>
      <c r="Z1215">
        <v>3</v>
      </c>
    </row>
    <row r="1216" spans="1:26">
      <c r="A1216" t="s">
        <v>2197</v>
      </c>
      <c r="B1216" t="s">
        <v>2198</v>
      </c>
      <c r="C1216" t="s">
        <v>28</v>
      </c>
      <c r="D1216" t="s">
        <v>46</v>
      </c>
      <c r="E1216" s="1">
        <v>44464</v>
      </c>
      <c r="F1216" t="s">
        <v>47</v>
      </c>
      <c r="G1216" t="s">
        <v>48</v>
      </c>
      <c r="H1216" t="s">
        <v>49</v>
      </c>
      <c r="I1216">
        <v>12</v>
      </c>
      <c r="J1216" t="s">
        <v>33</v>
      </c>
      <c r="K1216">
        <v>1</v>
      </c>
      <c r="L1216" s="3">
        <v>9199</v>
      </c>
      <c r="M1216">
        <v>5</v>
      </c>
      <c r="N1216" s="3">
        <v>8740</v>
      </c>
      <c r="O1216" s="3">
        <v>8740</v>
      </c>
      <c r="P1216" t="s">
        <v>34</v>
      </c>
      <c r="Q1216" t="s">
        <v>51</v>
      </c>
      <c r="R1216" t="s">
        <v>36</v>
      </c>
      <c r="S1216" t="s">
        <v>175</v>
      </c>
      <c r="T1216" t="s">
        <v>176</v>
      </c>
      <c r="U1216" t="s">
        <v>61</v>
      </c>
      <c r="V1216" t="s">
        <v>40</v>
      </c>
      <c r="W1216">
        <v>3.1</v>
      </c>
      <c r="X1216" t="s">
        <v>106</v>
      </c>
      <c r="Y1216" t="s">
        <v>55</v>
      </c>
      <c r="Z1216">
        <v>2</v>
      </c>
    </row>
    <row r="1217" spans="1:26">
      <c r="A1217" t="s">
        <v>2199</v>
      </c>
      <c r="B1217" t="s">
        <v>2200</v>
      </c>
      <c r="C1217" t="s">
        <v>28</v>
      </c>
      <c r="D1217" t="s">
        <v>29</v>
      </c>
      <c r="E1217" s="1">
        <v>44465</v>
      </c>
      <c r="F1217" t="s">
        <v>30</v>
      </c>
      <c r="G1217" t="s">
        <v>58</v>
      </c>
      <c r="H1217" t="s">
        <v>59</v>
      </c>
      <c r="I1217">
        <v>10</v>
      </c>
      <c r="J1217" t="s">
        <v>67</v>
      </c>
      <c r="K1217">
        <v>3</v>
      </c>
      <c r="L1217" s="3">
        <v>5799</v>
      </c>
      <c r="M1217">
        <v>20</v>
      </c>
      <c r="N1217" s="3">
        <v>4640</v>
      </c>
      <c r="O1217" s="3">
        <v>13920</v>
      </c>
      <c r="P1217" t="s">
        <v>50</v>
      </c>
      <c r="Q1217" t="s">
        <v>51</v>
      </c>
      <c r="R1217" t="s">
        <v>36</v>
      </c>
      <c r="S1217" t="s">
        <v>358</v>
      </c>
      <c r="T1217" t="s">
        <v>597</v>
      </c>
      <c r="U1217" t="s">
        <v>54</v>
      </c>
      <c r="V1217" t="s">
        <v>40</v>
      </c>
      <c r="W1217">
        <v>4.5</v>
      </c>
      <c r="X1217" t="s">
        <v>41</v>
      </c>
      <c r="Y1217" t="s">
        <v>147</v>
      </c>
      <c r="Z1217">
        <v>1</v>
      </c>
    </row>
    <row r="1218" spans="1:26">
      <c r="A1218" t="s">
        <v>2201</v>
      </c>
      <c r="B1218" t="s">
        <v>565</v>
      </c>
      <c r="C1218" t="s">
        <v>45</v>
      </c>
      <c r="D1218" t="s">
        <v>29</v>
      </c>
      <c r="E1218" s="1">
        <v>44467</v>
      </c>
      <c r="F1218" t="s">
        <v>79</v>
      </c>
      <c r="G1218" t="s">
        <v>174</v>
      </c>
      <c r="H1218" t="s">
        <v>32</v>
      </c>
      <c r="I1218">
        <v>10</v>
      </c>
      <c r="J1218" t="s">
        <v>98</v>
      </c>
      <c r="K1218">
        <v>1</v>
      </c>
      <c r="L1218" s="3">
        <v>6499</v>
      </c>
      <c r="M1218">
        <v>15</v>
      </c>
      <c r="N1218" s="3">
        <v>5520</v>
      </c>
      <c r="O1218" s="3">
        <v>5520</v>
      </c>
      <c r="P1218" t="s">
        <v>34</v>
      </c>
      <c r="Q1218" t="s">
        <v>35</v>
      </c>
      <c r="R1218" t="s">
        <v>36</v>
      </c>
      <c r="S1218" t="s">
        <v>200</v>
      </c>
      <c r="T1218" t="s">
        <v>219</v>
      </c>
      <c r="U1218" t="s">
        <v>91</v>
      </c>
      <c r="V1218" t="s">
        <v>315</v>
      </c>
      <c r="W1218">
        <v>5</v>
      </c>
      <c r="X1218" t="s">
        <v>41</v>
      </c>
      <c r="Y1218" t="s">
        <v>55</v>
      </c>
      <c r="Z1218">
        <v>3</v>
      </c>
    </row>
    <row r="1219" spans="1:26">
      <c r="A1219" t="s">
        <v>2202</v>
      </c>
      <c r="B1219" t="s">
        <v>1784</v>
      </c>
      <c r="C1219" t="s">
        <v>28</v>
      </c>
      <c r="D1219" t="s">
        <v>29</v>
      </c>
      <c r="E1219" s="1">
        <v>44472</v>
      </c>
      <c r="F1219" t="s">
        <v>65</v>
      </c>
      <c r="G1219" t="s">
        <v>72</v>
      </c>
      <c r="H1219" t="s">
        <v>59</v>
      </c>
      <c r="I1219">
        <v>11</v>
      </c>
      <c r="J1219" t="s">
        <v>73</v>
      </c>
      <c r="K1219">
        <v>3</v>
      </c>
      <c r="L1219" s="3">
        <v>7899</v>
      </c>
      <c r="M1219">
        <v>35</v>
      </c>
      <c r="N1219" s="3">
        <v>5130</v>
      </c>
      <c r="O1219" s="3">
        <v>15390</v>
      </c>
      <c r="P1219" t="s">
        <v>74</v>
      </c>
      <c r="Q1219" t="s">
        <v>35</v>
      </c>
      <c r="R1219" t="s">
        <v>36</v>
      </c>
      <c r="S1219" t="s">
        <v>210</v>
      </c>
      <c r="T1219" t="s">
        <v>680</v>
      </c>
      <c r="U1219" t="s">
        <v>54</v>
      </c>
      <c r="V1219" t="s">
        <v>315</v>
      </c>
      <c r="W1219">
        <v>3.8</v>
      </c>
      <c r="X1219" t="s">
        <v>41</v>
      </c>
      <c r="Y1219" t="s">
        <v>42</v>
      </c>
      <c r="Z1219">
        <v>6</v>
      </c>
    </row>
    <row r="1220" spans="1:26">
      <c r="A1220" t="s">
        <v>2203</v>
      </c>
      <c r="B1220" t="s">
        <v>577</v>
      </c>
      <c r="C1220" t="s">
        <v>94</v>
      </c>
      <c r="D1220" t="s">
        <v>46</v>
      </c>
      <c r="E1220" s="1">
        <v>44473</v>
      </c>
      <c r="F1220" t="s">
        <v>47</v>
      </c>
      <c r="G1220" t="s">
        <v>218</v>
      </c>
      <c r="H1220" t="s">
        <v>59</v>
      </c>
      <c r="I1220">
        <v>8</v>
      </c>
      <c r="J1220" t="s">
        <v>33</v>
      </c>
      <c r="K1220">
        <v>1</v>
      </c>
      <c r="L1220" s="3">
        <v>7999</v>
      </c>
      <c r="M1220">
        <v>0</v>
      </c>
      <c r="N1220" s="3">
        <v>8000</v>
      </c>
      <c r="O1220" s="3">
        <v>8000</v>
      </c>
      <c r="P1220" t="s">
        <v>74</v>
      </c>
      <c r="Q1220" t="s">
        <v>82</v>
      </c>
      <c r="R1220" t="s">
        <v>36</v>
      </c>
      <c r="S1220" t="s">
        <v>243</v>
      </c>
      <c r="T1220" t="s">
        <v>273</v>
      </c>
      <c r="U1220" t="s">
        <v>61</v>
      </c>
      <c r="V1220" t="s">
        <v>315</v>
      </c>
      <c r="W1220">
        <v>4.0999999999999996</v>
      </c>
      <c r="X1220" t="s">
        <v>41</v>
      </c>
      <c r="Y1220" t="s">
        <v>42</v>
      </c>
      <c r="Z1220">
        <v>5</v>
      </c>
    </row>
    <row r="1221" spans="1:26">
      <c r="A1221" t="s">
        <v>2204</v>
      </c>
      <c r="B1221" t="s">
        <v>1893</v>
      </c>
      <c r="C1221" t="s">
        <v>45</v>
      </c>
      <c r="D1221" t="s">
        <v>29</v>
      </c>
      <c r="E1221" s="1">
        <v>44474</v>
      </c>
      <c r="F1221" t="s">
        <v>30</v>
      </c>
      <c r="G1221" t="s">
        <v>145</v>
      </c>
      <c r="H1221" t="s">
        <v>59</v>
      </c>
      <c r="I1221">
        <v>9</v>
      </c>
      <c r="J1221" t="s">
        <v>33</v>
      </c>
      <c r="K1221">
        <v>1</v>
      </c>
      <c r="L1221" s="3">
        <v>5399</v>
      </c>
      <c r="M1221">
        <v>20</v>
      </c>
      <c r="N1221" s="3">
        <v>4320</v>
      </c>
      <c r="O1221" s="3">
        <v>4320</v>
      </c>
      <c r="P1221" t="s">
        <v>34</v>
      </c>
      <c r="Q1221" t="s">
        <v>51</v>
      </c>
      <c r="R1221" t="s">
        <v>36</v>
      </c>
      <c r="S1221" t="s">
        <v>117</v>
      </c>
      <c r="T1221" t="s">
        <v>253</v>
      </c>
      <c r="U1221" t="s">
        <v>91</v>
      </c>
      <c r="V1221" t="s">
        <v>315</v>
      </c>
      <c r="W1221">
        <v>4.2</v>
      </c>
      <c r="X1221" t="s">
        <v>41</v>
      </c>
      <c r="Y1221" t="s">
        <v>42</v>
      </c>
      <c r="Z1221">
        <v>4</v>
      </c>
    </row>
    <row r="1222" spans="1:26">
      <c r="A1222" t="s">
        <v>2205</v>
      </c>
      <c r="B1222" t="s">
        <v>686</v>
      </c>
      <c r="C1222" t="s">
        <v>28</v>
      </c>
      <c r="D1222" t="s">
        <v>103</v>
      </c>
      <c r="E1222" s="1">
        <v>44477</v>
      </c>
      <c r="F1222" t="s">
        <v>30</v>
      </c>
      <c r="G1222" t="s">
        <v>214</v>
      </c>
      <c r="H1222" t="s">
        <v>128</v>
      </c>
      <c r="I1222">
        <v>7</v>
      </c>
      <c r="J1222" t="s">
        <v>67</v>
      </c>
      <c r="K1222">
        <v>2</v>
      </c>
      <c r="L1222" s="3">
        <v>3999</v>
      </c>
      <c r="M1222">
        <v>5</v>
      </c>
      <c r="N1222" s="3">
        <v>3800</v>
      </c>
      <c r="O1222" s="3">
        <v>7600</v>
      </c>
      <c r="P1222" t="s">
        <v>34</v>
      </c>
      <c r="Q1222" t="s">
        <v>82</v>
      </c>
      <c r="R1222" t="s">
        <v>36</v>
      </c>
      <c r="S1222" t="s">
        <v>182</v>
      </c>
      <c r="T1222" t="s">
        <v>183</v>
      </c>
      <c r="U1222" t="s">
        <v>54</v>
      </c>
      <c r="V1222" t="s">
        <v>969</v>
      </c>
      <c r="W1222">
        <v>4.5</v>
      </c>
      <c r="X1222" t="s">
        <v>41</v>
      </c>
      <c r="Y1222" t="s">
        <v>42</v>
      </c>
      <c r="Z1222">
        <v>6</v>
      </c>
    </row>
    <row r="1223" spans="1:26">
      <c r="A1223" t="s">
        <v>2206</v>
      </c>
      <c r="B1223" t="s">
        <v>2207</v>
      </c>
      <c r="C1223" t="s">
        <v>28</v>
      </c>
      <c r="D1223" t="s">
        <v>103</v>
      </c>
      <c r="E1223" s="1">
        <v>44479</v>
      </c>
      <c r="F1223" t="s">
        <v>65</v>
      </c>
      <c r="G1223" t="s">
        <v>66</v>
      </c>
      <c r="H1223" t="s">
        <v>59</v>
      </c>
      <c r="I1223">
        <v>9</v>
      </c>
      <c r="J1223" t="s">
        <v>98</v>
      </c>
      <c r="K1223">
        <v>1</v>
      </c>
      <c r="L1223" s="3">
        <v>5399</v>
      </c>
      <c r="M1223">
        <v>20</v>
      </c>
      <c r="N1223" s="3">
        <v>4320</v>
      </c>
      <c r="O1223" s="3">
        <v>4320</v>
      </c>
      <c r="P1223" t="s">
        <v>34</v>
      </c>
      <c r="Q1223" t="s">
        <v>35</v>
      </c>
      <c r="R1223" t="s">
        <v>36</v>
      </c>
      <c r="S1223" t="s">
        <v>210</v>
      </c>
      <c r="T1223" t="s">
        <v>211</v>
      </c>
      <c r="U1223" t="s">
        <v>61</v>
      </c>
      <c r="V1223" t="s">
        <v>40</v>
      </c>
      <c r="W1223">
        <v>4.3</v>
      </c>
      <c r="X1223" t="s">
        <v>41</v>
      </c>
      <c r="Y1223" t="s">
        <v>42</v>
      </c>
      <c r="Z1223">
        <v>7</v>
      </c>
    </row>
    <row r="1224" spans="1:26">
      <c r="A1224" t="s">
        <v>2208</v>
      </c>
      <c r="B1224" t="s">
        <v>1535</v>
      </c>
      <c r="C1224" t="s">
        <v>28</v>
      </c>
      <c r="D1224" t="s">
        <v>103</v>
      </c>
      <c r="E1224" s="1">
        <v>44479</v>
      </c>
      <c r="F1224" t="s">
        <v>79</v>
      </c>
      <c r="G1224" t="s">
        <v>480</v>
      </c>
      <c r="H1224" t="s">
        <v>111</v>
      </c>
      <c r="I1224">
        <v>11</v>
      </c>
      <c r="J1224" t="s">
        <v>67</v>
      </c>
      <c r="K1224">
        <v>1</v>
      </c>
      <c r="L1224" s="3">
        <v>5599</v>
      </c>
      <c r="M1224">
        <v>35</v>
      </c>
      <c r="N1224" s="3">
        <v>3640</v>
      </c>
      <c r="O1224" s="3">
        <v>3640</v>
      </c>
      <c r="P1224" t="s">
        <v>50</v>
      </c>
      <c r="Q1224" t="s">
        <v>51</v>
      </c>
      <c r="R1224" t="s">
        <v>36</v>
      </c>
      <c r="S1224" t="s">
        <v>141</v>
      </c>
      <c r="T1224" t="s">
        <v>728</v>
      </c>
      <c r="U1224" t="s">
        <v>54</v>
      </c>
      <c r="V1224" t="s">
        <v>315</v>
      </c>
      <c r="W1224">
        <v>4.5</v>
      </c>
      <c r="X1224" t="s">
        <v>41</v>
      </c>
      <c r="Y1224" t="s">
        <v>55</v>
      </c>
      <c r="Z1224">
        <v>3</v>
      </c>
    </row>
    <row r="1225" spans="1:26">
      <c r="A1225" t="s">
        <v>2209</v>
      </c>
      <c r="B1225" t="s">
        <v>2210</v>
      </c>
      <c r="C1225" t="s">
        <v>45</v>
      </c>
      <c r="D1225" t="s">
        <v>29</v>
      </c>
      <c r="E1225" s="1">
        <v>44480</v>
      </c>
      <c r="F1225" t="s">
        <v>86</v>
      </c>
      <c r="G1225" t="s">
        <v>242</v>
      </c>
      <c r="H1225" t="s">
        <v>32</v>
      </c>
      <c r="I1225">
        <v>11</v>
      </c>
      <c r="J1225" t="s">
        <v>73</v>
      </c>
      <c r="K1225">
        <v>2</v>
      </c>
      <c r="L1225" s="3">
        <v>5599</v>
      </c>
      <c r="M1225">
        <v>15</v>
      </c>
      <c r="N1225" s="3">
        <v>4760</v>
      </c>
      <c r="O1225" s="3">
        <v>9520</v>
      </c>
      <c r="P1225" t="s">
        <v>74</v>
      </c>
      <c r="Q1225" t="s">
        <v>51</v>
      </c>
      <c r="R1225" t="s">
        <v>36</v>
      </c>
      <c r="S1225" t="s">
        <v>358</v>
      </c>
      <c r="T1225" t="s">
        <v>464</v>
      </c>
      <c r="U1225" t="s">
        <v>39</v>
      </c>
      <c r="V1225" t="s">
        <v>40</v>
      </c>
      <c r="W1225">
        <v>3.6</v>
      </c>
      <c r="X1225" t="s">
        <v>62</v>
      </c>
      <c r="Y1225" t="s">
        <v>42</v>
      </c>
      <c r="Z1225">
        <v>2</v>
      </c>
    </row>
    <row r="1226" spans="1:26">
      <c r="A1226" t="s">
        <v>2211</v>
      </c>
      <c r="B1226" t="s">
        <v>671</v>
      </c>
      <c r="C1226" t="s">
        <v>45</v>
      </c>
      <c r="D1226" t="s">
        <v>95</v>
      </c>
      <c r="E1226" s="1">
        <v>44480</v>
      </c>
      <c r="F1226" t="s">
        <v>47</v>
      </c>
      <c r="G1226" t="s">
        <v>121</v>
      </c>
      <c r="H1226" t="s">
        <v>111</v>
      </c>
      <c r="I1226">
        <v>10</v>
      </c>
      <c r="J1226" t="s">
        <v>33</v>
      </c>
      <c r="K1226">
        <v>1</v>
      </c>
      <c r="L1226" s="3">
        <v>6599</v>
      </c>
      <c r="M1226">
        <v>35</v>
      </c>
      <c r="N1226" s="3">
        <v>4290</v>
      </c>
      <c r="O1226" s="3">
        <v>4290</v>
      </c>
      <c r="P1226" t="s">
        <v>34</v>
      </c>
      <c r="Q1226" t="s">
        <v>51</v>
      </c>
      <c r="R1226" t="s">
        <v>36</v>
      </c>
      <c r="S1226" t="s">
        <v>68</v>
      </c>
      <c r="T1226" t="s">
        <v>207</v>
      </c>
      <c r="U1226" t="s">
        <v>54</v>
      </c>
      <c r="V1226" t="s">
        <v>315</v>
      </c>
      <c r="W1226">
        <v>3.8</v>
      </c>
      <c r="X1226" t="s">
        <v>106</v>
      </c>
      <c r="Y1226" t="s">
        <v>42</v>
      </c>
      <c r="Z1226">
        <v>5</v>
      </c>
    </row>
    <row r="1227" spans="1:26">
      <c r="A1227" t="s">
        <v>2212</v>
      </c>
      <c r="B1227" t="s">
        <v>2213</v>
      </c>
      <c r="C1227" t="s">
        <v>28</v>
      </c>
      <c r="D1227" t="s">
        <v>29</v>
      </c>
      <c r="E1227" s="1">
        <v>44481</v>
      </c>
      <c r="F1227" t="s">
        <v>96</v>
      </c>
      <c r="G1227" t="s">
        <v>97</v>
      </c>
      <c r="H1227" t="s">
        <v>49</v>
      </c>
      <c r="I1227">
        <v>6</v>
      </c>
      <c r="J1227" t="s">
        <v>150</v>
      </c>
      <c r="K1227">
        <v>1</v>
      </c>
      <c r="L1227" s="3">
        <v>7799</v>
      </c>
      <c r="M1227">
        <v>15</v>
      </c>
      <c r="N1227" s="3">
        <v>6630</v>
      </c>
      <c r="O1227" s="3">
        <v>6630</v>
      </c>
      <c r="P1227" t="s">
        <v>34</v>
      </c>
      <c r="Q1227" t="s">
        <v>51</v>
      </c>
      <c r="R1227" t="s">
        <v>36</v>
      </c>
      <c r="S1227" t="s">
        <v>164</v>
      </c>
      <c r="T1227" t="s">
        <v>409</v>
      </c>
      <c r="U1227" t="s">
        <v>91</v>
      </c>
      <c r="V1227" t="s">
        <v>40</v>
      </c>
      <c r="W1227">
        <v>4</v>
      </c>
      <c r="X1227" t="s">
        <v>62</v>
      </c>
      <c r="Y1227" t="s">
        <v>55</v>
      </c>
      <c r="Z1227">
        <v>4</v>
      </c>
    </row>
    <row r="1228" spans="1:26">
      <c r="A1228" t="s">
        <v>2214</v>
      </c>
      <c r="B1228" t="s">
        <v>1266</v>
      </c>
      <c r="C1228" t="s">
        <v>28</v>
      </c>
      <c r="D1228" t="s">
        <v>46</v>
      </c>
      <c r="E1228" s="1">
        <v>44481</v>
      </c>
      <c r="F1228" t="s">
        <v>96</v>
      </c>
      <c r="G1228" t="s">
        <v>323</v>
      </c>
      <c r="H1228" t="s">
        <v>59</v>
      </c>
      <c r="I1228">
        <v>12</v>
      </c>
      <c r="J1228" t="s">
        <v>98</v>
      </c>
      <c r="K1228">
        <v>1</v>
      </c>
      <c r="L1228" s="3">
        <v>7199</v>
      </c>
      <c r="M1228">
        <v>25</v>
      </c>
      <c r="N1228" s="3">
        <v>5400</v>
      </c>
      <c r="O1228" s="3">
        <v>5400</v>
      </c>
      <c r="P1228" t="s">
        <v>34</v>
      </c>
      <c r="Q1228" t="s">
        <v>35</v>
      </c>
      <c r="R1228" t="s">
        <v>36</v>
      </c>
      <c r="S1228" t="s">
        <v>238</v>
      </c>
      <c r="T1228" t="s">
        <v>377</v>
      </c>
      <c r="U1228" t="s">
        <v>124</v>
      </c>
      <c r="V1228" t="s">
        <v>969</v>
      </c>
      <c r="W1228">
        <v>3.8</v>
      </c>
      <c r="X1228" t="s">
        <v>41</v>
      </c>
      <c r="Y1228" t="s">
        <v>42</v>
      </c>
      <c r="Z1228">
        <v>4</v>
      </c>
    </row>
    <row r="1229" spans="1:26">
      <c r="A1229" t="s">
        <v>2215</v>
      </c>
      <c r="B1229" t="s">
        <v>2216</v>
      </c>
      <c r="C1229" t="s">
        <v>45</v>
      </c>
      <c r="D1229" t="s">
        <v>95</v>
      </c>
      <c r="E1229" s="1">
        <v>44481</v>
      </c>
      <c r="F1229" t="s">
        <v>86</v>
      </c>
      <c r="G1229" t="s">
        <v>87</v>
      </c>
      <c r="H1229" t="s">
        <v>59</v>
      </c>
      <c r="I1229">
        <v>8</v>
      </c>
      <c r="J1229" t="s">
        <v>67</v>
      </c>
      <c r="K1229">
        <v>1</v>
      </c>
      <c r="L1229" s="3">
        <v>7199</v>
      </c>
      <c r="M1229">
        <v>30</v>
      </c>
      <c r="N1229" s="3">
        <v>5040</v>
      </c>
      <c r="O1229" s="3">
        <v>5040</v>
      </c>
      <c r="P1229" t="s">
        <v>74</v>
      </c>
      <c r="Q1229" t="s">
        <v>35</v>
      </c>
      <c r="R1229" t="s">
        <v>36</v>
      </c>
      <c r="S1229" t="s">
        <v>358</v>
      </c>
      <c r="T1229" t="s">
        <v>805</v>
      </c>
      <c r="U1229" t="s">
        <v>39</v>
      </c>
      <c r="V1229" t="s">
        <v>40</v>
      </c>
      <c r="W1229">
        <v>4.0999999999999996</v>
      </c>
      <c r="X1229" t="s">
        <v>41</v>
      </c>
      <c r="Y1229" t="s">
        <v>55</v>
      </c>
      <c r="Z1229">
        <v>3</v>
      </c>
    </row>
    <row r="1230" spans="1:26">
      <c r="A1230" t="s">
        <v>2217</v>
      </c>
      <c r="B1230" t="s">
        <v>556</v>
      </c>
      <c r="C1230" t="s">
        <v>28</v>
      </c>
      <c r="D1230" t="s">
        <v>109</v>
      </c>
      <c r="E1230" s="1">
        <v>44482</v>
      </c>
      <c r="F1230" t="s">
        <v>79</v>
      </c>
      <c r="G1230" t="s">
        <v>517</v>
      </c>
      <c r="H1230" t="s">
        <v>59</v>
      </c>
      <c r="I1230">
        <v>10</v>
      </c>
      <c r="J1230" t="s">
        <v>33</v>
      </c>
      <c r="K1230">
        <v>1</v>
      </c>
      <c r="L1230" s="3">
        <v>7599</v>
      </c>
      <c r="M1230">
        <v>10</v>
      </c>
      <c r="N1230" s="3">
        <v>6840</v>
      </c>
      <c r="O1230" s="3">
        <v>6840</v>
      </c>
      <c r="P1230" t="s">
        <v>74</v>
      </c>
      <c r="Q1230" t="s">
        <v>82</v>
      </c>
      <c r="R1230" t="s">
        <v>36</v>
      </c>
      <c r="S1230" t="s">
        <v>338</v>
      </c>
      <c r="T1230" t="s">
        <v>779</v>
      </c>
      <c r="U1230" t="s">
        <v>39</v>
      </c>
      <c r="V1230" t="s">
        <v>315</v>
      </c>
      <c r="W1230">
        <v>5</v>
      </c>
      <c r="X1230" t="s">
        <v>41</v>
      </c>
      <c r="Y1230" t="s">
        <v>55</v>
      </c>
      <c r="Z1230">
        <v>1</v>
      </c>
    </row>
    <row r="1231" spans="1:26">
      <c r="A1231" t="s">
        <v>2218</v>
      </c>
      <c r="B1231" t="s">
        <v>2219</v>
      </c>
      <c r="C1231" t="s">
        <v>94</v>
      </c>
      <c r="D1231" t="s">
        <v>103</v>
      </c>
      <c r="E1231" s="1">
        <v>44483</v>
      </c>
      <c r="F1231" t="s">
        <v>79</v>
      </c>
      <c r="G1231" t="s">
        <v>174</v>
      </c>
      <c r="H1231" t="s">
        <v>32</v>
      </c>
      <c r="I1231">
        <v>12</v>
      </c>
      <c r="J1231" t="s">
        <v>98</v>
      </c>
      <c r="K1231">
        <v>1</v>
      </c>
      <c r="L1231" s="3">
        <v>7199</v>
      </c>
      <c r="M1231">
        <v>20</v>
      </c>
      <c r="N1231" s="3">
        <v>5760</v>
      </c>
      <c r="O1231" s="3">
        <v>5760</v>
      </c>
      <c r="P1231" t="s">
        <v>81</v>
      </c>
      <c r="Q1231" t="s">
        <v>82</v>
      </c>
      <c r="R1231" t="s">
        <v>36</v>
      </c>
      <c r="S1231" t="s">
        <v>164</v>
      </c>
      <c r="T1231" t="s">
        <v>314</v>
      </c>
      <c r="U1231" t="s">
        <v>54</v>
      </c>
      <c r="V1231" t="s">
        <v>40</v>
      </c>
      <c r="W1231">
        <v>4.5999999999999996</v>
      </c>
      <c r="X1231" t="s">
        <v>62</v>
      </c>
      <c r="Y1231" t="s">
        <v>55</v>
      </c>
      <c r="Z1231">
        <v>2</v>
      </c>
    </row>
    <row r="1232" spans="1:26">
      <c r="A1232" t="s">
        <v>2220</v>
      </c>
      <c r="B1232" t="s">
        <v>1719</v>
      </c>
      <c r="C1232" t="s">
        <v>28</v>
      </c>
      <c r="D1232" t="s">
        <v>46</v>
      </c>
      <c r="E1232" s="1">
        <v>44483</v>
      </c>
      <c r="F1232" t="s">
        <v>47</v>
      </c>
      <c r="G1232" t="s">
        <v>48</v>
      </c>
      <c r="H1232" t="s">
        <v>49</v>
      </c>
      <c r="I1232">
        <v>9</v>
      </c>
      <c r="J1232" t="s">
        <v>150</v>
      </c>
      <c r="K1232">
        <v>2</v>
      </c>
      <c r="L1232" s="3">
        <v>6699</v>
      </c>
      <c r="M1232">
        <v>10</v>
      </c>
      <c r="N1232" s="3">
        <v>6030</v>
      </c>
      <c r="O1232" s="3">
        <v>12060</v>
      </c>
      <c r="P1232" t="s">
        <v>74</v>
      </c>
      <c r="Q1232" t="s">
        <v>51</v>
      </c>
      <c r="R1232" t="s">
        <v>36</v>
      </c>
      <c r="S1232" t="s">
        <v>136</v>
      </c>
      <c r="T1232" t="s">
        <v>225</v>
      </c>
      <c r="U1232" t="s">
        <v>39</v>
      </c>
      <c r="V1232" t="s">
        <v>315</v>
      </c>
      <c r="W1232">
        <v>5</v>
      </c>
      <c r="X1232" t="s">
        <v>41</v>
      </c>
      <c r="Y1232" t="s">
        <v>42</v>
      </c>
      <c r="Z1232">
        <v>7</v>
      </c>
    </row>
    <row r="1233" spans="1:26">
      <c r="A1233" t="s">
        <v>2221</v>
      </c>
      <c r="B1233" t="s">
        <v>974</v>
      </c>
      <c r="C1233" t="s">
        <v>45</v>
      </c>
      <c r="D1233" t="s">
        <v>29</v>
      </c>
      <c r="E1233" s="1">
        <v>44487</v>
      </c>
      <c r="F1233" t="s">
        <v>86</v>
      </c>
      <c r="G1233" t="s">
        <v>312</v>
      </c>
      <c r="H1233" t="s">
        <v>59</v>
      </c>
      <c r="I1233">
        <v>8</v>
      </c>
      <c r="J1233" t="s">
        <v>67</v>
      </c>
      <c r="K1233">
        <v>2</v>
      </c>
      <c r="L1233" s="3">
        <v>8299</v>
      </c>
      <c r="M1233">
        <v>15</v>
      </c>
      <c r="N1233" s="3">
        <v>7050</v>
      </c>
      <c r="O1233" s="3">
        <v>14100</v>
      </c>
      <c r="P1233" t="s">
        <v>74</v>
      </c>
      <c r="Q1233" t="s">
        <v>51</v>
      </c>
      <c r="R1233" t="s">
        <v>36</v>
      </c>
      <c r="S1233" t="s">
        <v>354</v>
      </c>
      <c r="T1233" t="s">
        <v>355</v>
      </c>
      <c r="U1233" t="s">
        <v>61</v>
      </c>
      <c r="V1233" t="s">
        <v>315</v>
      </c>
      <c r="W1233">
        <v>4.5999999999999996</v>
      </c>
      <c r="X1233" t="s">
        <v>41</v>
      </c>
      <c r="Y1233" t="s">
        <v>55</v>
      </c>
      <c r="Z1233">
        <v>2</v>
      </c>
    </row>
    <row r="1234" spans="1:26">
      <c r="A1234" t="s">
        <v>2222</v>
      </c>
      <c r="B1234" t="s">
        <v>565</v>
      </c>
      <c r="C1234" t="s">
        <v>45</v>
      </c>
      <c r="D1234" t="s">
        <v>103</v>
      </c>
      <c r="E1234" s="1">
        <v>44488</v>
      </c>
      <c r="F1234" t="s">
        <v>47</v>
      </c>
      <c r="G1234" t="s">
        <v>48</v>
      </c>
      <c r="H1234" t="s">
        <v>49</v>
      </c>
      <c r="I1234">
        <v>10</v>
      </c>
      <c r="J1234" t="s">
        <v>67</v>
      </c>
      <c r="K1234">
        <v>1</v>
      </c>
      <c r="L1234" s="3">
        <v>8299</v>
      </c>
      <c r="M1234">
        <v>10</v>
      </c>
      <c r="N1234" s="3">
        <v>7470</v>
      </c>
      <c r="O1234" s="3">
        <v>7470</v>
      </c>
      <c r="P1234" t="s">
        <v>74</v>
      </c>
      <c r="Q1234" t="s">
        <v>51</v>
      </c>
      <c r="R1234" t="s">
        <v>36</v>
      </c>
      <c r="S1234" t="s">
        <v>117</v>
      </c>
      <c r="T1234" t="s">
        <v>118</v>
      </c>
      <c r="U1234" t="s">
        <v>39</v>
      </c>
      <c r="V1234" t="s">
        <v>969</v>
      </c>
      <c r="W1234">
        <v>2.8</v>
      </c>
      <c r="X1234" t="s">
        <v>62</v>
      </c>
      <c r="Y1234" t="s">
        <v>42</v>
      </c>
      <c r="Z1234">
        <v>3</v>
      </c>
    </row>
    <row r="1235" spans="1:26">
      <c r="A1235" t="s">
        <v>2223</v>
      </c>
      <c r="B1235" t="s">
        <v>2224</v>
      </c>
      <c r="C1235" t="s">
        <v>28</v>
      </c>
      <c r="D1235" t="s">
        <v>46</v>
      </c>
      <c r="E1235" s="1">
        <v>44489</v>
      </c>
      <c r="F1235" t="s">
        <v>65</v>
      </c>
      <c r="G1235" t="s">
        <v>256</v>
      </c>
      <c r="H1235" t="s">
        <v>32</v>
      </c>
      <c r="I1235">
        <v>9</v>
      </c>
      <c r="J1235" t="s">
        <v>98</v>
      </c>
      <c r="K1235">
        <v>2</v>
      </c>
      <c r="L1235" s="3">
        <v>5199</v>
      </c>
      <c r="M1235">
        <v>5</v>
      </c>
      <c r="N1235" s="3">
        <v>4940</v>
      </c>
      <c r="O1235" s="3">
        <v>9880</v>
      </c>
      <c r="P1235" t="s">
        <v>34</v>
      </c>
      <c r="Q1235" t="s">
        <v>82</v>
      </c>
      <c r="R1235" t="s">
        <v>36</v>
      </c>
      <c r="S1235" t="s">
        <v>297</v>
      </c>
      <c r="T1235" t="s">
        <v>566</v>
      </c>
      <c r="U1235" t="s">
        <v>124</v>
      </c>
      <c r="V1235" t="s">
        <v>40</v>
      </c>
      <c r="W1235">
        <v>4.5999999999999996</v>
      </c>
      <c r="X1235" t="s">
        <v>106</v>
      </c>
      <c r="Y1235" t="s">
        <v>42</v>
      </c>
      <c r="Z1235">
        <v>5</v>
      </c>
    </row>
    <row r="1236" spans="1:26">
      <c r="A1236" t="s">
        <v>2225</v>
      </c>
      <c r="B1236" t="s">
        <v>1181</v>
      </c>
      <c r="C1236" t="s">
        <v>94</v>
      </c>
      <c r="D1236" t="s">
        <v>46</v>
      </c>
      <c r="E1236" s="1">
        <v>44490</v>
      </c>
      <c r="F1236" t="s">
        <v>30</v>
      </c>
      <c r="G1236" t="s">
        <v>347</v>
      </c>
      <c r="H1236" t="s">
        <v>49</v>
      </c>
      <c r="I1236">
        <v>8</v>
      </c>
      <c r="J1236" t="s">
        <v>88</v>
      </c>
      <c r="K1236">
        <v>1</v>
      </c>
      <c r="L1236" s="3">
        <v>4899</v>
      </c>
      <c r="M1236">
        <v>25</v>
      </c>
      <c r="N1236" s="3">
        <v>3670</v>
      </c>
      <c r="O1236" s="3">
        <v>3670</v>
      </c>
      <c r="P1236" t="s">
        <v>74</v>
      </c>
      <c r="Q1236" t="s">
        <v>51</v>
      </c>
      <c r="R1236" t="s">
        <v>36</v>
      </c>
      <c r="S1236" t="s">
        <v>104</v>
      </c>
      <c r="T1236" t="s">
        <v>1048</v>
      </c>
      <c r="U1236" t="s">
        <v>54</v>
      </c>
      <c r="V1236" t="s">
        <v>315</v>
      </c>
      <c r="W1236">
        <v>3</v>
      </c>
      <c r="X1236" t="s">
        <v>41</v>
      </c>
      <c r="Y1236" t="s">
        <v>147</v>
      </c>
      <c r="Z1236">
        <v>1</v>
      </c>
    </row>
    <row r="1237" spans="1:26">
      <c r="A1237" t="s">
        <v>2226</v>
      </c>
      <c r="B1237" t="s">
        <v>2227</v>
      </c>
      <c r="C1237" t="s">
        <v>45</v>
      </c>
      <c r="D1237" t="s">
        <v>29</v>
      </c>
      <c r="E1237" s="1">
        <v>44491</v>
      </c>
      <c r="F1237" t="s">
        <v>65</v>
      </c>
      <c r="G1237" t="s">
        <v>256</v>
      </c>
      <c r="H1237" t="s">
        <v>32</v>
      </c>
      <c r="I1237">
        <v>9</v>
      </c>
      <c r="J1237" t="s">
        <v>73</v>
      </c>
      <c r="K1237">
        <v>1</v>
      </c>
      <c r="L1237" s="3">
        <v>8099</v>
      </c>
      <c r="M1237">
        <v>25</v>
      </c>
      <c r="N1237" s="3">
        <v>6070</v>
      </c>
      <c r="O1237" s="3">
        <v>6070</v>
      </c>
      <c r="P1237" t="s">
        <v>34</v>
      </c>
      <c r="Q1237" t="s">
        <v>35</v>
      </c>
      <c r="R1237" t="s">
        <v>36</v>
      </c>
      <c r="S1237" t="s">
        <v>89</v>
      </c>
      <c r="T1237" t="s">
        <v>425</v>
      </c>
      <c r="U1237" t="s">
        <v>39</v>
      </c>
      <c r="V1237" t="s">
        <v>40</v>
      </c>
      <c r="W1237">
        <v>3.6</v>
      </c>
      <c r="X1237" t="s">
        <v>41</v>
      </c>
      <c r="Y1237" t="s">
        <v>42</v>
      </c>
      <c r="Z1237">
        <v>6</v>
      </c>
    </row>
    <row r="1238" spans="1:26">
      <c r="A1238" t="s">
        <v>2228</v>
      </c>
      <c r="B1238" t="s">
        <v>1805</v>
      </c>
      <c r="C1238" t="s">
        <v>94</v>
      </c>
      <c r="D1238" t="s">
        <v>95</v>
      </c>
      <c r="E1238" s="1">
        <v>44492</v>
      </c>
      <c r="F1238" t="s">
        <v>96</v>
      </c>
      <c r="G1238" t="s">
        <v>228</v>
      </c>
      <c r="H1238" t="s">
        <v>59</v>
      </c>
      <c r="I1238">
        <v>11</v>
      </c>
      <c r="J1238" t="s">
        <v>150</v>
      </c>
      <c r="K1238">
        <v>1</v>
      </c>
      <c r="L1238" s="3">
        <v>6499</v>
      </c>
      <c r="M1238">
        <v>25</v>
      </c>
      <c r="N1238" s="3">
        <v>4870</v>
      </c>
      <c r="O1238" s="3">
        <v>4870</v>
      </c>
      <c r="P1238" t="s">
        <v>50</v>
      </c>
      <c r="Q1238" t="s">
        <v>51</v>
      </c>
      <c r="R1238" t="s">
        <v>36</v>
      </c>
      <c r="S1238" t="s">
        <v>136</v>
      </c>
      <c r="T1238" t="s">
        <v>137</v>
      </c>
      <c r="U1238" t="s">
        <v>124</v>
      </c>
      <c r="V1238" t="s">
        <v>315</v>
      </c>
      <c r="W1238">
        <v>2.7</v>
      </c>
      <c r="X1238" t="s">
        <v>41</v>
      </c>
      <c r="Y1238" t="s">
        <v>55</v>
      </c>
      <c r="Z1238">
        <v>2</v>
      </c>
    </row>
    <row r="1239" spans="1:26">
      <c r="A1239" t="s">
        <v>2229</v>
      </c>
      <c r="B1239" t="s">
        <v>914</v>
      </c>
      <c r="C1239" t="s">
        <v>28</v>
      </c>
      <c r="D1239" t="s">
        <v>46</v>
      </c>
      <c r="E1239" s="1">
        <v>44493</v>
      </c>
      <c r="F1239" t="s">
        <v>86</v>
      </c>
      <c r="G1239" t="s">
        <v>116</v>
      </c>
      <c r="H1239" t="s">
        <v>49</v>
      </c>
      <c r="I1239">
        <v>12</v>
      </c>
      <c r="J1239" t="s">
        <v>73</v>
      </c>
      <c r="K1239">
        <v>3</v>
      </c>
      <c r="L1239" s="3">
        <v>6299</v>
      </c>
      <c r="M1239">
        <v>5</v>
      </c>
      <c r="N1239" s="3">
        <v>5980</v>
      </c>
      <c r="O1239" s="3">
        <v>17940</v>
      </c>
      <c r="P1239" t="s">
        <v>74</v>
      </c>
      <c r="Q1239" t="s">
        <v>82</v>
      </c>
      <c r="R1239" t="s">
        <v>36</v>
      </c>
      <c r="S1239" t="s">
        <v>104</v>
      </c>
      <c r="T1239" t="s">
        <v>291</v>
      </c>
      <c r="U1239" t="s">
        <v>39</v>
      </c>
      <c r="V1239" t="s">
        <v>315</v>
      </c>
      <c r="W1239">
        <v>4.2</v>
      </c>
      <c r="X1239" t="s">
        <v>41</v>
      </c>
      <c r="Y1239" t="s">
        <v>55</v>
      </c>
      <c r="Z1239">
        <v>3</v>
      </c>
    </row>
    <row r="1240" spans="1:26">
      <c r="A1240" t="s">
        <v>2230</v>
      </c>
      <c r="B1240" t="s">
        <v>2231</v>
      </c>
      <c r="C1240" t="s">
        <v>45</v>
      </c>
      <c r="D1240" t="s">
        <v>29</v>
      </c>
      <c r="E1240" s="1">
        <v>44493</v>
      </c>
      <c r="F1240" t="s">
        <v>47</v>
      </c>
      <c r="G1240" t="s">
        <v>402</v>
      </c>
      <c r="H1240" t="s">
        <v>32</v>
      </c>
      <c r="I1240">
        <v>9</v>
      </c>
      <c r="J1240" t="s">
        <v>67</v>
      </c>
      <c r="K1240">
        <v>1</v>
      </c>
      <c r="L1240" s="3">
        <v>5599</v>
      </c>
      <c r="M1240">
        <v>15</v>
      </c>
      <c r="N1240" s="3">
        <v>4760</v>
      </c>
      <c r="O1240" s="3">
        <v>4760</v>
      </c>
      <c r="P1240" t="s">
        <v>74</v>
      </c>
      <c r="Q1240" t="s">
        <v>51</v>
      </c>
      <c r="R1240" t="s">
        <v>36</v>
      </c>
      <c r="S1240" t="s">
        <v>297</v>
      </c>
      <c r="T1240" t="s">
        <v>351</v>
      </c>
      <c r="U1240" t="s">
        <v>124</v>
      </c>
      <c r="V1240" t="s">
        <v>40</v>
      </c>
      <c r="W1240">
        <v>3.6</v>
      </c>
      <c r="X1240" t="s">
        <v>41</v>
      </c>
      <c r="Y1240" t="s">
        <v>42</v>
      </c>
      <c r="Z1240">
        <v>3</v>
      </c>
    </row>
    <row r="1241" spans="1:26">
      <c r="A1241" t="s">
        <v>2232</v>
      </c>
      <c r="B1241" t="s">
        <v>1545</v>
      </c>
      <c r="C1241" t="s">
        <v>45</v>
      </c>
      <c r="D1241" t="s">
        <v>46</v>
      </c>
      <c r="E1241" s="1">
        <v>44493</v>
      </c>
      <c r="F1241" t="s">
        <v>96</v>
      </c>
      <c r="G1241" t="s">
        <v>155</v>
      </c>
      <c r="H1241" t="s">
        <v>111</v>
      </c>
      <c r="I1241">
        <v>11</v>
      </c>
      <c r="J1241" t="s">
        <v>88</v>
      </c>
      <c r="K1241">
        <v>1</v>
      </c>
      <c r="L1241" s="3">
        <v>5999</v>
      </c>
      <c r="M1241">
        <v>10</v>
      </c>
      <c r="N1241" s="3">
        <v>5400</v>
      </c>
      <c r="O1241" s="3">
        <v>5400</v>
      </c>
      <c r="P1241" t="s">
        <v>74</v>
      </c>
      <c r="Q1241" t="s">
        <v>51</v>
      </c>
      <c r="R1241" t="s">
        <v>36</v>
      </c>
      <c r="S1241" t="s">
        <v>129</v>
      </c>
      <c r="T1241" t="s">
        <v>146</v>
      </c>
      <c r="U1241" t="s">
        <v>61</v>
      </c>
      <c r="V1241" t="s">
        <v>315</v>
      </c>
      <c r="W1241">
        <v>5</v>
      </c>
      <c r="X1241" t="s">
        <v>62</v>
      </c>
      <c r="Y1241" t="s">
        <v>42</v>
      </c>
      <c r="Z1241">
        <v>3</v>
      </c>
    </row>
    <row r="1242" spans="1:26">
      <c r="A1242" t="s">
        <v>2233</v>
      </c>
      <c r="B1242" t="s">
        <v>527</v>
      </c>
      <c r="C1242" t="s">
        <v>45</v>
      </c>
      <c r="D1242" t="s">
        <v>46</v>
      </c>
      <c r="E1242" s="1">
        <v>44494</v>
      </c>
      <c r="F1242" t="s">
        <v>86</v>
      </c>
      <c r="G1242" t="s">
        <v>312</v>
      </c>
      <c r="H1242" t="s">
        <v>59</v>
      </c>
      <c r="I1242">
        <v>11</v>
      </c>
      <c r="J1242" t="s">
        <v>73</v>
      </c>
      <c r="K1242">
        <v>1</v>
      </c>
      <c r="L1242" s="3">
        <v>7199</v>
      </c>
      <c r="M1242">
        <v>0</v>
      </c>
      <c r="N1242" s="3">
        <v>7200</v>
      </c>
      <c r="O1242" s="3">
        <v>7200</v>
      </c>
      <c r="P1242" t="s">
        <v>34</v>
      </c>
      <c r="Q1242" t="s">
        <v>35</v>
      </c>
      <c r="R1242" t="s">
        <v>36</v>
      </c>
      <c r="S1242" t="s">
        <v>354</v>
      </c>
      <c r="T1242" t="s">
        <v>434</v>
      </c>
      <c r="U1242" t="s">
        <v>54</v>
      </c>
      <c r="V1242" t="s">
        <v>969</v>
      </c>
      <c r="W1242">
        <v>3.8</v>
      </c>
      <c r="X1242" t="s">
        <v>41</v>
      </c>
      <c r="Y1242" t="s">
        <v>55</v>
      </c>
      <c r="Z1242">
        <v>3</v>
      </c>
    </row>
    <row r="1243" spans="1:26">
      <c r="A1243" t="s">
        <v>2234</v>
      </c>
      <c r="B1243" t="s">
        <v>831</v>
      </c>
      <c r="C1243" t="s">
        <v>28</v>
      </c>
      <c r="D1243" t="s">
        <v>29</v>
      </c>
      <c r="E1243" s="1">
        <v>44494</v>
      </c>
      <c r="F1243" t="s">
        <v>30</v>
      </c>
      <c r="G1243" t="s">
        <v>31</v>
      </c>
      <c r="H1243" t="s">
        <v>32</v>
      </c>
      <c r="I1243">
        <v>6</v>
      </c>
      <c r="J1243" t="s">
        <v>73</v>
      </c>
      <c r="K1243">
        <v>1</v>
      </c>
      <c r="L1243" s="3">
        <v>8499</v>
      </c>
      <c r="M1243">
        <v>25</v>
      </c>
      <c r="N1243" s="3">
        <v>6370</v>
      </c>
      <c r="O1243" s="3">
        <v>6370</v>
      </c>
      <c r="P1243" t="s">
        <v>34</v>
      </c>
      <c r="Q1243" t="s">
        <v>35</v>
      </c>
      <c r="R1243" t="s">
        <v>36</v>
      </c>
      <c r="S1243" t="s">
        <v>75</v>
      </c>
      <c r="T1243" t="s">
        <v>215</v>
      </c>
      <c r="U1243" t="s">
        <v>91</v>
      </c>
      <c r="V1243" t="s">
        <v>969</v>
      </c>
      <c r="W1243">
        <v>4.5</v>
      </c>
      <c r="X1243" t="s">
        <v>106</v>
      </c>
      <c r="Y1243" t="s">
        <v>55</v>
      </c>
      <c r="Z1243">
        <v>2</v>
      </c>
    </row>
    <row r="1244" spans="1:26">
      <c r="A1244" t="s">
        <v>2235</v>
      </c>
      <c r="B1244" t="s">
        <v>2236</v>
      </c>
      <c r="C1244" t="s">
        <v>45</v>
      </c>
      <c r="D1244" t="s">
        <v>29</v>
      </c>
      <c r="E1244" s="1">
        <v>44496</v>
      </c>
      <c r="F1244" t="s">
        <v>96</v>
      </c>
      <c r="G1244" t="s">
        <v>155</v>
      </c>
      <c r="H1244" t="s">
        <v>111</v>
      </c>
      <c r="I1244">
        <v>8</v>
      </c>
      <c r="J1244" t="s">
        <v>150</v>
      </c>
      <c r="K1244">
        <v>1</v>
      </c>
      <c r="L1244" s="3">
        <v>5399</v>
      </c>
      <c r="M1244">
        <v>30</v>
      </c>
      <c r="N1244" s="3">
        <v>3780</v>
      </c>
      <c r="O1244" s="3">
        <v>3780</v>
      </c>
      <c r="P1244" t="s">
        <v>34</v>
      </c>
      <c r="Q1244" t="s">
        <v>82</v>
      </c>
      <c r="R1244" t="s">
        <v>36</v>
      </c>
      <c r="S1244" t="s">
        <v>129</v>
      </c>
      <c r="T1244" t="s">
        <v>130</v>
      </c>
      <c r="U1244" t="s">
        <v>124</v>
      </c>
      <c r="V1244" t="s">
        <v>40</v>
      </c>
      <c r="W1244">
        <v>3.6</v>
      </c>
      <c r="X1244" t="s">
        <v>41</v>
      </c>
      <c r="Y1244" t="s">
        <v>55</v>
      </c>
      <c r="Z1244">
        <v>2</v>
      </c>
    </row>
    <row r="1245" spans="1:26">
      <c r="A1245" t="s">
        <v>2237</v>
      </c>
      <c r="B1245" t="s">
        <v>2238</v>
      </c>
      <c r="C1245" t="s">
        <v>28</v>
      </c>
      <c r="D1245" t="s">
        <v>29</v>
      </c>
      <c r="E1245" s="1">
        <v>44496</v>
      </c>
      <c r="F1245" t="s">
        <v>79</v>
      </c>
      <c r="G1245" t="s">
        <v>80</v>
      </c>
      <c r="H1245" t="s">
        <v>59</v>
      </c>
      <c r="I1245">
        <v>9</v>
      </c>
      <c r="J1245" t="s">
        <v>98</v>
      </c>
      <c r="K1245">
        <v>1</v>
      </c>
      <c r="L1245" s="3">
        <v>6799</v>
      </c>
      <c r="M1245">
        <v>40</v>
      </c>
      <c r="N1245" s="3">
        <v>4080</v>
      </c>
      <c r="O1245" s="3">
        <v>4080</v>
      </c>
      <c r="P1245" t="s">
        <v>74</v>
      </c>
      <c r="Q1245" t="s">
        <v>35</v>
      </c>
      <c r="R1245" t="s">
        <v>36</v>
      </c>
      <c r="S1245" t="s">
        <v>195</v>
      </c>
      <c r="T1245" t="s">
        <v>196</v>
      </c>
      <c r="U1245" t="s">
        <v>91</v>
      </c>
      <c r="V1245" t="s">
        <v>40</v>
      </c>
      <c r="W1245">
        <v>3.2</v>
      </c>
      <c r="X1245" t="s">
        <v>41</v>
      </c>
      <c r="Y1245" t="s">
        <v>42</v>
      </c>
      <c r="Z1245">
        <v>5</v>
      </c>
    </row>
    <row r="1246" spans="1:26">
      <c r="A1246" t="s">
        <v>2239</v>
      </c>
      <c r="B1246" t="s">
        <v>311</v>
      </c>
      <c r="C1246" t="s">
        <v>28</v>
      </c>
      <c r="D1246" t="s">
        <v>109</v>
      </c>
      <c r="E1246" s="1">
        <v>44496</v>
      </c>
      <c r="F1246" t="s">
        <v>47</v>
      </c>
      <c r="G1246" t="s">
        <v>48</v>
      </c>
      <c r="H1246" t="s">
        <v>49</v>
      </c>
      <c r="I1246">
        <v>11</v>
      </c>
      <c r="J1246" t="s">
        <v>73</v>
      </c>
      <c r="K1246">
        <v>1</v>
      </c>
      <c r="L1246" s="3">
        <v>8399</v>
      </c>
      <c r="M1246">
        <v>5</v>
      </c>
      <c r="N1246" s="3">
        <v>7980</v>
      </c>
      <c r="O1246" s="3">
        <v>7980</v>
      </c>
      <c r="P1246" t="s">
        <v>74</v>
      </c>
      <c r="Q1246" t="s">
        <v>51</v>
      </c>
      <c r="R1246" t="s">
        <v>36</v>
      </c>
      <c r="S1246" t="s">
        <v>104</v>
      </c>
      <c r="T1246" t="s">
        <v>1048</v>
      </c>
      <c r="U1246" t="s">
        <v>124</v>
      </c>
      <c r="V1246" t="s">
        <v>969</v>
      </c>
      <c r="W1246">
        <v>2.8</v>
      </c>
      <c r="X1246" t="s">
        <v>41</v>
      </c>
      <c r="Y1246" t="s">
        <v>42</v>
      </c>
      <c r="Z1246">
        <v>5</v>
      </c>
    </row>
    <row r="1247" spans="1:26">
      <c r="A1247" t="s">
        <v>2240</v>
      </c>
      <c r="B1247" t="s">
        <v>716</v>
      </c>
      <c r="C1247" t="s">
        <v>28</v>
      </c>
      <c r="D1247" t="s">
        <v>95</v>
      </c>
      <c r="E1247" s="1">
        <v>44501</v>
      </c>
      <c r="F1247" t="s">
        <v>79</v>
      </c>
      <c r="G1247" t="s">
        <v>174</v>
      </c>
      <c r="H1247" t="s">
        <v>32</v>
      </c>
      <c r="I1247">
        <v>9</v>
      </c>
      <c r="J1247" t="s">
        <v>150</v>
      </c>
      <c r="K1247">
        <v>1</v>
      </c>
      <c r="L1247" s="3">
        <v>6699</v>
      </c>
      <c r="M1247">
        <v>30</v>
      </c>
      <c r="N1247" s="3">
        <v>4690</v>
      </c>
      <c r="O1247" s="3">
        <v>4690</v>
      </c>
      <c r="P1247" t="s">
        <v>74</v>
      </c>
      <c r="Q1247" t="s">
        <v>35</v>
      </c>
      <c r="R1247" t="s">
        <v>36</v>
      </c>
      <c r="S1247" t="s">
        <v>160</v>
      </c>
      <c r="T1247" t="s">
        <v>344</v>
      </c>
      <c r="U1247" t="s">
        <v>124</v>
      </c>
      <c r="V1247" t="s">
        <v>315</v>
      </c>
      <c r="W1247">
        <v>3</v>
      </c>
      <c r="X1247" t="s">
        <v>106</v>
      </c>
      <c r="Y1247" t="s">
        <v>42</v>
      </c>
      <c r="Z1247">
        <v>5</v>
      </c>
    </row>
    <row r="1248" spans="1:26">
      <c r="A1248" t="s">
        <v>2241</v>
      </c>
      <c r="B1248" t="s">
        <v>2242</v>
      </c>
      <c r="C1248" t="s">
        <v>94</v>
      </c>
      <c r="D1248" t="s">
        <v>103</v>
      </c>
      <c r="E1248" s="1">
        <v>44502</v>
      </c>
      <c r="F1248" t="s">
        <v>47</v>
      </c>
      <c r="G1248" t="s">
        <v>140</v>
      </c>
      <c r="H1248" t="s">
        <v>128</v>
      </c>
      <c r="I1248">
        <v>12</v>
      </c>
      <c r="J1248" t="s">
        <v>98</v>
      </c>
      <c r="K1248">
        <v>1</v>
      </c>
      <c r="L1248" s="3">
        <v>3899</v>
      </c>
      <c r="M1248">
        <v>20</v>
      </c>
      <c r="N1248" s="3">
        <v>3120</v>
      </c>
      <c r="O1248" s="3">
        <v>3120</v>
      </c>
      <c r="P1248" t="s">
        <v>74</v>
      </c>
      <c r="Q1248" t="s">
        <v>82</v>
      </c>
      <c r="R1248" t="s">
        <v>36</v>
      </c>
      <c r="S1248" t="s">
        <v>89</v>
      </c>
      <c r="T1248" t="s">
        <v>90</v>
      </c>
      <c r="U1248" t="s">
        <v>39</v>
      </c>
      <c r="V1248" t="s">
        <v>40</v>
      </c>
      <c r="W1248">
        <v>3.5</v>
      </c>
      <c r="X1248" t="s">
        <v>41</v>
      </c>
      <c r="Y1248" t="s">
        <v>147</v>
      </c>
      <c r="Z1248">
        <v>1</v>
      </c>
    </row>
    <row r="1249" spans="1:26">
      <c r="A1249" t="s">
        <v>2243</v>
      </c>
      <c r="B1249" t="s">
        <v>2244</v>
      </c>
      <c r="C1249" t="s">
        <v>45</v>
      </c>
      <c r="D1249" t="s">
        <v>95</v>
      </c>
      <c r="E1249" s="1">
        <v>44502</v>
      </c>
      <c r="F1249" t="s">
        <v>96</v>
      </c>
      <c r="G1249" t="s">
        <v>97</v>
      </c>
      <c r="H1249" t="s">
        <v>49</v>
      </c>
      <c r="I1249">
        <v>11</v>
      </c>
      <c r="J1249" t="s">
        <v>98</v>
      </c>
      <c r="K1249">
        <v>1</v>
      </c>
      <c r="L1249" s="3">
        <v>7499</v>
      </c>
      <c r="M1249">
        <v>15</v>
      </c>
      <c r="N1249" s="3">
        <v>6370</v>
      </c>
      <c r="O1249" s="3">
        <v>6370</v>
      </c>
      <c r="P1249" t="s">
        <v>34</v>
      </c>
      <c r="Q1249" t="s">
        <v>82</v>
      </c>
      <c r="R1249" t="s">
        <v>36</v>
      </c>
      <c r="S1249" t="s">
        <v>156</v>
      </c>
      <c r="T1249" t="s">
        <v>157</v>
      </c>
      <c r="U1249" t="s">
        <v>61</v>
      </c>
      <c r="V1249" t="s">
        <v>40</v>
      </c>
      <c r="W1249">
        <v>3.6</v>
      </c>
      <c r="X1249" t="s">
        <v>41</v>
      </c>
      <c r="Y1249" t="s">
        <v>42</v>
      </c>
      <c r="Z1249">
        <v>6</v>
      </c>
    </row>
    <row r="1250" spans="1:26">
      <c r="A1250" t="s">
        <v>2245</v>
      </c>
      <c r="B1250" t="s">
        <v>1154</v>
      </c>
      <c r="C1250" t="s">
        <v>45</v>
      </c>
      <c r="D1250" t="s">
        <v>29</v>
      </c>
      <c r="E1250" s="1">
        <v>44502</v>
      </c>
      <c r="F1250" t="s">
        <v>86</v>
      </c>
      <c r="G1250" t="s">
        <v>242</v>
      </c>
      <c r="H1250" t="s">
        <v>32</v>
      </c>
      <c r="I1250">
        <v>10</v>
      </c>
      <c r="J1250" t="s">
        <v>67</v>
      </c>
      <c r="K1250">
        <v>1</v>
      </c>
      <c r="L1250" s="3">
        <v>4499</v>
      </c>
      <c r="M1250">
        <v>30</v>
      </c>
      <c r="N1250" s="3">
        <v>3150</v>
      </c>
      <c r="O1250" s="3">
        <v>3150</v>
      </c>
      <c r="P1250" t="s">
        <v>74</v>
      </c>
      <c r="Q1250" t="s">
        <v>51</v>
      </c>
      <c r="R1250" t="s">
        <v>36</v>
      </c>
      <c r="S1250" t="s">
        <v>384</v>
      </c>
      <c r="T1250" t="s">
        <v>444</v>
      </c>
      <c r="U1250" t="s">
        <v>124</v>
      </c>
      <c r="V1250" t="s">
        <v>315</v>
      </c>
      <c r="W1250">
        <v>3.7</v>
      </c>
      <c r="X1250" t="s">
        <v>106</v>
      </c>
      <c r="Y1250" t="s">
        <v>55</v>
      </c>
      <c r="Z1250">
        <v>4</v>
      </c>
    </row>
    <row r="1251" spans="1:26">
      <c r="A1251" t="s">
        <v>2246</v>
      </c>
      <c r="B1251" t="s">
        <v>608</v>
      </c>
      <c r="C1251" t="s">
        <v>28</v>
      </c>
      <c r="D1251" t="s">
        <v>46</v>
      </c>
      <c r="E1251" s="1">
        <v>44502</v>
      </c>
      <c r="F1251" t="s">
        <v>30</v>
      </c>
      <c r="G1251" t="s">
        <v>31</v>
      </c>
      <c r="H1251" t="s">
        <v>32</v>
      </c>
      <c r="I1251">
        <v>12</v>
      </c>
      <c r="J1251" t="s">
        <v>150</v>
      </c>
      <c r="K1251">
        <v>1</v>
      </c>
      <c r="L1251" s="3">
        <v>5599</v>
      </c>
      <c r="M1251">
        <v>25</v>
      </c>
      <c r="N1251" s="3">
        <v>4200</v>
      </c>
      <c r="O1251" s="3">
        <v>4200</v>
      </c>
      <c r="P1251" t="s">
        <v>34</v>
      </c>
      <c r="Q1251" t="s">
        <v>82</v>
      </c>
      <c r="R1251" t="s">
        <v>36</v>
      </c>
      <c r="S1251" t="s">
        <v>117</v>
      </c>
      <c r="T1251" t="s">
        <v>751</v>
      </c>
      <c r="U1251" t="s">
        <v>124</v>
      </c>
      <c r="V1251" t="s">
        <v>315</v>
      </c>
      <c r="W1251">
        <v>4.5999999999999996</v>
      </c>
      <c r="X1251" t="s">
        <v>106</v>
      </c>
      <c r="Y1251" t="s">
        <v>42</v>
      </c>
      <c r="Z1251">
        <v>4</v>
      </c>
    </row>
    <row r="1252" spans="1:26">
      <c r="A1252" t="s">
        <v>2247</v>
      </c>
      <c r="B1252" t="s">
        <v>2248</v>
      </c>
      <c r="C1252" t="s">
        <v>94</v>
      </c>
      <c r="D1252" t="s">
        <v>46</v>
      </c>
      <c r="E1252" s="1">
        <v>44503</v>
      </c>
      <c r="F1252" t="s">
        <v>65</v>
      </c>
      <c r="G1252" t="s">
        <v>72</v>
      </c>
      <c r="H1252" t="s">
        <v>59</v>
      </c>
      <c r="I1252">
        <v>8</v>
      </c>
      <c r="J1252" t="s">
        <v>88</v>
      </c>
      <c r="K1252">
        <v>1</v>
      </c>
      <c r="L1252" s="3">
        <v>6299</v>
      </c>
      <c r="M1252">
        <v>0</v>
      </c>
      <c r="N1252" s="3">
        <v>6300</v>
      </c>
      <c r="O1252" s="3">
        <v>6300</v>
      </c>
      <c r="P1252" t="s">
        <v>34</v>
      </c>
      <c r="Q1252" t="s">
        <v>35</v>
      </c>
      <c r="R1252" t="s">
        <v>36</v>
      </c>
      <c r="S1252" t="s">
        <v>156</v>
      </c>
      <c r="T1252" t="s">
        <v>257</v>
      </c>
      <c r="U1252" t="s">
        <v>54</v>
      </c>
      <c r="V1252" t="s">
        <v>40</v>
      </c>
      <c r="W1252">
        <v>4.4000000000000004</v>
      </c>
      <c r="X1252" t="s">
        <v>41</v>
      </c>
      <c r="Y1252" t="s">
        <v>42</v>
      </c>
      <c r="Z1252">
        <v>2</v>
      </c>
    </row>
    <row r="1253" spans="1:26">
      <c r="A1253" t="s">
        <v>2249</v>
      </c>
      <c r="B1253" t="s">
        <v>1665</v>
      </c>
      <c r="C1253" t="s">
        <v>45</v>
      </c>
      <c r="D1253" t="s">
        <v>103</v>
      </c>
      <c r="E1253" s="1">
        <v>44503</v>
      </c>
      <c r="F1253" t="s">
        <v>65</v>
      </c>
      <c r="G1253" t="s">
        <v>268</v>
      </c>
      <c r="H1253" t="s">
        <v>128</v>
      </c>
      <c r="I1253">
        <v>10</v>
      </c>
      <c r="J1253" t="s">
        <v>150</v>
      </c>
      <c r="K1253">
        <v>1</v>
      </c>
      <c r="L1253" s="3">
        <v>8399</v>
      </c>
      <c r="M1253">
        <v>20</v>
      </c>
      <c r="N1253" s="3">
        <v>6720</v>
      </c>
      <c r="O1253" s="3">
        <v>6720</v>
      </c>
      <c r="P1253" t="s">
        <v>50</v>
      </c>
      <c r="Q1253" t="s">
        <v>51</v>
      </c>
      <c r="R1253" t="s">
        <v>36</v>
      </c>
      <c r="S1253" t="s">
        <v>68</v>
      </c>
      <c r="T1253" t="s">
        <v>811</v>
      </c>
      <c r="U1253" t="s">
        <v>54</v>
      </c>
      <c r="V1253" t="s">
        <v>315</v>
      </c>
      <c r="W1253">
        <v>4</v>
      </c>
      <c r="X1253" t="s">
        <v>41</v>
      </c>
      <c r="Y1253" t="s">
        <v>42</v>
      </c>
      <c r="Z1253">
        <v>5</v>
      </c>
    </row>
    <row r="1254" spans="1:26">
      <c r="A1254" t="s">
        <v>2250</v>
      </c>
      <c r="B1254" t="s">
        <v>1784</v>
      </c>
      <c r="C1254" t="s">
        <v>94</v>
      </c>
      <c r="D1254" t="s">
        <v>109</v>
      </c>
      <c r="E1254" s="1">
        <v>44504</v>
      </c>
      <c r="F1254" t="s">
        <v>86</v>
      </c>
      <c r="G1254" t="s">
        <v>190</v>
      </c>
      <c r="H1254" t="s">
        <v>128</v>
      </c>
      <c r="I1254">
        <v>8</v>
      </c>
      <c r="J1254" t="s">
        <v>150</v>
      </c>
      <c r="K1254">
        <v>2</v>
      </c>
      <c r="L1254" s="3">
        <v>8999</v>
      </c>
      <c r="M1254">
        <v>15</v>
      </c>
      <c r="N1254" s="3">
        <v>7650</v>
      </c>
      <c r="O1254" s="3">
        <v>15300</v>
      </c>
      <c r="P1254" t="s">
        <v>74</v>
      </c>
      <c r="Q1254" t="s">
        <v>51</v>
      </c>
      <c r="R1254" t="s">
        <v>36</v>
      </c>
      <c r="S1254" t="s">
        <v>297</v>
      </c>
      <c r="T1254" t="s">
        <v>390</v>
      </c>
      <c r="U1254" t="s">
        <v>124</v>
      </c>
      <c r="V1254" t="s">
        <v>315</v>
      </c>
      <c r="W1254">
        <v>5</v>
      </c>
      <c r="X1254" t="s">
        <v>41</v>
      </c>
      <c r="Y1254" t="s">
        <v>42</v>
      </c>
      <c r="Z1254">
        <v>5</v>
      </c>
    </row>
    <row r="1255" spans="1:26">
      <c r="A1255" t="s">
        <v>2251</v>
      </c>
      <c r="B1255" t="s">
        <v>772</v>
      </c>
      <c r="C1255" t="s">
        <v>28</v>
      </c>
      <c r="D1255" t="s">
        <v>46</v>
      </c>
      <c r="E1255" s="1">
        <v>44504</v>
      </c>
      <c r="F1255" t="s">
        <v>30</v>
      </c>
      <c r="G1255" t="s">
        <v>145</v>
      </c>
      <c r="H1255" t="s">
        <v>59</v>
      </c>
      <c r="I1255">
        <v>9</v>
      </c>
      <c r="J1255" t="s">
        <v>98</v>
      </c>
      <c r="K1255">
        <v>3</v>
      </c>
      <c r="L1255" s="3">
        <v>7899</v>
      </c>
      <c r="M1255">
        <v>20</v>
      </c>
      <c r="N1255" s="3">
        <v>6320</v>
      </c>
      <c r="O1255" s="3">
        <v>18960</v>
      </c>
      <c r="P1255" t="s">
        <v>74</v>
      </c>
      <c r="Q1255" t="s">
        <v>51</v>
      </c>
      <c r="R1255" t="s">
        <v>36</v>
      </c>
      <c r="S1255" t="s">
        <v>269</v>
      </c>
      <c r="T1255" t="s">
        <v>961</v>
      </c>
      <c r="U1255" t="s">
        <v>39</v>
      </c>
      <c r="V1255" t="s">
        <v>315</v>
      </c>
      <c r="W1255">
        <v>3.7</v>
      </c>
      <c r="X1255" t="s">
        <v>41</v>
      </c>
      <c r="Y1255" t="s">
        <v>55</v>
      </c>
      <c r="Z1255">
        <v>3</v>
      </c>
    </row>
    <row r="1256" spans="1:26">
      <c r="A1256" t="s">
        <v>2252</v>
      </c>
      <c r="B1256" t="s">
        <v>1880</v>
      </c>
      <c r="C1256" t="s">
        <v>28</v>
      </c>
      <c r="D1256" t="s">
        <v>95</v>
      </c>
      <c r="E1256" s="1">
        <v>44505</v>
      </c>
      <c r="F1256" t="s">
        <v>96</v>
      </c>
      <c r="G1256" t="s">
        <v>323</v>
      </c>
      <c r="H1256" t="s">
        <v>59</v>
      </c>
      <c r="I1256">
        <v>8</v>
      </c>
      <c r="J1256" t="s">
        <v>33</v>
      </c>
      <c r="K1256">
        <v>1</v>
      </c>
      <c r="L1256" s="3">
        <v>5999</v>
      </c>
      <c r="M1256">
        <v>10</v>
      </c>
      <c r="N1256" s="3">
        <v>5400</v>
      </c>
      <c r="O1256" s="3">
        <v>5400</v>
      </c>
      <c r="P1256" t="s">
        <v>34</v>
      </c>
      <c r="Q1256" t="s">
        <v>35</v>
      </c>
      <c r="R1256" t="s">
        <v>36</v>
      </c>
      <c r="S1256" t="s">
        <v>164</v>
      </c>
      <c r="T1256" t="s">
        <v>314</v>
      </c>
      <c r="U1256" t="s">
        <v>124</v>
      </c>
      <c r="V1256" t="s">
        <v>315</v>
      </c>
      <c r="W1256">
        <v>3.8</v>
      </c>
      <c r="X1256" t="s">
        <v>62</v>
      </c>
      <c r="Y1256" t="s">
        <v>42</v>
      </c>
      <c r="Z1256">
        <v>3</v>
      </c>
    </row>
    <row r="1257" spans="1:26">
      <c r="A1257" t="s">
        <v>2253</v>
      </c>
      <c r="B1257" t="s">
        <v>281</v>
      </c>
      <c r="C1257" t="s">
        <v>28</v>
      </c>
      <c r="D1257" t="s">
        <v>95</v>
      </c>
      <c r="E1257" s="1">
        <v>44505</v>
      </c>
      <c r="F1257" t="s">
        <v>96</v>
      </c>
      <c r="G1257" t="s">
        <v>323</v>
      </c>
      <c r="H1257" t="s">
        <v>59</v>
      </c>
      <c r="I1257">
        <v>10</v>
      </c>
      <c r="J1257" t="s">
        <v>73</v>
      </c>
      <c r="K1257">
        <v>1</v>
      </c>
      <c r="L1257" s="3">
        <v>7799</v>
      </c>
      <c r="M1257">
        <v>25</v>
      </c>
      <c r="N1257" s="3">
        <v>5850</v>
      </c>
      <c r="O1257" s="3">
        <v>5850</v>
      </c>
      <c r="P1257" t="s">
        <v>81</v>
      </c>
      <c r="Q1257" t="s">
        <v>51</v>
      </c>
      <c r="R1257" t="s">
        <v>36</v>
      </c>
      <c r="S1257" t="s">
        <v>354</v>
      </c>
      <c r="T1257" t="s">
        <v>355</v>
      </c>
      <c r="U1257" t="s">
        <v>61</v>
      </c>
      <c r="V1257" t="s">
        <v>315</v>
      </c>
      <c r="W1257">
        <v>3.3</v>
      </c>
      <c r="X1257" t="s">
        <v>41</v>
      </c>
      <c r="Y1257" t="s">
        <v>42</v>
      </c>
      <c r="Z1257">
        <v>5</v>
      </c>
    </row>
    <row r="1258" spans="1:26">
      <c r="A1258" t="s">
        <v>2254</v>
      </c>
      <c r="B1258" t="s">
        <v>1775</v>
      </c>
      <c r="C1258" t="s">
        <v>28</v>
      </c>
      <c r="D1258" t="s">
        <v>29</v>
      </c>
      <c r="E1258" s="1">
        <v>44505</v>
      </c>
      <c r="F1258" t="s">
        <v>65</v>
      </c>
      <c r="G1258" t="s">
        <v>279</v>
      </c>
      <c r="H1258" t="s">
        <v>111</v>
      </c>
      <c r="I1258">
        <v>8</v>
      </c>
      <c r="J1258" t="s">
        <v>67</v>
      </c>
      <c r="K1258">
        <v>1</v>
      </c>
      <c r="L1258" s="3">
        <v>5499</v>
      </c>
      <c r="M1258">
        <v>20</v>
      </c>
      <c r="N1258" s="3">
        <v>4400</v>
      </c>
      <c r="O1258" s="3">
        <v>4400</v>
      </c>
      <c r="P1258" t="s">
        <v>34</v>
      </c>
      <c r="Q1258" t="s">
        <v>51</v>
      </c>
      <c r="R1258" t="s">
        <v>36</v>
      </c>
      <c r="S1258" t="s">
        <v>68</v>
      </c>
      <c r="T1258" t="s">
        <v>69</v>
      </c>
      <c r="U1258" t="s">
        <v>91</v>
      </c>
      <c r="V1258" t="s">
        <v>315</v>
      </c>
      <c r="W1258">
        <v>4</v>
      </c>
      <c r="X1258" t="s">
        <v>41</v>
      </c>
      <c r="Y1258" t="s">
        <v>55</v>
      </c>
      <c r="Z1258">
        <v>3</v>
      </c>
    </row>
    <row r="1259" spans="1:26">
      <c r="A1259" t="s">
        <v>2255</v>
      </c>
      <c r="B1259" t="s">
        <v>991</v>
      </c>
      <c r="C1259" t="s">
        <v>94</v>
      </c>
      <c r="D1259" t="s">
        <v>103</v>
      </c>
      <c r="E1259" s="1">
        <v>44505</v>
      </c>
      <c r="F1259" t="s">
        <v>86</v>
      </c>
      <c r="G1259" t="s">
        <v>285</v>
      </c>
      <c r="H1259" t="s">
        <v>111</v>
      </c>
      <c r="I1259">
        <v>7</v>
      </c>
      <c r="J1259" t="s">
        <v>150</v>
      </c>
      <c r="K1259">
        <v>1</v>
      </c>
      <c r="L1259" s="3">
        <v>5799</v>
      </c>
      <c r="M1259">
        <v>25</v>
      </c>
      <c r="N1259" s="3">
        <v>4350</v>
      </c>
      <c r="O1259" s="3">
        <v>4350</v>
      </c>
      <c r="P1259" t="s">
        <v>81</v>
      </c>
      <c r="Q1259" t="s">
        <v>35</v>
      </c>
      <c r="R1259" t="s">
        <v>36</v>
      </c>
      <c r="S1259" t="s">
        <v>338</v>
      </c>
      <c r="T1259" t="s">
        <v>338</v>
      </c>
      <c r="U1259" t="s">
        <v>54</v>
      </c>
      <c r="V1259" t="s">
        <v>969</v>
      </c>
      <c r="W1259">
        <v>4.2</v>
      </c>
      <c r="X1259" t="s">
        <v>41</v>
      </c>
      <c r="Y1259" t="s">
        <v>42</v>
      </c>
      <c r="Z1259">
        <v>5</v>
      </c>
    </row>
    <row r="1260" spans="1:26">
      <c r="A1260" t="s">
        <v>2256</v>
      </c>
      <c r="B1260" t="s">
        <v>2257</v>
      </c>
      <c r="C1260" t="s">
        <v>94</v>
      </c>
      <c r="D1260" t="s">
        <v>46</v>
      </c>
      <c r="E1260" s="1">
        <v>44508</v>
      </c>
      <c r="F1260" t="s">
        <v>30</v>
      </c>
      <c r="G1260" t="s">
        <v>110</v>
      </c>
      <c r="H1260" t="s">
        <v>111</v>
      </c>
      <c r="I1260">
        <v>9</v>
      </c>
      <c r="J1260" t="s">
        <v>73</v>
      </c>
      <c r="K1260">
        <v>1</v>
      </c>
      <c r="L1260" s="3">
        <v>8099</v>
      </c>
      <c r="M1260">
        <v>0</v>
      </c>
      <c r="N1260" s="3">
        <v>8100</v>
      </c>
      <c r="O1260" s="3">
        <v>8100</v>
      </c>
      <c r="P1260" t="s">
        <v>74</v>
      </c>
      <c r="Q1260" t="s">
        <v>51</v>
      </c>
      <c r="R1260" t="s">
        <v>36</v>
      </c>
      <c r="S1260" t="s">
        <v>418</v>
      </c>
      <c r="T1260" t="s">
        <v>419</v>
      </c>
      <c r="U1260" t="s">
        <v>61</v>
      </c>
      <c r="V1260" t="s">
        <v>40</v>
      </c>
      <c r="W1260">
        <v>3.7</v>
      </c>
      <c r="X1260" t="s">
        <v>41</v>
      </c>
      <c r="Y1260" t="s">
        <v>42</v>
      </c>
      <c r="Z1260">
        <v>3</v>
      </c>
    </row>
    <row r="1261" spans="1:26">
      <c r="A1261" t="s">
        <v>2258</v>
      </c>
      <c r="B1261" t="s">
        <v>1600</v>
      </c>
      <c r="C1261" t="s">
        <v>45</v>
      </c>
      <c r="D1261" t="s">
        <v>46</v>
      </c>
      <c r="E1261" s="1">
        <v>44508</v>
      </c>
      <c r="F1261" t="s">
        <v>47</v>
      </c>
      <c r="G1261" t="s">
        <v>199</v>
      </c>
      <c r="H1261" t="s">
        <v>59</v>
      </c>
      <c r="I1261">
        <v>9</v>
      </c>
      <c r="J1261" t="s">
        <v>73</v>
      </c>
      <c r="K1261">
        <v>1</v>
      </c>
      <c r="L1261" s="3">
        <v>7599</v>
      </c>
      <c r="M1261">
        <v>5</v>
      </c>
      <c r="N1261" s="3">
        <v>7220</v>
      </c>
      <c r="O1261" s="3">
        <v>7220</v>
      </c>
      <c r="P1261" t="s">
        <v>34</v>
      </c>
      <c r="Q1261" t="s">
        <v>51</v>
      </c>
      <c r="R1261" t="s">
        <v>36</v>
      </c>
      <c r="S1261" t="s">
        <v>37</v>
      </c>
      <c r="T1261" t="s">
        <v>484</v>
      </c>
      <c r="U1261" t="s">
        <v>39</v>
      </c>
      <c r="V1261" t="s">
        <v>315</v>
      </c>
      <c r="W1261">
        <v>4.4000000000000004</v>
      </c>
      <c r="X1261" t="s">
        <v>62</v>
      </c>
      <c r="Y1261" t="s">
        <v>55</v>
      </c>
      <c r="Z1261">
        <v>2</v>
      </c>
    </row>
    <row r="1262" spans="1:26">
      <c r="A1262" t="s">
        <v>2259</v>
      </c>
      <c r="B1262" t="s">
        <v>2260</v>
      </c>
      <c r="C1262" t="s">
        <v>45</v>
      </c>
      <c r="D1262" t="s">
        <v>46</v>
      </c>
      <c r="E1262" s="1">
        <v>44510</v>
      </c>
      <c r="F1262" t="s">
        <v>79</v>
      </c>
      <c r="G1262" t="s">
        <v>301</v>
      </c>
      <c r="H1262" t="s">
        <v>49</v>
      </c>
      <c r="I1262">
        <v>6</v>
      </c>
      <c r="J1262" t="s">
        <v>33</v>
      </c>
      <c r="K1262">
        <v>2</v>
      </c>
      <c r="L1262" s="3">
        <v>2999</v>
      </c>
      <c r="M1262">
        <v>20</v>
      </c>
      <c r="N1262" s="3">
        <v>2400</v>
      </c>
      <c r="O1262" s="3">
        <v>4800</v>
      </c>
      <c r="P1262" t="s">
        <v>74</v>
      </c>
      <c r="Q1262" t="s">
        <v>51</v>
      </c>
      <c r="R1262" t="s">
        <v>36</v>
      </c>
      <c r="S1262" t="s">
        <v>104</v>
      </c>
      <c r="T1262" t="s">
        <v>1048</v>
      </c>
      <c r="U1262" t="s">
        <v>54</v>
      </c>
      <c r="V1262" t="s">
        <v>40</v>
      </c>
      <c r="W1262">
        <v>4.4000000000000004</v>
      </c>
      <c r="X1262" t="s">
        <v>41</v>
      </c>
      <c r="Y1262" t="s">
        <v>42</v>
      </c>
      <c r="Z1262">
        <v>4</v>
      </c>
    </row>
    <row r="1263" spans="1:26">
      <c r="A1263" t="s">
        <v>2261</v>
      </c>
      <c r="B1263" t="s">
        <v>2257</v>
      </c>
      <c r="C1263" t="s">
        <v>28</v>
      </c>
      <c r="D1263" t="s">
        <v>103</v>
      </c>
      <c r="E1263" s="1">
        <v>44511</v>
      </c>
      <c r="F1263" t="s">
        <v>79</v>
      </c>
      <c r="G1263" t="s">
        <v>480</v>
      </c>
      <c r="H1263" t="s">
        <v>111</v>
      </c>
      <c r="I1263">
        <v>8</v>
      </c>
      <c r="J1263" t="s">
        <v>67</v>
      </c>
      <c r="K1263">
        <v>1</v>
      </c>
      <c r="L1263" s="3">
        <v>3799</v>
      </c>
      <c r="M1263">
        <v>25</v>
      </c>
      <c r="N1263" s="3">
        <v>2850</v>
      </c>
      <c r="O1263" s="3">
        <v>2850</v>
      </c>
      <c r="P1263" t="s">
        <v>81</v>
      </c>
      <c r="Q1263" t="s">
        <v>51</v>
      </c>
      <c r="R1263" t="s">
        <v>36</v>
      </c>
      <c r="S1263" t="s">
        <v>238</v>
      </c>
      <c r="T1263" t="s">
        <v>239</v>
      </c>
      <c r="U1263" t="s">
        <v>61</v>
      </c>
      <c r="V1263" t="s">
        <v>315</v>
      </c>
      <c r="W1263">
        <v>4.2</v>
      </c>
      <c r="X1263" t="s">
        <v>106</v>
      </c>
      <c r="Y1263" t="s">
        <v>42</v>
      </c>
      <c r="Z1263">
        <v>4</v>
      </c>
    </row>
    <row r="1264" spans="1:26">
      <c r="A1264" t="s">
        <v>2262</v>
      </c>
      <c r="B1264" t="s">
        <v>357</v>
      </c>
      <c r="C1264" t="s">
        <v>45</v>
      </c>
      <c r="D1264" t="s">
        <v>29</v>
      </c>
      <c r="E1264" s="1">
        <v>44511</v>
      </c>
      <c r="F1264" t="s">
        <v>30</v>
      </c>
      <c r="G1264" t="s">
        <v>31</v>
      </c>
      <c r="H1264" t="s">
        <v>32</v>
      </c>
      <c r="I1264">
        <v>11</v>
      </c>
      <c r="J1264" t="s">
        <v>98</v>
      </c>
      <c r="K1264">
        <v>1</v>
      </c>
      <c r="L1264" s="3">
        <v>4099</v>
      </c>
      <c r="M1264">
        <v>20</v>
      </c>
      <c r="N1264" s="3">
        <v>3280</v>
      </c>
      <c r="O1264" s="3">
        <v>3280</v>
      </c>
      <c r="P1264" t="s">
        <v>74</v>
      </c>
      <c r="Q1264" t="s">
        <v>51</v>
      </c>
      <c r="R1264" t="s">
        <v>36</v>
      </c>
      <c r="S1264" t="s">
        <v>195</v>
      </c>
      <c r="T1264" t="s">
        <v>196</v>
      </c>
      <c r="U1264" t="s">
        <v>91</v>
      </c>
      <c r="V1264" t="s">
        <v>315</v>
      </c>
      <c r="W1264">
        <v>3.8</v>
      </c>
      <c r="X1264" t="s">
        <v>62</v>
      </c>
      <c r="Y1264" t="s">
        <v>55</v>
      </c>
      <c r="Z1264">
        <v>3</v>
      </c>
    </row>
    <row r="1265" spans="1:26">
      <c r="A1265" t="s">
        <v>2263</v>
      </c>
      <c r="B1265" t="s">
        <v>705</v>
      </c>
      <c r="C1265" t="s">
        <v>28</v>
      </c>
      <c r="D1265" t="s">
        <v>29</v>
      </c>
      <c r="E1265" s="1">
        <v>44512</v>
      </c>
      <c r="F1265" t="s">
        <v>96</v>
      </c>
      <c r="G1265" t="s">
        <v>290</v>
      </c>
      <c r="H1265" t="s">
        <v>32</v>
      </c>
      <c r="I1265">
        <v>10</v>
      </c>
      <c r="J1265" t="s">
        <v>88</v>
      </c>
      <c r="K1265">
        <v>1</v>
      </c>
      <c r="L1265" s="3">
        <v>5199</v>
      </c>
      <c r="M1265">
        <v>0</v>
      </c>
      <c r="N1265" s="3">
        <v>5200</v>
      </c>
      <c r="O1265" s="3">
        <v>5200</v>
      </c>
      <c r="P1265" t="s">
        <v>81</v>
      </c>
      <c r="Q1265" t="s">
        <v>82</v>
      </c>
      <c r="R1265" t="s">
        <v>36</v>
      </c>
      <c r="S1265" t="s">
        <v>129</v>
      </c>
      <c r="T1265" t="s">
        <v>655</v>
      </c>
      <c r="U1265" t="s">
        <v>61</v>
      </c>
      <c r="V1265" t="s">
        <v>315</v>
      </c>
      <c r="W1265">
        <v>5</v>
      </c>
      <c r="X1265" t="s">
        <v>41</v>
      </c>
      <c r="Y1265" t="s">
        <v>42</v>
      </c>
      <c r="Z1265">
        <v>6</v>
      </c>
    </row>
    <row r="1266" spans="1:26">
      <c r="A1266" t="s">
        <v>2264</v>
      </c>
      <c r="B1266" t="s">
        <v>2265</v>
      </c>
      <c r="C1266" t="s">
        <v>45</v>
      </c>
      <c r="D1266" t="s">
        <v>95</v>
      </c>
      <c r="E1266" s="1">
        <v>44513</v>
      </c>
      <c r="F1266" t="s">
        <v>96</v>
      </c>
      <c r="G1266" t="s">
        <v>97</v>
      </c>
      <c r="H1266" t="s">
        <v>49</v>
      </c>
      <c r="I1266">
        <v>11</v>
      </c>
      <c r="J1266" t="s">
        <v>33</v>
      </c>
      <c r="K1266">
        <v>3</v>
      </c>
      <c r="L1266" s="3">
        <v>6399</v>
      </c>
      <c r="M1266">
        <v>20</v>
      </c>
      <c r="N1266" s="3">
        <v>5120</v>
      </c>
      <c r="O1266" s="3">
        <v>15360</v>
      </c>
      <c r="P1266" t="s">
        <v>34</v>
      </c>
      <c r="Q1266" t="s">
        <v>51</v>
      </c>
      <c r="R1266" t="s">
        <v>36</v>
      </c>
      <c r="S1266" t="s">
        <v>117</v>
      </c>
      <c r="T1266" t="s">
        <v>118</v>
      </c>
      <c r="U1266" t="s">
        <v>91</v>
      </c>
      <c r="V1266" t="s">
        <v>40</v>
      </c>
      <c r="W1266">
        <v>3.9</v>
      </c>
      <c r="X1266" t="s">
        <v>62</v>
      </c>
      <c r="Y1266" t="s">
        <v>42</v>
      </c>
      <c r="Z1266">
        <v>5</v>
      </c>
    </row>
    <row r="1267" spans="1:26">
      <c r="A1267" t="s">
        <v>2266</v>
      </c>
      <c r="B1267" t="s">
        <v>2267</v>
      </c>
      <c r="C1267" t="s">
        <v>45</v>
      </c>
      <c r="D1267" t="s">
        <v>46</v>
      </c>
      <c r="E1267" s="1">
        <v>44513</v>
      </c>
      <c r="F1267" t="s">
        <v>86</v>
      </c>
      <c r="G1267" t="s">
        <v>242</v>
      </c>
      <c r="H1267" t="s">
        <v>32</v>
      </c>
      <c r="I1267">
        <v>9</v>
      </c>
      <c r="J1267" t="s">
        <v>98</v>
      </c>
      <c r="K1267">
        <v>1</v>
      </c>
      <c r="L1267" s="3">
        <v>6699</v>
      </c>
      <c r="M1267">
        <v>20</v>
      </c>
      <c r="N1267" s="3">
        <v>5360</v>
      </c>
      <c r="O1267" s="3">
        <v>5360</v>
      </c>
      <c r="P1267" t="s">
        <v>74</v>
      </c>
      <c r="Q1267" t="s">
        <v>51</v>
      </c>
      <c r="R1267" t="s">
        <v>36</v>
      </c>
      <c r="S1267" t="s">
        <v>243</v>
      </c>
      <c r="T1267" t="s">
        <v>273</v>
      </c>
      <c r="U1267" t="s">
        <v>124</v>
      </c>
      <c r="V1267" t="s">
        <v>40</v>
      </c>
      <c r="W1267">
        <v>2.9</v>
      </c>
      <c r="X1267" t="s">
        <v>41</v>
      </c>
      <c r="Y1267" t="s">
        <v>55</v>
      </c>
      <c r="Z1267">
        <v>2</v>
      </c>
    </row>
    <row r="1268" spans="1:26">
      <c r="A1268" t="s">
        <v>2268</v>
      </c>
      <c r="B1268" t="s">
        <v>2269</v>
      </c>
      <c r="C1268" t="s">
        <v>28</v>
      </c>
      <c r="D1268" t="s">
        <v>46</v>
      </c>
      <c r="E1268" s="1">
        <v>44513</v>
      </c>
      <c r="F1268" t="s">
        <v>79</v>
      </c>
      <c r="G1268" t="s">
        <v>174</v>
      </c>
      <c r="H1268" t="s">
        <v>32</v>
      </c>
      <c r="I1268">
        <v>10</v>
      </c>
      <c r="J1268" t="s">
        <v>73</v>
      </c>
      <c r="K1268">
        <v>1</v>
      </c>
      <c r="L1268" s="3">
        <v>8199</v>
      </c>
      <c r="M1268">
        <v>20</v>
      </c>
      <c r="N1268" s="3">
        <v>6560</v>
      </c>
      <c r="O1268" s="3">
        <v>6560</v>
      </c>
      <c r="P1268" t="s">
        <v>74</v>
      </c>
      <c r="Q1268" t="s">
        <v>35</v>
      </c>
      <c r="R1268" t="s">
        <v>36</v>
      </c>
      <c r="S1268" t="s">
        <v>358</v>
      </c>
      <c r="T1268" t="s">
        <v>359</v>
      </c>
      <c r="U1268" t="s">
        <v>61</v>
      </c>
      <c r="V1268" t="s">
        <v>40</v>
      </c>
      <c r="W1268">
        <v>2.7</v>
      </c>
      <c r="X1268" t="s">
        <v>41</v>
      </c>
      <c r="Y1268" t="s">
        <v>42</v>
      </c>
      <c r="Z1268">
        <v>7</v>
      </c>
    </row>
    <row r="1269" spans="1:26">
      <c r="A1269" t="s">
        <v>2270</v>
      </c>
      <c r="B1269" t="s">
        <v>947</v>
      </c>
      <c r="C1269" t="s">
        <v>28</v>
      </c>
      <c r="D1269" t="s">
        <v>95</v>
      </c>
      <c r="E1269" s="1">
        <v>44514</v>
      </c>
      <c r="F1269" t="s">
        <v>30</v>
      </c>
      <c r="G1269" t="s">
        <v>145</v>
      </c>
      <c r="H1269" t="s">
        <v>59</v>
      </c>
      <c r="I1269">
        <v>10</v>
      </c>
      <c r="J1269" t="s">
        <v>98</v>
      </c>
      <c r="K1269">
        <v>1</v>
      </c>
      <c r="L1269" s="3">
        <v>6099</v>
      </c>
      <c r="M1269">
        <v>20</v>
      </c>
      <c r="N1269" s="3">
        <v>4880</v>
      </c>
      <c r="O1269" s="3">
        <v>4880</v>
      </c>
      <c r="P1269" t="s">
        <v>34</v>
      </c>
      <c r="Q1269" t="s">
        <v>82</v>
      </c>
      <c r="R1269" t="s">
        <v>36</v>
      </c>
      <c r="S1269" t="s">
        <v>160</v>
      </c>
      <c r="T1269" t="s">
        <v>161</v>
      </c>
      <c r="U1269" t="s">
        <v>124</v>
      </c>
      <c r="V1269" t="s">
        <v>969</v>
      </c>
      <c r="W1269">
        <v>4.8</v>
      </c>
      <c r="X1269" t="s">
        <v>41</v>
      </c>
      <c r="Y1269" t="s">
        <v>42</v>
      </c>
      <c r="Z1269">
        <v>3</v>
      </c>
    </row>
    <row r="1270" spans="1:26">
      <c r="A1270" t="s">
        <v>2271</v>
      </c>
      <c r="B1270" t="s">
        <v>930</v>
      </c>
      <c r="C1270" t="s">
        <v>45</v>
      </c>
      <c r="D1270" t="s">
        <v>46</v>
      </c>
      <c r="E1270" s="1">
        <v>44515</v>
      </c>
      <c r="F1270" t="s">
        <v>47</v>
      </c>
      <c r="G1270" t="s">
        <v>121</v>
      </c>
      <c r="H1270" t="s">
        <v>111</v>
      </c>
      <c r="I1270">
        <v>8</v>
      </c>
      <c r="J1270" t="s">
        <v>73</v>
      </c>
      <c r="K1270">
        <v>1</v>
      </c>
      <c r="L1270" s="3">
        <v>9499</v>
      </c>
      <c r="M1270">
        <v>10</v>
      </c>
      <c r="N1270" s="3">
        <v>8550</v>
      </c>
      <c r="O1270" s="3">
        <v>8550</v>
      </c>
      <c r="P1270" t="s">
        <v>81</v>
      </c>
      <c r="Q1270" t="s">
        <v>82</v>
      </c>
      <c r="R1270" t="s">
        <v>36</v>
      </c>
      <c r="S1270" t="s">
        <v>354</v>
      </c>
      <c r="T1270" t="s">
        <v>518</v>
      </c>
      <c r="U1270" t="s">
        <v>124</v>
      </c>
      <c r="V1270" t="s">
        <v>315</v>
      </c>
      <c r="W1270">
        <v>4.0999999999999996</v>
      </c>
      <c r="X1270" t="s">
        <v>41</v>
      </c>
      <c r="Y1270" t="s">
        <v>42</v>
      </c>
      <c r="Z1270">
        <v>2</v>
      </c>
    </row>
    <row r="1271" spans="1:26">
      <c r="A1271" t="s">
        <v>2272</v>
      </c>
      <c r="B1271" t="s">
        <v>1181</v>
      </c>
      <c r="C1271" t="s">
        <v>45</v>
      </c>
      <c r="D1271" t="s">
        <v>46</v>
      </c>
      <c r="E1271" s="1">
        <v>44515</v>
      </c>
      <c r="F1271" t="s">
        <v>47</v>
      </c>
      <c r="G1271" t="s">
        <v>140</v>
      </c>
      <c r="H1271" t="s">
        <v>128</v>
      </c>
      <c r="I1271">
        <v>9</v>
      </c>
      <c r="J1271" t="s">
        <v>150</v>
      </c>
      <c r="K1271">
        <v>1</v>
      </c>
      <c r="L1271" s="3">
        <v>6499</v>
      </c>
      <c r="M1271">
        <v>20</v>
      </c>
      <c r="N1271" s="3">
        <v>5200</v>
      </c>
      <c r="O1271" s="3">
        <v>5200</v>
      </c>
      <c r="P1271" t="s">
        <v>34</v>
      </c>
      <c r="Q1271" t="s">
        <v>51</v>
      </c>
      <c r="R1271" t="s">
        <v>36</v>
      </c>
      <c r="S1271" t="s">
        <v>104</v>
      </c>
      <c r="T1271" t="s">
        <v>1048</v>
      </c>
      <c r="U1271" t="s">
        <v>61</v>
      </c>
      <c r="V1271" t="s">
        <v>315</v>
      </c>
      <c r="W1271">
        <v>3.8</v>
      </c>
      <c r="X1271" t="s">
        <v>41</v>
      </c>
      <c r="Y1271" t="s">
        <v>55</v>
      </c>
      <c r="Z1271">
        <v>2</v>
      </c>
    </row>
    <row r="1272" spans="1:26">
      <c r="A1272" t="s">
        <v>2273</v>
      </c>
      <c r="B1272" t="s">
        <v>2274</v>
      </c>
      <c r="C1272" t="s">
        <v>45</v>
      </c>
      <c r="D1272" t="s">
        <v>103</v>
      </c>
      <c r="E1272" s="1">
        <v>44515</v>
      </c>
      <c r="F1272" t="s">
        <v>47</v>
      </c>
      <c r="G1272" t="s">
        <v>218</v>
      </c>
      <c r="H1272" t="s">
        <v>59</v>
      </c>
      <c r="I1272">
        <v>8</v>
      </c>
      <c r="J1272" t="s">
        <v>150</v>
      </c>
      <c r="K1272">
        <v>3</v>
      </c>
      <c r="L1272" s="3">
        <v>9799</v>
      </c>
      <c r="M1272">
        <v>5</v>
      </c>
      <c r="N1272" s="3">
        <v>9310</v>
      </c>
      <c r="O1272" s="3">
        <v>27930</v>
      </c>
      <c r="P1272" t="s">
        <v>34</v>
      </c>
      <c r="Q1272" t="s">
        <v>35</v>
      </c>
      <c r="R1272" t="s">
        <v>36</v>
      </c>
      <c r="S1272" t="s">
        <v>210</v>
      </c>
      <c r="T1272" t="s">
        <v>211</v>
      </c>
      <c r="U1272" t="s">
        <v>124</v>
      </c>
      <c r="V1272" t="s">
        <v>40</v>
      </c>
      <c r="W1272">
        <v>3.2</v>
      </c>
      <c r="X1272" t="s">
        <v>41</v>
      </c>
      <c r="Y1272" t="s">
        <v>42</v>
      </c>
      <c r="Z1272">
        <v>5</v>
      </c>
    </row>
    <row r="1273" spans="1:26">
      <c r="A1273" t="s">
        <v>2275</v>
      </c>
      <c r="B1273" t="s">
        <v>1862</v>
      </c>
      <c r="C1273" t="s">
        <v>45</v>
      </c>
      <c r="D1273" t="s">
        <v>95</v>
      </c>
      <c r="E1273" s="1">
        <v>44516</v>
      </c>
      <c r="F1273" t="s">
        <v>30</v>
      </c>
      <c r="G1273" t="s">
        <v>145</v>
      </c>
      <c r="H1273" t="s">
        <v>59</v>
      </c>
      <c r="I1273">
        <v>6</v>
      </c>
      <c r="J1273" t="s">
        <v>150</v>
      </c>
      <c r="K1273">
        <v>1</v>
      </c>
      <c r="L1273" s="3">
        <v>7399</v>
      </c>
      <c r="M1273">
        <v>5</v>
      </c>
      <c r="N1273" s="3">
        <v>7030</v>
      </c>
      <c r="O1273" s="3">
        <v>7030</v>
      </c>
      <c r="P1273" t="s">
        <v>34</v>
      </c>
      <c r="Q1273" t="s">
        <v>82</v>
      </c>
      <c r="R1273" t="s">
        <v>36</v>
      </c>
      <c r="S1273" t="s">
        <v>89</v>
      </c>
      <c r="T1273" t="s">
        <v>1982</v>
      </c>
      <c r="U1273" t="s">
        <v>124</v>
      </c>
      <c r="V1273" t="s">
        <v>315</v>
      </c>
      <c r="W1273">
        <v>4.0999999999999996</v>
      </c>
      <c r="X1273" t="s">
        <v>106</v>
      </c>
      <c r="Y1273" t="s">
        <v>42</v>
      </c>
      <c r="Z1273">
        <v>2</v>
      </c>
    </row>
    <row r="1274" spans="1:26">
      <c r="A1274" t="s">
        <v>2276</v>
      </c>
      <c r="B1274" t="s">
        <v>2277</v>
      </c>
      <c r="C1274" t="s">
        <v>28</v>
      </c>
      <c r="D1274" t="s">
        <v>103</v>
      </c>
      <c r="E1274" s="1">
        <v>44518</v>
      </c>
      <c r="F1274" t="s">
        <v>96</v>
      </c>
      <c r="G1274" t="s">
        <v>155</v>
      </c>
      <c r="H1274" t="s">
        <v>111</v>
      </c>
      <c r="I1274">
        <v>10</v>
      </c>
      <c r="J1274" t="s">
        <v>73</v>
      </c>
      <c r="K1274">
        <v>1</v>
      </c>
      <c r="L1274" s="3">
        <v>7399</v>
      </c>
      <c r="M1274">
        <v>40</v>
      </c>
      <c r="N1274" s="3">
        <v>4440</v>
      </c>
      <c r="O1274" s="3">
        <v>4440</v>
      </c>
      <c r="P1274" t="s">
        <v>74</v>
      </c>
      <c r="Q1274" t="s">
        <v>35</v>
      </c>
      <c r="R1274" t="s">
        <v>36</v>
      </c>
      <c r="S1274" t="s">
        <v>164</v>
      </c>
      <c r="T1274" t="s">
        <v>314</v>
      </c>
      <c r="U1274" t="s">
        <v>91</v>
      </c>
      <c r="V1274" t="s">
        <v>40</v>
      </c>
      <c r="W1274">
        <v>3.6</v>
      </c>
      <c r="X1274" t="s">
        <v>106</v>
      </c>
      <c r="Y1274" t="s">
        <v>42</v>
      </c>
      <c r="Z1274">
        <v>5</v>
      </c>
    </row>
    <row r="1275" spans="1:26">
      <c r="A1275" t="s">
        <v>2278</v>
      </c>
      <c r="B1275" t="s">
        <v>831</v>
      </c>
      <c r="C1275" t="s">
        <v>28</v>
      </c>
      <c r="D1275" t="s">
        <v>109</v>
      </c>
      <c r="E1275" s="1">
        <v>44518</v>
      </c>
      <c r="F1275" t="s">
        <v>30</v>
      </c>
      <c r="G1275" t="s">
        <v>145</v>
      </c>
      <c r="H1275" t="s">
        <v>59</v>
      </c>
      <c r="I1275">
        <v>10</v>
      </c>
      <c r="J1275" t="s">
        <v>98</v>
      </c>
      <c r="K1275">
        <v>1</v>
      </c>
      <c r="L1275" s="3">
        <v>5199</v>
      </c>
      <c r="M1275">
        <v>5</v>
      </c>
      <c r="N1275" s="3">
        <v>4940</v>
      </c>
      <c r="O1275" s="3">
        <v>4940</v>
      </c>
      <c r="P1275" t="s">
        <v>74</v>
      </c>
      <c r="Q1275" t="s">
        <v>51</v>
      </c>
      <c r="R1275" t="s">
        <v>36</v>
      </c>
      <c r="S1275" t="s">
        <v>182</v>
      </c>
      <c r="T1275" t="s">
        <v>503</v>
      </c>
      <c r="U1275" t="s">
        <v>91</v>
      </c>
      <c r="V1275" t="s">
        <v>969</v>
      </c>
      <c r="W1275">
        <v>4.2</v>
      </c>
      <c r="X1275" t="s">
        <v>41</v>
      </c>
      <c r="Y1275" t="s">
        <v>55</v>
      </c>
      <c r="Z1275">
        <v>3</v>
      </c>
    </row>
    <row r="1276" spans="1:26">
      <c r="A1276" t="s">
        <v>2279</v>
      </c>
      <c r="B1276" t="s">
        <v>2280</v>
      </c>
      <c r="C1276" t="s">
        <v>94</v>
      </c>
      <c r="D1276" t="s">
        <v>95</v>
      </c>
      <c r="E1276" s="1">
        <v>44519</v>
      </c>
      <c r="F1276" t="s">
        <v>86</v>
      </c>
      <c r="G1276" t="s">
        <v>87</v>
      </c>
      <c r="H1276" t="s">
        <v>59</v>
      </c>
      <c r="I1276">
        <v>9</v>
      </c>
      <c r="J1276" t="s">
        <v>73</v>
      </c>
      <c r="K1276">
        <v>1</v>
      </c>
      <c r="L1276" s="3">
        <v>5499</v>
      </c>
      <c r="M1276">
        <v>30</v>
      </c>
      <c r="N1276" s="3">
        <v>3850</v>
      </c>
      <c r="O1276" s="3">
        <v>3850</v>
      </c>
      <c r="P1276" t="s">
        <v>34</v>
      </c>
      <c r="Q1276" t="s">
        <v>82</v>
      </c>
      <c r="R1276" t="s">
        <v>36</v>
      </c>
      <c r="S1276" t="s">
        <v>99</v>
      </c>
      <c r="T1276" t="s">
        <v>100</v>
      </c>
      <c r="U1276" t="s">
        <v>124</v>
      </c>
      <c r="V1276" t="s">
        <v>40</v>
      </c>
      <c r="W1276">
        <v>4.7</v>
      </c>
      <c r="X1276" t="s">
        <v>41</v>
      </c>
      <c r="Y1276" t="s">
        <v>42</v>
      </c>
      <c r="Z1276">
        <v>3</v>
      </c>
    </row>
    <row r="1277" spans="1:26">
      <c r="A1277" t="s">
        <v>2281</v>
      </c>
      <c r="B1277" t="s">
        <v>637</v>
      </c>
      <c r="C1277" t="s">
        <v>28</v>
      </c>
      <c r="D1277" t="s">
        <v>103</v>
      </c>
      <c r="E1277" s="1">
        <v>44519</v>
      </c>
      <c r="F1277" t="s">
        <v>96</v>
      </c>
      <c r="G1277" t="s">
        <v>323</v>
      </c>
      <c r="H1277" t="s">
        <v>59</v>
      </c>
      <c r="I1277">
        <v>7</v>
      </c>
      <c r="J1277" t="s">
        <v>33</v>
      </c>
      <c r="K1277">
        <v>3</v>
      </c>
      <c r="L1277" s="3">
        <v>8899</v>
      </c>
      <c r="M1277">
        <v>20</v>
      </c>
      <c r="N1277" s="3">
        <v>7120</v>
      </c>
      <c r="O1277" s="3">
        <v>21360</v>
      </c>
      <c r="P1277" t="s">
        <v>34</v>
      </c>
      <c r="Q1277" t="s">
        <v>82</v>
      </c>
      <c r="R1277" t="s">
        <v>36</v>
      </c>
      <c r="S1277" t="s">
        <v>129</v>
      </c>
      <c r="T1277" t="s">
        <v>655</v>
      </c>
      <c r="U1277" t="s">
        <v>61</v>
      </c>
      <c r="V1277" t="s">
        <v>315</v>
      </c>
      <c r="W1277">
        <v>5</v>
      </c>
      <c r="X1277" t="s">
        <v>41</v>
      </c>
      <c r="Y1277" t="s">
        <v>42</v>
      </c>
      <c r="Z1277">
        <v>5</v>
      </c>
    </row>
    <row r="1278" spans="1:26">
      <c r="A1278" t="s">
        <v>2282</v>
      </c>
      <c r="B1278" t="s">
        <v>1928</v>
      </c>
      <c r="C1278" t="s">
        <v>45</v>
      </c>
      <c r="D1278" t="s">
        <v>103</v>
      </c>
      <c r="E1278" s="1">
        <v>44520</v>
      </c>
      <c r="F1278" t="s">
        <v>47</v>
      </c>
      <c r="G1278" t="s">
        <v>140</v>
      </c>
      <c r="H1278" t="s">
        <v>128</v>
      </c>
      <c r="I1278">
        <v>10</v>
      </c>
      <c r="J1278" t="s">
        <v>150</v>
      </c>
      <c r="K1278">
        <v>1</v>
      </c>
      <c r="L1278" s="3">
        <v>8099</v>
      </c>
      <c r="M1278">
        <v>20</v>
      </c>
      <c r="N1278" s="3">
        <v>6480</v>
      </c>
      <c r="O1278" s="3">
        <v>6480</v>
      </c>
      <c r="P1278" t="s">
        <v>74</v>
      </c>
      <c r="Q1278" t="s">
        <v>51</v>
      </c>
      <c r="R1278" t="s">
        <v>36</v>
      </c>
      <c r="S1278" t="s">
        <v>460</v>
      </c>
      <c r="T1278" t="s">
        <v>461</v>
      </c>
      <c r="U1278" t="s">
        <v>39</v>
      </c>
      <c r="V1278" t="s">
        <v>315</v>
      </c>
      <c r="W1278">
        <v>4.5</v>
      </c>
      <c r="X1278" t="s">
        <v>106</v>
      </c>
      <c r="Y1278" t="s">
        <v>147</v>
      </c>
      <c r="Z1278">
        <v>1</v>
      </c>
    </row>
    <row r="1279" spans="1:26">
      <c r="A1279" t="s">
        <v>2283</v>
      </c>
      <c r="B1279" t="s">
        <v>330</v>
      </c>
      <c r="C1279" t="s">
        <v>28</v>
      </c>
      <c r="D1279" t="s">
        <v>103</v>
      </c>
      <c r="E1279" s="1">
        <v>44520</v>
      </c>
      <c r="F1279" t="s">
        <v>65</v>
      </c>
      <c r="G1279" t="s">
        <v>268</v>
      </c>
      <c r="H1279" t="s">
        <v>128</v>
      </c>
      <c r="I1279">
        <v>10</v>
      </c>
      <c r="J1279" t="s">
        <v>73</v>
      </c>
      <c r="K1279">
        <v>1</v>
      </c>
      <c r="L1279" s="3">
        <v>4399</v>
      </c>
      <c r="M1279">
        <v>20</v>
      </c>
      <c r="N1279" s="3">
        <v>3520</v>
      </c>
      <c r="O1279" s="3">
        <v>3520</v>
      </c>
      <c r="P1279" t="s">
        <v>74</v>
      </c>
      <c r="Q1279" t="s">
        <v>82</v>
      </c>
      <c r="R1279" t="s">
        <v>36</v>
      </c>
      <c r="S1279" t="s">
        <v>136</v>
      </c>
      <c r="T1279" t="s">
        <v>137</v>
      </c>
      <c r="U1279" t="s">
        <v>91</v>
      </c>
      <c r="V1279" t="s">
        <v>315</v>
      </c>
      <c r="W1279">
        <v>4.9000000000000004</v>
      </c>
      <c r="X1279" t="s">
        <v>41</v>
      </c>
      <c r="Y1279" t="s">
        <v>42</v>
      </c>
      <c r="Z1279">
        <v>6</v>
      </c>
    </row>
    <row r="1280" spans="1:26">
      <c r="A1280" t="s">
        <v>2284</v>
      </c>
      <c r="B1280" t="s">
        <v>1121</v>
      </c>
      <c r="C1280" t="s">
        <v>94</v>
      </c>
      <c r="D1280" t="s">
        <v>103</v>
      </c>
      <c r="E1280" s="1">
        <v>44522</v>
      </c>
      <c r="F1280" t="s">
        <v>96</v>
      </c>
      <c r="G1280" t="s">
        <v>97</v>
      </c>
      <c r="H1280" t="s">
        <v>49</v>
      </c>
      <c r="I1280">
        <v>11</v>
      </c>
      <c r="J1280" t="s">
        <v>67</v>
      </c>
      <c r="K1280">
        <v>1</v>
      </c>
      <c r="L1280" s="3">
        <v>4799</v>
      </c>
      <c r="M1280">
        <v>35</v>
      </c>
      <c r="N1280" s="3">
        <v>3120</v>
      </c>
      <c r="O1280" s="3">
        <v>3120</v>
      </c>
      <c r="P1280" t="s">
        <v>74</v>
      </c>
      <c r="Q1280" t="s">
        <v>51</v>
      </c>
      <c r="R1280" t="s">
        <v>36</v>
      </c>
      <c r="S1280" t="s">
        <v>186</v>
      </c>
      <c r="T1280" t="s">
        <v>222</v>
      </c>
      <c r="U1280" t="s">
        <v>39</v>
      </c>
      <c r="V1280" t="s">
        <v>315</v>
      </c>
      <c r="W1280">
        <v>3</v>
      </c>
      <c r="X1280" t="s">
        <v>106</v>
      </c>
      <c r="Y1280" t="s">
        <v>42</v>
      </c>
      <c r="Z1280">
        <v>5</v>
      </c>
    </row>
    <row r="1281" spans="1:26">
      <c r="A1281" t="s">
        <v>2285</v>
      </c>
      <c r="B1281" t="s">
        <v>2286</v>
      </c>
      <c r="C1281" t="s">
        <v>45</v>
      </c>
      <c r="D1281" t="s">
        <v>46</v>
      </c>
      <c r="E1281" s="1">
        <v>44522</v>
      </c>
      <c r="F1281" t="s">
        <v>96</v>
      </c>
      <c r="G1281" t="s">
        <v>97</v>
      </c>
      <c r="H1281" t="s">
        <v>49</v>
      </c>
      <c r="I1281">
        <v>10</v>
      </c>
      <c r="J1281" t="s">
        <v>150</v>
      </c>
      <c r="K1281">
        <v>3</v>
      </c>
      <c r="L1281" s="3">
        <v>7999</v>
      </c>
      <c r="M1281">
        <v>10</v>
      </c>
      <c r="N1281" s="3">
        <v>7200</v>
      </c>
      <c r="O1281" s="3">
        <v>21600</v>
      </c>
      <c r="P1281" t="s">
        <v>74</v>
      </c>
      <c r="Q1281" t="s">
        <v>82</v>
      </c>
      <c r="R1281" t="s">
        <v>36</v>
      </c>
      <c r="S1281" t="s">
        <v>418</v>
      </c>
      <c r="T1281" t="s">
        <v>924</v>
      </c>
      <c r="U1281" t="s">
        <v>91</v>
      </c>
      <c r="V1281" t="s">
        <v>40</v>
      </c>
      <c r="W1281">
        <v>3.8</v>
      </c>
      <c r="X1281" t="s">
        <v>41</v>
      </c>
      <c r="Y1281" t="s">
        <v>42</v>
      </c>
      <c r="Z1281">
        <v>4</v>
      </c>
    </row>
    <row r="1282" spans="1:26">
      <c r="A1282" t="s">
        <v>2287</v>
      </c>
      <c r="B1282" t="s">
        <v>1449</v>
      </c>
      <c r="C1282" t="s">
        <v>28</v>
      </c>
      <c r="D1282" t="s">
        <v>109</v>
      </c>
      <c r="E1282" s="1">
        <v>44523</v>
      </c>
      <c r="F1282" t="s">
        <v>86</v>
      </c>
      <c r="G1282" t="s">
        <v>242</v>
      </c>
      <c r="H1282" t="s">
        <v>32</v>
      </c>
      <c r="I1282">
        <v>12</v>
      </c>
      <c r="J1282" t="s">
        <v>98</v>
      </c>
      <c r="K1282">
        <v>1</v>
      </c>
      <c r="L1282" s="3">
        <v>9099</v>
      </c>
      <c r="M1282">
        <v>10</v>
      </c>
      <c r="N1282" s="3">
        <v>8190</v>
      </c>
      <c r="O1282" s="3">
        <v>8190</v>
      </c>
      <c r="P1282" t="s">
        <v>81</v>
      </c>
      <c r="Q1282" t="s">
        <v>35</v>
      </c>
      <c r="R1282" t="s">
        <v>36</v>
      </c>
      <c r="S1282" t="s">
        <v>156</v>
      </c>
      <c r="T1282" t="s">
        <v>324</v>
      </c>
      <c r="U1282" t="s">
        <v>39</v>
      </c>
      <c r="V1282" t="s">
        <v>315</v>
      </c>
      <c r="W1282">
        <v>4.0999999999999996</v>
      </c>
      <c r="X1282" t="s">
        <v>41</v>
      </c>
      <c r="Y1282" t="s">
        <v>55</v>
      </c>
      <c r="Z1282">
        <v>3</v>
      </c>
    </row>
    <row r="1283" spans="1:26">
      <c r="A1283" t="s">
        <v>2288</v>
      </c>
      <c r="B1283" t="s">
        <v>2265</v>
      </c>
      <c r="C1283" t="s">
        <v>28</v>
      </c>
      <c r="D1283" t="s">
        <v>46</v>
      </c>
      <c r="E1283" s="1">
        <v>44524</v>
      </c>
      <c r="F1283" t="s">
        <v>79</v>
      </c>
      <c r="G1283" t="s">
        <v>480</v>
      </c>
      <c r="H1283" t="s">
        <v>111</v>
      </c>
      <c r="I1283">
        <v>10</v>
      </c>
      <c r="J1283" t="s">
        <v>98</v>
      </c>
      <c r="K1283">
        <v>1</v>
      </c>
      <c r="L1283" s="3">
        <v>3899</v>
      </c>
      <c r="M1283">
        <v>15</v>
      </c>
      <c r="N1283" s="3">
        <v>3310</v>
      </c>
      <c r="O1283" s="3">
        <v>3310</v>
      </c>
      <c r="P1283" t="s">
        <v>74</v>
      </c>
      <c r="Q1283" t="s">
        <v>51</v>
      </c>
      <c r="R1283" t="s">
        <v>36</v>
      </c>
      <c r="S1283" t="s">
        <v>141</v>
      </c>
      <c r="T1283" t="s">
        <v>142</v>
      </c>
      <c r="U1283" t="s">
        <v>39</v>
      </c>
      <c r="V1283" t="s">
        <v>315</v>
      </c>
      <c r="W1283">
        <v>5</v>
      </c>
      <c r="X1283" t="s">
        <v>41</v>
      </c>
      <c r="Y1283" t="s">
        <v>42</v>
      </c>
      <c r="Z1283">
        <v>3</v>
      </c>
    </row>
    <row r="1284" spans="1:26">
      <c r="A1284" t="s">
        <v>2289</v>
      </c>
      <c r="B1284" t="s">
        <v>57</v>
      </c>
      <c r="C1284" t="s">
        <v>94</v>
      </c>
      <c r="D1284" t="s">
        <v>46</v>
      </c>
      <c r="E1284" s="1">
        <v>44524</v>
      </c>
      <c r="F1284" t="s">
        <v>47</v>
      </c>
      <c r="G1284" t="s">
        <v>121</v>
      </c>
      <c r="H1284" t="s">
        <v>111</v>
      </c>
      <c r="I1284">
        <v>7</v>
      </c>
      <c r="J1284" t="s">
        <v>98</v>
      </c>
      <c r="K1284">
        <v>3</v>
      </c>
      <c r="L1284" s="3">
        <v>5499</v>
      </c>
      <c r="M1284">
        <v>15</v>
      </c>
      <c r="N1284" s="3">
        <v>4670</v>
      </c>
      <c r="O1284" s="3">
        <v>14010</v>
      </c>
      <c r="P1284" t="s">
        <v>34</v>
      </c>
      <c r="Q1284" t="s">
        <v>82</v>
      </c>
      <c r="R1284" t="s">
        <v>36</v>
      </c>
      <c r="S1284" t="s">
        <v>117</v>
      </c>
      <c r="T1284" t="s">
        <v>751</v>
      </c>
      <c r="U1284" t="s">
        <v>39</v>
      </c>
      <c r="V1284" t="s">
        <v>315</v>
      </c>
      <c r="W1284">
        <v>4.8</v>
      </c>
      <c r="X1284" t="s">
        <v>41</v>
      </c>
      <c r="Y1284" t="s">
        <v>42</v>
      </c>
      <c r="Z1284">
        <v>4</v>
      </c>
    </row>
    <row r="1285" spans="1:26">
      <c r="A1285" t="s">
        <v>2290</v>
      </c>
      <c r="B1285" t="s">
        <v>2286</v>
      </c>
      <c r="C1285" t="s">
        <v>45</v>
      </c>
      <c r="D1285" t="s">
        <v>46</v>
      </c>
      <c r="E1285" s="1">
        <v>44524</v>
      </c>
      <c r="F1285" t="s">
        <v>86</v>
      </c>
      <c r="G1285" t="s">
        <v>242</v>
      </c>
      <c r="H1285" t="s">
        <v>32</v>
      </c>
      <c r="I1285">
        <v>10</v>
      </c>
      <c r="J1285" t="s">
        <v>67</v>
      </c>
      <c r="K1285">
        <v>1</v>
      </c>
      <c r="L1285" s="3">
        <v>7699</v>
      </c>
      <c r="M1285">
        <v>25</v>
      </c>
      <c r="N1285" s="3">
        <v>5770</v>
      </c>
      <c r="O1285" s="3">
        <v>5770</v>
      </c>
      <c r="P1285" t="s">
        <v>34</v>
      </c>
      <c r="Q1285" t="s">
        <v>35</v>
      </c>
      <c r="R1285" t="s">
        <v>36</v>
      </c>
      <c r="S1285" t="s">
        <v>286</v>
      </c>
      <c r="T1285" t="s">
        <v>287</v>
      </c>
      <c r="U1285" t="s">
        <v>124</v>
      </c>
      <c r="V1285" t="s">
        <v>315</v>
      </c>
      <c r="W1285">
        <v>4.3</v>
      </c>
      <c r="X1285" t="s">
        <v>41</v>
      </c>
      <c r="Y1285" t="s">
        <v>55</v>
      </c>
      <c r="Z1285">
        <v>1</v>
      </c>
    </row>
    <row r="1286" spans="1:26">
      <c r="A1286" t="s">
        <v>2291</v>
      </c>
      <c r="B1286" t="s">
        <v>1715</v>
      </c>
      <c r="C1286" t="s">
        <v>94</v>
      </c>
      <c r="D1286" t="s">
        <v>46</v>
      </c>
      <c r="E1286" s="1">
        <v>44526</v>
      </c>
      <c r="F1286" t="s">
        <v>79</v>
      </c>
      <c r="G1286" t="s">
        <v>301</v>
      </c>
      <c r="H1286" t="s">
        <v>49</v>
      </c>
      <c r="I1286">
        <v>7</v>
      </c>
      <c r="J1286" t="s">
        <v>150</v>
      </c>
      <c r="K1286">
        <v>2</v>
      </c>
      <c r="L1286" s="3">
        <v>6699</v>
      </c>
      <c r="M1286">
        <v>20</v>
      </c>
      <c r="N1286" s="3">
        <v>5360</v>
      </c>
      <c r="O1286" s="3">
        <v>10720</v>
      </c>
      <c r="P1286" t="s">
        <v>81</v>
      </c>
      <c r="Q1286" t="s">
        <v>51</v>
      </c>
      <c r="R1286" t="s">
        <v>36</v>
      </c>
      <c r="S1286" t="s">
        <v>418</v>
      </c>
      <c r="T1286" t="s">
        <v>419</v>
      </c>
      <c r="U1286" t="s">
        <v>54</v>
      </c>
      <c r="V1286" t="s">
        <v>315</v>
      </c>
      <c r="W1286">
        <v>3.7</v>
      </c>
      <c r="X1286" t="s">
        <v>41</v>
      </c>
      <c r="Y1286" t="s">
        <v>42</v>
      </c>
      <c r="Z1286">
        <v>1</v>
      </c>
    </row>
    <row r="1287" spans="1:26">
      <c r="A1287" t="s">
        <v>2292</v>
      </c>
      <c r="B1287" t="s">
        <v>1912</v>
      </c>
      <c r="C1287" t="s">
        <v>45</v>
      </c>
      <c r="D1287" t="s">
        <v>103</v>
      </c>
      <c r="E1287" s="1">
        <v>44527</v>
      </c>
      <c r="F1287" t="s">
        <v>79</v>
      </c>
      <c r="G1287" t="s">
        <v>127</v>
      </c>
      <c r="H1287" t="s">
        <v>128</v>
      </c>
      <c r="I1287">
        <v>9</v>
      </c>
      <c r="J1287" t="s">
        <v>88</v>
      </c>
      <c r="K1287">
        <v>1</v>
      </c>
      <c r="L1287" s="3">
        <v>5999</v>
      </c>
      <c r="M1287">
        <v>20</v>
      </c>
      <c r="N1287" s="3">
        <v>4800</v>
      </c>
      <c r="O1287" s="3">
        <v>4800</v>
      </c>
      <c r="P1287" t="s">
        <v>34</v>
      </c>
      <c r="Q1287" t="s">
        <v>51</v>
      </c>
      <c r="R1287" t="s">
        <v>36</v>
      </c>
      <c r="S1287" t="s">
        <v>269</v>
      </c>
      <c r="T1287" t="s">
        <v>652</v>
      </c>
      <c r="U1287" t="s">
        <v>54</v>
      </c>
      <c r="V1287" t="s">
        <v>315</v>
      </c>
      <c r="W1287">
        <v>4.0999999999999996</v>
      </c>
      <c r="X1287" t="s">
        <v>41</v>
      </c>
      <c r="Y1287" t="s">
        <v>55</v>
      </c>
      <c r="Z1287">
        <v>2</v>
      </c>
    </row>
    <row r="1288" spans="1:26">
      <c r="A1288" t="s">
        <v>2293</v>
      </c>
      <c r="B1288" t="s">
        <v>2294</v>
      </c>
      <c r="C1288" t="s">
        <v>94</v>
      </c>
      <c r="D1288" t="s">
        <v>29</v>
      </c>
      <c r="E1288" s="1">
        <v>44527</v>
      </c>
      <c r="F1288" t="s">
        <v>86</v>
      </c>
      <c r="G1288" t="s">
        <v>285</v>
      </c>
      <c r="H1288" t="s">
        <v>111</v>
      </c>
      <c r="I1288">
        <v>9</v>
      </c>
      <c r="J1288" t="s">
        <v>73</v>
      </c>
      <c r="K1288">
        <v>2</v>
      </c>
      <c r="L1288" s="3">
        <v>5699</v>
      </c>
      <c r="M1288">
        <v>20</v>
      </c>
      <c r="N1288" s="3">
        <v>4560</v>
      </c>
      <c r="O1288" s="3">
        <v>9120</v>
      </c>
      <c r="P1288" t="s">
        <v>34</v>
      </c>
      <c r="Q1288" t="s">
        <v>35</v>
      </c>
      <c r="R1288" t="s">
        <v>36</v>
      </c>
      <c r="S1288" t="s">
        <v>354</v>
      </c>
      <c r="T1288" t="s">
        <v>518</v>
      </c>
      <c r="U1288" t="s">
        <v>124</v>
      </c>
      <c r="V1288" t="s">
        <v>40</v>
      </c>
      <c r="W1288">
        <v>5</v>
      </c>
      <c r="X1288" t="s">
        <v>41</v>
      </c>
      <c r="Y1288" t="s">
        <v>42</v>
      </c>
      <c r="Z1288">
        <v>1</v>
      </c>
    </row>
    <row r="1289" spans="1:26">
      <c r="A1289" t="s">
        <v>2295</v>
      </c>
      <c r="B1289" t="s">
        <v>154</v>
      </c>
      <c r="C1289" t="s">
        <v>28</v>
      </c>
      <c r="D1289" t="s">
        <v>46</v>
      </c>
      <c r="E1289" s="1">
        <v>44527</v>
      </c>
      <c r="F1289" t="s">
        <v>86</v>
      </c>
      <c r="G1289" t="s">
        <v>190</v>
      </c>
      <c r="H1289" t="s">
        <v>128</v>
      </c>
      <c r="I1289">
        <v>7</v>
      </c>
      <c r="J1289" t="s">
        <v>88</v>
      </c>
      <c r="K1289">
        <v>1</v>
      </c>
      <c r="L1289" s="3">
        <v>6399</v>
      </c>
      <c r="M1289">
        <v>20</v>
      </c>
      <c r="N1289" s="3">
        <v>5120</v>
      </c>
      <c r="O1289" s="3">
        <v>5120</v>
      </c>
      <c r="P1289" t="s">
        <v>34</v>
      </c>
      <c r="Q1289" t="s">
        <v>51</v>
      </c>
      <c r="R1289" t="s">
        <v>36</v>
      </c>
      <c r="S1289" t="s">
        <v>151</v>
      </c>
      <c r="T1289" t="s">
        <v>890</v>
      </c>
      <c r="U1289" t="s">
        <v>39</v>
      </c>
      <c r="V1289" t="s">
        <v>969</v>
      </c>
      <c r="W1289">
        <v>2.9</v>
      </c>
      <c r="X1289" t="s">
        <v>41</v>
      </c>
      <c r="Y1289" t="s">
        <v>147</v>
      </c>
      <c r="Z1289">
        <v>1</v>
      </c>
    </row>
    <row r="1290" spans="1:26">
      <c r="A1290" t="s">
        <v>2296</v>
      </c>
      <c r="B1290" t="s">
        <v>2297</v>
      </c>
      <c r="C1290" t="s">
        <v>45</v>
      </c>
      <c r="D1290" t="s">
        <v>29</v>
      </c>
      <c r="E1290" s="1">
        <v>44528</v>
      </c>
      <c r="F1290" t="s">
        <v>79</v>
      </c>
      <c r="G1290" t="s">
        <v>80</v>
      </c>
      <c r="H1290" t="s">
        <v>59</v>
      </c>
      <c r="I1290">
        <v>11</v>
      </c>
      <c r="J1290" t="s">
        <v>33</v>
      </c>
      <c r="K1290">
        <v>1</v>
      </c>
      <c r="L1290" s="3">
        <v>7399</v>
      </c>
      <c r="M1290">
        <v>0</v>
      </c>
      <c r="N1290" s="3">
        <v>7400</v>
      </c>
      <c r="O1290" s="3">
        <v>7400</v>
      </c>
      <c r="P1290" t="s">
        <v>81</v>
      </c>
      <c r="Q1290" t="s">
        <v>51</v>
      </c>
      <c r="R1290" t="s">
        <v>36</v>
      </c>
      <c r="S1290" t="s">
        <v>164</v>
      </c>
      <c r="T1290" t="s">
        <v>348</v>
      </c>
      <c r="U1290" t="s">
        <v>54</v>
      </c>
      <c r="V1290" t="s">
        <v>40</v>
      </c>
      <c r="W1290">
        <v>4.5</v>
      </c>
      <c r="X1290" t="s">
        <v>41</v>
      </c>
      <c r="Y1290" t="s">
        <v>42</v>
      </c>
      <c r="Z1290">
        <v>2</v>
      </c>
    </row>
    <row r="1291" spans="1:26">
      <c r="A1291" t="s">
        <v>2298</v>
      </c>
      <c r="B1291" t="s">
        <v>808</v>
      </c>
      <c r="C1291" t="s">
        <v>94</v>
      </c>
      <c r="D1291" t="s">
        <v>46</v>
      </c>
      <c r="E1291" s="1">
        <v>44528</v>
      </c>
      <c r="F1291" t="s">
        <v>65</v>
      </c>
      <c r="G1291" t="s">
        <v>72</v>
      </c>
      <c r="H1291" t="s">
        <v>59</v>
      </c>
      <c r="I1291">
        <v>8</v>
      </c>
      <c r="J1291" t="s">
        <v>98</v>
      </c>
      <c r="K1291">
        <v>1</v>
      </c>
      <c r="L1291" s="3">
        <v>6499</v>
      </c>
      <c r="M1291">
        <v>15</v>
      </c>
      <c r="N1291" s="3">
        <v>5520</v>
      </c>
      <c r="O1291" s="3">
        <v>5520</v>
      </c>
      <c r="P1291" t="s">
        <v>34</v>
      </c>
      <c r="Q1291" t="s">
        <v>35</v>
      </c>
      <c r="R1291" t="s">
        <v>36</v>
      </c>
      <c r="S1291" t="s">
        <v>156</v>
      </c>
      <c r="T1291" t="s">
        <v>369</v>
      </c>
      <c r="U1291" t="s">
        <v>61</v>
      </c>
      <c r="V1291" t="s">
        <v>315</v>
      </c>
      <c r="W1291">
        <v>2.6</v>
      </c>
      <c r="X1291" t="s">
        <v>41</v>
      </c>
      <c r="Y1291" t="s">
        <v>55</v>
      </c>
      <c r="Z1291">
        <v>3</v>
      </c>
    </row>
    <row r="1292" spans="1:26">
      <c r="A1292" t="s">
        <v>2299</v>
      </c>
      <c r="B1292" t="s">
        <v>2300</v>
      </c>
      <c r="C1292" t="s">
        <v>45</v>
      </c>
      <c r="D1292" t="s">
        <v>46</v>
      </c>
      <c r="E1292" s="1">
        <v>44528</v>
      </c>
      <c r="F1292" t="s">
        <v>65</v>
      </c>
      <c r="G1292" t="s">
        <v>279</v>
      </c>
      <c r="H1292" t="s">
        <v>111</v>
      </c>
      <c r="I1292">
        <v>11</v>
      </c>
      <c r="J1292" t="s">
        <v>73</v>
      </c>
      <c r="K1292">
        <v>1</v>
      </c>
      <c r="L1292" s="3">
        <v>4099</v>
      </c>
      <c r="M1292">
        <v>20</v>
      </c>
      <c r="N1292" s="3">
        <v>3280</v>
      </c>
      <c r="O1292" s="3">
        <v>3280</v>
      </c>
      <c r="P1292" t="s">
        <v>34</v>
      </c>
      <c r="Q1292" t="s">
        <v>51</v>
      </c>
      <c r="R1292" t="s">
        <v>36</v>
      </c>
      <c r="S1292" t="s">
        <v>89</v>
      </c>
      <c r="T1292" t="s">
        <v>425</v>
      </c>
      <c r="U1292" t="s">
        <v>91</v>
      </c>
      <c r="V1292" t="s">
        <v>40</v>
      </c>
      <c r="W1292">
        <v>4.2</v>
      </c>
      <c r="X1292" t="s">
        <v>106</v>
      </c>
      <c r="Y1292" t="s">
        <v>55</v>
      </c>
      <c r="Z1292">
        <v>2</v>
      </c>
    </row>
    <row r="1293" spans="1:26">
      <c r="A1293" t="s">
        <v>2301</v>
      </c>
      <c r="B1293" t="s">
        <v>1201</v>
      </c>
      <c r="C1293" t="s">
        <v>45</v>
      </c>
      <c r="D1293" t="s">
        <v>46</v>
      </c>
      <c r="E1293" s="1">
        <v>44531</v>
      </c>
      <c r="F1293" t="s">
        <v>79</v>
      </c>
      <c r="G1293" t="s">
        <v>80</v>
      </c>
      <c r="H1293" t="s">
        <v>59</v>
      </c>
      <c r="I1293">
        <v>9</v>
      </c>
      <c r="J1293" t="s">
        <v>88</v>
      </c>
      <c r="K1293">
        <v>1</v>
      </c>
      <c r="L1293" s="3">
        <v>6099</v>
      </c>
      <c r="M1293">
        <v>20</v>
      </c>
      <c r="N1293" s="3">
        <v>4880</v>
      </c>
      <c r="O1293" s="3">
        <v>4880</v>
      </c>
      <c r="P1293" t="s">
        <v>74</v>
      </c>
      <c r="Q1293" t="s">
        <v>51</v>
      </c>
      <c r="R1293" t="s">
        <v>36</v>
      </c>
      <c r="S1293" t="s">
        <v>191</v>
      </c>
      <c r="T1293" t="s">
        <v>192</v>
      </c>
      <c r="U1293" t="s">
        <v>61</v>
      </c>
      <c r="V1293" t="s">
        <v>315</v>
      </c>
      <c r="W1293">
        <v>4.5999999999999996</v>
      </c>
      <c r="X1293" t="s">
        <v>41</v>
      </c>
      <c r="Y1293" t="s">
        <v>42</v>
      </c>
      <c r="Z1293">
        <v>5</v>
      </c>
    </row>
    <row r="1294" spans="1:26">
      <c r="A1294" t="s">
        <v>2302</v>
      </c>
      <c r="B1294" t="s">
        <v>392</v>
      </c>
      <c r="C1294" t="s">
        <v>45</v>
      </c>
      <c r="D1294" t="s">
        <v>46</v>
      </c>
      <c r="E1294" s="1">
        <v>44532</v>
      </c>
      <c r="F1294" t="s">
        <v>79</v>
      </c>
      <c r="G1294" t="s">
        <v>127</v>
      </c>
      <c r="H1294" t="s">
        <v>128</v>
      </c>
      <c r="I1294">
        <v>7</v>
      </c>
      <c r="J1294" t="s">
        <v>73</v>
      </c>
      <c r="K1294">
        <v>1</v>
      </c>
      <c r="L1294" s="3">
        <v>6499</v>
      </c>
      <c r="M1294">
        <v>10</v>
      </c>
      <c r="N1294" s="3">
        <v>5850</v>
      </c>
      <c r="O1294" s="3">
        <v>5850</v>
      </c>
      <c r="P1294" t="s">
        <v>34</v>
      </c>
      <c r="Q1294" t="s">
        <v>51</v>
      </c>
      <c r="R1294" t="s">
        <v>36</v>
      </c>
      <c r="S1294" t="s">
        <v>52</v>
      </c>
      <c r="T1294" t="s">
        <v>235</v>
      </c>
      <c r="U1294" t="s">
        <v>54</v>
      </c>
      <c r="V1294" t="s">
        <v>969</v>
      </c>
      <c r="W1294">
        <v>4.3</v>
      </c>
      <c r="X1294" t="s">
        <v>62</v>
      </c>
      <c r="Y1294" t="s">
        <v>42</v>
      </c>
      <c r="Z1294">
        <v>5</v>
      </c>
    </row>
    <row r="1295" spans="1:26">
      <c r="A1295" t="s">
        <v>2303</v>
      </c>
      <c r="B1295" t="s">
        <v>673</v>
      </c>
      <c r="C1295" t="s">
        <v>28</v>
      </c>
      <c r="D1295" t="s">
        <v>46</v>
      </c>
      <c r="E1295" s="1">
        <v>44533</v>
      </c>
      <c r="F1295" t="s">
        <v>96</v>
      </c>
      <c r="G1295" t="s">
        <v>155</v>
      </c>
      <c r="H1295" t="s">
        <v>111</v>
      </c>
      <c r="I1295">
        <v>9</v>
      </c>
      <c r="J1295" t="s">
        <v>88</v>
      </c>
      <c r="K1295">
        <v>1</v>
      </c>
      <c r="L1295" s="3">
        <v>5799</v>
      </c>
      <c r="M1295">
        <v>10</v>
      </c>
      <c r="N1295" s="3">
        <v>5220</v>
      </c>
      <c r="O1295" s="3">
        <v>5220</v>
      </c>
      <c r="P1295" t="s">
        <v>74</v>
      </c>
      <c r="Q1295" t="s">
        <v>82</v>
      </c>
      <c r="R1295" t="s">
        <v>36</v>
      </c>
      <c r="S1295" t="s">
        <v>297</v>
      </c>
      <c r="T1295" t="s">
        <v>351</v>
      </c>
      <c r="U1295" t="s">
        <v>54</v>
      </c>
      <c r="V1295" t="s">
        <v>969</v>
      </c>
      <c r="W1295">
        <v>4</v>
      </c>
      <c r="X1295" t="s">
        <v>41</v>
      </c>
      <c r="Y1295" t="s">
        <v>42</v>
      </c>
      <c r="Z1295">
        <v>2</v>
      </c>
    </row>
    <row r="1296" spans="1:26">
      <c r="A1296" t="s">
        <v>2304</v>
      </c>
      <c r="B1296" t="s">
        <v>1423</v>
      </c>
      <c r="C1296" t="s">
        <v>45</v>
      </c>
      <c r="D1296" t="s">
        <v>46</v>
      </c>
      <c r="E1296" s="1">
        <v>44534</v>
      </c>
      <c r="F1296" t="s">
        <v>86</v>
      </c>
      <c r="G1296" t="s">
        <v>312</v>
      </c>
      <c r="H1296" t="s">
        <v>59</v>
      </c>
      <c r="I1296">
        <v>8</v>
      </c>
      <c r="J1296" t="s">
        <v>73</v>
      </c>
      <c r="K1296">
        <v>1</v>
      </c>
      <c r="L1296" s="3">
        <v>8099</v>
      </c>
      <c r="M1296">
        <v>15</v>
      </c>
      <c r="N1296" s="3">
        <v>6880</v>
      </c>
      <c r="O1296" s="3">
        <v>6880</v>
      </c>
      <c r="P1296" t="s">
        <v>81</v>
      </c>
      <c r="Q1296" t="s">
        <v>51</v>
      </c>
      <c r="R1296" t="s">
        <v>36</v>
      </c>
      <c r="S1296" t="s">
        <v>297</v>
      </c>
      <c r="T1296" t="s">
        <v>298</v>
      </c>
      <c r="U1296" t="s">
        <v>61</v>
      </c>
      <c r="V1296" t="s">
        <v>315</v>
      </c>
      <c r="W1296">
        <v>4.3</v>
      </c>
      <c r="X1296" t="s">
        <v>41</v>
      </c>
      <c r="Y1296" t="s">
        <v>55</v>
      </c>
      <c r="Z1296">
        <v>3</v>
      </c>
    </row>
    <row r="1297" spans="1:26">
      <c r="A1297" t="s">
        <v>2305</v>
      </c>
      <c r="B1297" t="s">
        <v>1844</v>
      </c>
      <c r="C1297" t="s">
        <v>28</v>
      </c>
      <c r="D1297" t="s">
        <v>103</v>
      </c>
      <c r="E1297" s="1">
        <v>44534</v>
      </c>
      <c r="F1297" t="s">
        <v>86</v>
      </c>
      <c r="G1297" t="s">
        <v>190</v>
      </c>
      <c r="H1297" t="s">
        <v>128</v>
      </c>
      <c r="I1297">
        <v>7</v>
      </c>
      <c r="J1297" t="s">
        <v>33</v>
      </c>
      <c r="K1297">
        <v>1</v>
      </c>
      <c r="L1297" s="3">
        <v>8599</v>
      </c>
      <c r="M1297">
        <v>15</v>
      </c>
      <c r="N1297" s="3">
        <v>7310</v>
      </c>
      <c r="O1297" s="3">
        <v>7310</v>
      </c>
      <c r="P1297" t="s">
        <v>34</v>
      </c>
      <c r="Q1297" t="s">
        <v>51</v>
      </c>
      <c r="R1297" t="s">
        <v>36</v>
      </c>
      <c r="S1297" t="s">
        <v>168</v>
      </c>
      <c r="T1297" t="s">
        <v>714</v>
      </c>
      <c r="U1297" t="s">
        <v>91</v>
      </c>
      <c r="V1297" t="s">
        <v>315</v>
      </c>
      <c r="W1297">
        <v>4.0999999999999996</v>
      </c>
      <c r="X1297" t="s">
        <v>106</v>
      </c>
      <c r="Y1297" t="s">
        <v>55</v>
      </c>
      <c r="Z1297">
        <v>2</v>
      </c>
    </row>
    <row r="1298" spans="1:26">
      <c r="A1298" t="s">
        <v>2306</v>
      </c>
      <c r="B1298" t="s">
        <v>1129</v>
      </c>
      <c r="C1298" t="s">
        <v>28</v>
      </c>
      <c r="D1298" t="s">
        <v>46</v>
      </c>
      <c r="E1298" s="1">
        <v>44534</v>
      </c>
      <c r="F1298" t="s">
        <v>65</v>
      </c>
      <c r="G1298" t="s">
        <v>365</v>
      </c>
      <c r="H1298" t="s">
        <v>49</v>
      </c>
      <c r="I1298">
        <v>11</v>
      </c>
      <c r="J1298" t="s">
        <v>98</v>
      </c>
      <c r="K1298">
        <v>2</v>
      </c>
      <c r="L1298" s="3">
        <v>8099</v>
      </c>
      <c r="M1298">
        <v>10</v>
      </c>
      <c r="N1298" s="3">
        <v>7290</v>
      </c>
      <c r="O1298" s="3">
        <v>14580</v>
      </c>
      <c r="P1298" t="s">
        <v>50</v>
      </c>
      <c r="Q1298" t="s">
        <v>82</v>
      </c>
      <c r="R1298" t="s">
        <v>36</v>
      </c>
      <c r="S1298" t="s">
        <v>52</v>
      </c>
      <c r="T1298" t="s">
        <v>53</v>
      </c>
      <c r="U1298" t="s">
        <v>124</v>
      </c>
      <c r="V1298" t="s">
        <v>315</v>
      </c>
      <c r="W1298">
        <v>3.9</v>
      </c>
      <c r="X1298" t="s">
        <v>62</v>
      </c>
      <c r="Y1298" t="s">
        <v>55</v>
      </c>
      <c r="Z1298">
        <v>2</v>
      </c>
    </row>
    <row r="1299" spans="1:26">
      <c r="A1299" t="s">
        <v>2307</v>
      </c>
      <c r="B1299" t="s">
        <v>2269</v>
      </c>
      <c r="C1299" t="s">
        <v>28</v>
      </c>
      <c r="D1299" t="s">
        <v>46</v>
      </c>
      <c r="E1299" s="1">
        <v>44534</v>
      </c>
      <c r="F1299" t="s">
        <v>86</v>
      </c>
      <c r="G1299" t="s">
        <v>242</v>
      </c>
      <c r="H1299" t="s">
        <v>32</v>
      </c>
      <c r="I1299">
        <v>11</v>
      </c>
      <c r="J1299" t="s">
        <v>67</v>
      </c>
      <c r="K1299">
        <v>1</v>
      </c>
      <c r="L1299" s="3">
        <v>6799</v>
      </c>
      <c r="M1299">
        <v>20</v>
      </c>
      <c r="N1299" s="3">
        <v>5440</v>
      </c>
      <c r="O1299" s="3">
        <v>5440</v>
      </c>
      <c r="P1299" t="s">
        <v>74</v>
      </c>
      <c r="Q1299" t="s">
        <v>82</v>
      </c>
      <c r="R1299" t="s">
        <v>36</v>
      </c>
      <c r="S1299" t="s">
        <v>200</v>
      </c>
      <c r="T1299" t="s">
        <v>219</v>
      </c>
      <c r="U1299" t="s">
        <v>61</v>
      </c>
      <c r="V1299" t="s">
        <v>315</v>
      </c>
      <c r="W1299">
        <v>3.1</v>
      </c>
      <c r="X1299" t="s">
        <v>106</v>
      </c>
      <c r="Y1299" t="s">
        <v>55</v>
      </c>
      <c r="Z1299">
        <v>1</v>
      </c>
    </row>
    <row r="1300" spans="1:26">
      <c r="A1300" t="s">
        <v>2308</v>
      </c>
      <c r="B1300" t="s">
        <v>2309</v>
      </c>
      <c r="C1300" t="s">
        <v>45</v>
      </c>
      <c r="D1300" t="s">
        <v>95</v>
      </c>
      <c r="E1300" s="1">
        <v>44535</v>
      </c>
      <c r="F1300" t="s">
        <v>86</v>
      </c>
      <c r="G1300" t="s">
        <v>312</v>
      </c>
      <c r="H1300" t="s">
        <v>59</v>
      </c>
      <c r="I1300">
        <v>10</v>
      </c>
      <c r="J1300" t="s">
        <v>33</v>
      </c>
      <c r="K1300">
        <v>1</v>
      </c>
      <c r="L1300" s="3">
        <v>6999</v>
      </c>
      <c r="M1300">
        <v>10</v>
      </c>
      <c r="N1300" s="3">
        <v>6300</v>
      </c>
      <c r="O1300" s="3">
        <v>6300</v>
      </c>
      <c r="P1300" t="s">
        <v>34</v>
      </c>
      <c r="Q1300" t="s">
        <v>82</v>
      </c>
      <c r="R1300" t="s">
        <v>36</v>
      </c>
      <c r="S1300" t="s">
        <v>117</v>
      </c>
      <c r="T1300" t="s">
        <v>544</v>
      </c>
      <c r="U1300" t="s">
        <v>61</v>
      </c>
      <c r="V1300" t="s">
        <v>40</v>
      </c>
      <c r="W1300">
        <v>4.4000000000000004</v>
      </c>
      <c r="X1300" t="s">
        <v>106</v>
      </c>
      <c r="Y1300" t="s">
        <v>55</v>
      </c>
      <c r="Z1300">
        <v>3</v>
      </c>
    </row>
    <row r="1301" spans="1:26">
      <c r="A1301" t="s">
        <v>2310</v>
      </c>
      <c r="B1301" t="s">
        <v>2311</v>
      </c>
      <c r="C1301" t="s">
        <v>28</v>
      </c>
      <c r="D1301" t="s">
        <v>95</v>
      </c>
      <c r="E1301" s="1">
        <v>44536</v>
      </c>
      <c r="F1301" t="s">
        <v>79</v>
      </c>
      <c r="G1301" t="s">
        <v>517</v>
      </c>
      <c r="H1301" t="s">
        <v>59</v>
      </c>
      <c r="I1301">
        <v>11</v>
      </c>
      <c r="J1301" t="s">
        <v>98</v>
      </c>
      <c r="K1301">
        <v>1</v>
      </c>
      <c r="L1301" s="3">
        <v>5999</v>
      </c>
      <c r="M1301">
        <v>10</v>
      </c>
      <c r="N1301" s="3">
        <v>5400</v>
      </c>
      <c r="O1301" s="3">
        <v>5400</v>
      </c>
      <c r="P1301" t="s">
        <v>74</v>
      </c>
      <c r="Q1301" t="s">
        <v>82</v>
      </c>
      <c r="R1301" t="s">
        <v>36</v>
      </c>
      <c r="S1301" t="s">
        <v>354</v>
      </c>
      <c r="T1301" t="s">
        <v>355</v>
      </c>
      <c r="U1301" t="s">
        <v>124</v>
      </c>
      <c r="V1301" t="s">
        <v>40</v>
      </c>
      <c r="W1301">
        <v>3.8</v>
      </c>
      <c r="X1301" t="s">
        <v>62</v>
      </c>
      <c r="Y1301" t="s">
        <v>42</v>
      </c>
      <c r="Z1301">
        <v>2</v>
      </c>
    </row>
    <row r="1302" spans="1:26">
      <c r="A1302" t="s">
        <v>2312</v>
      </c>
      <c r="B1302" t="s">
        <v>459</v>
      </c>
      <c r="C1302" t="s">
        <v>28</v>
      </c>
      <c r="D1302" t="s">
        <v>95</v>
      </c>
      <c r="E1302" s="1">
        <v>44536</v>
      </c>
      <c r="F1302" t="s">
        <v>30</v>
      </c>
      <c r="G1302" t="s">
        <v>31</v>
      </c>
      <c r="H1302" t="s">
        <v>32</v>
      </c>
      <c r="I1302">
        <v>7</v>
      </c>
      <c r="J1302" t="s">
        <v>73</v>
      </c>
      <c r="K1302">
        <v>2</v>
      </c>
      <c r="L1302" s="3">
        <v>7199</v>
      </c>
      <c r="M1302">
        <v>25</v>
      </c>
      <c r="N1302" s="3">
        <v>5400</v>
      </c>
      <c r="O1302" s="3">
        <v>10800</v>
      </c>
      <c r="P1302" t="s">
        <v>74</v>
      </c>
      <c r="Q1302" t="s">
        <v>51</v>
      </c>
      <c r="R1302" t="s">
        <v>36</v>
      </c>
      <c r="S1302" t="s">
        <v>358</v>
      </c>
      <c r="T1302" t="s">
        <v>359</v>
      </c>
      <c r="U1302" t="s">
        <v>61</v>
      </c>
      <c r="V1302" t="s">
        <v>315</v>
      </c>
      <c r="W1302">
        <v>4.5999999999999996</v>
      </c>
      <c r="X1302" t="s">
        <v>41</v>
      </c>
      <c r="Y1302" t="s">
        <v>147</v>
      </c>
      <c r="Z1302">
        <v>1</v>
      </c>
    </row>
    <row r="1303" spans="1:26">
      <c r="A1303" t="s">
        <v>2313</v>
      </c>
      <c r="B1303" t="s">
        <v>1310</v>
      </c>
      <c r="C1303" t="s">
        <v>94</v>
      </c>
      <c r="D1303" t="s">
        <v>103</v>
      </c>
      <c r="E1303" s="1">
        <v>44536</v>
      </c>
      <c r="F1303" t="s">
        <v>65</v>
      </c>
      <c r="G1303" t="s">
        <v>279</v>
      </c>
      <c r="H1303" t="s">
        <v>111</v>
      </c>
      <c r="I1303">
        <v>9</v>
      </c>
      <c r="J1303" t="s">
        <v>150</v>
      </c>
      <c r="K1303">
        <v>1</v>
      </c>
      <c r="L1303" s="3">
        <v>7299</v>
      </c>
      <c r="M1303">
        <v>30</v>
      </c>
      <c r="N1303" s="3">
        <v>5110</v>
      </c>
      <c r="O1303" s="3">
        <v>5110</v>
      </c>
      <c r="P1303" t="s">
        <v>74</v>
      </c>
      <c r="Q1303" t="s">
        <v>35</v>
      </c>
      <c r="R1303" t="s">
        <v>36</v>
      </c>
      <c r="S1303" t="s">
        <v>129</v>
      </c>
      <c r="T1303" t="s">
        <v>655</v>
      </c>
      <c r="U1303" t="s">
        <v>54</v>
      </c>
      <c r="V1303" t="s">
        <v>315</v>
      </c>
      <c r="W1303">
        <v>2.7</v>
      </c>
      <c r="X1303" t="s">
        <v>62</v>
      </c>
      <c r="Y1303" t="s">
        <v>42</v>
      </c>
      <c r="Z1303">
        <v>4</v>
      </c>
    </row>
    <row r="1304" spans="1:26">
      <c r="A1304" t="s">
        <v>2314</v>
      </c>
      <c r="B1304" t="s">
        <v>1912</v>
      </c>
      <c r="C1304" t="s">
        <v>28</v>
      </c>
      <c r="D1304" t="s">
        <v>95</v>
      </c>
      <c r="E1304" s="1">
        <v>44537</v>
      </c>
      <c r="F1304" t="s">
        <v>79</v>
      </c>
      <c r="G1304" t="s">
        <v>480</v>
      </c>
      <c r="H1304" t="s">
        <v>111</v>
      </c>
      <c r="I1304">
        <v>8</v>
      </c>
      <c r="J1304" t="s">
        <v>67</v>
      </c>
      <c r="K1304">
        <v>2</v>
      </c>
      <c r="L1304" s="3">
        <v>5399</v>
      </c>
      <c r="M1304">
        <v>25</v>
      </c>
      <c r="N1304" s="3">
        <v>4050</v>
      </c>
      <c r="O1304" s="3">
        <v>8100</v>
      </c>
      <c r="P1304" t="s">
        <v>74</v>
      </c>
      <c r="Q1304" t="s">
        <v>51</v>
      </c>
      <c r="R1304" t="s">
        <v>36</v>
      </c>
      <c r="S1304" t="s">
        <v>141</v>
      </c>
      <c r="T1304" t="s">
        <v>362</v>
      </c>
      <c r="U1304" t="s">
        <v>124</v>
      </c>
      <c r="V1304" t="s">
        <v>315</v>
      </c>
      <c r="W1304">
        <v>4.4000000000000004</v>
      </c>
      <c r="X1304" t="s">
        <v>41</v>
      </c>
      <c r="Y1304" t="s">
        <v>42</v>
      </c>
      <c r="Z1304">
        <v>5</v>
      </c>
    </row>
    <row r="1305" spans="1:26">
      <c r="A1305" t="s">
        <v>2315</v>
      </c>
      <c r="B1305" t="s">
        <v>1921</v>
      </c>
      <c r="C1305" t="s">
        <v>45</v>
      </c>
      <c r="D1305" t="s">
        <v>29</v>
      </c>
      <c r="E1305" s="1">
        <v>44537</v>
      </c>
      <c r="F1305" t="s">
        <v>47</v>
      </c>
      <c r="G1305" t="s">
        <v>199</v>
      </c>
      <c r="H1305" t="s">
        <v>59</v>
      </c>
      <c r="I1305">
        <v>11</v>
      </c>
      <c r="J1305" t="s">
        <v>33</v>
      </c>
      <c r="K1305">
        <v>2</v>
      </c>
      <c r="L1305" s="3">
        <v>9699</v>
      </c>
      <c r="M1305">
        <v>25</v>
      </c>
      <c r="N1305" s="3">
        <v>7270</v>
      </c>
      <c r="O1305" s="3">
        <v>14540</v>
      </c>
      <c r="P1305" t="s">
        <v>34</v>
      </c>
      <c r="Q1305" t="s">
        <v>35</v>
      </c>
      <c r="R1305" t="s">
        <v>36</v>
      </c>
      <c r="S1305" t="s">
        <v>136</v>
      </c>
      <c r="T1305" t="s">
        <v>1693</v>
      </c>
      <c r="U1305" t="s">
        <v>124</v>
      </c>
      <c r="V1305" t="s">
        <v>315</v>
      </c>
      <c r="W1305">
        <v>4.2</v>
      </c>
      <c r="X1305" t="s">
        <v>41</v>
      </c>
      <c r="Y1305" t="s">
        <v>55</v>
      </c>
      <c r="Z1305">
        <v>2</v>
      </c>
    </row>
    <row r="1306" spans="1:26">
      <c r="A1306" t="s">
        <v>2316</v>
      </c>
      <c r="B1306" t="s">
        <v>2317</v>
      </c>
      <c r="C1306" t="s">
        <v>45</v>
      </c>
      <c r="D1306" t="s">
        <v>46</v>
      </c>
      <c r="E1306" s="1">
        <v>44538</v>
      </c>
      <c r="F1306" t="s">
        <v>30</v>
      </c>
      <c r="G1306" t="s">
        <v>31</v>
      </c>
      <c r="H1306" t="s">
        <v>32</v>
      </c>
      <c r="I1306">
        <v>7</v>
      </c>
      <c r="J1306" t="s">
        <v>150</v>
      </c>
      <c r="K1306">
        <v>1</v>
      </c>
      <c r="L1306" s="3">
        <v>4699</v>
      </c>
      <c r="M1306">
        <v>15</v>
      </c>
      <c r="N1306" s="3">
        <v>3990</v>
      </c>
      <c r="O1306" s="3">
        <v>3990</v>
      </c>
      <c r="P1306" t="s">
        <v>74</v>
      </c>
      <c r="Q1306" t="s">
        <v>82</v>
      </c>
      <c r="R1306" t="s">
        <v>36</v>
      </c>
      <c r="S1306" t="s">
        <v>160</v>
      </c>
      <c r="T1306" t="s">
        <v>160</v>
      </c>
      <c r="U1306" t="s">
        <v>61</v>
      </c>
      <c r="V1306" t="s">
        <v>40</v>
      </c>
      <c r="W1306">
        <v>3.2</v>
      </c>
      <c r="X1306" t="s">
        <v>41</v>
      </c>
      <c r="Y1306" t="s">
        <v>42</v>
      </c>
      <c r="Z1306">
        <v>5</v>
      </c>
    </row>
    <row r="1307" spans="1:26">
      <c r="A1307" t="s">
        <v>2318</v>
      </c>
      <c r="B1307" t="s">
        <v>823</v>
      </c>
      <c r="C1307" t="s">
        <v>28</v>
      </c>
      <c r="D1307" t="s">
        <v>29</v>
      </c>
      <c r="E1307" s="1">
        <v>44538</v>
      </c>
      <c r="F1307" t="s">
        <v>86</v>
      </c>
      <c r="G1307" t="s">
        <v>242</v>
      </c>
      <c r="H1307" t="s">
        <v>32</v>
      </c>
      <c r="I1307">
        <v>7</v>
      </c>
      <c r="J1307" t="s">
        <v>33</v>
      </c>
      <c r="K1307">
        <v>1</v>
      </c>
      <c r="L1307" s="3">
        <v>6099</v>
      </c>
      <c r="M1307">
        <v>20</v>
      </c>
      <c r="N1307" s="3">
        <v>4880</v>
      </c>
      <c r="O1307" s="3">
        <v>4880</v>
      </c>
      <c r="P1307" t="s">
        <v>74</v>
      </c>
      <c r="Q1307" t="s">
        <v>51</v>
      </c>
      <c r="R1307" t="s">
        <v>36</v>
      </c>
      <c r="S1307" t="s">
        <v>141</v>
      </c>
      <c r="T1307" t="s">
        <v>294</v>
      </c>
      <c r="U1307" t="s">
        <v>61</v>
      </c>
      <c r="V1307" t="s">
        <v>969</v>
      </c>
      <c r="W1307">
        <v>5</v>
      </c>
      <c r="X1307" t="s">
        <v>41</v>
      </c>
      <c r="Y1307" t="s">
        <v>42</v>
      </c>
      <c r="Z1307">
        <v>2</v>
      </c>
    </row>
    <row r="1308" spans="1:26">
      <c r="A1308" t="s">
        <v>2319</v>
      </c>
      <c r="B1308" t="s">
        <v>1445</v>
      </c>
      <c r="C1308" t="s">
        <v>45</v>
      </c>
      <c r="D1308" t="s">
        <v>95</v>
      </c>
      <c r="E1308" s="1">
        <v>44538</v>
      </c>
      <c r="F1308" t="s">
        <v>79</v>
      </c>
      <c r="G1308" t="s">
        <v>127</v>
      </c>
      <c r="H1308" t="s">
        <v>128</v>
      </c>
      <c r="I1308">
        <v>11</v>
      </c>
      <c r="J1308" t="s">
        <v>67</v>
      </c>
      <c r="K1308">
        <v>1</v>
      </c>
      <c r="L1308" s="3">
        <v>7299</v>
      </c>
      <c r="M1308">
        <v>5</v>
      </c>
      <c r="N1308" s="3">
        <v>6930</v>
      </c>
      <c r="O1308" s="3">
        <v>6930</v>
      </c>
      <c r="P1308" t="s">
        <v>34</v>
      </c>
      <c r="Q1308" t="s">
        <v>51</v>
      </c>
      <c r="R1308" t="s">
        <v>36</v>
      </c>
      <c r="S1308" t="s">
        <v>195</v>
      </c>
      <c r="T1308" t="s">
        <v>428</v>
      </c>
      <c r="U1308" t="s">
        <v>54</v>
      </c>
      <c r="V1308" t="s">
        <v>315</v>
      </c>
      <c r="W1308">
        <v>3.5</v>
      </c>
      <c r="X1308" t="s">
        <v>41</v>
      </c>
      <c r="Y1308" t="s">
        <v>42</v>
      </c>
      <c r="Z1308">
        <v>2</v>
      </c>
    </row>
    <row r="1309" spans="1:26">
      <c r="A1309" t="s">
        <v>2320</v>
      </c>
      <c r="B1309" t="s">
        <v>1139</v>
      </c>
      <c r="C1309" t="s">
        <v>28</v>
      </c>
      <c r="D1309" t="s">
        <v>46</v>
      </c>
      <c r="E1309" s="1">
        <v>44539</v>
      </c>
      <c r="F1309" t="s">
        <v>86</v>
      </c>
      <c r="G1309" t="s">
        <v>116</v>
      </c>
      <c r="H1309" t="s">
        <v>49</v>
      </c>
      <c r="I1309">
        <v>11</v>
      </c>
      <c r="J1309" t="s">
        <v>67</v>
      </c>
      <c r="K1309">
        <v>1</v>
      </c>
      <c r="L1309" s="3">
        <v>5899</v>
      </c>
      <c r="M1309">
        <v>5</v>
      </c>
      <c r="N1309" s="3">
        <v>5600</v>
      </c>
      <c r="O1309" s="3">
        <v>5600</v>
      </c>
      <c r="P1309" t="s">
        <v>74</v>
      </c>
      <c r="Q1309" t="s">
        <v>51</v>
      </c>
      <c r="R1309" t="s">
        <v>36</v>
      </c>
      <c r="S1309" t="s">
        <v>210</v>
      </c>
      <c r="T1309" t="s">
        <v>211</v>
      </c>
      <c r="U1309" t="s">
        <v>39</v>
      </c>
      <c r="V1309" t="s">
        <v>315</v>
      </c>
      <c r="W1309">
        <v>4.3</v>
      </c>
      <c r="X1309" t="s">
        <v>41</v>
      </c>
      <c r="Y1309" t="s">
        <v>42</v>
      </c>
      <c r="Z1309">
        <v>3</v>
      </c>
    </row>
    <row r="1310" spans="1:26">
      <c r="A1310" t="s">
        <v>2321</v>
      </c>
      <c r="B1310" t="s">
        <v>2322</v>
      </c>
      <c r="C1310" t="s">
        <v>28</v>
      </c>
      <c r="D1310" t="s">
        <v>103</v>
      </c>
      <c r="E1310" s="1">
        <v>44539</v>
      </c>
      <c r="F1310" t="s">
        <v>79</v>
      </c>
      <c r="G1310" t="s">
        <v>174</v>
      </c>
      <c r="H1310" t="s">
        <v>32</v>
      </c>
      <c r="I1310">
        <v>8</v>
      </c>
      <c r="J1310" t="s">
        <v>67</v>
      </c>
      <c r="K1310">
        <v>2</v>
      </c>
      <c r="L1310" s="3">
        <v>8899</v>
      </c>
      <c r="M1310">
        <v>15</v>
      </c>
      <c r="N1310" s="3">
        <v>7560</v>
      </c>
      <c r="O1310" s="3">
        <v>15120</v>
      </c>
      <c r="P1310" t="s">
        <v>74</v>
      </c>
      <c r="Q1310" t="s">
        <v>82</v>
      </c>
      <c r="R1310" t="s">
        <v>36</v>
      </c>
      <c r="S1310" t="s">
        <v>200</v>
      </c>
      <c r="T1310" t="s">
        <v>219</v>
      </c>
      <c r="U1310" t="s">
        <v>91</v>
      </c>
      <c r="V1310" t="s">
        <v>40</v>
      </c>
      <c r="W1310">
        <v>4.0999999999999996</v>
      </c>
      <c r="X1310" t="s">
        <v>106</v>
      </c>
      <c r="Y1310" t="s">
        <v>55</v>
      </c>
      <c r="Z1310">
        <v>1</v>
      </c>
    </row>
    <row r="1311" spans="1:26">
      <c r="A1311" t="s">
        <v>2323</v>
      </c>
      <c r="B1311" t="s">
        <v>686</v>
      </c>
      <c r="C1311" t="s">
        <v>94</v>
      </c>
      <c r="D1311" t="s">
        <v>29</v>
      </c>
      <c r="E1311" s="1">
        <v>44539</v>
      </c>
      <c r="F1311" t="s">
        <v>86</v>
      </c>
      <c r="G1311" t="s">
        <v>242</v>
      </c>
      <c r="H1311" t="s">
        <v>32</v>
      </c>
      <c r="I1311">
        <v>10</v>
      </c>
      <c r="J1311" t="s">
        <v>73</v>
      </c>
      <c r="K1311">
        <v>1</v>
      </c>
      <c r="L1311" s="3">
        <v>7999</v>
      </c>
      <c r="M1311">
        <v>10</v>
      </c>
      <c r="N1311" s="3">
        <v>7200</v>
      </c>
      <c r="O1311" s="3">
        <v>7200</v>
      </c>
      <c r="P1311" t="s">
        <v>74</v>
      </c>
      <c r="Q1311" t="s">
        <v>82</v>
      </c>
      <c r="R1311" t="s">
        <v>36</v>
      </c>
      <c r="S1311" t="s">
        <v>164</v>
      </c>
      <c r="T1311" t="s">
        <v>165</v>
      </c>
      <c r="U1311" t="s">
        <v>61</v>
      </c>
      <c r="V1311" t="s">
        <v>969</v>
      </c>
      <c r="W1311">
        <v>4.5999999999999996</v>
      </c>
      <c r="X1311" t="s">
        <v>62</v>
      </c>
      <c r="Y1311" t="s">
        <v>42</v>
      </c>
      <c r="Z1311">
        <v>4</v>
      </c>
    </row>
    <row r="1312" spans="1:26">
      <c r="A1312" t="s">
        <v>2324</v>
      </c>
      <c r="B1312" t="s">
        <v>1177</v>
      </c>
      <c r="C1312" t="s">
        <v>28</v>
      </c>
      <c r="D1312" t="s">
        <v>103</v>
      </c>
      <c r="E1312" s="1">
        <v>44539</v>
      </c>
      <c r="F1312" t="s">
        <v>96</v>
      </c>
      <c r="G1312" t="s">
        <v>97</v>
      </c>
      <c r="H1312" t="s">
        <v>49</v>
      </c>
      <c r="I1312">
        <v>10</v>
      </c>
      <c r="J1312" t="s">
        <v>88</v>
      </c>
      <c r="K1312">
        <v>2</v>
      </c>
      <c r="L1312" s="3">
        <v>6599</v>
      </c>
      <c r="M1312">
        <v>15</v>
      </c>
      <c r="N1312" s="3">
        <v>5610</v>
      </c>
      <c r="O1312" s="3">
        <v>11220</v>
      </c>
      <c r="P1312" t="s">
        <v>74</v>
      </c>
      <c r="Q1312" t="s">
        <v>51</v>
      </c>
      <c r="R1312" t="s">
        <v>36</v>
      </c>
      <c r="S1312" t="s">
        <v>384</v>
      </c>
      <c r="T1312" t="s">
        <v>444</v>
      </c>
      <c r="U1312" t="s">
        <v>54</v>
      </c>
      <c r="V1312" t="s">
        <v>315</v>
      </c>
      <c r="W1312">
        <v>3.3</v>
      </c>
      <c r="X1312" t="s">
        <v>41</v>
      </c>
      <c r="Y1312" t="s">
        <v>42</v>
      </c>
      <c r="Z1312">
        <v>5</v>
      </c>
    </row>
    <row r="1313" spans="1:26">
      <c r="A1313" t="s">
        <v>2325</v>
      </c>
      <c r="B1313" t="s">
        <v>1067</v>
      </c>
      <c r="C1313" t="s">
        <v>28</v>
      </c>
      <c r="D1313" t="s">
        <v>29</v>
      </c>
      <c r="E1313" s="1">
        <v>44540</v>
      </c>
      <c r="F1313" t="s">
        <v>86</v>
      </c>
      <c r="G1313" t="s">
        <v>87</v>
      </c>
      <c r="H1313" t="s">
        <v>59</v>
      </c>
      <c r="I1313">
        <v>6</v>
      </c>
      <c r="J1313" t="s">
        <v>98</v>
      </c>
      <c r="K1313">
        <v>1</v>
      </c>
      <c r="L1313" s="3">
        <v>8699</v>
      </c>
      <c r="M1313">
        <v>15</v>
      </c>
      <c r="N1313" s="3">
        <v>7390</v>
      </c>
      <c r="O1313" s="3">
        <v>7390</v>
      </c>
      <c r="P1313" t="s">
        <v>81</v>
      </c>
      <c r="Q1313" t="s">
        <v>51</v>
      </c>
      <c r="R1313" t="s">
        <v>36</v>
      </c>
      <c r="S1313" t="s">
        <v>210</v>
      </c>
      <c r="T1313" t="s">
        <v>680</v>
      </c>
      <c r="U1313" t="s">
        <v>39</v>
      </c>
      <c r="V1313" t="s">
        <v>315</v>
      </c>
      <c r="W1313">
        <v>3.8</v>
      </c>
      <c r="X1313" t="s">
        <v>41</v>
      </c>
      <c r="Y1313" t="s">
        <v>42</v>
      </c>
      <c r="Z1313">
        <v>3</v>
      </c>
    </row>
    <row r="1314" spans="1:26">
      <c r="A1314" t="s">
        <v>2326</v>
      </c>
      <c r="B1314" t="s">
        <v>1763</v>
      </c>
      <c r="C1314" t="s">
        <v>94</v>
      </c>
      <c r="D1314" t="s">
        <v>109</v>
      </c>
      <c r="E1314" s="1">
        <v>44540</v>
      </c>
      <c r="F1314" t="s">
        <v>65</v>
      </c>
      <c r="G1314" t="s">
        <v>365</v>
      </c>
      <c r="H1314" t="s">
        <v>49</v>
      </c>
      <c r="I1314">
        <v>9</v>
      </c>
      <c r="J1314" t="s">
        <v>98</v>
      </c>
      <c r="K1314">
        <v>1</v>
      </c>
      <c r="L1314" s="3">
        <v>4999</v>
      </c>
      <c r="M1314">
        <v>35</v>
      </c>
      <c r="N1314" s="3">
        <v>3250</v>
      </c>
      <c r="O1314" s="3">
        <v>3250</v>
      </c>
      <c r="P1314" t="s">
        <v>74</v>
      </c>
      <c r="Q1314" t="s">
        <v>35</v>
      </c>
      <c r="R1314" t="s">
        <v>36</v>
      </c>
      <c r="S1314" t="s">
        <v>104</v>
      </c>
      <c r="T1314" t="s">
        <v>105</v>
      </c>
      <c r="U1314" t="s">
        <v>124</v>
      </c>
      <c r="V1314" t="s">
        <v>315</v>
      </c>
      <c r="W1314">
        <v>4.8</v>
      </c>
      <c r="X1314" t="s">
        <v>41</v>
      </c>
      <c r="Y1314" t="s">
        <v>55</v>
      </c>
      <c r="Z1314">
        <v>4</v>
      </c>
    </row>
    <row r="1315" spans="1:26">
      <c r="A1315" t="s">
        <v>2327</v>
      </c>
      <c r="B1315" t="s">
        <v>1378</v>
      </c>
      <c r="C1315" t="s">
        <v>45</v>
      </c>
      <c r="D1315" t="s">
        <v>29</v>
      </c>
      <c r="E1315" s="1">
        <v>44541</v>
      </c>
      <c r="F1315" t="s">
        <v>30</v>
      </c>
      <c r="G1315" t="s">
        <v>347</v>
      </c>
      <c r="H1315" t="s">
        <v>49</v>
      </c>
      <c r="I1315">
        <v>9</v>
      </c>
      <c r="J1315" t="s">
        <v>98</v>
      </c>
      <c r="K1315">
        <v>1</v>
      </c>
      <c r="L1315" s="3">
        <v>7399</v>
      </c>
      <c r="M1315">
        <v>15</v>
      </c>
      <c r="N1315" s="3">
        <v>6290</v>
      </c>
      <c r="O1315" s="3">
        <v>6290</v>
      </c>
      <c r="P1315" t="s">
        <v>34</v>
      </c>
      <c r="Q1315" t="s">
        <v>35</v>
      </c>
      <c r="R1315" t="s">
        <v>36</v>
      </c>
      <c r="S1315" t="s">
        <v>186</v>
      </c>
      <c r="T1315" t="s">
        <v>397</v>
      </c>
      <c r="U1315" t="s">
        <v>124</v>
      </c>
      <c r="V1315" t="s">
        <v>315</v>
      </c>
      <c r="W1315">
        <v>5</v>
      </c>
      <c r="X1315" t="s">
        <v>41</v>
      </c>
      <c r="Y1315" t="s">
        <v>42</v>
      </c>
      <c r="Z1315">
        <v>5</v>
      </c>
    </row>
    <row r="1316" spans="1:26">
      <c r="A1316" t="s">
        <v>2328</v>
      </c>
      <c r="B1316" t="s">
        <v>623</v>
      </c>
      <c r="C1316" t="s">
        <v>94</v>
      </c>
      <c r="D1316" t="s">
        <v>95</v>
      </c>
      <c r="E1316" s="1">
        <v>44542</v>
      </c>
      <c r="F1316" t="s">
        <v>47</v>
      </c>
      <c r="G1316" t="s">
        <v>121</v>
      </c>
      <c r="H1316" t="s">
        <v>111</v>
      </c>
      <c r="I1316">
        <v>7</v>
      </c>
      <c r="J1316" t="s">
        <v>98</v>
      </c>
      <c r="K1316">
        <v>1</v>
      </c>
      <c r="L1316" s="3">
        <v>6599</v>
      </c>
      <c r="M1316">
        <v>20</v>
      </c>
      <c r="N1316" s="3">
        <v>5280</v>
      </c>
      <c r="O1316" s="3">
        <v>5280</v>
      </c>
      <c r="P1316" t="s">
        <v>74</v>
      </c>
      <c r="Q1316" t="s">
        <v>51</v>
      </c>
      <c r="R1316" t="s">
        <v>36</v>
      </c>
      <c r="S1316" t="s">
        <v>195</v>
      </c>
      <c r="T1316" t="s">
        <v>428</v>
      </c>
      <c r="U1316" t="s">
        <v>39</v>
      </c>
      <c r="V1316" t="s">
        <v>315</v>
      </c>
      <c r="W1316">
        <v>3.4</v>
      </c>
      <c r="X1316" t="s">
        <v>41</v>
      </c>
      <c r="Y1316" t="s">
        <v>42</v>
      </c>
      <c r="Z1316">
        <v>6</v>
      </c>
    </row>
    <row r="1317" spans="1:26">
      <c r="A1317" t="s">
        <v>2329</v>
      </c>
      <c r="B1317" t="s">
        <v>2330</v>
      </c>
      <c r="C1317" t="s">
        <v>45</v>
      </c>
      <c r="D1317" t="s">
        <v>29</v>
      </c>
      <c r="E1317" s="1">
        <v>44542</v>
      </c>
      <c r="F1317" t="s">
        <v>86</v>
      </c>
      <c r="G1317" t="s">
        <v>87</v>
      </c>
      <c r="H1317" t="s">
        <v>59</v>
      </c>
      <c r="I1317">
        <v>8</v>
      </c>
      <c r="J1317" t="s">
        <v>88</v>
      </c>
      <c r="K1317">
        <v>1</v>
      </c>
      <c r="L1317" s="3">
        <v>8799</v>
      </c>
      <c r="M1317">
        <v>25</v>
      </c>
      <c r="N1317" s="3">
        <v>6600</v>
      </c>
      <c r="O1317" s="3">
        <v>6600</v>
      </c>
      <c r="P1317" t="s">
        <v>74</v>
      </c>
      <c r="Q1317" t="s">
        <v>51</v>
      </c>
      <c r="R1317" t="s">
        <v>36</v>
      </c>
      <c r="S1317" t="s">
        <v>156</v>
      </c>
      <c r="T1317" t="s">
        <v>157</v>
      </c>
      <c r="U1317" t="s">
        <v>61</v>
      </c>
      <c r="V1317" t="s">
        <v>40</v>
      </c>
      <c r="W1317">
        <v>4.8</v>
      </c>
      <c r="X1317" t="s">
        <v>41</v>
      </c>
      <c r="Y1317" t="s">
        <v>42</v>
      </c>
      <c r="Z1317">
        <v>2</v>
      </c>
    </row>
    <row r="1318" spans="1:26">
      <c r="A1318" t="s">
        <v>2331</v>
      </c>
      <c r="B1318" t="s">
        <v>2332</v>
      </c>
      <c r="C1318" t="s">
        <v>94</v>
      </c>
      <c r="D1318" t="s">
        <v>109</v>
      </c>
      <c r="E1318" s="1">
        <v>44543</v>
      </c>
      <c r="F1318" t="s">
        <v>96</v>
      </c>
      <c r="G1318" t="s">
        <v>228</v>
      </c>
      <c r="H1318" t="s">
        <v>59</v>
      </c>
      <c r="I1318">
        <v>9</v>
      </c>
      <c r="J1318" t="s">
        <v>88</v>
      </c>
      <c r="K1318">
        <v>1</v>
      </c>
      <c r="L1318" s="3">
        <v>7499</v>
      </c>
      <c r="M1318">
        <v>15</v>
      </c>
      <c r="N1318" s="3">
        <v>6370</v>
      </c>
      <c r="O1318" s="3">
        <v>6370</v>
      </c>
      <c r="P1318" t="s">
        <v>50</v>
      </c>
      <c r="Q1318" t="s">
        <v>51</v>
      </c>
      <c r="R1318" t="s">
        <v>36</v>
      </c>
      <c r="S1318" t="s">
        <v>75</v>
      </c>
      <c r="T1318" t="s">
        <v>318</v>
      </c>
      <c r="U1318" t="s">
        <v>61</v>
      </c>
      <c r="V1318" t="s">
        <v>40</v>
      </c>
      <c r="W1318">
        <v>3.3</v>
      </c>
      <c r="X1318" t="s">
        <v>41</v>
      </c>
      <c r="Y1318" t="s">
        <v>55</v>
      </c>
      <c r="Z1318">
        <v>2</v>
      </c>
    </row>
    <row r="1319" spans="1:26">
      <c r="A1319" t="s">
        <v>2333</v>
      </c>
      <c r="B1319" t="s">
        <v>2334</v>
      </c>
      <c r="C1319" t="s">
        <v>28</v>
      </c>
      <c r="D1319" t="s">
        <v>95</v>
      </c>
      <c r="E1319" s="1">
        <v>44544</v>
      </c>
      <c r="F1319" t="s">
        <v>79</v>
      </c>
      <c r="G1319" t="s">
        <v>480</v>
      </c>
      <c r="H1319" t="s">
        <v>111</v>
      </c>
      <c r="I1319">
        <v>10</v>
      </c>
      <c r="J1319" t="s">
        <v>33</v>
      </c>
      <c r="K1319">
        <v>2</v>
      </c>
      <c r="L1319" s="3">
        <v>7799</v>
      </c>
      <c r="M1319">
        <v>35</v>
      </c>
      <c r="N1319" s="3">
        <v>5070</v>
      </c>
      <c r="O1319" s="3">
        <v>10140</v>
      </c>
      <c r="P1319" t="s">
        <v>34</v>
      </c>
      <c r="Q1319" t="s">
        <v>35</v>
      </c>
      <c r="R1319" t="s">
        <v>36</v>
      </c>
      <c r="S1319" t="s">
        <v>418</v>
      </c>
      <c r="T1319" t="s">
        <v>613</v>
      </c>
      <c r="U1319" t="s">
        <v>91</v>
      </c>
      <c r="V1319" t="s">
        <v>40</v>
      </c>
      <c r="W1319">
        <v>4.2</v>
      </c>
      <c r="X1319" t="s">
        <v>62</v>
      </c>
      <c r="Y1319" t="s">
        <v>42</v>
      </c>
      <c r="Z1319">
        <v>1</v>
      </c>
    </row>
    <row r="1320" spans="1:26">
      <c r="A1320" t="s">
        <v>2335</v>
      </c>
      <c r="B1320" t="s">
        <v>2336</v>
      </c>
      <c r="C1320" t="s">
        <v>94</v>
      </c>
      <c r="D1320" t="s">
        <v>103</v>
      </c>
      <c r="E1320" s="1">
        <v>44545</v>
      </c>
      <c r="F1320" t="s">
        <v>65</v>
      </c>
      <c r="G1320" t="s">
        <v>256</v>
      </c>
      <c r="H1320" t="s">
        <v>32</v>
      </c>
      <c r="I1320">
        <v>8</v>
      </c>
      <c r="J1320" t="s">
        <v>33</v>
      </c>
      <c r="K1320">
        <v>1</v>
      </c>
      <c r="L1320" s="3">
        <v>5099</v>
      </c>
      <c r="M1320">
        <v>15</v>
      </c>
      <c r="N1320" s="3">
        <v>4330</v>
      </c>
      <c r="O1320" s="3">
        <v>4330</v>
      </c>
      <c r="P1320" t="s">
        <v>81</v>
      </c>
      <c r="Q1320" t="s">
        <v>51</v>
      </c>
      <c r="R1320" t="s">
        <v>36</v>
      </c>
      <c r="S1320" t="s">
        <v>354</v>
      </c>
      <c r="T1320" t="s">
        <v>518</v>
      </c>
      <c r="U1320" t="s">
        <v>54</v>
      </c>
      <c r="V1320" t="s">
        <v>40</v>
      </c>
      <c r="W1320">
        <v>4.3</v>
      </c>
      <c r="X1320" t="s">
        <v>41</v>
      </c>
      <c r="Y1320" t="s">
        <v>55</v>
      </c>
      <c r="Z1320">
        <v>2</v>
      </c>
    </row>
    <row r="1321" spans="1:26">
      <c r="A1321" t="s">
        <v>2337</v>
      </c>
      <c r="B1321" t="s">
        <v>623</v>
      </c>
      <c r="C1321" t="s">
        <v>28</v>
      </c>
      <c r="D1321" t="s">
        <v>95</v>
      </c>
      <c r="E1321" s="1">
        <v>44545</v>
      </c>
      <c r="F1321" t="s">
        <v>86</v>
      </c>
      <c r="G1321" t="s">
        <v>242</v>
      </c>
      <c r="H1321" t="s">
        <v>32</v>
      </c>
      <c r="I1321">
        <v>8</v>
      </c>
      <c r="J1321" t="s">
        <v>33</v>
      </c>
      <c r="K1321">
        <v>1</v>
      </c>
      <c r="L1321" s="3">
        <v>6499</v>
      </c>
      <c r="M1321">
        <v>15</v>
      </c>
      <c r="N1321" s="3">
        <v>5520</v>
      </c>
      <c r="O1321" s="3">
        <v>5520</v>
      </c>
      <c r="P1321" t="s">
        <v>34</v>
      </c>
      <c r="Q1321" t="s">
        <v>51</v>
      </c>
      <c r="R1321" t="s">
        <v>36</v>
      </c>
      <c r="S1321" t="s">
        <v>168</v>
      </c>
      <c r="T1321" t="s">
        <v>532</v>
      </c>
      <c r="U1321" t="s">
        <v>54</v>
      </c>
      <c r="V1321" t="s">
        <v>969</v>
      </c>
      <c r="W1321">
        <v>4.3</v>
      </c>
      <c r="X1321" t="s">
        <v>41</v>
      </c>
      <c r="Y1321" t="s">
        <v>42</v>
      </c>
      <c r="Z1321">
        <v>5</v>
      </c>
    </row>
    <row r="1322" spans="1:26">
      <c r="A1322" t="s">
        <v>2338</v>
      </c>
      <c r="B1322" t="s">
        <v>2339</v>
      </c>
      <c r="C1322" t="s">
        <v>28</v>
      </c>
      <c r="D1322" t="s">
        <v>109</v>
      </c>
      <c r="E1322" s="1">
        <v>44546</v>
      </c>
      <c r="F1322" t="s">
        <v>65</v>
      </c>
      <c r="G1322" t="s">
        <v>279</v>
      </c>
      <c r="H1322" t="s">
        <v>111</v>
      </c>
      <c r="I1322">
        <v>7</v>
      </c>
      <c r="J1322" t="s">
        <v>33</v>
      </c>
      <c r="K1322">
        <v>2</v>
      </c>
      <c r="L1322" s="3">
        <v>4899</v>
      </c>
      <c r="M1322">
        <v>10</v>
      </c>
      <c r="N1322" s="3">
        <v>4410</v>
      </c>
      <c r="O1322" s="3">
        <v>8820</v>
      </c>
      <c r="P1322" t="s">
        <v>34</v>
      </c>
      <c r="Q1322" t="s">
        <v>82</v>
      </c>
      <c r="R1322" t="s">
        <v>36</v>
      </c>
      <c r="S1322" t="s">
        <v>122</v>
      </c>
      <c r="T1322" t="s">
        <v>372</v>
      </c>
      <c r="U1322" t="s">
        <v>39</v>
      </c>
      <c r="V1322" t="s">
        <v>40</v>
      </c>
      <c r="W1322">
        <v>4.5</v>
      </c>
      <c r="X1322" t="s">
        <v>62</v>
      </c>
      <c r="Y1322" t="s">
        <v>55</v>
      </c>
      <c r="Z1322">
        <v>2</v>
      </c>
    </row>
    <row r="1323" spans="1:26">
      <c r="A1323" t="s">
        <v>2340</v>
      </c>
      <c r="B1323" t="s">
        <v>765</v>
      </c>
      <c r="C1323" t="s">
        <v>28</v>
      </c>
      <c r="D1323" t="s">
        <v>95</v>
      </c>
      <c r="E1323" s="1">
        <v>44546</v>
      </c>
      <c r="F1323" t="s">
        <v>79</v>
      </c>
      <c r="G1323" t="s">
        <v>480</v>
      </c>
      <c r="H1323" t="s">
        <v>111</v>
      </c>
      <c r="I1323">
        <v>12</v>
      </c>
      <c r="J1323" t="s">
        <v>73</v>
      </c>
      <c r="K1323">
        <v>2</v>
      </c>
      <c r="L1323" s="3">
        <v>6099</v>
      </c>
      <c r="M1323">
        <v>0</v>
      </c>
      <c r="N1323" s="3">
        <v>6100</v>
      </c>
      <c r="O1323" s="3">
        <v>12200</v>
      </c>
      <c r="P1323" t="s">
        <v>74</v>
      </c>
      <c r="Q1323" t="s">
        <v>82</v>
      </c>
      <c r="R1323" t="s">
        <v>36</v>
      </c>
      <c r="S1323" t="s">
        <v>112</v>
      </c>
      <c r="T1323" t="s">
        <v>133</v>
      </c>
      <c r="U1323" t="s">
        <v>39</v>
      </c>
      <c r="V1323" t="s">
        <v>969</v>
      </c>
      <c r="W1323">
        <v>4.5999999999999996</v>
      </c>
      <c r="X1323" t="s">
        <v>62</v>
      </c>
      <c r="Y1323" t="s">
        <v>42</v>
      </c>
      <c r="Z1323">
        <v>4</v>
      </c>
    </row>
    <row r="1324" spans="1:26">
      <c r="A1324" t="s">
        <v>2341</v>
      </c>
      <c r="B1324" t="s">
        <v>2342</v>
      </c>
      <c r="C1324" t="s">
        <v>45</v>
      </c>
      <c r="D1324" t="s">
        <v>29</v>
      </c>
      <c r="E1324" s="1">
        <v>44546</v>
      </c>
      <c r="F1324" t="s">
        <v>65</v>
      </c>
      <c r="G1324" t="s">
        <v>256</v>
      </c>
      <c r="H1324" t="s">
        <v>32</v>
      </c>
      <c r="I1324">
        <v>7</v>
      </c>
      <c r="J1324" t="s">
        <v>88</v>
      </c>
      <c r="K1324">
        <v>1</v>
      </c>
      <c r="L1324" s="3">
        <v>3999</v>
      </c>
      <c r="M1324">
        <v>20</v>
      </c>
      <c r="N1324" s="3">
        <v>3200</v>
      </c>
      <c r="O1324" s="3">
        <v>3200</v>
      </c>
      <c r="P1324" t="s">
        <v>74</v>
      </c>
      <c r="Q1324" t="s">
        <v>35</v>
      </c>
      <c r="R1324" t="s">
        <v>36</v>
      </c>
      <c r="S1324" t="s">
        <v>117</v>
      </c>
      <c r="T1324" t="s">
        <v>544</v>
      </c>
      <c r="U1324" t="s">
        <v>54</v>
      </c>
      <c r="V1324" t="s">
        <v>40</v>
      </c>
      <c r="W1324">
        <v>4.5999999999999996</v>
      </c>
      <c r="X1324" t="s">
        <v>62</v>
      </c>
      <c r="Y1324" t="s">
        <v>42</v>
      </c>
      <c r="Z1324">
        <v>3</v>
      </c>
    </row>
    <row r="1325" spans="1:26">
      <c r="A1325" t="s">
        <v>2343</v>
      </c>
      <c r="B1325" t="s">
        <v>584</v>
      </c>
      <c r="C1325" t="s">
        <v>28</v>
      </c>
      <c r="D1325" t="s">
        <v>109</v>
      </c>
      <c r="E1325" s="1">
        <v>44546</v>
      </c>
      <c r="F1325" t="s">
        <v>30</v>
      </c>
      <c r="G1325" t="s">
        <v>347</v>
      </c>
      <c r="H1325" t="s">
        <v>49</v>
      </c>
      <c r="I1325">
        <v>9</v>
      </c>
      <c r="J1325" t="s">
        <v>73</v>
      </c>
      <c r="K1325">
        <v>3</v>
      </c>
      <c r="L1325" s="3">
        <v>4899</v>
      </c>
      <c r="M1325">
        <v>10</v>
      </c>
      <c r="N1325" s="3">
        <v>4410</v>
      </c>
      <c r="O1325" s="3">
        <v>13230</v>
      </c>
      <c r="P1325" t="s">
        <v>74</v>
      </c>
      <c r="Q1325" t="s">
        <v>82</v>
      </c>
      <c r="R1325" t="s">
        <v>36</v>
      </c>
      <c r="S1325" t="s">
        <v>297</v>
      </c>
      <c r="T1325" t="s">
        <v>566</v>
      </c>
      <c r="U1325" t="s">
        <v>54</v>
      </c>
      <c r="V1325" t="s">
        <v>315</v>
      </c>
      <c r="W1325">
        <v>3.6</v>
      </c>
      <c r="X1325" t="s">
        <v>41</v>
      </c>
      <c r="Y1325" t="s">
        <v>55</v>
      </c>
      <c r="Z1325">
        <v>2</v>
      </c>
    </row>
    <row r="1326" spans="1:26">
      <c r="A1326" t="s">
        <v>2344</v>
      </c>
      <c r="B1326" t="s">
        <v>874</v>
      </c>
      <c r="C1326" t="s">
        <v>45</v>
      </c>
      <c r="D1326" t="s">
        <v>95</v>
      </c>
      <c r="E1326" s="1">
        <v>44547</v>
      </c>
      <c r="F1326" t="s">
        <v>65</v>
      </c>
      <c r="G1326" t="s">
        <v>66</v>
      </c>
      <c r="H1326" t="s">
        <v>59</v>
      </c>
      <c r="I1326">
        <v>10</v>
      </c>
      <c r="J1326" t="s">
        <v>98</v>
      </c>
      <c r="K1326">
        <v>1</v>
      </c>
      <c r="L1326" s="3">
        <v>7299</v>
      </c>
      <c r="M1326">
        <v>10</v>
      </c>
      <c r="N1326" s="3">
        <v>6570</v>
      </c>
      <c r="O1326" s="3">
        <v>6570</v>
      </c>
      <c r="P1326" t="s">
        <v>74</v>
      </c>
      <c r="Q1326" t="s">
        <v>82</v>
      </c>
      <c r="R1326" t="s">
        <v>36</v>
      </c>
      <c r="S1326" t="s">
        <v>75</v>
      </c>
      <c r="T1326" t="s">
        <v>76</v>
      </c>
      <c r="U1326" t="s">
        <v>91</v>
      </c>
      <c r="V1326" t="s">
        <v>315</v>
      </c>
      <c r="W1326">
        <v>3.8</v>
      </c>
      <c r="X1326" t="s">
        <v>106</v>
      </c>
      <c r="Y1326" t="s">
        <v>55</v>
      </c>
      <c r="Z1326">
        <v>2</v>
      </c>
    </row>
    <row r="1327" spans="1:26">
      <c r="A1327" t="s">
        <v>2345</v>
      </c>
      <c r="B1327" t="s">
        <v>1882</v>
      </c>
      <c r="C1327" t="s">
        <v>28</v>
      </c>
      <c r="D1327" t="s">
        <v>46</v>
      </c>
      <c r="E1327" s="1">
        <v>44547</v>
      </c>
      <c r="F1327" t="s">
        <v>65</v>
      </c>
      <c r="G1327" t="s">
        <v>365</v>
      </c>
      <c r="H1327" t="s">
        <v>49</v>
      </c>
      <c r="I1327">
        <v>7</v>
      </c>
      <c r="J1327" t="s">
        <v>98</v>
      </c>
      <c r="K1327">
        <v>2</v>
      </c>
      <c r="L1327" s="3">
        <v>5799</v>
      </c>
      <c r="M1327">
        <v>10</v>
      </c>
      <c r="N1327" s="3">
        <v>5220</v>
      </c>
      <c r="O1327" s="3">
        <v>10440</v>
      </c>
      <c r="P1327" t="s">
        <v>74</v>
      </c>
      <c r="Q1327" t="s">
        <v>51</v>
      </c>
      <c r="R1327" t="s">
        <v>36</v>
      </c>
      <c r="S1327" t="s">
        <v>243</v>
      </c>
      <c r="T1327" t="s">
        <v>273</v>
      </c>
      <c r="U1327" t="s">
        <v>61</v>
      </c>
      <c r="V1327" t="s">
        <v>315</v>
      </c>
      <c r="W1327">
        <v>2.6</v>
      </c>
      <c r="X1327" t="s">
        <v>41</v>
      </c>
      <c r="Y1327" t="s">
        <v>55</v>
      </c>
      <c r="Z1327">
        <v>3</v>
      </c>
    </row>
    <row r="1328" spans="1:26">
      <c r="A1328" t="s">
        <v>2346</v>
      </c>
      <c r="B1328" t="s">
        <v>1830</v>
      </c>
      <c r="C1328" t="s">
        <v>28</v>
      </c>
      <c r="D1328" t="s">
        <v>46</v>
      </c>
      <c r="E1328" s="1">
        <v>44547</v>
      </c>
      <c r="F1328" t="s">
        <v>86</v>
      </c>
      <c r="G1328" t="s">
        <v>312</v>
      </c>
      <c r="H1328" t="s">
        <v>59</v>
      </c>
      <c r="I1328">
        <v>9</v>
      </c>
      <c r="J1328" t="s">
        <v>98</v>
      </c>
      <c r="K1328">
        <v>1</v>
      </c>
      <c r="L1328" s="3">
        <v>4999</v>
      </c>
      <c r="M1328">
        <v>25</v>
      </c>
      <c r="N1328" s="3">
        <v>3750</v>
      </c>
      <c r="O1328" s="3">
        <v>3750</v>
      </c>
      <c r="P1328" t="s">
        <v>74</v>
      </c>
      <c r="Q1328" t="s">
        <v>82</v>
      </c>
      <c r="R1328" t="s">
        <v>36</v>
      </c>
      <c r="S1328" t="s">
        <v>151</v>
      </c>
      <c r="T1328" t="s">
        <v>452</v>
      </c>
      <c r="U1328" t="s">
        <v>39</v>
      </c>
      <c r="V1328" t="s">
        <v>315</v>
      </c>
      <c r="W1328">
        <v>3.9</v>
      </c>
      <c r="X1328" t="s">
        <v>41</v>
      </c>
      <c r="Y1328" t="s">
        <v>42</v>
      </c>
      <c r="Z1328">
        <v>3</v>
      </c>
    </row>
    <row r="1329" spans="1:26">
      <c r="A1329" t="s">
        <v>2347</v>
      </c>
      <c r="B1329" t="s">
        <v>2348</v>
      </c>
      <c r="C1329" t="s">
        <v>94</v>
      </c>
      <c r="D1329" t="s">
        <v>29</v>
      </c>
      <c r="E1329" s="1">
        <v>44547</v>
      </c>
      <c r="F1329" t="s">
        <v>86</v>
      </c>
      <c r="G1329" t="s">
        <v>190</v>
      </c>
      <c r="H1329" t="s">
        <v>128</v>
      </c>
      <c r="I1329">
        <v>9</v>
      </c>
      <c r="J1329" t="s">
        <v>73</v>
      </c>
      <c r="K1329">
        <v>1</v>
      </c>
      <c r="L1329" s="3">
        <v>5199</v>
      </c>
      <c r="M1329">
        <v>15</v>
      </c>
      <c r="N1329" s="3">
        <v>4420</v>
      </c>
      <c r="O1329" s="3">
        <v>4420</v>
      </c>
      <c r="P1329" t="s">
        <v>34</v>
      </c>
      <c r="Q1329" t="s">
        <v>82</v>
      </c>
      <c r="R1329" t="s">
        <v>36</v>
      </c>
      <c r="S1329" t="s">
        <v>160</v>
      </c>
      <c r="T1329" t="s">
        <v>161</v>
      </c>
      <c r="U1329" t="s">
        <v>124</v>
      </c>
      <c r="V1329" t="s">
        <v>40</v>
      </c>
      <c r="W1329">
        <v>4.7</v>
      </c>
      <c r="X1329" t="s">
        <v>41</v>
      </c>
      <c r="Y1329" t="s">
        <v>55</v>
      </c>
      <c r="Z1329">
        <v>2</v>
      </c>
    </row>
    <row r="1330" spans="1:26">
      <c r="A1330" t="s">
        <v>2349</v>
      </c>
      <c r="B1330" t="s">
        <v>289</v>
      </c>
      <c r="C1330" t="s">
        <v>94</v>
      </c>
      <c r="D1330" t="s">
        <v>95</v>
      </c>
      <c r="E1330" s="1">
        <v>44548</v>
      </c>
      <c r="F1330" t="s">
        <v>65</v>
      </c>
      <c r="G1330" t="s">
        <v>279</v>
      </c>
      <c r="H1330" t="s">
        <v>111</v>
      </c>
      <c r="I1330">
        <v>8</v>
      </c>
      <c r="J1330" t="s">
        <v>88</v>
      </c>
      <c r="K1330">
        <v>2</v>
      </c>
      <c r="L1330" s="3">
        <v>3999</v>
      </c>
      <c r="M1330">
        <v>10</v>
      </c>
      <c r="N1330" s="3">
        <v>3600</v>
      </c>
      <c r="O1330" s="3">
        <v>7200</v>
      </c>
      <c r="P1330" t="s">
        <v>74</v>
      </c>
      <c r="Q1330" t="s">
        <v>35</v>
      </c>
      <c r="R1330" t="s">
        <v>36</v>
      </c>
      <c r="S1330" t="s">
        <v>75</v>
      </c>
      <c r="T1330" t="s">
        <v>215</v>
      </c>
      <c r="U1330" t="s">
        <v>61</v>
      </c>
      <c r="V1330" t="s">
        <v>969</v>
      </c>
      <c r="W1330">
        <v>3.9</v>
      </c>
      <c r="X1330" t="s">
        <v>41</v>
      </c>
      <c r="Y1330" t="s">
        <v>42</v>
      </c>
      <c r="Z1330">
        <v>4</v>
      </c>
    </row>
    <row r="1331" spans="1:26">
      <c r="A1331" t="s">
        <v>2350</v>
      </c>
      <c r="B1331" t="s">
        <v>2351</v>
      </c>
      <c r="C1331" t="s">
        <v>45</v>
      </c>
      <c r="D1331" t="s">
        <v>95</v>
      </c>
      <c r="E1331" s="1">
        <v>44549</v>
      </c>
      <c r="F1331" t="s">
        <v>79</v>
      </c>
      <c r="G1331" t="s">
        <v>480</v>
      </c>
      <c r="H1331" t="s">
        <v>111</v>
      </c>
      <c r="I1331">
        <v>10</v>
      </c>
      <c r="J1331" t="s">
        <v>67</v>
      </c>
      <c r="K1331">
        <v>1</v>
      </c>
      <c r="L1331" s="3">
        <v>4699</v>
      </c>
      <c r="M1331">
        <v>35</v>
      </c>
      <c r="N1331" s="3">
        <v>3050</v>
      </c>
      <c r="O1331" s="3">
        <v>3050</v>
      </c>
      <c r="P1331" t="s">
        <v>34</v>
      </c>
      <c r="Q1331" t="s">
        <v>51</v>
      </c>
      <c r="R1331" t="s">
        <v>36</v>
      </c>
      <c r="S1331" t="s">
        <v>117</v>
      </c>
      <c r="T1331" t="s">
        <v>118</v>
      </c>
      <c r="U1331" t="s">
        <v>91</v>
      </c>
      <c r="V1331" t="s">
        <v>40</v>
      </c>
      <c r="W1331">
        <v>3.7</v>
      </c>
      <c r="X1331" t="s">
        <v>41</v>
      </c>
      <c r="Y1331" t="s">
        <v>55</v>
      </c>
      <c r="Z1331">
        <v>4</v>
      </c>
    </row>
    <row r="1332" spans="1:26">
      <c r="A1332" t="s">
        <v>2352</v>
      </c>
      <c r="B1332" t="s">
        <v>1589</v>
      </c>
      <c r="C1332" t="s">
        <v>45</v>
      </c>
      <c r="D1332" t="s">
        <v>29</v>
      </c>
      <c r="E1332" s="1">
        <v>44550</v>
      </c>
      <c r="F1332" t="s">
        <v>47</v>
      </c>
      <c r="G1332" t="s">
        <v>48</v>
      </c>
      <c r="H1332" t="s">
        <v>49</v>
      </c>
      <c r="I1332">
        <v>8</v>
      </c>
      <c r="J1332" t="s">
        <v>67</v>
      </c>
      <c r="K1332">
        <v>1</v>
      </c>
      <c r="L1332" s="3">
        <v>8899</v>
      </c>
      <c r="M1332">
        <v>15</v>
      </c>
      <c r="N1332" s="3">
        <v>7560</v>
      </c>
      <c r="O1332" s="3">
        <v>7560</v>
      </c>
      <c r="P1332" t="s">
        <v>74</v>
      </c>
      <c r="Q1332" t="s">
        <v>51</v>
      </c>
      <c r="R1332" t="s">
        <v>36</v>
      </c>
      <c r="S1332" t="s">
        <v>338</v>
      </c>
      <c r="T1332" t="s">
        <v>779</v>
      </c>
      <c r="U1332" t="s">
        <v>124</v>
      </c>
      <c r="V1332" t="s">
        <v>315</v>
      </c>
      <c r="W1332">
        <v>3.4</v>
      </c>
      <c r="X1332" t="s">
        <v>41</v>
      </c>
      <c r="Y1332" t="s">
        <v>42</v>
      </c>
      <c r="Z1332">
        <v>4</v>
      </c>
    </row>
    <row r="1333" spans="1:26">
      <c r="A1333" t="s">
        <v>2353</v>
      </c>
      <c r="B1333" t="s">
        <v>2354</v>
      </c>
      <c r="C1333" t="s">
        <v>45</v>
      </c>
      <c r="D1333" t="s">
        <v>46</v>
      </c>
      <c r="E1333" s="1">
        <v>44550</v>
      </c>
      <c r="F1333" t="s">
        <v>30</v>
      </c>
      <c r="G1333" t="s">
        <v>31</v>
      </c>
      <c r="H1333" t="s">
        <v>32</v>
      </c>
      <c r="I1333">
        <v>9</v>
      </c>
      <c r="J1333" t="s">
        <v>33</v>
      </c>
      <c r="K1333">
        <v>1</v>
      </c>
      <c r="L1333" s="3">
        <v>4999</v>
      </c>
      <c r="M1333">
        <v>0</v>
      </c>
      <c r="N1333" s="3">
        <v>5000</v>
      </c>
      <c r="O1333" s="3">
        <v>5000</v>
      </c>
      <c r="P1333" t="s">
        <v>74</v>
      </c>
      <c r="Q1333" t="s">
        <v>82</v>
      </c>
      <c r="R1333" t="s">
        <v>36</v>
      </c>
      <c r="S1333" t="s">
        <v>156</v>
      </c>
      <c r="T1333" t="s">
        <v>257</v>
      </c>
      <c r="U1333" t="s">
        <v>91</v>
      </c>
      <c r="V1333" t="s">
        <v>40</v>
      </c>
      <c r="W1333">
        <v>4.2</v>
      </c>
      <c r="X1333" t="s">
        <v>41</v>
      </c>
      <c r="Y1333" t="s">
        <v>42</v>
      </c>
      <c r="Z1333">
        <v>4</v>
      </c>
    </row>
    <row r="1334" spans="1:26">
      <c r="A1334" t="s">
        <v>2355</v>
      </c>
      <c r="B1334" t="s">
        <v>414</v>
      </c>
      <c r="C1334" t="s">
        <v>45</v>
      </c>
      <c r="D1334" t="s">
        <v>95</v>
      </c>
      <c r="E1334" s="1">
        <v>44551</v>
      </c>
      <c r="F1334" t="s">
        <v>96</v>
      </c>
      <c r="G1334" t="s">
        <v>323</v>
      </c>
      <c r="H1334" t="s">
        <v>59</v>
      </c>
      <c r="I1334">
        <v>8</v>
      </c>
      <c r="J1334" t="s">
        <v>98</v>
      </c>
      <c r="K1334">
        <v>2</v>
      </c>
      <c r="L1334" s="3">
        <v>4999</v>
      </c>
      <c r="M1334">
        <v>0</v>
      </c>
      <c r="N1334" s="3">
        <v>5000</v>
      </c>
      <c r="O1334" s="3">
        <v>10000</v>
      </c>
      <c r="P1334" t="s">
        <v>34</v>
      </c>
      <c r="Q1334" t="s">
        <v>82</v>
      </c>
      <c r="R1334" t="s">
        <v>36</v>
      </c>
      <c r="S1334" t="s">
        <v>136</v>
      </c>
      <c r="T1334" t="s">
        <v>137</v>
      </c>
      <c r="U1334" t="s">
        <v>91</v>
      </c>
      <c r="V1334" t="s">
        <v>315</v>
      </c>
      <c r="W1334">
        <v>3.5</v>
      </c>
      <c r="X1334" t="s">
        <v>106</v>
      </c>
      <c r="Y1334" t="s">
        <v>42</v>
      </c>
      <c r="Z1334">
        <v>5</v>
      </c>
    </row>
    <row r="1335" spans="1:26">
      <c r="A1335" t="s">
        <v>2356</v>
      </c>
      <c r="B1335" t="s">
        <v>2357</v>
      </c>
      <c r="C1335" t="s">
        <v>94</v>
      </c>
      <c r="D1335" t="s">
        <v>46</v>
      </c>
      <c r="E1335" s="1">
        <v>44551</v>
      </c>
      <c r="F1335" t="s">
        <v>65</v>
      </c>
      <c r="G1335" t="s">
        <v>365</v>
      </c>
      <c r="H1335" t="s">
        <v>49</v>
      </c>
      <c r="I1335">
        <v>11</v>
      </c>
      <c r="J1335" t="s">
        <v>73</v>
      </c>
      <c r="K1335">
        <v>1</v>
      </c>
      <c r="L1335" s="3">
        <v>7199</v>
      </c>
      <c r="M1335">
        <v>0</v>
      </c>
      <c r="N1335" s="3">
        <v>7200</v>
      </c>
      <c r="O1335" s="3">
        <v>7200</v>
      </c>
      <c r="P1335" t="s">
        <v>74</v>
      </c>
      <c r="Q1335" t="s">
        <v>82</v>
      </c>
      <c r="R1335" t="s">
        <v>36</v>
      </c>
      <c r="S1335" t="s">
        <v>52</v>
      </c>
      <c r="T1335" t="s">
        <v>83</v>
      </c>
      <c r="U1335" t="s">
        <v>39</v>
      </c>
      <c r="V1335" t="s">
        <v>40</v>
      </c>
      <c r="W1335">
        <v>4.5</v>
      </c>
      <c r="X1335" t="s">
        <v>41</v>
      </c>
      <c r="Y1335" t="s">
        <v>42</v>
      </c>
      <c r="Z1335">
        <v>5</v>
      </c>
    </row>
    <row r="1336" spans="1:26">
      <c r="A1336" t="s">
        <v>2358</v>
      </c>
      <c r="B1336" t="s">
        <v>2359</v>
      </c>
      <c r="C1336" t="s">
        <v>45</v>
      </c>
      <c r="D1336" t="s">
        <v>103</v>
      </c>
      <c r="E1336" s="1">
        <v>44551</v>
      </c>
      <c r="F1336" t="s">
        <v>96</v>
      </c>
      <c r="G1336" t="s">
        <v>97</v>
      </c>
      <c r="H1336" t="s">
        <v>49</v>
      </c>
      <c r="I1336">
        <v>10</v>
      </c>
      <c r="J1336" t="s">
        <v>67</v>
      </c>
      <c r="K1336">
        <v>3</v>
      </c>
      <c r="L1336" s="3">
        <v>9299</v>
      </c>
      <c r="M1336">
        <v>40</v>
      </c>
      <c r="N1336" s="3">
        <v>5580</v>
      </c>
      <c r="O1336" s="3">
        <v>16740</v>
      </c>
      <c r="P1336" t="s">
        <v>74</v>
      </c>
      <c r="Q1336" t="s">
        <v>82</v>
      </c>
      <c r="R1336" t="s">
        <v>36</v>
      </c>
      <c r="S1336" t="s">
        <v>210</v>
      </c>
      <c r="T1336" t="s">
        <v>412</v>
      </c>
      <c r="U1336" t="s">
        <v>54</v>
      </c>
      <c r="V1336" t="s">
        <v>40</v>
      </c>
      <c r="W1336">
        <v>4.3</v>
      </c>
      <c r="X1336" t="s">
        <v>41</v>
      </c>
      <c r="Y1336" t="s">
        <v>42</v>
      </c>
      <c r="Z1336">
        <v>7</v>
      </c>
    </row>
    <row r="1337" spans="1:26">
      <c r="A1337" t="s">
        <v>2360</v>
      </c>
      <c r="B1337" t="s">
        <v>1248</v>
      </c>
      <c r="C1337" t="s">
        <v>28</v>
      </c>
      <c r="D1337" t="s">
        <v>29</v>
      </c>
      <c r="E1337" s="1">
        <v>44553</v>
      </c>
      <c r="F1337" t="s">
        <v>30</v>
      </c>
      <c r="G1337" t="s">
        <v>58</v>
      </c>
      <c r="H1337" t="s">
        <v>59</v>
      </c>
      <c r="I1337">
        <v>10</v>
      </c>
      <c r="J1337" t="s">
        <v>98</v>
      </c>
      <c r="K1337">
        <v>2</v>
      </c>
      <c r="L1337" s="3">
        <v>8599</v>
      </c>
      <c r="M1337">
        <v>35</v>
      </c>
      <c r="N1337" s="3">
        <v>5590</v>
      </c>
      <c r="O1337" s="3">
        <v>11180</v>
      </c>
      <c r="P1337" t="s">
        <v>34</v>
      </c>
      <c r="Q1337" t="s">
        <v>82</v>
      </c>
      <c r="R1337" t="s">
        <v>36</v>
      </c>
      <c r="S1337" t="s">
        <v>68</v>
      </c>
      <c r="T1337" t="s">
        <v>400</v>
      </c>
      <c r="U1337" t="s">
        <v>54</v>
      </c>
      <c r="V1337" t="s">
        <v>315</v>
      </c>
      <c r="W1337">
        <v>4.5</v>
      </c>
      <c r="X1337" t="s">
        <v>62</v>
      </c>
      <c r="Y1337" t="s">
        <v>147</v>
      </c>
      <c r="Z1337">
        <v>1</v>
      </c>
    </row>
    <row r="1338" spans="1:26">
      <c r="A1338" t="s">
        <v>2361</v>
      </c>
      <c r="B1338" t="s">
        <v>1005</v>
      </c>
      <c r="C1338" t="s">
        <v>45</v>
      </c>
      <c r="D1338" t="s">
        <v>95</v>
      </c>
      <c r="E1338" s="1">
        <v>44553</v>
      </c>
      <c r="F1338" t="s">
        <v>30</v>
      </c>
      <c r="G1338" t="s">
        <v>347</v>
      </c>
      <c r="H1338" t="s">
        <v>49</v>
      </c>
      <c r="I1338">
        <v>7</v>
      </c>
      <c r="J1338" t="s">
        <v>150</v>
      </c>
      <c r="K1338">
        <v>1</v>
      </c>
      <c r="L1338" s="3">
        <v>5499</v>
      </c>
      <c r="M1338">
        <v>35</v>
      </c>
      <c r="N1338" s="3">
        <v>3570</v>
      </c>
      <c r="O1338" s="3">
        <v>3570</v>
      </c>
      <c r="P1338" t="s">
        <v>74</v>
      </c>
      <c r="Q1338" t="s">
        <v>51</v>
      </c>
      <c r="R1338" t="s">
        <v>36</v>
      </c>
      <c r="S1338" t="s">
        <v>99</v>
      </c>
      <c r="T1338" t="s">
        <v>335</v>
      </c>
      <c r="U1338" t="s">
        <v>124</v>
      </c>
      <c r="V1338" t="s">
        <v>315</v>
      </c>
      <c r="W1338">
        <v>4.7</v>
      </c>
      <c r="X1338" t="s">
        <v>41</v>
      </c>
      <c r="Y1338" t="s">
        <v>42</v>
      </c>
      <c r="Z1338">
        <v>4</v>
      </c>
    </row>
    <row r="1339" spans="1:26">
      <c r="A1339" t="s">
        <v>2362</v>
      </c>
      <c r="B1339" t="s">
        <v>903</v>
      </c>
      <c r="C1339" t="s">
        <v>45</v>
      </c>
      <c r="D1339" t="s">
        <v>29</v>
      </c>
      <c r="E1339" s="1">
        <v>44554</v>
      </c>
      <c r="F1339" t="s">
        <v>47</v>
      </c>
      <c r="G1339" t="s">
        <v>199</v>
      </c>
      <c r="H1339" t="s">
        <v>59</v>
      </c>
      <c r="I1339">
        <v>8</v>
      </c>
      <c r="J1339" t="s">
        <v>73</v>
      </c>
      <c r="K1339">
        <v>3</v>
      </c>
      <c r="L1339" s="3">
        <v>8499</v>
      </c>
      <c r="M1339">
        <v>20</v>
      </c>
      <c r="N1339" s="3">
        <v>6800</v>
      </c>
      <c r="O1339" s="3">
        <v>20400</v>
      </c>
      <c r="P1339" t="s">
        <v>34</v>
      </c>
      <c r="Q1339" t="s">
        <v>51</v>
      </c>
      <c r="R1339" t="s">
        <v>36</v>
      </c>
      <c r="S1339" t="s">
        <v>338</v>
      </c>
      <c r="T1339" t="s">
        <v>449</v>
      </c>
      <c r="U1339" t="s">
        <v>124</v>
      </c>
      <c r="V1339" t="s">
        <v>315</v>
      </c>
      <c r="W1339">
        <v>3.4</v>
      </c>
      <c r="X1339" t="s">
        <v>41</v>
      </c>
      <c r="Y1339" t="s">
        <v>42</v>
      </c>
      <c r="Z1339">
        <v>3</v>
      </c>
    </row>
    <row r="1340" spans="1:26">
      <c r="A1340" t="s">
        <v>2363</v>
      </c>
      <c r="B1340" t="s">
        <v>424</v>
      </c>
      <c r="C1340" t="s">
        <v>28</v>
      </c>
      <c r="D1340" t="s">
        <v>46</v>
      </c>
      <c r="E1340" s="1">
        <v>44554</v>
      </c>
      <c r="F1340" t="s">
        <v>30</v>
      </c>
      <c r="G1340" t="s">
        <v>214</v>
      </c>
      <c r="H1340" t="s">
        <v>128</v>
      </c>
      <c r="I1340">
        <v>6</v>
      </c>
      <c r="J1340" t="s">
        <v>98</v>
      </c>
      <c r="K1340">
        <v>1</v>
      </c>
      <c r="L1340" s="3">
        <v>3699</v>
      </c>
      <c r="M1340">
        <v>25</v>
      </c>
      <c r="N1340" s="3">
        <v>2770</v>
      </c>
      <c r="O1340" s="3">
        <v>2770</v>
      </c>
      <c r="P1340" t="s">
        <v>81</v>
      </c>
      <c r="Q1340" t="s">
        <v>35</v>
      </c>
      <c r="R1340" t="s">
        <v>36</v>
      </c>
      <c r="S1340" t="s">
        <v>384</v>
      </c>
      <c r="T1340" t="s">
        <v>385</v>
      </c>
      <c r="U1340" t="s">
        <v>91</v>
      </c>
      <c r="V1340" t="s">
        <v>315</v>
      </c>
      <c r="W1340">
        <v>3.2</v>
      </c>
      <c r="X1340" t="s">
        <v>41</v>
      </c>
      <c r="Y1340" t="s">
        <v>42</v>
      </c>
      <c r="Z1340">
        <v>6</v>
      </c>
    </row>
    <row r="1341" spans="1:26">
      <c r="A1341" t="s">
        <v>2364</v>
      </c>
      <c r="B1341" t="s">
        <v>399</v>
      </c>
      <c r="C1341" t="s">
        <v>28</v>
      </c>
      <c r="D1341" t="s">
        <v>95</v>
      </c>
      <c r="E1341" s="1">
        <v>44554</v>
      </c>
      <c r="F1341" t="s">
        <v>47</v>
      </c>
      <c r="G1341" t="s">
        <v>199</v>
      </c>
      <c r="H1341" t="s">
        <v>59</v>
      </c>
      <c r="I1341">
        <v>7</v>
      </c>
      <c r="J1341" t="s">
        <v>73</v>
      </c>
      <c r="K1341">
        <v>1</v>
      </c>
      <c r="L1341" s="3">
        <v>9799</v>
      </c>
      <c r="M1341">
        <v>20</v>
      </c>
      <c r="N1341" s="3">
        <v>7840</v>
      </c>
      <c r="O1341" s="3">
        <v>7840</v>
      </c>
      <c r="P1341" t="s">
        <v>34</v>
      </c>
      <c r="Q1341" t="s">
        <v>35</v>
      </c>
      <c r="R1341" t="s">
        <v>36</v>
      </c>
      <c r="S1341" t="s">
        <v>160</v>
      </c>
      <c r="T1341" t="s">
        <v>344</v>
      </c>
      <c r="U1341" t="s">
        <v>61</v>
      </c>
      <c r="V1341" t="s">
        <v>315</v>
      </c>
      <c r="W1341">
        <v>5</v>
      </c>
      <c r="X1341" t="s">
        <v>41</v>
      </c>
      <c r="Y1341" t="s">
        <v>42</v>
      </c>
      <c r="Z1341">
        <v>2</v>
      </c>
    </row>
    <row r="1342" spans="1:26">
      <c r="A1342" t="s">
        <v>2365</v>
      </c>
      <c r="B1342" t="s">
        <v>2366</v>
      </c>
      <c r="C1342" t="s">
        <v>28</v>
      </c>
      <c r="D1342" t="s">
        <v>95</v>
      </c>
      <c r="E1342" s="1">
        <v>44555</v>
      </c>
      <c r="F1342" t="s">
        <v>96</v>
      </c>
      <c r="G1342" t="s">
        <v>323</v>
      </c>
      <c r="H1342" t="s">
        <v>59</v>
      </c>
      <c r="I1342">
        <v>9</v>
      </c>
      <c r="J1342" t="s">
        <v>150</v>
      </c>
      <c r="K1342">
        <v>1</v>
      </c>
      <c r="L1342" s="3">
        <v>6599</v>
      </c>
      <c r="M1342">
        <v>10</v>
      </c>
      <c r="N1342" s="3">
        <v>5940</v>
      </c>
      <c r="O1342" s="3">
        <v>5940</v>
      </c>
      <c r="P1342" t="s">
        <v>74</v>
      </c>
      <c r="Q1342" t="s">
        <v>51</v>
      </c>
      <c r="R1342" t="s">
        <v>36</v>
      </c>
      <c r="S1342" t="s">
        <v>99</v>
      </c>
      <c r="T1342" t="s">
        <v>759</v>
      </c>
      <c r="U1342" t="s">
        <v>54</v>
      </c>
      <c r="V1342" t="s">
        <v>40</v>
      </c>
      <c r="W1342">
        <v>3.6</v>
      </c>
      <c r="X1342" t="s">
        <v>106</v>
      </c>
      <c r="Y1342" t="s">
        <v>42</v>
      </c>
      <c r="Z1342">
        <v>3</v>
      </c>
    </row>
    <row r="1343" spans="1:26">
      <c r="A1343" t="s">
        <v>2367</v>
      </c>
      <c r="B1343" t="s">
        <v>1537</v>
      </c>
      <c r="C1343" t="s">
        <v>45</v>
      </c>
      <c r="D1343" t="s">
        <v>95</v>
      </c>
      <c r="E1343" s="1">
        <v>44555</v>
      </c>
      <c r="F1343" t="s">
        <v>65</v>
      </c>
      <c r="G1343" t="s">
        <v>72</v>
      </c>
      <c r="H1343" t="s">
        <v>59</v>
      </c>
      <c r="I1343">
        <v>6</v>
      </c>
      <c r="J1343" t="s">
        <v>33</v>
      </c>
      <c r="K1343">
        <v>1</v>
      </c>
      <c r="L1343" s="3">
        <v>3499</v>
      </c>
      <c r="M1343">
        <v>15</v>
      </c>
      <c r="N1343" s="3">
        <v>2970</v>
      </c>
      <c r="O1343" s="3">
        <v>2970</v>
      </c>
      <c r="P1343" t="s">
        <v>74</v>
      </c>
      <c r="Q1343" t="s">
        <v>51</v>
      </c>
      <c r="R1343" t="s">
        <v>36</v>
      </c>
      <c r="S1343" t="s">
        <v>37</v>
      </c>
      <c r="T1343" t="s">
        <v>509</v>
      </c>
      <c r="U1343" t="s">
        <v>54</v>
      </c>
      <c r="V1343" t="s">
        <v>315</v>
      </c>
      <c r="W1343">
        <v>4.0999999999999996</v>
      </c>
      <c r="X1343" t="s">
        <v>41</v>
      </c>
      <c r="Y1343" t="s">
        <v>55</v>
      </c>
      <c r="Z1343">
        <v>2</v>
      </c>
    </row>
    <row r="1344" spans="1:26">
      <c r="A1344" t="s">
        <v>2368</v>
      </c>
      <c r="B1344" t="s">
        <v>439</v>
      </c>
      <c r="C1344" t="s">
        <v>28</v>
      </c>
      <c r="D1344" t="s">
        <v>29</v>
      </c>
      <c r="E1344" s="1">
        <v>44555</v>
      </c>
      <c r="F1344" t="s">
        <v>65</v>
      </c>
      <c r="G1344" t="s">
        <v>279</v>
      </c>
      <c r="H1344" t="s">
        <v>111</v>
      </c>
      <c r="I1344">
        <v>10</v>
      </c>
      <c r="J1344" t="s">
        <v>88</v>
      </c>
      <c r="K1344">
        <v>1</v>
      </c>
      <c r="L1344" s="3">
        <v>5599</v>
      </c>
      <c r="M1344">
        <v>10</v>
      </c>
      <c r="N1344" s="3">
        <v>5040</v>
      </c>
      <c r="O1344" s="3">
        <v>5040</v>
      </c>
      <c r="P1344" t="s">
        <v>74</v>
      </c>
      <c r="Q1344" t="s">
        <v>35</v>
      </c>
      <c r="R1344" t="s">
        <v>36</v>
      </c>
      <c r="S1344" t="s">
        <v>460</v>
      </c>
      <c r="T1344" t="s">
        <v>580</v>
      </c>
      <c r="U1344" t="s">
        <v>54</v>
      </c>
      <c r="V1344" t="s">
        <v>969</v>
      </c>
      <c r="W1344">
        <v>3.3</v>
      </c>
      <c r="X1344" t="s">
        <v>106</v>
      </c>
      <c r="Y1344" t="s">
        <v>42</v>
      </c>
      <c r="Z1344">
        <v>5</v>
      </c>
    </row>
    <row r="1345" spans="1:26">
      <c r="A1345" t="s">
        <v>2369</v>
      </c>
      <c r="B1345" t="s">
        <v>1751</v>
      </c>
      <c r="C1345" t="s">
        <v>28</v>
      </c>
      <c r="D1345" t="s">
        <v>46</v>
      </c>
      <c r="E1345" s="1">
        <v>44556</v>
      </c>
      <c r="F1345" t="s">
        <v>79</v>
      </c>
      <c r="G1345" t="s">
        <v>127</v>
      </c>
      <c r="H1345" t="s">
        <v>128</v>
      </c>
      <c r="I1345">
        <v>10</v>
      </c>
      <c r="J1345" t="s">
        <v>33</v>
      </c>
      <c r="K1345">
        <v>1</v>
      </c>
      <c r="L1345" s="3">
        <v>6399</v>
      </c>
      <c r="M1345">
        <v>15</v>
      </c>
      <c r="N1345" s="3">
        <v>5440</v>
      </c>
      <c r="O1345" s="3">
        <v>5440</v>
      </c>
      <c r="P1345" t="s">
        <v>74</v>
      </c>
      <c r="Q1345" t="s">
        <v>82</v>
      </c>
      <c r="R1345" t="s">
        <v>36</v>
      </c>
      <c r="S1345" t="s">
        <v>175</v>
      </c>
      <c r="T1345" t="s">
        <v>495</v>
      </c>
      <c r="U1345" t="s">
        <v>39</v>
      </c>
      <c r="V1345" t="s">
        <v>315</v>
      </c>
      <c r="W1345">
        <v>4.5</v>
      </c>
      <c r="X1345" t="s">
        <v>106</v>
      </c>
      <c r="Y1345" t="s">
        <v>42</v>
      </c>
      <c r="Z1345">
        <v>3</v>
      </c>
    </row>
    <row r="1346" spans="1:26">
      <c r="A1346" t="s">
        <v>2370</v>
      </c>
      <c r="B1346" t="s">
        <v>511</v>
      </c>
      <c r="C1346" t="s">
        <v>28</v>
      </c>
      <c r="D1346" t="s">
        <v>29</v>
      </c>
      <c r="E1346" s="1">
        <v>44556</v>
      </c>
      <c r="F1346" t="s">
        <v>86</v>
      </c>
      <c r="G1346" t="s">
        <v>190</v>
      </c>
      <c r="H1346" t="s">
        <v>128</v>
      </c>
      <c r="I1346">
        <v>7</v>
      </c>
      <c r="J1346" t="s">
        <v>98</v>
      </c>
      <c r="K1346">
        <v>2</v>
      </c>
      <c r="L1346" s="3">
        <v>6399</v>
      </c>
      <c r="M1346">
        <v>40</v>
      </c>
      <c r="N1346" s="3">
        <v>3840</v>
      </c>
      <c r="O1346" s="3">
        <v>7680</v>
      </c>
      <c r="P1346" t="s">
        <v>74</v>
      </c>
      <c r="Q1346" t="s">
        <v>51</v>
      </c>
      <c r="R1346" t="s">
        <v>36</v>
      </c>
      <c r="S1346" t="s">
        <v>210</v>
      </c>
      <c r="T1346" t="s">
        <v>415</v>
      </c>
      <c r="U1346" t="s">
        <v>91</v>
      </c>
      <c r="V1346" t="s">
        <v>315</v>
      </c>
      <c r="W1346">
        <v>3.8</v>
      </c>
      <c r="X1346" t="s">
        <v>41</v>
      </c>
      <c r="Y1346" t="s">
        <v>42</v>
      </c>
      <c r="Z1346">
        <v>3</v>
      </c>
    </row>
    <row r="1347" spans="1:26">
      <c r="A1347" t="s">
        <v>2371</v>
      </c>
      <c r="B1347" t="s">
        <v>2372</v>
      </c>
      <c r="C1347" t="s">
        <v>45</v>
      </c>
      <c r="D1347" t="s">
        <v>109</v>
      </c>
      <c r="E1347" s="1">
        <v>44556</v>
      </c>
      <c r="F1347" t="s">
        <v>96</v>
      </c>
      <c r="G1347" t="s">
        <v>171</v>
      </c>
      <c r="H1347" t="s">
        <v>128</v>
      </c>
      <c r="I1347">
        <v>8</v>
      </c>
      <c r="J1347" t="s">
        <v>98</v>
      </c>
      <c r="K1347">
        <v>1</v>
      </c>
      <c r="L1347" s="3">
        <v>4499</v>
      </c>
      <c r="M1347">
        <v>25</v>
      </c>
      <c r="N1347" s="3">
        <v>3370</v>
      </c>
      <c r="O1347" s="3">
        <v>3370</v>
      </c>
      <c r="P1347" t="s">
        <v>34</v>
      </c>
      <c r="Q1347" t="s">
        <v>51</v>
      </c>
      <c r="R1347" t="s">
        <v>36</v>
      </c>
      <c r="S1347" t="s">
        <v>37</v>
      </c>
      <c r="T1347" t="s">
        <v>509</v>
      </c>
      <c r="U1347" t="s">
        <v>124</v>
      </c>
      <c r="V1347" t="s">
        <v>40</v>
      </c>
      <c r="W1347">
        <v>3.5</v>
      </c>
      <c r="X1347" t="s">
        <v>41</v>
      </c>
      <c r="Y1347" t="s">
        <v>55</v>
      </c>
      <c r="Z1347">
        <v>2</v>
      </c>
    </row>
    <row r="1348" spans="1:26">
      <c r="A1348" t="s">
        <v>2373</v>
      </c>
      <c r="B1348" t="s">
        <v>2374</v>
      </c>
      <c r="C1348" t="s">
        <v>94</v>
      </c>
      <c r="D1348" t="s">
        <v>46</v>
      </c>
      <c r="E1348" s="1">
        <v>44556</v>
      </c>
      <c r="F1348" t="s">
        <v>86</v>
      </c>
      <c r="G1348" t="s">
        <v>190</v>
      </c>
      <c r="H1348" t="s">
        <v>128</v>
      </c>
      <c r="I1348">
        <v>7</v>
      </c>
      <c r="J1348" t="s">
        <v>98</v>
      </c>
      <c r="K1348">
        <v>1</v>
      </c>
      <c r="L1348" s="3">
        <v>7899</v>
      </c>
      <c r="M1348">
        <v>30</v>
      </c>
      <c r="N1348" s="3">
        <v>5530</v>
      </c>
      <c r="O1348" s="3">
        <v>5530</v>
      </c>
      <c r="P1348" t="s">
        <v>34</v>
      </c>
      <c r="Q1348" t="s">
        <v>51</v>
      </c>
      <c r="R1348" t="s">
        <v>36</v>
      </c>
      <c r="S1348" t="s">
        <v>136</v>
      </c>
      <c r="T1348" t="s">
        <v>225</v>
      </c>
      <c r="U1348" t="s">
        <v>39</v>
      </c>
      <c r="V1348" t="s">
        <v>40</v>
      </c>
      <c r="W1348">
        <v>4</v>
      </c>
      <c r="X1348" t="s">
        <v>62</v>
      </c>
      <c r="Y1348" t="s">
        <v>42</v>
      </c>
      <c r="Z1348">
        <v>2</v>
      </c>
    </row>
    <row r="1349" spans="1:26">
      <c r="A1349" t="s">
        <v>2375</v>
      </c>
      <c r="B1349" t="s">
        <v>1516</v>
      </c>
      <c r="C1349" t="s">
        <v>45</v>
      </c>
      <c r="D1349" t="s">
        <v>109</v>
      </c>
      <c r="E1349" s="1">
        <v>44556</v>
      </c>
      <c r="F1349" t="s">
        <v>79</v>
      </c>
      <c r="G1349" t="s">
        <v>517</v>
      </c>
      <c r="H1349" t="s">
        <v>59</v>
      </c>
      <c r="I1349">
        <v>6</v>
      </c>
      <c r="J1349" t="s">
        <v>33</v>
      </c>
      <c r="K1349">
        <v>1</v>
      </c>
      <c r="L1349" s="3">
        <v>8599</v>
      </c>
      <c r="M1349">
        <v>10</v>
      </c>
      <c r="N1349" s="3">
        <v>7740</v>
      </c>
      <c r="O1349" s="3">
        <v>7740</v>
      </c>
      <c r="P1349" t="s">
        <v>34</v>
      </c>
      <c r="Q1349" t="s">
        <v>51</v>
      </c>
      <c r="R1349" t="s">
        <v>36</v>
      </c>
      <c r="S1349" t="s">
        <v>418</v>
      </c>
      <c r="T1349" t="s">
        <v>924</v>
      </c>
      <c r="U1349" t="s">
        <v>124</v>
      </c>
      <c r="V1349" t="s">
        <v>315</v>
      </c>
      <c r="W1349">
        <v>4.0999999999999996</v>
      </c>
      <c r="X1349" t="s">
        <v>41</v>
      </c>
      <c r="Y1349" t="s">
        <v>42</v>
      </c>
      <c r="Z1349">
        <v>4</v>
      </c>
    </row>
    <row r="1350" spans="1:26">
      <c r="A1350" t="s">
        <v>2376</v>
      </c>
      <c r="B1350" t="s">
        <v>2366</v>
      </c>
      <c r="C1350" t="s">
        <v>28</v>
      </c>
      <c r="D1350" t="s">
        <v>29</v>
      </c>
      <c r="E1350" s="1">
        <v>44557</v>
      </c>
      <c r="F1350" t="s">
        <v>96</v>
      </c>
      <c r="G1350" t="s">
        <v>290</v>
      </c>
      <c r="H1350" t="s">
        <v>32</v>
      </c>
      <c r="I1350">
        <v>9</v>
      </c>
      <c r="J1350" t="s">
        <v>33</v>
      </c>
      <c r="K1350">
        <v>2</v>
      </c>
      <c r="L1350" s="3">
        <v>6799</v>
      </c>
      <c r="M1350">
        <v>25</v>
      </c>
      <c r="N1350" s="3">
        <v>5100</v>
      </c>
      <c r="O1350" s="3">
        <v>10200</v>
      </c>
      <c r="P1350" t="s">
        <v>34</v>
      </c>
      <c r="Q1350" t="s">
        <v>51</v>
      </c>
      <c r="R1350" t="s">
        <v>36</v>
      </c>
      <c r="S1350" t="s">
        <v>37</v>
      </c>
      <c r="T1350" t="s">
        <v>509</v>
      </c>
      <c r="U1350" t="s">
        <v>124</v>
      </c>
      <c r="V1350" t="s">
        <v>315</v>
      </c>
      <c r="W1350">
        <v>3.5</v>
      </c>
      <c r="X1350" t="s">
        <v>41</v>
      </c>
      <c r="Y1350" t="s">
        <v>55</v>
      </c>
      <c r="Z1350">
        <v>1</v>
      </c>
    </row>
    <row r="1351" spans="1:26">
      <c r="A1351" t="s">
        <v>2377</v>
      </c>
      <c r="B1351" t="s">
        <v>1328</v>
      </c>
      <c r="C1351" t="s">
        <v>45</v>
      </c>
      <c r="D1351" t="s">
        <v>29</v>
      </c>
      <c r="E1351" s="1">
        <v>44557</v>
      </c>
      <c r="F1351" t="s">
        <v>96</v>
      </c>
      <c r="G1351" t="s">
        <v>228</v>
      </c>
      <c r="H1351" t="s">
        <v>59</v>
      </c>
      <c r="I1351">
        <v>12</v>
      </c>
      <c r="J1351" t="s">
        <v>73</v>
      </c>
      <c r="K1351">
        <v>2</v>
      </c>
      <c r="L1351" s="3">
        <v>9599</v>
      </c>
      <c r="M1351">
        <v>15</v>
      </c>
      <c r="N1351" s="3">
        <v>8160</v>
      </c>
      <c r="O1351" s="3">
        <v>16320</v>
      </c>
      <c r="P1351" t="s">
        <v>74</v>
      </c>
      <c r="Q1351" t="s">
        <v>35</v>
      </c>
      <c r="R1351" t="s">
        <v>36</v>
      </c>
      <c r="S1351" t="s">
        <v>160</v>
      </c>
      <c r="T1351" t="s">
        <v>160</v>
      </c>
      <c r="U1351" t="s">
        <v>61</v>
      </c>
      <c r="V1351" t="s">
        <v>315</v>
      </c>
      <c r="W1351">
        <v>3.7</v>
      </c>
      <c r="X1351" t="s">
        <v>41</v>
      </c>
      <c r="Y1351" t="s">
        <v>55</v>
      </c>
      <c r="Z1351">
        <v>2</v>
      </c>
    </row>
    <row r="1352" spans="1:26">
      <c r="A1352" t="s">
        <v>2378</v>
      </c>
      <c r="B1352" t="s">
        <v>2379</v>
      </c>
      <c r="C1352" t="s">
        <v>45</v>
      </c>
      <c r="D1352" t="s">
        <v>29</v>
      </c>
      <c r="E1352" s="1">
        <v>44557</v>
      </c>
      <c r="F1352" t="s">
        <v>79</v>
      </c>
      <c r="G1352" t="s">
        <v>301</v>
      </c>
      <c r="H1352" t="s">
        <v>49</v>
      </c>
      <c r="I1352">
        <v>7</v>
      </c>
      <c r="J1352" t="s">
        <v>73</v>
      </c>
      <c r="K1352">
        <v>1</v>
      </c>
      <c r="L1352" s="3">
        <v>6199</v>
      </c>
      <c r="M1352">
        <v>20</v>
      </c>
      <c r="N1352" s="3">
        <v>4960</v>
      </c>
      <c r="O1352" s="3">
        <v>4960</v>
      </c>
      <c r="P1352" t="s">
        <v>74</v>
      </c>
      <c r="Q1352" t="s">
        <v>51</v>
      </c>
      <c r="R1352" t="s">
        <v>36</v>
      </c>
      <c r="S1352" t="s">
        <v>99</v>
      </c>
      <c r="T1352" t="s">
        <v>759</v>
      </c>
      <c r="U1352" t="s">
        <v>91</v>
      </c>
      <c r="V1352" t="s">
        <v>40</v>
      </c>
      <c r="W1352">
        <v>5</v>
      </c>
      <c r="X1352" t="s">
        <v>106</v>
      </c>
      <c r="Y1352" t="s">
        <v>42</v>
      </c>
      <c r="Z1352">
        <v>7</v>
      </c>
    </row>
    <row r="1353" spans="1:26">
      <c r="A1353" t="s">
        <v>2380</v>
      </c>
      <c r="B1353" t="s">
        <v>978</v>
      </c>
      <c r="C1353" t="s">
        <v>28</v>
      </c>
      <c r="D1353" t="s">
        <v>103</v>
      </c>
      <c r="E1353" s="1">
        <v>44558</v>
      </c>
      <c r="F1353" t="s">
        <v>65</v>
      </c>
      <c r="G1353" t="s">
        <v>256</v>
      </c>
      <c r="H1353" t="s">
        <v>32</v>
      </c>
      <c r="I1353">
        <v>9</v>
      </c>
      <c r="J1353" t="s">
        <v>98</v>
      </c>
      <c r="K1353">
        <v>4</v>
      </c>
      <c r="L1353" s="3">
        <v>4099</v>
      </c>
      <c r="M1353">
        <v>10</v>
      </c>
      <c r="N1353" s="3">
        <v>3690</v>
      </c>
      <c r="O1353" s="3">
        <v>14760</v>
      </c>
      <c r="P1353" t="s">
        <v>74</v>
      </c>
      <c r="Q1353" t="s">
        <v>82</v>
      </c>
      <c r="R1353" t="s">
        <v>36</v>
      </c>
      <c r="S1353" t="s">
        <v>418</v>
      </c>
      <c r="T1353" t="s">
        <v>549</v>
      </c>
      <c r="U1353" t="s">
        <v>91</v>
      </c>
      <c r="V1353" t="s">
        <v>315</v>
      </c>
      <c r="W1353">
        <v>3.4</v>
      </c>
      <c r="X1353" t="s">
        <v>41</v>
      </c>
      <c r="Y1353" t="s">
        <v>42</v>
      </c>
      <c r="Z1353">
        <v>5</v>
      </c>
    </row>
    <row r="1354" spans="1:26">
      <c r="A1354" t="s">
        <v>2381</v>
      </c>
      <c r="B1354" t="s">
        <v>2078</v>
      </c>
      <c r="C1354" t="s">
        <v>28</v>
      </c>
      <c r="D1354" t="s">
        <v>95</v>
      </c>
      <c r="E1354" s="1">
        <v>44558</v>
      </c>
      <c r="F1354" t="s">
        <v>30</v>
      </c>
      <c r="G1354" t="s">
        <v>31</v>
      </c>
      <c r="H1354" t="s">
        <v>32</v>
      </c>
      <c r="I1354">
        <v>7</v>
      </c>
      <c r="J1354" t="s">
        <v>67</v>
      </c>
      <c r="K1354">
        <v>1</v>
      </c>
      <c r="L1354" s="3">
        <v>8099</v>
      </c>
      <c r="M1354">
        <v>0</v>
      </c>
      <c r="N1354" s="3">
        <v>8100</v>
      </c>
      <c r="O1354" s="3">
        <v>8100</v>
      </c>
      <c r="P1354" t="s">
        <v>74</v>
      </c>
      <c r="Q1354" t="s">
        <v>51</v>
      </c>
      <c r="R1354" t="s">
        <v>36</v>
      </c>
      <c r="S1354" t="s">
        <v>122</v>
      </c>
      <c r="T1354" t="s">
        <v>304</v>
      </c>
      <c r="U1354" t="s">
        <v>61</v>
      </c>
      <c r="V1354" t="s">
        <v>315</v>
      </c>
      <c r="W1354">
        <v>3.4</v>
      </c>
      <c r="X1354" t="s">
        <v>41</v>
      </c>
      <c r="Y1354" t="s">
        <v>42</v>
      </c>
      <c r="Z1354">
        <v>2</v>
      </c>
    </row>
    <row r="1355" spans="1:26">
      <c r="A1355" t="s">
        <v>2382</v>
      </c>
      <c r="B1355" t="s">
        <v>2383</v>
      </c>
      <c r="C1355" t="s">
        <v>45</v>
      </c>
      <c r="D1355" t="s">
        <v>46</v>
      </c>
      <c r="E1355" s="1">
        <v>44562</v>
      </c>
      <c r="F1355" t="s">
        <v>47</v>
      </c>
      <c r="G1355" t="s">
        <v>140</v>
      </c>
      <c r="H1355" t="s">
        <v>128</v>
      </c>
      <c r="I1355">
        <v>7</v>
      </c>
      <c r="J1355" t="s">
        <v>73</v>
      </c>
      <c r="K1355">
        <v>1</v>
      </c>
      <c r="L1355" s="3">
        <v>7699</v>
      </c>
      <c r="M1355">
        <v>20</v>
      </c>
      <c r="N1355" s="3">
        <v>6160</v>
      </c>
      <c r="O1355" s="3">
        <v>6160</v>
      </c>
      <c r="P1355" t="s">
        <v>74</v>
      </c>
      <c r="Q1355" t="s">
        <v>51</v>
      </c>
      <c r="R1355" t="s">
        <v>36</v>
      </c>
      <c r="S1355" t="s">
        <v>238</v>
      </c>
      <c r="T1355" t="s">
        <v>377</v>
      </c>
      <c r="U1355" t="s">
        <v>61</v>
      </c>
      <c r="V1355" t="s">
        <v>40</v>
      </c>
      <c r="W1355">
        <v>3</v>
      </c>
      <c r="X1355" t="s">
        <v>41</v>
      </c>
      <c r="Y1355" t="s">
        <v>55</v>
      </c>
      <c r="Z1355">
        <v>1</v>
      </c>
    </row>
    <row r="1356" spans="1:26">
      <c r="A1356" t="s">
        <v>2384</v>
      </c>
      <c r="B1356" t="s">
        <v>2330</v>
      </c>
      <c r="C1356" t="s">
        <v>94</v>
      </c>
      <c r="D1356" t="s">
        <v>29</v>
      </c>
      <c r="E1356" s="1">
        <v>44566</v>
      </c>
      <c r="F1356" t="s">
        <v>30</v>
      </c>
      <c r="G1356" t="s">
        <v>347</v>
      </c>
      <c r="H1356" t="s">
        <v>49</v>
      </c>
      <c r="I1356">
        <v>7</v>
      </c>
      <c r="J1356" t="s">
        <v>88</v>
      </c>
      <c r="K1356">
        <v>1</v>
      </c>
      <c r="L1356" s="3">
        <v>7399</v>
      </c>
      <c r="M1356">
        <v>15</v>
      </c>
      <c r="N1356" s="3">
        <v>6290</v>
      </c>
      <c r="O1356" s="3">
        <v>6290</v>
      </c>
      <c r="P1356" t="s">
        <v>74</v>
      </c>
      <c r="Q1356" t="s">
        <v>51</v>
      </c>
      <c r="R1356" t="s">
        <v>36</v>
      </c>
      <c r="S1356" t="s">
        <v>117</v>
      </c>
      <c r="T1356" t="s">
        <v>253</v>
      </c>
      <c r="U1356" t="s">
        <v>124</v>
      </c>
      <c r="V1356" t="s">
        <v>315</v>
      </c>
      <c r="W1356">
        <v>4</v>
      </c>
      <c r="X1356" t="s">
        <v>41</v>
      </c>
      <c r="Y1356" t="s">
        <v>55</v>
      </c>
      <c r="Z1356">
        <v>2</v>
      </c>
    </row>
    <row r="1357" spans="1:26">
      <c r="A1357" t="s">
        <v>2385</v>
      </c>
      <c r="B1357" t="s">
        <v>1165</v>
      </c>
      <c r="C1357" t="s">
        <v>28</v>
      </c>
      <c r="D1357" t="s">
        <v>29</v>
      </c>
      <c r="E1357" s="1">
        <v>44570</v>
      </c>
      <c r="F1357" t="s">
        <v>86</v>
      </c>
      <c r="G1357" t="s">
        <v>116</v>
      </c>
      <c r="H1357" t="s">
        <v>49</v>
      </c>
      <c r="I1357">
        <v>10</v>
      </c>
      <c r="J1357" t="s">
        <v>67</v>
      </c>
      <c r="K1357">
        <v>1</v>
      </c>
      <c r="L1357" s="3">
        <v>6999</v>
      </c>
      <c r="M1357">
        <v>20</v>
      </c>
      <c r="N1357" s="3">
        <v>5600</v>
      </c>
      <c r="O1357" s="3">
        <v>5600</v>
      </c>
      <c r="P1357" t="s">
        <v>34</v>
      </c>
      <c r="Q1357" t="s">
        <v>51</v>
      </c>
      <c r="R1357" t="s">
        <v>36</v>
      </c>
      <c r="S1357" t="s">
        <v>195</v>
      </c>
      <c r="T1357" t="s">
        <v>428</v>
      </c>
      <c r="U1357" t="s">
        <v>61</v>
      </c>
      <c r="V1357" t="s">
        <v>315</v>
      </c>
      <c r="W1357">
        <v>3.2</v>
      </c>
      <c r="X1357" t="s">
        <v>41</v>
      </c>
      <c r="Y1357" t="s">
        <v>42</v>
      </c>
      <c r="Z1357">
        <v>4</v>
      </c>
    </row>
    <row r="1358" spans="1:26">
      <c r="A1358" t="s">
        <v>2386</v>
      </c>
      <c r="B1358" t="s">
        <v>1367</v>
      </c>
      <c r="C1358" t="s">
        <v>94</v>
      </c>
      <c r="D1358" t="s">
        <v>46</v>
      </c>
      <c r="E1358" s="1">
        <v>44571</v>
      </c>
      <c r="F1358" t="s">
        <v>47</v>
      </c>
      <c r="G1358" t="s">
        <v>48</v>
      </c>
      <c r="H1358" t="s">
        <v>49</v>
      </c>
      <c r="I1358">
        <v>6</v>
      </c>
      <c r="J1358" t="s">
        <v>67</v>
      </c>
      <c r="K1358">
        <v>2</v>
      </c>
      <c r="L1358" s="3">
        <v>4999</v>
      </c>
      <c r="M1358">
        <v>30</v>
      </c>
      <c r="N1358" s="3">
        <v>3500</v>
      </c>
      <c r="O1358" s="3">
        <v>7000</v>
      </c>
      <c r="P1358" t="s">
        <v>74</v>
      </c>
      <c r="Q1358" t="s">
        <v>82</v>
      </c>
      <c r="R1358" t="s">
        <v>36</v>
      </c>
      <c r="S1358" t="s">
        <v>297</v>
      </c>
      <c r="T1358" t="s">
        <v>298</v>
      </c>
      <c r="U1358" t="s">
        <v>39</v>
      </c>
      <c r="V1358" t="s">
        <v>969</v>
      </c>
      <c r="W1358">
        <v>4.3</v>
      </c>
      <c r="X1358" t="s">
        <v>106</v>
      </c>
      <c r="Y1358" t="s">
        <v>42</v>
      </c>
      <c r="Z1358">
        <v>5</v>
      </c>
    </row>
    <row r="1359" spans="1:26">
      <c r="A1359" t="s">
        <v>2387</v>
      </c>
      <c r="B1359" t="s">
        <v>1197</v>
      </c>
      <c r="C1359" t="s">
        <v>28</v>
      </c>
      <c r="D1359" t="s">
        <v>46</v>
      </c>
      <c r="E1359" s="1">
        <v>44571</v>
      </c>
      <c r="F1359" t="s">
        <v>30</v>
      </c>
      <c r="G1359" t="s">
        <v>145</v>
      </c>
      <c r="H1359" t="s">
        <v>59</v>
      </c>
      <c r="I1359">
        <v>8</v>
      </c>
      <c r="J1359" t="s">
        <v>33</v>
      </c>
      <c r="K1359">
        <v>1</v>
      </c>
      <c r="L1359" s="3">
        <v>5799</v>
      </c>
      <c r="M1359">
        <v>10</v>
      </c>
      <c r="N1359" s="3">
        <v>5220</v>
      </c>
      <c r="O1359" s="3">
        <v>5220</v>
      </c>
      <c r="P1359" t="s">
        <v>34</v>
      </c>
      <c r="Q1359" t="s">
        <v>82</v>
      </c>
      <c r="R1359" t="s">
        <v>36</v>
      </c>
      <c r="S1359" t="s">
        <v>418</v>
      </c>
      <c r="T1359" t="s">
        <v>549</v>
      </c>
      <c r="U1359" t="s">
        <v>54</v>
      </c>
      <c r="V1359" t="s">
        <v>315</v>
      </c>
      <c r="W1359">
        <v>4.0999999999999996</v>
      </c>
      <c r="X1359" t="s">
        <v>41</v>
      </c>
      <c r="Y1359" t="s">
        <v>42</v>
      </c>
      <c r="Z1359">
        <v>3</v>
      </c>
    </row>
    <row r="1360" spans="1:26">
      <c r="A1360" t="s">
        <v>2388</v>
      </c>
      <c r="B1360" t="s">
        <v>1803</v>
      </c>
      <c r="C1360" t="s">
        <v>45</v>
      </c>
      <c r="D1360" t="s">
        <v>29</v>
      </c>
      <c r="E1360" s="1">
        <v>44573</v>
      </c>
      <c r="F1360" t="s">
        <v>79</v>
      </c>
      <c r="G1360" t="s">
        <v>127</v>
      </c>
      <c r="H1360" t="s">
        <v>128</v>
      </c>
      <c r="I1360">
        <v>6</v>
      </c>
      <c r="J1360" t="s">
        <v>150</v>
      </c>
      <c r="K1360">
        <v>1</v>
      </c>
      <c r="L1360" s="3">
        <v>5799</v>
      </c>
      <c r="M1360">
        <v>10</v>
      </c>
      <c r="N1360" s="3">
        <v>5220</v>
      </c>
      <c r="O1360" s="3">
        <v>5220</v>
      </c>
      <c r="P1360" t="s">
        <v>74</v>
      </c>
      <c r="Q1360" t="s">
        <v>51</v>
      </c>
      <c r="R1360" t="s">
        <v>36</v>
      </c>
      <c r="S1360" t="s">
        <v>168</v>
      </c>
      <c r="T1360" t="s">
        <v>532</v>
      </c>
      <c r="U1360" t="s">
        <v>91</v>
      </c>
      <c r="V1360" t="s">
        <v>315</v>
      </c>
      <c r="W1360">
        <v>4.5</v>
      </c>
      <c r="X1360" t="s">
        <v>41</v>
      </c>
      <c r="Y1360" t="s">
        <v>55</v>
      </c>
      <c r="Z1360">
        <v>1</v>
      </c>
    </row>
    <row r="1361" spans="1:26">
      <c r="A1361" t="s">
        <v>2389</v>
      </c>
      <c r="B1361" t="s">
        <v>2359</v>
      </c>
      <c r="C1361" t="s">
        <v>28</v>
      </c>
      <c r="D1361" t="s">
        <v>46</v>
      </c>
      <c r="E1361" s="1">
        <v>44573</v>
      </c>
      <c r="F1361" t="s">
        <v>79</v>
      </c>
      <c r="G1361" t="s">
        <v>127</v>
      </c>
      <c r="H1361" t="s">
        <v>128</v>
      </c>
      <c r="I1361">
        <v>11</v>
      </c>
      <c r="J1361" t="s">
        <v>33</v>
      </c>
      <c r="K1361">
        <v>1</v>
      </c>
      <c r="L1361" s="3">
        <v>3299</v>
      </c>
      <c r="M1361">
        <v>25</v>
      </c>
      <c r="N1361" s="3">
        <v>2470</v>
      </c>
      <c r="O1361" s="3">
        <v>2470</v>
      </c>
      <c r="P1361" t="s">
        <v>81</v>
      </c>
      <c r="Q1361" t="s">
        <v>51</v>
      </c>
      <c r="R1361" t="s">
        <v>36</v>
      </c>
      <c r="S1361" t="s">
        <v>122</v>
      </c>
      <c r="T1361" t="s">
        <v>123</v>
      </c>
      <c r="U1361" t="s">
        <v>124</v>
      </c>
      <c r="V1361" t="s">
        <v>315</v>
      </c>
      <c r="W1361">
        <v>3.4</v>
      </c>
      <c r="X1361" t="s">
        <v>106</v>
      </c>
      <c r="Y1361" t="s">
        <v>42</v>
      </c>
      <c r="Z1361">
        <v>3</v>
      </c>
    </row>
    <row r="1362" spans="1:26">
      <c r="A1362" t="s">
        <v>2390</v>
      </c>
      <c r="B1362" t="s">
        <v>2391</v>
      </c>
      <c r="C1362" t="s">
        <v>28</v>
      </c>
      <c r="D1362" t="s">
        <v>29</v>
      </c>
      <c r="E1362" s="1">
        <v>44576</v>
      </c>
      <c r="F1362" t="s">
        <v>86</v>
      </c>
      <c r="G1362" t="s">
        <v>312</v>
      </c>
      <c r="H1362" t="s">
        <v>59</v>
      </c>
      <c r="I1362">
        <v>12</v>
      </c>
      <c r="J1362" t="s">
        <v>33</v>
      </c>
      <c r="K1362">
        <v>1</v>
      </c>
      <c r="L1362" s="3">
        <v>7599</v>
      </c>
      <c r="M1362">
        <v>20</v>
      </c>
      <c r="N1362" s="3">
        <v>6080</v>
      </c>
      <c r="O1362" s="3">
        <v>6080</v>
      </c>
      <c r="P1362" t="s">
        <v>74</v>
      </c>
      <c r="Q1362" t="s">
        <v>51</v>
      </c>
      <c r="R1362" t="s">
        <v>36</v>
      </c>
      <c r="S1362" t="s">
        <v>68</v>
      </c>
      <c r="T1362" t="s">
        <v>400</v>
      </c>
      <c r="U1362" t="s">
        <v>91</v>
      </c>
      <c r="V1362" t="s">
        <v>40</v>
      </c>
      <c r="W1362">
        <v>3.6</v>
      </c>
      <c r="X1362" t="s">
        <v>41</v>
      </c>
      <c r="Y1362" t="s">
        <v>55</v>
      </c>
      <c r="Z1362">
        <v>3</v>
      </c>
    </row>
    <row r="1363" spans="1:26">
      <c r="A1363" t="s">
        <v>2392</v>
      </c>
      <c r="B1363" t="s">
        <v>2393</v>
      </c>
      <c r="C1363" t="s">
        <v>28</v>
      </c>
      <c r="D1363" t="s">
        <v>46</v>
      </c>
      <c r="E1363" s="1">
        <v>44576</v>
      </c>
      <c r="F1363" t="s">
        <v>86</v>
      </c>
      <c r="G1363" t="s">
        <v>87</v>
      </c>
      <c r="H1363" t="s">
        <v>59</v>
      </c>
      <c r="I1363">
        <v>8</v>
      </c>
      <c r="J1363" t="s">
        <v>73</v>
      </c>
      <c r="K1363">
        <v>1</v>
      </c>
      <c r="L1363" s="3">
        <v>9799</v>
      </c>
      <c r="M1363">
        <v>10</v>
      </c>
      <c r="N1363" s="3">
        <v>8820</v>
      </c>
      <c r="O1363" s="3">
        <v>8820</v>
      </c>
      <c r="P1363" t="s">
        <v>34</v>
      </c>
      <c r="Q1363" t="s">
        <v>51</v>
      </c>
      <c r="R1363" t="s">
        <v>36</v>
      </c>
      <c r="S1363" t="s">
        <v>164</v>
      </c>
      <c r="T1363" t="s">
        <v>409</v>
      </c>
      <c r="U1363" t="s">
        <v>91</v>
      </c>
      <c r="V1363" t="s">
        <v>40</v>
      </c>
      <c r="W1363">
        <v>4.3</v>
      </c>
      <c r="X1363" t="s">
        <v>41</v>
      </c>
      <c r="Y1363" t="s">
        <v>42</v>
      </c>
      <c r="Z1363">
        <v>3</v>
      </c>
    </row>
    <row r="1364" spans="1:26">
      <c r="A1364" t="s">
        <v>2394</v>
      </c>
      <c r="B1364" t="s">
        <v>2395</v>
      </c>
      <c r="C1364" t="s">
        <v>28</v>
      </c>
      <c r="D1364" t="s">
        <v>46</v>
      </c>
      <c r="E1364" s="1">
        <v>44576</v>
      </c>
      <c r="F1364" t="s">
        <v>30</v>
      </c>
      <c r="G1364" t="s">
        <v>58</v>
      </c>
      <c r="H1364" t="s">
        <v>59</v>
      </c>
      <c r="I1364">
        <v>10</v>
      </c>
      <c r="J1364" t="s">
        <v>33</v>
      </c>
      <c r="K1364">
        <v>2</v>
      </c>
      <c r="L1364" s="3">
        <v>4799</v>
      </c>
      <c r="M1364">
        <v>15</v>
      </c>
      <c r="N1364" s="3">
        <v>4080</v>
      </c>
      <c r="O1364" s="3">
        <v>8160</v>
      </c>
      <c r="P1364" t="s">
        <v>74</v>
      </c>
      <c r="Q1364" t="s">
        <v>82</v>
      </c>
      <c r="R1364" t="s">
        <v>36</v>
      </c>
      <c r="S1364" t="s">
        <v>175</v>
      </c>
      <c r="T1364" t="s">
        <v>176</v>
      </c>
      <c r="U1364" t="s">
        <v>54</v>
      </c>
      <c r="V1364" t="s">
        <v>40</v>
      </c>
      <c r="W1364">
        <v>3.4</v>
      </c>
      <c r="X1364" t="s">
        <v>41</v>
      </c>
      <c r="Y1364" t="s">
        <v>55</v>
      </c>
      <c r="Z1364">
        <v>2</v>
      </c>
    </row>
    <row r="1365" spans="1:26">
      <c r="A1365" t="s">
        <v>2396</v>
      </c>
      <c r="B1365" t="s">
        <v>2238</v>
      </c>
      <c r="C1365" t="s">
        <v>28</v>
      </c>
      <c r="D1365" t="s">
        <v>29</v>
      </c>
      <c r="E1365" s="1">
        <v>44578</v>
      </c>
      <c r="F1365" t="s">
        <v>86</v>
      </c>
      <c r="G1365" t="s">
        <v>285</v>
      </c>
      <c r="H1365" t="s">
        <v>111</v>
      </c>
      <c r="I1365">
        <v>7</v>
      </c>
      <c r="J1365" t="s">
        <v>73</v>
      </c>
      <c r="K1365">
        <v>1</v>
      </c>
      <c r="L1365" s="3">
        <v>8899</v>
      </c>
      <c r="M1365">
        <v>20</v>
      </c>
      <c r="N1365" s="3">
        <v>7120</v>
      </c>
      <c r="O1365" s="3">
        <v>7120</v>
      </c>
      <c r="P1365" t="s">
        <v>74</v>
      </c>
      <c r="Q1365" t="s">
        <v>51</v>
      </c>
      <c r="R1365" t="s">
        <v>36</v>
      </c>
      <c r="S1365" t="s">
        <v>156</v>
      </c>
      <c r="T1365" t="s">
        <v>369</v>
      </c>
      <c r="U1365" t="s">
        <v>91</v>
      </c>
      <c r="V1365" t="s">
        <v>315</v>
      </c>
      <c r="W1365">
        <v>4</v>
      </c>
      <c r="X1365" t="s">
        <v>41</v>
      </c>
      <c r="Y1365" t="s">
        <v>55</v>
      </c>
      <c r="Z1365">
        <v>2</v>
      </c>
    </row>
    <row r="1366" spans="1:26">
      <c r="A1366" t="s">
        <v>2397</v>
      </c>
      <c r="B1366" t="s">
        <v>2398</v>
      </c>
      <c r="C1366" t="s">
        <v>28</v>
      </c>
      <c r="D1366" t="s">
        <v>109</v>
      </c>
      <c r="E1366" s="1">
        <v>44579</v>
      </c>
      <c r="F1366" t="s">
        <v>47</v>
      </c>
      <c r="G1366" t="s">
        <v>199</v>
      </c>
      <c r="H1366" t="s">
        <v>59</v>
      </c>
      <c r="I1366">
        <v>9</v>
      </c>
      <c r="J1366" t="s">
        <v>33</v>
      </c>
      <c r="K1366">
        <v>1</v>
      </c>
      <c r="L1366" s="3">
        <v>4599</v>
      </c>
      <c r="M1366">
        <v>20</v>
      </c>
      <c r="N1366" s="3">
        <v>3680</v>
      </c>
      <c r="O1366" s="3">
        <v>3680</v>
      </c>
      <c r="P1366" t="s">
        <v>34</v>
      </c>
      <c r="Q1366" t="s">
        <v>82</v>
      </c>
      <c r="R1366" t="s">
        <v>36</v>
      </c>
      <c r="S1366" t="s">
        <v>117</v>
      </c>
      <c r="T1366" t="s">
        <v>751</v>
      </c>
      <c r="U1366" t="s">
        <v>54</v>
      </c>
      <c r="V1366" t="s">
        <v>40</v>
      </c>
      <c r="W1366">
        <v>3.1</v>
      </c>
      <c r="X1366" t="s">
        <v>41</v>
      </c>
      <c r="Y1366" t="s">
        <v>55</v>
      </c>
      <c r="Z1366">
        <v>3</v>
      </c>
    </row>
    <row r="1367" spans="1:26">
      <c r="A1367" t="s">
        <v>2399</v>
      </c>
      <c r="B1367" t="s">
        <v>1193</v>
      </c>
      <c r="C1367" t="s">
        <v>28</v>
      </c>
      <c r="D1367" t="s">
        <v>29</v>
      </c>
      <c r="E1367" s="1">
        <v>44581</v>
      </c>
      <c r="F1367" t="s">
        <v>30</v>
      </c>
      <c r="G1367" t="s">
        <v>347</v>
      </c>
      <c r="H1367" t="s">
        <v>49</v>
      </c>
      <c r="I1367">
        <v>6</v>
      </c>
      <c r="J1367" t="s">
        <v>98</v>
      </c>
      <c r="K1367">
        <v>3</v>
      </c>
      <c r="L1367" s="3">
        <v>8399</v>
      </c>
      <c r="M1367">
        <v>0</v>
      </c>
      <c r="N1367" s="3">
        <v>8400</v>
      </c>
      <c r="O1367" s="3">
        <v>25200</v>
      </c>
      <c r="P1367" t="s">
        <v>34</v>
      </c>
      <c r="Q1367" t="s">
        <v>51</v>
      </c>
      <c r="R1367" t="s">
        <v>36</v>
      </c>
      <c r="S1367" t="s">
        <v>384</v>
      </c>
      <c r="T1367" t="s">
        <v>385</v>
      </c>
      <c r="U1367" t="s">
        <v>91</v>
      </c>
      <c r="V1367" t="s">
        <v>315</v>
      </c>
      <c r="W1367">
        <v>4.0999999999999996</v>
      </c>
      <c r="X1367" t="s">
        <v>106</v>
      </c>
      <c r="Y1367" t="s">
        <v>42</v>
      </c>
      <c r="Z1367">
        <v>2</v>
      </c>
    </row>
    <row r="1368" spans="1:26">
      <c r="A1368" t="s">
        <v>2400</v>
      </c>
      <c r="B1368" t="s">
        <v>748</v>
      </c>
      <c r="C1368" t="s">
        <v>45</v>
      </c>
      <c r="D1368" t="s">
        <v>46</v>
      </c>
      <c r="E1368" s="1">
        <v>44583</v>
      </c>
      <c r="F1368" t="s">
        <v>30</v>
      </c>
      <c r="G1368" t="s">
        <v>145</v>
      </c>
      <c r="H1368" t="s">
        <v>59</v>
      </c>
      <c r="I1368">
        <v>6</v>
      </c>
      <c r="J1368" t="s">
        <v>88</v>
      </c>
      <c r="K1368">
        <v>1</v>
      </c>
      <c r="L1368" s="3">
        <v>7699</v>
      </c>
      <c r="M1368">
        <v>15</v>
      </c>
      <c r="N1368" s="3">
        <v>6540</v>
      </c>
      <c r="O1368" s="3">
        <v>6540</v>
      </c>
      <c r="P1368" t="s">
        <v>34</v>
      </c>
      <c r="Q1368" t="s">
        <v>35</v>
      </c>
      <c r="R1368" t="s">
        <v>36</v>
      </c>
      <c r="S1368" t="s">
        <v>238</v>
      </c>
      <c r="T1368" t="s">
        <v>377</v>
      </c>
      <c r="U1368" t="s">
        <v>91</v>
      </c>
      <c r="V1368" t="s">
        <v>969</v>
      </c>
      <c r="W1368">
        <v>3.3</v>
      </c>
      <c r="X1368" t="s">
        <v>41</v>
      </c>
      <c r="Y1368" t="s">
        <v>55</v>
      </c>
      <c r="Z1368">
        <v>2</v>
      </c>
    </row>
    <row r="1369" spans="1:26">
      <c r="A1369" t="s">
        <v>2401</v>
      </c>
      <c r="B1369" t="s">
        <v>2402</v>
      </c>
      <c r="C1369" t="s">
        <v>45</v>
      </c>
      <c r="D1369" t="s">
        <v>29</v>
      </c>
      <c r="E1369" s="1">
        <v>44583</v>
      </c>
      <c r="F1369" t="s">
        <v>65</v>
      </c>
      <c r="G1369" t="s">
        <v>72</v>
      </c>
      <c r="H1369" t="s">
        <v>59</v>
      </c>
      <c r="I1369">
        <v>10</v>
      </c>
      <c r="J1369" t="s">
        <v>73</v>
      </c>
      <c r="K1369">
        <v>1</v>
      </c>
      <c r="L1369" s="3">
        <v>3599</v>
      </c>
      <c r="M1369">
        <v>25</v>
      </c>
      <c r="N1369" s="3">
        <v>2700</v>
      </c>
      <c r="O1369" s="3">
        <v>2700</v>
      </c>
      <c r="P1369" t="s">
        <v>74</v>
      </c>
      <c r="Q1369" t="s">
        <v>35</v>
      </c>
      <c r="R1369" t="s">
        <v>36</v>
      </c>
      <c r="S1369" t="s">
        <v>269</v>
      </c>
      <c r="T1369" t="s">
        <v>575</v>
      </c>
      <c r="U1369" t="s">
        <v>91</v>
      </c>
      <c r="V1369" t="s">
        <v>40</v>
      </c>
      <c r="W1369">
        <v>4.4000000000000004</v>
      </c>
      <c r="X1369" t="s">
        <v>41</v>
      </c>
      <c r="Y1369" t="s">
        <v>55</v>
      </c>
      <c r="Z1369">
        <v>4</v>
      </c>
    </row>
    <row r="1370" spans="1:26">
      <c r="A1370" t="s">
        <v>2403</v>
      </c>
      <c r="B1370" t="s">
        <v>1528</v>
      </c>
      <c r="C1370" t="s">
        <v>45</v>
      </c>
      <c r="D1370" t="s">
        <v>29</v>
      </c>
      <c r="E1370" s="1">
        <v>44583</v>
      </c>
      <c r="F1370" t="s">
        <v>30</v>
      </c>
      <c r="G1370" t="s">
        <v>347</v>
      </c>
      <c r="H1370" t="s">
        <v>49</v>
      </c>
      <c r="I1370">
        <v>7</v>
      </c>
      <c r="J1370" t="s">
        <v>33</v>
      </c>
      <c r="K1370">
        <v>1</v>
      </c>
      <c r="L1370" s="3">
        <v>5999</v>
      </c>
      <c r="M1370">
        <v>0</v>
      </c>
      <c r="N1370" s="3">
        <v>6000</v>
      </c>
      <c r="O1370" s="3">
        <v>6000</v>
      </c>
      <c r="P1370" t="s">
        <v>34</v>
      </c>
      <c r="Q1370" t="s">
        <v>51</v>
      </c>
      <c r="R1370" t="s">
        <v>36</v>
      </c>
      <c r="S1370" t="s">
        <v>269</v>
      </c>
      <c r="T1370" t="s">
        <v>270</v>
      </c>
      <c r="U1370" t="s">
        <v>54</v>
      </c>
      <c r="V1370" t="s">
        <v>315</v>
      </c>
      <c r="W1370">
        <v>3.9</v>
      </c>
      <c r="X1370" t="s">
        <v>41</v>
      </c>
      <c r="Y1370" t="s">
        <v>55</v>
      </c>
      <c r="Z1370">
        <v>2</v>
      </c>
    </row>
    <row r="1371" spans="1:26">
      <c r="A1371" t="s">
        <v>2404</v>
      </c>
      <c r="B1371" t="s">
        <v>1459</v>
      </c>
      <c r="C1371" t="s">
        <v>28</v>
      </c>
      <c r="D1371" t="s">
        <v>95</v>
      </c>
      <c r="E1371" s="1">
        <v>44584</v>
      </c>
      <c r="F1371" t="s">
        <v>30</v>
      </c>
      <c r="G1371" t="s">
        <v>110</v>
      </c>
      <c r="H1371" t="s">
        <v>111</v>
      </c>
      <c r="I1371">
        <v>9</v>
      </c>
      <c r="J1371" t="s">
        <v>150</v>
      </c>
      <c r="K1371">
        <v>2</v>
      </c>
      <c r="L1371" s="3">
        <v>4499</v>
      </c>
      <c r="M1371">
        <v>15</v>
      </c>
      <c r="N1371" s="3">
        <v>3820</v>
      </c>
      <c r="O1371" s="3">
        <v>7640</v>
      </c>
      <c r="P1371" t="s">
        <v>34</v>
      </c>
      <c r="Q1371" t="s">
        <v>82</v>
      </c>
      <c r="R1371" t="s">
        <v>36</v>
      </c>
      <c r="S1371" t="s">
        <v>186</v>
      </c>
      <c r="T1371" t="s">
        <v>187</v>
      </c>
      <c r="U1371" t="s">
        <v>91</v>
      </c>
      <c r="V1371" t="s">
        <v>315</v>
      </c>
      <c r="W1371">
        <v>4.0999999999999996</v>
      </c>
      <c r="X1371" t="s">
        <v>41</v>
      </c>
      <c r="Y1371" t="s">
        <v>42</v>
      </c>
      <c r="Z1371">
        <v>4</v>
      </c>
    </row>
    <row r="1372" spans="1:26">
      <c r="A1372" t="s">
        <v>2405</v>
      </c>
      <c r="B1372" t="s">
        <v>1645</v>
      </c>
      <c r="C1372" t="s">
        <v>45</v>
      </c>
      <c r="D1372" t="s">
        <v>103</v>
      </c>
      <c r="E1372" s="1">
        <v>44585</v>
      </c>
      <c r="F1372" t="s">
        <v>65</v>
      </c>
      <c r="G1372" t="s">
        <v>66</v>
      </c>
      <c r="H1372" t="s">
        <v>59</v>
      </c>
      <c r="I1372">
        <v>9</v>
      </c>
      <c r="J1372" t="s">
        <v>88</v>
      </c>
      <c r="K1372">
        <v>1</v>
      </c>
      <c r="L1372" s="3">
        <v>3599</v>
      </c>
      <c r="M1372">
        <v>10</v>
      </c>
      <c r="N1372" s="3">
        <v>3240</v>
      </c>
      <c r="O1372" s="3">
        <v>3240</v>
      </c>
      <c r="P1372" t="s">
        <v>74</v>
      </c>
      <c r="Q1372" t="s">
        <v>51</v>
      </c>
      <c r="R1372" t="s">
        <v>36</v>
      </c>
      <c r="S1372" t="s">
        <v>243</v>
      </c>
      <c r="T1372" t="s">
        <v>276</v>
      </c>
      <c r="U1372" t="s">
        <v>54</v>
      </c>
      <c r="V1372" t="s">
        <v>315</v>
      </c>
      <c r="W1372">
        <v>4.7</v>
      </c>
      <c r="X1372" t="s">
        <v>106</v>
      </c>
      <c r="Y1372" t="s">
        <v>42</v>
      </c>
      <c r="Z1372">
        <v>7</v>
      </c>
    </row>
    <row r="1373" spans="1:26">
      <c r="A1373" t="s">
        <v>2406</v>
      </c>
      <c r="B1373" t="s">
        <v>2407</v>
      </c>
      <c r="C1373" t="s">
        <v>45</v>
      </c>
      <c r="D1373" t="s">
        <v>103</v>
      </c>
      <c r="E1373" s="1">
        <v>44586</v>
      </c>
      <c r="F1373" t="s">
        <v>65</v>
      </c>
      <c r="G1373" t="s">
        <v>268</v>
      </c>
      <c r="H1373" t="s">
        <v>128</v>
      </c>
      <c r="I1373">
        <v>11</v>
      </c>
      <c r="J1373" t="s">
        <v>73</v>
      </c>
      <c r="K1373">
        <v>1</v>
      </c>
      <c r="L1373" s="3">
        <v>6199</v>
      </c>
      <c r="M1373">
        <v>25</v>
      </c>
      <c r="N1373" s="3">
        <v>4650</v>
      </c>
      <c r="O1373" s="3">
        <v>4650</v>
      </c>
      <c r="P1373" t="s">
        <v>74</v>
      </c>
      <c r="Q1373" t="s">
        <v>82</v>
      </c>
      <c r="R1373" t="s">
        <v>36</v>
      </c>
      <c r="S1373" t="s">
        <v>112</v>
      </c>
      <c r="T1373" t="s">
        <v>113</v>
      </c>
      <c r="U1373" t="s">
        <v>54</v>
      </c>
      <c r="V1373" t="s">
        <v>40</v>
      </c>
      <c r="W1373">
        <v>5</v>
      </c>
      <c r="X1373" t="s">
        <v>41</v>
      </c>
      <c r="Y1373" t="s">
        <v>42</v>
      </c>
      <c r="Z1373">
        <v>4</v>
      </c>
    </row>
    <row r="1374" spans="1:26">
      <c r="A1374" t="s">
        <v>2408</v>
      </c>
      <c r="B1374" t="s">
        <v>1229</v>
      </c>
      <c r="C1374" t="s">
        <v>45</v>
      </c>
      <c r="D1374" t="s">
        <v>46</v>
      </c>
      <c r="E1374" s="1">
        <v>44588</v>
      </c>
      <c r="F1374" t="s">
        <v>79</v>
      </c>
      <c r="G1374" t="s">
        <v>80</v>
      </c>
      <c r="H1374" t="s">
        <v>59</v>
      </c>
      <c r="I1374">
        <v>11</v>
      </c>
      <c r="J1374" t="s">
        <v>98</v>
      </c>
      <c r="K1374">
        <v>1</v>
      </c>
      <c r="L1374" s="3">
        <v>3599</v>
      </c>
      <c r="M1374">
        <v>0</v>
      </c>
      <c r="N1374" s="3">
        <v>3600</v>
      </c>
      <c r="O1374" s="3">
        <v>3600</v>
      </c>
      <c r="P1374" t="s">
        <v>34</v>
      </c>
      <c r="Q1374" t="s">
        <v>82</v>
      </c>
      <c r="R1374" t="s">
        <v>36</v>
      </c>
      <c r="S1374" t="s">
        <v>156</v>
      </c>
      <c r="T1374" t="s">
        <v>157</v>
      </c>
      <c r="U1374" t="s">
        <v>54</v>
      </c>
      <c r="V1374" t="s">
        <v>315</v>
      </c>
      <c r="W1374">
        <v>4.7</v>
      </c>
      <c r="X1374" t="s">
        <v>62</v>
      </c>
      <c r="Y1374" t="s">
        <v>42</v>
      </c>
      <c r="Z1374">
        <v>4</v>
      </c>
    </row>
    <row r="1375" spans="1:26">
      <c r="A1375" t="s">
        <v>2409</v>
      </c>
      <c r="B1375" t="s">
        <v>927</v>
      </c>
      <c r="C1375" t="s">
        <v>45</v>
      </c>
      <c r="D1375" t="s">
        <v>95</v>
      </c>
      <c r="E1375" s="1">
        <v>44589</v>
      </c>
      <c r="F1375" t="s">
        <v>30</v>
      </c>
      <c r="G1375" t="s">
        <v>58</v>
      </c>
      <c r="H1375" t="s">
        <v>59</v>
      </c>
      <c r="I1375">
        <v>7</v>
      </c>
      <c r="J1375" t="s">
        <v>88</v>
      </c>
      <c r="K1375">
        <v>1</v>
      </c>
      <c r="L1375" s="3">
        <v>8399</v>
      </c>
      <c r="M1375">
        <v>20</v>
      </c>
      <c r="N1375" s="3">
        <v>6720</v>
      </c>
      <c r="O1375" s="3">
        <v>6720</v>
      </c>
      <c r="P1375" t="s">
        <v>74</v>
      </c>
      <c r="Q1375" t="s">
        <v>51</v>
      </c>
      <c r="R1375" t="s">
        <v>36</v>
      </c>
      <c r="S1375" t="s">
        <v>104</v>
      </c>
      <c r="T1375" t="s">
        <v>105</v>
      </c>
      <c r="U1375" t="s">
        <v>61</v>
      </c>
      <c r="V1375" t="s">
        <v>315</v>
      </c>
      <c r="W1375">
        <v>4.2</v>
      </c>
      <c r="X1375" t="s">
        <v>62</v>
      </c>
      <c r="Y1375" t="s">
        <v>42</v>
      </c>
      <c r="Z1375">
        <v>4</v>
      </c>
    </row>
    <row r="1376" spans="1:26">
      <c r="A1376" t="s">
        <v>2410</v>
      </c>
      <c r="B1376" t="s">
        <v>2021</v>
      </c>
      <c r="C1376" t="s">
        <v>28</v>
      </c>
      <c r="D1376" t="s">
        <v>103</v>
      </c>
      <c r="E1376" s="1">
        <v>44595</v>
      </c>
      <c r="F1376" t="s">
        <v>96</v>
      </c>
      <c r="G1376" t="s">
        <v>155</v>
      </c>
      <c r="H1376" t="s">
        <v>111</v>
      </c>
      <c r="I1376">
        <v>10</v>
      </c>
      <c r="J1376" t="s">
        <v>73</v>
      </c>
      <c r="K1376">
        <v>1</v>
      </c>
      <c r="L1376" s="3">
        <v>5599</v>
      </c>
      <c r="M1376">
        <v>5</v>
      </c>
      <c r="N1376" s="3">
        <v>5320</v>
      </c>
      <c r="O1376" s="3">
        <v>5320</v>
      </c>
      <c r="P1376" t="s">
        <v>74</v>
      </c>
      <c r="Q1376" t="s">
        <v>82</v>
      </c>
      <c r="R1376" t="s">
        <v>36</v>
      </c>
      <c r="S1376" t="s">
        <v>297</v>
      </c>
      <c r="T1376" t="s">
        <v>351</v>
      </c>
      <c r="U1376" t="s">
        <v>61</v>
      </c>
      <c r="V1376" t="s">
        <v>315</v>
      </c>
      <c r="W1376">
        <v>3.8</v>
      </c>
      <c r="X1376" t="s">
        <v>41</v>
      </c>
      <c r="Y1376" t="s">
        <v>42</v>
      </c>
      <c r="Z1376">
        <v>5</v>
      </c>
    </row>
    <row r="1377" spans="1:26">
      <c r="A1377" t="s">
        <v>2411</v>
      </c>
      <c r="B1377" t="s">
        <v>1485</v>
      </c>
      <c r="C1377" t="s">
        <v>28</v>
      </c>
      <c r="D1377" t="s">
        <v>95</v>
      </c>
      <c r="E1377" s="1">
        <v>44596</v>
      </c>
      <c r="F1377" t="s">
        <v>47</v>
      </c>
      <c r="G1377" t="s">
        <v>140</v>
      </c>
      <c r="H1377" t="s">
        <v>128</v>
      </c>
      <c r="I1377">
        <v>11</v>
      </c>
      <c r="J1377" t="s">
        <v>98</v>
      </c>
      <c r="K1377">
        <v>1</v>
      </c>
      <c r="L1377" s="3">
        <v>7199</v>
      </c>
      <c r="M1377">
        <v>0</v>
      </c>
      <c r="N1377" s="3">
        <v>7200</v>
      </c>
      <c r="O1377" s="3">
        <v>7200</v>
      </c>
      <c r="P1377" t="s">
        <v>74</v>
      </c>
      <c r="Q1377" t="s">
        <v>51</v>
      </c>
      <c r="R1377" t="s">
        <v>36</v>
      </c>
      <c r="S1377" t="s">
        <v>89</v>
      </c>
      <c r="T1377" t="s">
        <v>1982</v>
      </c>
      <c r="U1377" t="s">
        <v>91</v>
      </c>
      <c r="V1377" t="s">
        <v>315</v>
      </c>
      <c r="W1377">
        <v>3.8</v>
      </c>
      <c r="X1377" t="s">
        <v>41</v>
      </c>
      <c r="Y1377" t="s">
        <v>42</v>
      </c>
      <c r="Z1377">
        <v>3</v>
      </c>
    </row>
    <row r="1378" spans="1:26">
      <c r="A1378" t="s">
        <v>2412</v>
      </c>
      <c r="B1378" t="s">
        <v>2413</v>
      </c>
      <c r="C1378" t="s">
        <v>94</v>
      </c>
      <c r="D1378" t="s">
        <v>103</v>
      </c>
      <c r="E1378" s="1">
        <v>44598</v>
      </c>
      <c r="F1378" t="s">
        <v>79</v>
      </c>
      <c r="G1378" t="s">
        <v>174</v>
      </c>
      <c r="H1378" t="s">
        <v>32</v>
      </c>
      <c r="I1378">
        <v>8</v>
      </c>
      <c r="J1378" t="s">
        <v>98</v>
      </c>
      <c r="K1378">
        <v>3</v>
      </c>
      <c r="L1378" s="3">
        <v>5999</v>
      </c>
      <c r="M1378">
        <v>10</v>
      </c>
      <c r="N1378" s="3">
        <v>5400</v>
      </c>
      <c r="O1378" s="3">
        <v>16200</v>
      </c>
      <c r="P1378" t="s">
        <v>50</v>
      </c>
      <c r="Q1378" t="s">
        <v>51</v>
      </c>
      <c r="R1378" t="s">
        <v>36</v>
      </c>
      <c r="S1378" t="s">
        <v>238</v>
      </c>
      <c r="T1378" t="s">
        <v>377</v>
      </c>
      <c r="U1378" t="s">
        <v>124</v>
      </c>
      <c r="V1378" t="s">
        <v>40</v>
      </c>
      <c r="W1378">
        <v>4.7</v>
      </c>
      <c r="X1378" t="s">
        <v>41</v>
      </c>
      <c r="Y1378" t="s">
        <v>42</v>
      </c>
      <c r="Z1378">
        <v>2</v>
      </c>
    </row>
    <row r="1379" spans="1:26">
      <c r="A1379" t="s">
        <v>2414</v>
      </c>
      <c r="B1379" t="s">
        <v>396</v>
      </c>
      <c r="C1379" t="s">
        <v>94</v>
      </c>
      <c r="D1379" t="s">
        <v>46</v>
      </c>
      <c r="E1379" s="1">
        <v>44598</v>
      </c>
      <c r="F1379" t="s">
        <v>65</v>
      </c>
      <c r="G1379" t="s">
        <v>279</v>
      </c>
      <c r="H1379" t="s">
        <v>111</v>
      </c>
      <c r="I1379">
        <v>8</v>
      </c>
      <c r="J1379" t="s">
        <v>33</v>
      </c>
      <c r="K1379">
        <v>1</v>
      </c>
      <c r="L1379" s="3">
        <v>6899</v>
      </c>
      <c r="M1379">
        <v>20</v>
      </c>
      <c r="N1379" s="3">
        <v>5520</v>
      </c>
      <c r="O1379" s="3">
        <v>5520</v>
      </c>
      <c r="P1379" t="s">
        <v>74</v>
      </c>
      <c r="Q1379" t="s">
        <v>51</v>
      </c>
      <c r="R1379" t="s">
        <v>36</v>
      </c>
      <c r="S1379" t="s">
        <v>68</v>
      </c>
      <c r="T1379" t="s">
        <v>400</v>
      </c>
      <c r="U1379" t="s">
        <v>54</v>
      </c>
      <c r="V1379" t="s">
        <v>315</v>
      </c>
      <c r="W1379">
        <v>3.7</v>
      </c>
      <c r="X1379" t="s">
        <v>41</v>
      </c>
      <c r="Y1379" t="s">
        <v>42</v>
      </c>
      <c r="Z1379">
        <v>3</v>
      </c>
    </row>
    <row r="1380" spans="1:26">
      <c r="A1380" t="s">
        <v>2415</v>
      </c>
      <c r="B1380" t="s">
        <v>2416</v>
      </c>
      <c r="C1380" t="s">
        <v>94</v>
      </c>
      <c r="D1380" t="s">
        <v>103</v>
      </c>
      <c r="E1380" s="1">
        <v>44599</v>
      </c>
      <c r="F1380" t="s">
        <v>79</v>
      </c>
      <c r="G1380" t="s">
        <v>127</v>
      </c>
      <c r="H1380" t="s">
        <v>128</v>
      </c>
      <c r="I1380">
        <v>10</v>
      </c>
      <c r="J1380" t="s">
        <v>67</v>
      </c>
      <c r="K1380">
        <v>1</v>
      </c>
      <c r="L1380" s="3">
        <v>3099</v>
      </c>
      <c r="M1380">
        <v>10</v>
      </c>
      <c r="N1380" s="3">
        <v>2790</v>
      </c>
      <c r="O1380" s="3">
        <v>2790</v>
      </c>
      <c r="P1380" t="s">
        <v>74</v>
      </c>
      <c r="Q1380" t="s">
        <v>51</v>
      </c>
      <c r="R1380" t="s">
        <v>36</v>
      </c>
      <c r="S1380" t="s">
        <v>243</v>
      </c>
      <c r="T1380" t="s">
        <v>328</v>
      </c>
      <c r="U1380" t="s">
        <v>54</v>
      </c>
      <c r="V1380" t="s">
        <v>40</v>
      </c>
      <c r="W1380">
        <v>3.9</v>
      </c>
      <c r="X1380" t="s">
        <v>62</v>
      </c>
      <c r="Y1380" t="s">
        <v>42</v>
      </c>
      <c r="Z1380">
        <v>2</v>
      </c>
    </row>
    <row r="1381" spans="1:26">
      <c r="A1381" t="s">
        <v>2417</v>
      </c>
      <c r="B1381" t="s">
        <v>1860</v>
      </c>
      <c r="C1381" t="s">
        <v>45</v>
      </c>
      <c r="D1381" t="s">
        <v>46</v>
      </c>
      <c r="E1381" s="1">
        <v>44600</v>
      </c>
      <c r="F1381" t="s">
        <v>79</v>
      </c>
      <c r="G1381" t="s">
        <v>174</v>
      </c>
      <c r="H1381" t="s">
        <v>32</v>
      </c>
      <c r="I1381">
        <v>11</v>
      </c>
      <c r="J1381" t="s">
        <v>73</v>
      </c>
      <c r="K1381">
        <v>2</v>
      </c>
      <c r="L1381" s="3">
        <v>7099</v>
      </c>
      <c r="M1381">
        <v>25</v>
      </c>
      <c r="N1381" s="3">
        <v>5320</v>
      </c>
      <c r="O1381" s="3">
        <v>10640</v>
      </c>
      <c r="P1381" t="s">
        <v>74</v>
      </c>
      <c r="Q1381" t="s">
        <v>82</v>
      </c>
      <c r="R1381" t="s">
        <v>36</v>
      </c>
      <c r="S1381" t="s">
        <v>238</v>
      </c>
      <c r="T1381" t="s">
        <v>239</v>
      </c>
      <c r="U1381" t="s">
        <v>91</v>
      </c>
      <c r="V1381" t="s">
        <v>315</v>
      </c>
      <c r="W1381">
        <v>3.9</v>
      </c>
      <c r="X1381" t="s">
        <v>41</v>
      </c>
      <c r="Y1381" t="s">
        <v>42</v>
      </c>
      <c r="Z1381">
        <v>6</v>
      </c>
    </row>
    <row r="1382" spans="1:26">
      <c r="A1382" t="s">
        <v>2418</v>
      </c>
      <c r="B1382" t="s">
        <v>284</v>
      </c>
      <c r="C1382" t="s">
        <v>94</v>
      </c>
      <c r="D1382" t="s">
        <v>29</v>
      </c>
      <c r="E1382" s="1">
        <v>44601</v>
      </c>
      <c r="F1382" t="s">
        <v>65</v>
      </c>
      <c r="G1382" t="s">
        <v>365</v>
      </c>
      <c r="H1382" t="s">
        <v>49</v>
      </c>
      <c r="I1382">
        <v>10</v>
      </c>
      <c r="J1382" t="s">
        <v>67</v>
      </c>
      <c r="K1382">
        <v>2</v>
      </c>
      <c r="L1382" s="3">
        <v>8199</v>
      </c>
      <c r="M1382">
        <v>25</v>
      </c>
      <c r="N1382" s="3">
        <v>6150</v>
      </c>
      <c r="O1382" s="3">
        <v>12300</v>
      </c>
      <c r="P1382" t="s">
        <v>81</v>
      </c>
      <c r="Q1382" t="s">
        <v>35</v>
      </c>
      <c r="R1382" t="s">
        <v>36</v>
      </c>
      <c r="S1382" t="s">
        <v>200</v>
      </c>
      <c r="T1382" t="s">
        <v>219</v>
      </c>
      <c r="U1382" t="s">
        <v>39</v>
      </c>
      <c r="V1382" t="s">
        <v>969</v>
      </c>
      <c r="W1382">
        <v>3.7</v>
      </c>
      <c r="X1382" t="s">
        <v>106</v>
      </c>
      <c r="Y1382" t="s">
        <v>55</v>
      </c>
      <c r="Z1382">
        <v>2</v>
      </c>
    </row>
    <row r="1383" spans="1:26">
      <c r="A1383" t="s">
        <v>2419</v>
      </c>
      <c r="B1383" t="s">
        <v>2420</v>
      </c>
      <c r="C1383" t="s">
        <v>94</v>
      </c>
      <c r="D1383" t="s">
        <v>29</v>
      </c>
      <c r="E1383" s="1">
        <v>44603</v>
      </c>
      <c r="F1383" t="s">
        <v>47</v>
      </c>
      <c r="G1383" t="s">
        <v>199</v>
      </c>
      <c r="H1383" t="s">
        <v>59</v>
      </c>
      <c r="I1383">
        <v>9</v>
      </c>
      <c r="J1383" t="s">
        <v>33</v>
      </c>
      <c r="K1383">
        <v>1</v>
      </c>
      <c r="L1383" s="3">
        <v>5399</v>
      </c>
      <c r="M1383">
        <v>10</v>
      </c>
      <c r="N1383" s="3">
        <v>4860</v>
      </c>
      <c r="O1383" s="3">
        <v>4860</v>
      </c>
      <c r="P1383" t="s">
        <v>34</v>
      </c>
      <c r="Q1383" t="s">
        <v>35</v>
      </c>
      <c r="R1383" t="s">
        <v>36</v>
      </c>
      <c r="S1383" t="s">
        <v>338</v>
      </c>
      <c r="T1383" t="s">
        <v>449</v>
      </c>
      <c r="U1383" t="s">
        <v>91</v>
      </c>
      <c r="V1383" t="s">
        <v>40</v>
      </c>
      <c r="W1383">
        <v>4.3</v>
      </c>
      <c r="X1383" t="s">
        <v>41</v>
      </c>
      <c r="Y1383" t="s">
        <v>42</v>
      </c>
      <c r="Z1383">
        <v>3</v>
      </c>
    </row>
    <row r="1384" spans="1:26">
      <c r="A1384" t="s">
        <v>2421</v>
      </c>
      <c r="B1384" t="s">
        <v>2422</v>
      </c>
      <c r="C1384" t="s">
        <v>94</v>
      </c>
      <c r="D1384" t="s">
        <v>95</v>
      </c>
      <c r="E1384" s="1">
        <v>44603</v>
      </c>
      <c r="F1384" t="s">
        <v>65</v>
      </c>
      <c r="G1384" t="s">
        <v>365</v>
      </c>
      <c r="H1384" t="s">
        <v>49</v>
      </c>
      <c r="I1384">
        <v>8</v>
      </c>
      <c r="J1384" t="s">
        <v>150</v>
      </c>
      <c r="K1384">
        <v>4</v>
      </c>
      <c r="L1384" s="3">
        <v>5999</v>
      </c>
      <c r="M1384">
        <v>10</v>
      </c>
      <c r="N1384" s="3">
        <v>5400</v>
      </c>
      <c r="O1384" s="3">
        <v>21600</v>
      </c>
      <c r="P1384" t="s">
        <v>74</v>
      </c>
      <c r="Q1384" t="s">
        <v>82</v>
      </c>
      <c r="R1384" t="s">
        <v>36</v>
      </c>
      <c r="S1384" t="s">
        <v>175</v>
      </c>
      <c r="T1384" t="s">
        <v>437</v>
      </c>
      <c r="U1384" t="s">
        <v>39</v>
      </c>
      <c r="V1384" t="s">
        <v>40</v>
      </c>
      <c r="W1384">
        <v>4.3</v>
      </c>
      <c r="X1384" t="s">
        <v>41</v>
      </c>
      <c r="Y1384" t="s">
        <v>55</v>
      </c>
      <c r="Z1384">
        <v>3</v>
      </c>
    </row>
    <row r="1385" spans="1:26">
      <c r="A1385" t="s">
        <v>2423</v>
      </c>
      <c r="B1385" t="s">
        <v>2424</v>
      </c>
      <c r="C1385" t="s">
        <v>94</v>
      </c>
      <c r="D1385" t="s">
        <v>103</v>
      </c>
      <c r="E1385" s="1">
        <v>44604</v>
      </c>
      <c r="F1385" t="s">
        <v>65</v>
      </c>
      <c r="G1385" t="s">
        <v>268</v>
      </c>
      <c r="H1385" t="s">
        <v>128</v>
      </c>
      <c r="I1385">
        <v>9</v>
      </c>
      <c r="J1385" t="s">
        <v>98</v>
      </c>
      <c r="K1385">
        <v>1</v>
      </c>
      <c r="L1385" s="3">
        <v>3399</v>
      </c>
      <c r="M1385">
        <v>25</v>
      </c>
      <c r="N1385" s="3">
        <v>2550</v>
      </c>
      <c r="O1385" s="3">
        <v>2550</v>
      </c>
      <c r="P1385" t="s">
        <v>74</v>
      </c>
      <c r="Q1385" t="s">
        <v>51</v>
      </c>
      <c r="R1385" t="s">
        <v>36</v>
      </c>
      <c r="S1385" t="s">
        <v>160</v>
      </c>
      <c r="T1385" t="s">
        <v>247</v>
      </c>
      <c r="U1385" t="s">
        <v>61</v>
      </c>
      <c r="V1385" t="s">
        <v>40</v>
      </c>
      <c r="W1385">
        <v>4.4000000000000004</v>
      </c>
      <c r="X1385" t="s">
        <v>41</v>
      </c>
      <c r="Y1385" t="s">
        <v>42</v>
      </c>
      <c r="Z1385">
        <v>3</v>
      </c>
    </row>
    <row r="1386" spans="1:26">
      <c r="A1386" t="s">
        <v>2425</v>
      </c>
      <c r="B1386" t="s">
        <v>1363</v>
      </c>
      <c r="C1386" t="s">
        <v>45</v>
      </c>
      <c r="D1386" t="s">
        <v>95</v>
      </c>
      <c r="E1386" s="1">
        <v>44606</v>
      </c>
      <c r="F1386" t="s">
        <v>86</v>
      </c>
      <c r="G1386" t="s">
        <v>190</v>
      </c>
      <c r="H1386" t="s">
        <v>128</v>
      </c>
      <c r="I1386">
        <v>7</v>
      </c>
      <c r="J1386" t="s">
        <v>88</v>
      </c>
      <c r="K1386">
        <v>1</v>
      </c>
      <c r="L1386" s="3">
        <v>6899</v>
      </c>
      <c r="M1386">
        <v>15</v>
      </c>
      <c r="N1386" s="3">
        <v>5860</v>
      </c>
      <c r="O1386" s="3">
        <v>5860</v>
      </c>
      <c r="P1386" t="s">
        <v>74</v>
      </c>
      <c r="Q1386" t="s">
        <v>82</v>
      </c>
      <c r="R1386" t="s">
        <v>36</v>
      </c>
      <c r="S1386" t="s">
        <v>129</v>
      </c>
      <c r="T1386" t="s">
        <v>146</v>
      </c>
      <c r="U1386" t="s">
        <v>124</v>
      </c>
      <c r="V1386" t="s">
        <v>315</v>
      </c>
      <c r="W1386">
        <v>4.8</v>
      </c>
      <c r="X1386" t="s">
        <v>106</v>
      </c>
      <c r="Y1386" t="s">
        <v>42</v>
      </c>
      <c r="Z1386">
        <v>5</v>
      </c>
    </row>
    <row r="1387" spans="1:26">
      <c r="A1387" t="s">
        <v>2426</v>
      </c>
      <c r="B1387" t="s">
        <v>2427</v>
      </c>
      <c r="C1387" t="s">
        <v>94</v>
      </c>
      <c r="D1387" t="s">
        <v>29</v>
      </c>
      <c r="E1387" s="1">
        <v>44606</v>
      </c>
      <c r="F1387" t="s">
        <v>65</v>
      </c>
      <c r="G1387" t="s">
        <v>365</v>
      </c>
      <c r="H1387" t="s">
        <v>49</v>
      </c>
      <c r="I1387">
        <v>7</v>
      </c>
      <c r="J1387" t="s">
        <v>67</v>
      </c>
      <c r="K1387">
        <v>1</v>
      </c>
      <c r="L1387" s="3">
        <v>6999</v>
      </c>
      <c r="M1387">
        <v>20</v>
      </c>
      <c r="N1387" s="3">
        <v>5600</v>
      </c>
      <c r="O1387" s="3">
        <v>5600</v>
      </c>
      <c r="P1387" t="s">
        <v>74</v>
      </c>
      <c r="Q1387" t="s">
        <v>82</v>
      </c>
      <c r="R1387" t="s">
        <v>36</v>
      </c>
      <c r="S1387" t="s">
        <v>151</v>
      </c>
      <c r="T1387" t="s">
        <v>890</v>
      </c>
      <c r="U1387" t="s">
        <v>91</v>
      </c>
      <c r="V1387" t="s">
        <v>40</v>
      </c>
      <c r="W1387">
        <v>2.8</v>
      </c>
      <c r="X1387" t="s">
        <v>41</v>
      </c>
      <c r="Y1387" t="s">
        <v>55</v>
      </c>
      <c r="Z1387">
        <v>2</v>
      </c>
    </row>
    <row r="1388" spans="1:26">
      <c r="A1388" t="s">
        <v>2428</v>
      </c>
      <c r="B1388" t="s">
        <v>2429</v>
      </c>
      <c r="C1388" t="s">
        <v>94</v>
      </c>
      <c r="D1388" t="s">
        <v>46</v>
      </c>
      <c r="E1388" s="1">
        <v>44607</v>
      </c>
      <c r="F1388" t="s">
        <v>86</v>
      </c>
      <c r="G1388" t="s">
        <v>285</v>
      </c>
      <c r="H1388" t="s">
        <v>111</v>
      </c>
      <c r="I1388">
        <v>11</v>
      </c>
      <c r="J1388" t="s">
        <v>67</v>
      </c>
      <c r="K1388">
        <v>1</v>
      </c>
      <c r="L1388" s="3">
        <v>4699</v>
      </c>
      <c r="M1388">
        <v>25</v>
      </c>
      <c r="N1388" s="3">
        <v>3520</v>
      </c>
      <c r="O1388" s="3">
        <v>3520</v>
      </c>
      <c r="P1388" t="s">
        <v>74</v>
      </c>
      <c r="Q1388" t="s">
        <v>51</v>
      </c>
      <c r="R1388" t="s">
        <v>36</v>
      </c>
      <c r="S1388" t="s">
        <v>99</v>
      </c>
      <c r="T1388" t="s">
        <v>100</v>
      </c>
      <c r="U1388" t="s">
        <v>91</v>
      </c>
      <c r="V1388" t="s">
        <v>40</v>
      </c>
      <c r="W1388">
        <v>3.6</v>
      </c>
      <c r="X1388" t="s">
        <v>41</v>
      </c>
      <c r="Y1388" t="s">
        <v>55</v>
      </c>
      <c r="Z1388">
        <v>1</v>
      </c>
    </row>
    <row r="1389" spans="1:26">
      <c r="A1389" t="s">
        <v>2430</v>
      </c>
      <c r="B1389" t="s">
        <v>1294</v>
      </c>
      <c r="C1389" t="s">
        <v>28</v>
      </c>
      <c r="D1389" t="s">
        <v>29</v>
      </c>
      <c r="E1389" s="1">
        <v>44608</v>
      </c>
      <c r="F1389" t="s">
        <v>65</v>
      </c>
      <c r="G1389" t="s">
        <v>66</v>
      </c>
      <c r="H1389" t="s">
        <v>59</v>
      </c>
      <c r="I1389">
        <v>6</v>
      </c>
      <c r="J1389" t="s">
        <v>67</v>
      </c>
      <c r="K1389">
        <v>1</v>
      </c>
      <c r="L1389" s="3">
        <v>7999</v>
      </c>
      <c r="M1389">
        <v>10</v>
      </c>
      <c r="N1389" s="3">
        <v>7200</v>
      </c>
      <c r="O1389" s="3">
        <v>7200</v>
      </c>
      <c r="P1389" t="s">
        <v>34</v>
      </c>
      <c r="Q1389" t="s">
        <v>82</v>
      </c>
      <c r="R1389" t="s">
        <v>36</v>
      </c>
      <c r="S1389" t="s">
        <v>182</v>
      </c>
      <c r="T1389" t="s">
        <v>604</v>
      </c>
      <c r="U1389" t="s">
        <v>39</v>
      </c>
      <c r="V1389" t="s">
        <v>969</v>
      </c>
      <c r="W1389">
        <v>4.7</v>
      </c>
      <c r="X1389" t="s">
        <v>41</v>
      </c>
      <c r="Y1389" t="s">
        <v>42</v>
      </c>
      <c r="Z1389">
        <v>6</v>
      </c>
    </row>
    <row r="1390" spans="1:26">
      <c r="A1390" t="s">
        <v>2431</v>
      </c>
      <c r="B1390" t="s">
        <v>2200</v>
      </c>
      <c r="C1390" t="s">
        <v>45</v>
      </c>
      <c r="D1390" t="s">
        <v>46</v>
      </c>
      <c r="E1390" s="1">
        <v>44610</v>
      </c>
      <c r="F1390" t="s">
        <v>96</v>
      </c>
      <c r="G1390" t="s">
        <v>290</v>
      </c>
      <c r="H1390" t="s">
        <v>32</v>
      </c>
      <c r="I1390">
        <v>6</v>
      </c>
      <c r="J1390" t="s">
        <v>150</v>
      </c>
      <c r="K1390">
        <v>1</v>
      </c>
      <c r="L1390" s="3">
        <v>5899</v>
      </c>
      <c r="M1390">
        <v>10</v>
      </c>
      <c r="N1390" s="3">
        <v>5310</v>
      </c>
      <c r="O1390" s="3">
        <v>5310</v>
      </c>
      <c r="P1390" t="s">
        <v>74</v>
      </c>
      <c r="Q1390" t="s">
        <v>51</v>
      </c>
      <c r="R1390" t="s">
        <v>36</v>
      </c>
      <c r="S1390" t="s">
        <v>297</v>
      </c>
      <c r="T1390" t="s">
        <v>566</v>
      </c>
      <c r="U1390" t="s">
        <v>39</v>
      </c>
      <c r="V1390" t="s">
        <v>315</v>
      </c>
      <c r="W1390">
        <v>4.2</v>
      </c>
      <c r="X1390" t="s">
        <v>41</v>
      </c>
      <c r="Y1390" t="s">
        <v>42</v>
      </c>
      <c r="Z1390">
        <v>6</v>
      </c>
    </row>
    <row r="1391" spans="1:26">
      <c r="A1391" t="s">
        <v>2432</v>
      </c>
      <c r="B1391" t="s">
        <v>459</v>
      </c>
      <c r="C1391" t="s">
        <v>28</v>
      </c>
      <c r="D1391" t="s">
        <v>95</v>
      </c>
      <c r="E1391" s="1">
        <v>44611</v>
      </c>
      <c r="F1391" t="s">
        <v>47</v>
      </c>
      <c r="G1391" t="s">
        <v>121</v>
      </c>
      <c r="H1391" t="s">
        <v>111</v>
      </c>
      <c r="I1391">
        <v>11</v>
      </c>
      <c r="J1391" t="s">
        <v>98</v>
      </c>
      <c r="K1391">
        <v>1</v>
      </c>
      <c r="L1391" s="3">
        <v>5899</v>
      </c>
      <c r="M1391">
        <v>15</v>
      </c>
      <c r="N1391" s="3">
        <v>5010</v>
      </c>
      <c r="O1391" s="3">
        <v>5010</v>
      </c>
      <c r="P1391" t="s">
        <v>34</v>
      </c>
      <c r="Q1391" t="s">
        <v>82</v>
      </c>
      <c r="R1391" t="s">
        <v>36</v>
      </c>
      <c r="S1391" t="s">
        <v>168</v>
      </c>
      <c r="T1391" t="s">
        <v>557</v>
      </c>
      <c r="U1391" t="s">
        <v>54</v>
      </c>
      <c r="V1391" t="s">
        <v>969</v>
      </c>
      <c r="W1391">
        <v>3.3</v>
      </c>
      <c r="X1391" t="s">
        <v>41</v>
      </c>
      <c r="Y1391" t="s">
        <v>55</v>
      </c>
      <c r="Z1391">
        <v>2</v>
      </c>
    </row>
    <row r="1392" spans="1:26">
      <c r="A1392" t="s">
        <v>2433</v>
      </c>
      <c r="B1392" t="s">
        <v>724</v>
      </c>
      <c r="C1392" t="s">
        <v>28</v>
      </c>
      <c r="D1392" t="s">
        <v>29</v>
      </c>
      <c r="E1392" s="1">
        <v>44612</v>
      </c>
      <c r="F1392" t="s">
        <v>65</v>
      </c>
      <c r="G1392" t="s">
        <v>365</v>
      </c>
      <c r="H1392" t="s">
        <v>49</v>
      </c>
      <c r="I1392">
        <v>8</v>
      </c>
      <c r="J1392" t="s">
        <v>98</v>
      </c>
      <c r="K1392">
        <v>1</v>
      </c>
      <c r="L1392" s="3">
        <v>3099</v>
      </c>
      <c r="M1392">
        <v>15</v>
      </c>
      <c r="N1392" s="3">
        <v>2630</v>
      </c>
      <c r="O1392" s="3">
        <v>2630</v>
      </c>
      <c r="P1392" t="s">
        <v>74</v>
      </c>
      <c r="Q1392" t="s">
        <v>51</v>
      </c>
      <c r="R1392" t="s">
        <v>36</v>
      </c>
      <c r="S1392" t="s">
        <v>68</v>
      </c>
      <c r="T1392" t="s">
        <v>811</v>
      </c>
      <c r="U1392" t="s">
        <v>61</v>
      </c>
      <c r="V1392" t="s">
        <v>315</v>
      </c>
      <c r="W1392">
        <v>3.6</v>
      </c>
      <c r="X1392" t="s">
        <v>106</v>
      </c>
      <c r="Y1392" t="s">
        <v>42</v>
      </c>
      <c r="Z1392">
        <v>6</v>
      </c>
    </row>
    <row r="1393" spans="1:26">
      <c r="A1393" t="s">
        <v>2434</v>
      </c>
      <c r="B1393" t="s">
        <v>1627</v>
      </c>
      <c r="C1393" t="s">
        <v>28</v>
      </c>
      <c r="D1393" t="s">
        <v>46</v>
      </c>
      <c r="E1393" s="1">
        <v>44617</v>
      </c>
      <c r="F1393" t="s">
        <v>79</v>
      </c>
      <c r="G1393" t="s">
        <v>301</v>
      </c>
      <c r="H1393" t="s">
        <v>49</v>
      </c>
      <c r="I1393">
        <v>7</v>
      </c>
      <c r="J1393" t="s">
        <v>98</v>
      </c>
      <c r="K1393">
        <v>2</v>
      </c>
      <c r="L1393" s="3">
        <v>6199</v>
      </c>
      <c r="M1393">
        <v>5</v>
      </c>
      <c r="N1393" s="3">
        <v>5890</v>
      </c>
      <c r="O1393" s="3">
        <v>11780</v>
      </c>
      <c r="P1393" t="s">
        <v>74</v>
      </c>
      <c r="Q1393" t="s">
        <v>51</v>
      </c>
      <c r="R1393" t="s">
        <v>36</v>
      </c>
      <c r="S1393" t="s">
        <v>200</v>
      </c>
      <c r="T1393" t="s">
        <v>232</v>
      </c>
      <c r="U1393" t="s">
        <v>124</v>
      </c>
      <c r="V1393" t="s">
        <v>315</v>
      </c>
      <c r="W1393">
        <v>4.3</v>
      </c>
      <c r="X1393" t="s">
        <v>41</v>
      </c>
      <c r="Y1393" t="s">
        <v>55</v>
      </c>
      <c r="Z1393">
        <v>3</v>
      </c>
    </row>
    <row r="1394" spans="1:26">
      <c r="A1394" t="s">
        <v>2435</v>
      </c>
      <c r="B1394" t="s">
        <v>2436</v>
      </c>
      <c r="C1394" t="s">
        <v>28</v>
      </c>
      <c r="D1394" t="s">
        <v>103</v>
      </c>
      <c r="E1394" s="1">
        <v>44617</v>
      </c>
      <c r="F1394" t="s">
        <v>47</v>
      </c>
      <c r="G1394" t="s">
        <v>140</v>
      </c>
      <c r="H1394" t="s">
        <v>128</v>
      </c>
      <c r="I1394">
        <v>7</v>
      </c>
      <c r="J1394" t="s">
        <v>73</v>
      </c>
      <c r="K1394">
        <v>1</v>
      </c>
      <c r="L1394" s="3">
        <v>4899</v>
      </c>
      <c r="M1394">
        <v>20</v>
      </c>
      <c r="N1394" s="3">
        <v>3920</v>
      </c>
      <c r="O1394" s="3">
        <v>3920</v>
      </c>
      <c r="P1394" t="s">
        <v>34</v>
      </c>
      <c r="Q1394" t="s">
        <v>82</v>
      </c>
      <c r="R1394" t="s">
        <v>36</v>
      </c>
      <c r="S1394" t="s">
        <v>210</v>
      </c>
      <c r="T1394" t="s">
        <v>211</v>
      </c>
      <c r="U1394" t="s">
        <v>61</v>
      </c>
      <c r="V1394" t="s">
        <v>40</v>
      </c>
      <c r="W1394">
        <v>4.7</v>
      </c>
      <c r="X1394" t="s">
        <v>41</v>
      </c>
      <c r="Y1394" t="s">
        <v>42</v>
      </c>
      <c r="Z1394">
        <v>3</v>
      </c>
    </row>
    <row r="1395" spans="1:26">
      <c r="A1395" t="s">
        <v>2437</v>
      </c>
      <c r="B1395" t="s">
        <v>839</v>
      </c>
      <c r="C1395" t="s">
        <v>28</v>
      </c>
      <c r="D1395" t="s">
        <v>46</v>
      </c>
      <c r="E1395" s="1">
        <v>44618</v>
      </c>
      <c r="F1395" t="s">
        <v>79</v>
      </c>
      <c r="G1395" t="s">
        <v>127</v>
      </c>
      <c r="H1395" t="s">
        <v>128</v>
      </c>
      <c r="I1395">
        <v>8</v>
      </c>
      <c r="J1395" t="s">
        <v>67</v>
      </c>
      <c r="K1395">
        <v>3</v>
      </c>
      <c r="L1395" s="3">
        <v>7399</v>
      </c>
      <c r="M1395">
        <v>15</v>
      </c>
      <c r="N1395" s="3">
        <v>6290</v>
      </c>
      <c r="O1395" s="3">
        <v>18870</v>
      </c>
      <c r="P1395" t="s">
        <v>81</v>
      </c>
      <c r="Q1395" t="s">
        <v>82</v>
      </c>
      <c r="R1395" t="s">
        <v>36</v>
      </c>
      <c r="S1395" t="s">
        <v>384</v>
      </c>
      <c r="T1395" t="s">
        <v>1217</v>
      </c>
      <c r="U1395" t="s">
        <v>54</v>
      </c>
      <c r="V1395" t="s">
        <v>969</v>
      </c>
      <c r="W1395">
        <v>4.5</v>
      </c>
      <c r="X1395" t="s">
        <v>41</v>
      </c>
      <c r="Y1395" t="s">
        <v>55</v>
      </c>
      <c r="Z1395">
        <v>3</v>
      </c>
    </row>
    <row r="1396" spans="1:26">
      <c r="A1396" t="s">
        <v>2438</v>
      </c>
      <c r="B1396" t="s">
        <v>1763</v>
      </c>
      <c r="C1396" t="s">
        <v>45</v>
      </c>
      <c r="D1396" t="s">
        <v>29</v>
      </c>
      <c r="E1396" s="1">
        <v>44618</v>
      </c>
      <c r="F1396" t="s">
        <v>30</v>
      </c>
      <c r="G1396" t="s">
        <v>31</v>
      </c>
      <c r="H1396" t="s">
        <v>32</v>
      </c>
      <c r="I1396">
        <v>12</v>
      </c>
      <c r="J1396" t="s">
        <v>67</v>
      </c>
      <c r="K1396">
        <v>2</v>
      </c>
      <c r="L1396" s="3">
        <v>4599</v>
      </c>
      <c r="M1396">
        <v>10</v>
      </c>
      <c r="N1396" s="3">
        <v>4140</v>
      </c>
      <c r="O1396" s="3">
        <v>8280</v>
      </c>
      <c r="P1396" t="s">
        <v>74</v>
      </c>
      <c r="Q1396" t="s">
        <v>82</v>
      </c>
      <c r="R1396" t="s">
        <v>36</v>
      </c>
      <c r="S1396" t="s">
        <v>129</v>
      </c>
      <c r="T1396" t="s">
        <v>146</v>
      </c>
      <c r="U1396" t="s">
        <v>124</v>
      </c>
      <c r="V1396" t="s">
        <v>315</v>
      </c>
      <c r="W1396">
        <v>3.6</v>
      </c>
      <c r="X1396" t="s">
        <v>41</v>
      </c>
      <c r="Y1396" t="s">
        <v>42</v>
      </c>
      <c r="Z1396">
        <v>5</v>
      </c>
    </row>
    <row r="1397" spans="1:26">
      <c r="A1397" t="s">
        <v>2439</v>
      </c>
      <c r="B1397" t="s">
        <v>644</v>
      </c>
      <c r="C1397" t="s">
        <v>28</v>
      </c>
      <c r="D1397" t="s">
        <v>29</v>
      </c>
      <c r="E1397" s="1">
        <v>44622</v>
      </c>
      <c r="F1397" t="s">
        <v>86</v>
      </c>
      <c r="G1397" t="s">
        <v>285</v>
      </c>
      <c r="H1397" t="s">
        <v>111</v>
      </c>
      <c r="I1397">
        <v>8</v>
      </c>
      <c r="J1397" t="s">
        <v>67</v>
      </c>
      <c r="K1397">
        <v>1</v>
      </c>
      <c r="L1397" s="3">
        <v>4399</v>
      </c>
      <c r="M1397">
        <v>20</v>
      </c>
      <c r="N1397" s="3">
        <v>3520</v>
      </c>
      <c r="O1397" s="3">
        <v>3520</v>
      </c>
      <c r="P1397" t="s">
        <v>34</v>
      </c>
      <c r="Q1397" t="s">
        <v>35</v>
      </c>
      <c r="R1397" t="s">
        <v>36</v>
      </c>
      <c r="S1397" t="s">
        <v>175</v>
      </c>
      <c r="T1397" t="s">
        <v>495</v>
      </c>
      <c r="U1397" t="s">
        <v>39</v>
      </c>
      <c r="V1397" t="s">
        <v>969</v>
      </c>
      <c r="W1397">
        <v>4</v>
      </c>
      <c r="X1397" t="s">
        <v>62</v>
      </c>
      <c r="Y1397" t="s">
        <v>55</v>
      </c>
      <c r="Z1397">
        <v>2</v>
      </c>
    </row>
    <row r="1398" spans="1:26">
      <c r="A1398" t="s">
        <v>2440</v>
      </c>
      <c r="B1398" t="s">
        <v>1912</v>
      </c>
      <c r="C1398" t="s">
        <v>94</v>
      </c>
      <c r="D1398" t="s">
        <v>103</v>
      </c>
      <c r="E1398" s="1">
        <v>44623</v>
      </c>
      <c r="F1398" t="s">
        <v>30</v>
      </c>
      <c r="G1398" t="s">
        <v>145</v>
      </c>
      <c r="H1398" t="s">
        <v>59</v>
      </c>
      <c r="I1398">
        <v>8</v>
      </c>
      <c r="J1398" t="s">
        <v>73</v>
      </c>
      <c r="K1398">
        <v>2</v>
      </c>
      <c r="L1398" s="3">
        <v>6099</v>
      </c>
      <c r="M1398">
        <v>15</v>
      </c>
      <c r="N1398" s="3">
        <v>5180</v>
      </c>
      <c r="O1398" s="3">
        <v>10360</v>
      </c>
      <c r="P1398" t="s">
        <v>34</v>
      </c>
      <c r="Q1398" t="s">
        <v>35</v>
      </c>
      <c r="R1398" t="s">
        <v>36</v>
      </c>
      <c r="S1398" t="s">
        <v>151</v>
      </c>
      <c r="T1398" t="s">
        <v>506</v>
      </c>
      <c r="U1398" t="s">
        <v>61</v>
      </c>
      <c r="V1398" t="s">
        <v>969</v>
      </c>
      <c r="W1398">
        <v>3.2</v>
      </c>
      <c r="X1398" t="s">
        <v>106</v>
      </c>
      <c r="Y1398" t="s">
        <v>42</v>
      </c>
      <c r="Z1398">
        <v>4</v>
      </c>
    </row>
    <row r="1399" spans="1:26">
      <c r="A1399" t="s">
        <v>2441</v>
      </c>
      <c r="B1399" t="s">
        <v>404</v>
      </c>
      <c r="C1399" t="s">
        <v>45</v>
      </c>
      <c r="D1399" t="s">
        <v>95</v>
      </c>
      <c r="E1399" s="1">
        <v>44625</v>
      </c>
      <c r="F1399" t="s">
        <v>30</v>
      </c>
      <c r="G1399" t="s">
        <v>145</v>
      </c>
      <c r="H1399" t="s">
        <v>59</v>
      </c>
      <c r="I1399">
        <v>8</v>
      </c>
      <c r="J1399" t="s">
        <v>67</v>
      </c>
      <c r="K1399">
        <v>1</v>
      </c>
      <c r="L1399" s="3">
        <v>6099</v>
      </c>
      <c r="M1399">
        <v>5</v>
      </c>
      <c r="N1399" s="3">
        <v>5790</v>
      </c>
      <c r="O1399" s="3">
        <v>5790</v>
      </c>
      <c r="P1399" t="s">
        <v>74</v>
      </c>
      <c r="Q1399" t="s">
        <v>51</v>
      </c>
      <c r="R1399" t="s">
        <v>36</v>
      </c>
      <c r="S1399" t="s">
        <v>175</v>
      </c>
      <c r="T1399" t="s">
        <v>495</v>
      </c>
      <c r="U1399" t="s">
        <v>54</v>
      </c>
      <c r="V1399" t="s">
        <v>969</v>
      </c>
      <c r="W1399">
        <v>4.8</v>
      </c>
      <c r="X1399" t="s">
        <v>62</v>
      </c>
      <c r="Y1399" t="s">
        <v>42</v>
      </c>
      <c r="Z1399">
        <v>2</v>
      </c>
    </row>
    <row r="1400" spans="1:26">
      <c r="A1400" t="s">
        <v>2442</v>
      </c>
      <c r="B1400" t="s">
        <v>2443</v>
      </c>
      <c r="C1400" t="s">
        <v>45</v>
      </c>
      <c r="D1400" t="s">
        <v>103</v>
      </c>
      <c r="E1400" s="1">
        <v>44629</v>
      </c>
      <c r="F1400" t="s">
        <v>96</v>
      </c>
      <c r="G1400" t="s">
        <v>171</v>
      </c>
      <c r="H1400" t="s">
        <v>128</v>
      </c>
      <c r="I1400">
        <v>7</v>
      </c>
      <c r="J1400" t="s">
        <v>88</v>
      </c>
      <c r="K1400">
        <v>1</v>
      </c>
      <c r="L1400" s="3">
        <v>7899</v>
      </c>
      <c r="M1400">
        <v>5</v>
      </c>
      <c r="N1400" s="3">
        <v>7500</v>
      </c>
      <c r="O1400" s="3">
        <v>7500</v>
      </c>
      <c r="P1400" t="s">
        <v>34</v>
      </c>
      <c r="Q1400" t="s">
        <v>51</v>
      </c>
      <c r="R1400" t="s">
        <v>36</v>
      </c>
      <c r="S1400" t="s">
        <v>384</v>
      </c>
      <c r="T1400" t="s">
        <v>481</v>
      </c>
      <c r="U1400" t="s">
        <v>91</v>
      </c>
      <c r="V1400" t="s">
        <v>40</v>
      </c>
      <c r="W1400">
        <v>4.2</v>
      </c>
      <c r="X1400" t="s">
        <v>41</v>
      </c>
      <c r="Y1400" t="s">
        <v>42</v>
      </c>
      <c r="Z1400">
        <v>4</v>
      </c>
    </row>
    <row r="1401" spans="1:26">
      <c r="A1401" t="s">
        <v>2444</v>
      </c>
      <c r="B1401" t="s">
        <v>1619</v>
      </c>
      <c r="C1401" t="s">
        <v>45</v>
      </c>
      <c r="D1401" t="s">
        <v>29</v>
      </c>
      <c r="E1401" s="1">
        <v>44629</v>
      </c>
      <c r="F1401" t="s">
        <v>47</v>
      </c>
      <c r="G1401" t="s">
        <v>121</v>
      </c>
      <c r="H1401" t="s">
        <v>111</v>
      </c>
      <c r="I1401">
        <v>10</v>
      </c>
      <c r="J1401" t="s">
        <v>33</v>
      </c>
      <c r="K1401">
        <v>2</v>
      </c>
      <c r="L1401" s="3">
        <v>6299</v>
      </c>
      <c r="M1401">
        <v>10</v>
      </c>
      <c r="N1401" s="3">
        <v>5670</v>
      </c>
      <c r="O1401" s="3">
        <v>11340</v>
      </c>
      <c r="P1401" t="s">
        <v>74</v>
      </c>
      <c r="Q1401" t="s">
        <v>35</v>
      </c>
      <c r="R1401" t="s">
        <v>36</v>
      </c>
      <c r="S1401" t="s">
        <v>122</v>
      </c>
      <c r="T1401" t="s">
        <v>304</v>
      </c>
      <c r="U1401" t="s">
        <v>54</v>
      </c>
      <c r="V1401" t="s">
        <v>315</v>
      </c>
      <c r="W1401">
        <v>3.6</v>
      </c>
      <c r="X1401" t="s">
        <v>41</v>
      </c>
      <c r="Y1401" t="s">
        <v>55</v>
      </c>
      <c r="Z1401">
        <v>2</v>
      </c>
    </row>
    <row r="1402" spans="1:26">
      <c r="A1402" t="s">
        <v>2445</v>
      </c>
      <c r="B1402" t="s">
        <v>2446</v>
      </c>
      <c r="C1402" t="s">
        <v>45</v>
      </c>
      <c r="D1402" t="s">
        <v>46</v>
      </c>
      <c r="E1402" s="1">
        <v>44630</v>
      </c>
      <c r="F1402" t="s">
        <v>65</v>
      </c>
      <c r="G1402" t="s">
        <v>268</v>
      </c>
      <c r="H1402" t="s">
        <v>128</v>
      </c>
      <c r="I1402">
        <v>7</v>
      </c>
      <c r="J1402" t="s">
        <v>88</v>
      </c>
      <c r="K1402">
        <v>1</v>
      </c>
      <c r="L1402" s="3">
        <v>3499</v>
      </c>
      <c r="M1402">
        <v>20</v>
      </c>
      <c r="N1402" s="3">
        <v>2800</v>
      </c>
      <c r="O1402" s="3">
        <v>2800</v>
      </c>
      <c r="P1402" t="s">
        <v>74</v>
      </c>
      <c r="Q1402" t="s">
        <v>51</v>
      </c>
      <c r="R1402" t="s">
        <v>36</v>
      </c>
      <c r="S1402" t="s">
        <v>269</v>
      </c>
      <c r="T1402" t="s">
        <v>652</v>
      </c>
      <c r="U1402" t="s">
        <v>39</v>
      </c>
      <c r="V1402" t="s">
        <v>40</v>
      </c>
      <c r="W1402">
        <v>3.2</v>
      </c>
      <c r="X1402" t="s">
        <v>106</v>
      </c>
      <c r="Y1402" t="s">
        <v>147</v>
      </c>
      <c r="Z1402">
        <v>1</v>
      </c>
    </row>
    <row r="1403" spans="1:26">
      <c r="A1403" t="s">
        <v>2447</v>
      </c>
      <c r="B1403" t="s">
        <v>548</v>
      </c>
      <c r="C1403" t="s">
        <v>45</v>
      </c>
      <c r="D1403" t="s">
        <v>46</v>
      </c>
      <c r="E1403" s="1">
        <v>44630</v>
      </c>
      <c r="F1403" t="s">
        <v>79</v>
      </c>
      <c r="G1403" t="s">
        <v>480</v>
      </c>
      <c r="H1403" t="s">
        <v>111</v>
      </c>
      <c r="I1403">
        <v>8</v>
      </c>
      <c r="J1403" t="s">
        <v>67</v>
      </c>
      <c r="K1403">
        <v>2</v>
      </c>
      <c r="L1403" s="3">
        <v>8399</v>
      </c>
      <c r="M1403">
        <v>15</v>
      </c>
      <c r="N1403" s="3">
        <v>7140</v>
      </c>
      <c r="O1403" s="3">
        <v>14280</v>
      </c>
      <c r="P1403" t="s">
        <v>34</v>
      </c>
      <c r="Q1403" t="s">
        <v>51</v>
      </c>
      <c r="R1403" t="s">
        <v>36</v>
      </c>
      <c r="S1403" t="s">
        <v>68</v>
      </c>
      <c r="T1403" t="s">
        <v>69</v>
      </c>
      <c r="U1403" t="s">
        <v>54</v>
      </c>
      <c r="V1403" t="s">
        <v>315</v>
      </c>
      <c r="W1403">
        <v>3.8</v>
      </c>
      <c r="X1403" t="s">
        <v>41</v>
      </c>
      <c r="Y1403" t="s">
        <v>42</v>
      </c>
      <c r="Z1403">
        <v>4</v>
      </c>
    </row>
    <row r="1404" spans="1:26">
      <c r="A1404" t="s">
        <v>2448</v>
      </c>
      <c r="B1404" t="s">
        <v>2449</v>
      </c>
      <c r="C1404" t="s">
        <v>45</v>
      </c>
      <c r="D1404" t="s">
        <v>46</v>
      </c>
      <c r="E1404" s="1">
        <v>44631</v>
      </c>
      <c r="F1404" t="s">
        <v>86</v>
      </c>
      <c r="G1404" t="s">
        <v>312</v>
      </c>
      <c r="H1404" t="s">
        <v>59</v>
      </c>
      <c r="I1404">
        <v>10</v>
      </c>
      <c r="J1404" t="s">
        <v>33</v>
      </c>
      <c r="K1404">
        <v>1</v>
      </c>
      <c r="L1404" s="3">
        <v>7199</v>
      </c>
      <c r="M1404">
        <v>10</v>
      </c>
      <c r="N1404" s="3">
        <v>6480</v>
      </c>
      <c r="O1404" s="3">
        <v>6480</v>
      </c>
      <c r="P1404" t="s">
        <v>74</v>
      </c>
      <c r="Q1404" t="s">
        <v>51</v>
      </c>
      <c r="R1404" t="s">
        <v>36</v>
      </c>
      <c r="S1404" t="s">
        <v>338</v>
      </c>
      <c r="T1404" t="s">
        <v>394</v>
      </c>
      <c r="U1404" t="s">
        <v>54</v>
      </c>
      <c r="V1404" t="s">
        <v>40</v>
      </c>
      <c r="W1404">
        <v>5</v>
      </c>
      <c r="X1404" t="s">
        <v>41</v>
      </c>
      <c r="Y1404" t="s">
        <v>42</v>
      </c>
      <c r="Z1404">
        <v>4</v>
      </c>
    </row>
    <row r="1405" spans="1:26">
      <c r="A1405" t="s">
        <v>2450</v>
      </c>
      <c r="B1405" t="s">
        <v>278</v>
      </c>
      <c r="C1405" t="s">
        <v>28</v>
      </c>
      <c r="D1405" t="s">
        <v>29</v>
      </c>
      <c r="E1405" s="1">
        <v>44631</v>
      </c>
      <c r="F1405" t="s">
        <v>96</v>
      </c>
      <c r="G1405" t="s">
        <v>323</v>
      </c>
      <c r="H1405" t="s">
        <v>59</v>
      </c>
      <c r="I1405">
        <v>12</v>
      </c>
      <c r="J1405" t="s">
        <v>98</v>
      </c>
      <c r="K1405">
        <v>1</v>
      </c>
      <c r="L1405" s="3">
        <v>7299</v>
      </c>
      <c r="M1405">
        <v>15</v>
      </c>
      <c r="N1405" s="3">
        <v>6200</v>
      </c>
      <c r="O1405" s="3">
        <v>6200</v>
      </c>
      <c r="P1405" t="s">
        <v>34</v>
      </c>
      <c r="Q1405" t="s">
        <v>51</v>
      </c>
      <c r="R1405" t="s">
        <v>36</v>
      </c>
      <c r="S1405" t="s">
        <v>141</v>
      </c>
      <c r="T1405" t="s">
        <v>728</v>
      </c>
      <c r="U1405" t="s">
        <v>91</v>
      </c>
      <c r="V1405" t="s">
        <v>315</v>
      </c>
      <c r="W1405">
        <v>4.4000000000000004</v>
      </c>
      <c r="X1405" t="s">
        <v>41</v>
      </c>
      <c r="Y1405" t="s">
        <v>42</v>
      </c>
      <c r="Z1405">
        <v>5</v>
      </c>
    </row>
    <row r="1406" spans="1:26">
      <c r="A1406" t="s">
        <v>2451</v>
      </c>
      <c r="B1406" t="s">
        <v>2452</v>
      </c>
      <c r="C1406" t="s">
        <v>28</v>
      </c>
      <c r="D1406" t="s">
        <v>46</v>
      </c>
      <c r="E1406" s="1">
        <v>44632</v>
      </c>
      <c r="F1406" t="s">
        <v>96</v>
      </c>
      <c r="G1406" t="s">
        <v>323</v>
      </c>
      <c r="H1406" t="s">
        <v>59</v>
      </c>
      <c r="I1406">
        <v>7</v>
      </c>
      <c r="J1406" t="s">
        <v>73</v>
      </c>
      <c r="K1406">
        <v>1</v>
      </c>
      <c r="L1406" s="3">
        <v>5499</v>
      </c>
      <c r="M1406">
        <v>15</v>
      </c>
      <c r="N1406" s="3">
        <v>4670</v>
      </c>
      <c r="O1406" s="3">
        <v>4670</v>
      </c>
      <c r="P1406" t="s">
        <v>74</v>
      </c>
      <c r="Q1406" t="s">
        <v>51</v>
      </c>
      <c r="R1406" t="s">
        <v>36</v>
      </c>
      <c r="S1406" t="s">
        <v>151</v>
      </c>
      <c r="T1406" t="s">
        <v>890</v>
      </c>
      <c r="U1406" t="s">
        <v>39</v>
      </c>
      <c r="V1406" t="s">
        <v>40</v>
      </c>
      <c r="W1406">
        <v>5</v>
      </c>
      <c r="X1406" t="s">
        <v>41</v>
      </c>
      <c r="Y1406" t="s">
        <v>42</v>
      </c>
      <c r="Z1406">
        <v>3</v>
      </c>
    </row>
    <row r="1407" spans="1:26">
      <c r="A1407" t="s">
        <v>2453</v>
      </c>
      <c r="B1407" t="s">
        <v>596</v>
      </c>
      <c r="C1407" t="s">
        <v>45</v>
      </c>
      <c r="D1407" t="s">
        <v>29</v>
      </c>
      <c r="E1407" s="1">
        <v>44632</v>
      </c>
      <c r="F1407" t="s">
        <v>30</v>
      </c>
      <c r="G1407" t="s">
        <v>58</v>
      </c>
      <c r="H1407" t="s">
        <v>59</v>
      </c>
      <c r="I1407">
        <v>8</v>
      </c>
      <c r="J1407" t="s">
        <v>150</v>
      </c>
      <c r="K1407">
        <v>1</v>
      </c>
      <c r="L1407" s="3">
        <v>5699</v>
      </c>
      <c r="M1407">
        <v>30</v>
      </c>
      <c r="N1407" s="3">
        <v>3990</v>
      </c>
      <c r="O1407" s="3">
        <v>3990</v>
      </c>
      <c r="P1407" t="s">
        <v>74</v>
      </c>
      <c r="Q1407" t="s">
        <v>51</v>
      </c>
      <c r="R1407" t="s">
        <v>36</v>
      </c>
      <c r="S1407" t="s">
        <v>210</v>
      </c>
      <c r="T1407" t="s">
        <v>680</v>
      </c>
      <c r="U1407" t="s">
        <v>124</v>
      </c>
      <c r="V1407" t="s">
        <v>315</v>
      </c>
      <c r="W1407">
        <v>2.1</v>
      </c>
      <c r="X1407" t="s">
        <v>41</v>
      </c>
      <c r="Y1407" t="s">
        <v>147</v>
      </c>
      <c r="Z1407">
        <v>1</v>
      </c>
    </row>
    <row r="1408" spans="1:26">
      <c r="A1408" t="s">
        <v>2454</v>
      </c>
      <c r="B1408" t="s">
        <v>2455</v>
      </c>
      <c r="C1408" t="s">
        <v>45</v>
      </c>
      <c r="D1408" t="s">
        <v>46</v>
      </c>
      <c r="E1408" s="1">
        <v>44633</v>
      </c>
      <c r="F1408" t="s">
        <v>96</v>
      </c>
      <c r="G1408" t="s">
        <v>290</v>
      </c>
      <c r="H1408" t="s">
        <v>32</v>
      </c>
      <c r="I1408">
        <v>10</v>
      </c>
      <c r="J1408" t="s">
        <v>150</v>
      </c>
      <c r="K1408">
        <v>1</v>
      </c>
      <c r="L1408" s="3">
        <v>5599</v>
      </c>
      <c r="M1408">
        <v>20</v>
      </c>
      <c r="N1408" s="3">
        <v>4480</v>
      </c>
      <c r="O1408" s="3">
        <v>4480</v>
      </c>
      <c r="P1408" t="s">
        <v>74</v>
      </c>
      <c r="Q1408" t="s">
        <v>35</v>
      </c>
      <c r="R1408" t="s">
        <v>36</v>
      </c>
      <c r="S1408" t="s">
        <v>129</v>
      </c>
      <c r="T1408" t="s">
        <v>146</v>
      </c>
      <c r="U1408" t="s">
        <v>91</v>
      </c>
      <c r="V1408" t="s">
        <v>40</v>
      </c>
      <c r="W1408">
        <v>3.9</v>
      </c>
      <c r="X1408" t="s">
        <v>41</v>
      </c>
      <c r="Y1408" t="s">
        <v>147</v>
      </c>
      <c r="Z1408">
        <v>2</v>
      </c>
    </row>
    <row r="1409" spans="1:26">
      <c r="A1409" t="s">
        <v>2456</v>
      </c>
      <c r="B1409" t="s">
        <v>2457</v>
      </c>
      <c r="C1409" t="s">
        <v>45</v>
      </c>
      <c r="D1409" t="s">
        <v>29</v>
      </c>
      <c r="E1409" s="1">
        <v>44636</v>
      </c>
      <c r="F1409" t="s">
        <v>65</v>
      </c>
      <c r="G1409" t="s">
        <v>72</v>
      </c>
      <c r="H1409" t="s">
        <v>59</v>
      </c>
      <c r="I1409">
        <v>6</v>
      </c>
      <c r="J1409" t="s">
        <v>73</v>
      </c>
      <c r="K1409">
        <v>1</v>
      </c>
      <c r="L1409" s="3">
        <v>4699</v>
      </c>
      <c r="M1409">
        <v>20</v>
      </c>
      <c r="N1409" s="3">
        <v>3760</v>
      </c>
      <c r="O1409" s="3">
        <v>3760</v>
      </c>
      <c r="P1409" t="s">
        <v>74</v>
      </c>
      <c r="Q1409" t="s">
        <v>35</v>
      </c>
      <c r="R1409" t="s">
        <v>36</v>
      </c>
      <c r="S1409" t="s">
        <v>68</v>
      </c>
      <c r="T1409" t="s">
        <v>811</v>
      </c>
      <c r="U1409" t="s">
        <v>61</v>
      </c>
      <c r="V1409" t="s">
        <v>40</v>
      </c>
      <c r="W1409">
        <v>5</v>
      </c>
      <c r="X1409" t="s">
        <v>41</v>
      </c>
      <c r="Y1409" t="s">
        <v>42</v>
      </c>
      <c r="Z1409">
        <v>3</v>
      </c>
    </row>
    <row r="1410" spans="1:26">
      <c r="A1410" t="s">
        <v>2458</v>
      </c>
      <c r="B1410" t="s">
        <v>713</v>
      </c>
      <c r="C1410" t="s">
        <v>45</v>
      </c>
      <c r="D1410" t="s">
        <v>95</v>
      </c>
      <c r="E1410" s="1">
        <v>44637</v>
      </c>
      <c r="F1410" t="s">
        <v>47</v>
      </c>
      <c r="G1410" t="s">
        <v>121</v>
      </c>
      <c r="H1410" t="s">
        <v>111</v>
      </c>
      <c r="I1410">
        <v>9</v>
      </c>
      <c r="J1410" t="s">
        <v>67</v>
      </c>
      <c r="K1410">
        <v>1</v>
      </c>
      <c r="L1410" s="3">
        <v>4299</v>
      </c>
      <c r="M1410">
        <v>10</v>
      </c>
      <c r="N1410" s="3">
        <v>3870</v>
      </c>
      <c r="O1410" s="3">
        <v>3870</v>
      </c>
      <c r="P1410" t="s">
        <v>34</v>
      </c>
      <c r="Q1410" t="s">
        <v>51</v>
      </c>
      <c r="R1410" t="s">
        <v>36</v>
      </c>
      <c r="S1410" t="s">
        <v>418</v>
      </c>
      <c r="T1410" t="s">
        <v>549</v>
      </c>
      <c r="U1410" t="s">
        <v>54</v>
      </c>
      <c r="V1410" t="s">
        <v>315</v>
      </c>
      <c r="W1410">
        <v>3</v>
      </c>
      <c r="X1410" t="s">
        <v>41</v>
      </c>
      <c r="Y1410" t="s">
        <v>42</v>
      </c>
      <c r="Z1410">
        <v>4</v>
      </c>
    </row>
    <row r="1411" spans="1:26">
      <c r="A1411" t="s">
        <v>2459</v>
      </c>
      <c r="B1411" t="s">
        <v>483</v>
      </c>
      <c r="C1411" t="s">
        <v>28</v>
      </c>
      <c r="D1411" t="s">
        <v>103</v>
      </c>
      <c r="E1411" s="1">
        <v>44638</v>
      </c>
      <c r="F1411" t="s">
        <v>79</v>
      </c>
      <c r="G1411" t="s">
        <v>517</v>
      </c>
      <c r="H1411" t="s">
        <v>59</v>
      </c>
      <c r="I1411">
        <v>8</v>
      </c>
      <c r="J1411" t="s">
        <v>98</v>
      </c>
      <c r="K1411">
        <v>1</v>
      </c>
      <c r="L1411" s="3">
        <v>6499</v>
      </c>
      <c r="M1411">
        <v>25</v>
      </c>
      <c r="N1411" s="3">
        <v>4870</v>
      </c>
      <c r="O1411" s="3">
        <v>4870</v>
      </c>
      <c r="P1411" t="s">
        <v>74</v>
      </c>
      <c r="Q1411" t="s">
        <v>82</v>
      </c>
      <c r="R1411" t="s">
        <v>36</v>
      </c>
      <c r="S1411" t="s">
        <v>52</v>
      </c>
      <c r="T1411" t="s">
        <v>235</v>
      </c>
      <c r="U1411" t="s">
        <v>61</v>
      </c>
      <c r="V1411" t="s">
        <v>315</v>
      </c>
      <c r="W1411">
        <v>4</v>
      </c>
      <c r="X1411" t="s">
        <v>41</v>
      </c>
      <c r="Y1411" t="s">
        <v>55</v>
      </c>
      <c r="Z1411">
        <v>2</v>
      </c>
    </row>
    <row r="1412" spans="1:26">
      <c r="A1412" t="s">
        <v>2460</v>
      </c>
      <c r="B1412" t="s">
        <v>1882</v>
      </c>
      <c r="C1412" t="s">
        <v>45</v>
      </c>
      <c r="D1412" t="s">
        <v>95</v>
      </c>
      <c r="E1412" s="1">
        <v>44640</v>
      </c>
      <c r="F1412" t="s">
        <v>86</v>
      </c>
      <c r="G1412" t="s">
        <v>87</v>
      </c>
      <c r="H1412" t="s">
        <v>59</v>
      </c>
      <c r="I1412">
        <v>8</v>
      </c>
      <c r="J1412" t="s">
        <v>98</v>
      </c>
      <c r="K1412">
        <v>2</v>
      </c>
      <c r="L1412" s="3">
        <v>8199</v>
      </c>
      <c r="M1412">
        <v>10</v>
      </c>
      <c r="N1412" s="3">
        <v>7380</v>
      </c>
      <c r="O1412" s="3">
        <v>14760</v>
      </c>
      <c r="P1412" t="s">
        <v>34</v>
      </c>
      <c r="Q1412" t="s">
        <v>82</v>
      </c>
      <c r="R1412" t="s">
        <v>36</v>
      </c>
      <c r="S1412" t="s">
        <v>75</v>
      </c>
      <c r="T1412" t="s">
        <v>796</v>
      </c>
      <c r="U1412" t="s">
        <v>39</v>
      </c>
      <c r="V1412" t="s">
        <v>315</v>
      </c>
      <c r="W1412">
        <v>3.8</v>
      </c>
      <c r="X1412" t="s">
        <v>41</v>
      </c>
      <c r="Y1412" t="s">
        <v>42</v>
      </c>
      <c r="Z1412">
        <v>5</v>
      </c>
    </row>
    <row r="1413" spans="1:26">
      <c r="A1413" t="s">
        <v>2461</v>
      </c>
      <c r="B1413" t="s">
        <v>417</v>
      </c>
      <c r="C1413" t="s">
        <v>94</v>
      </c>
      <c r="D1413" t="s">
        <v>46</v>
      </c>
      <c r="E1413" s="1">
        <v>44643</v>
      </c>
      <c r="F1413" t="s">
        <v>47</v>
      </c>
      <c r="G1413" t="s">
        <v>199</v>
      </c>
      <c r="H1413" t="s">
        <v>59</v>
      </c>
      <c r="I1413">
        <v>8</v>
      </c>
      <c r="J1413" t="s">
        <v>33</v>
      </c>
      <c r="K1413">
        <v>1</v>
      </c>
      <c r="L1413" s="3">
        <v>6599</v>
      </c>
      <c r="M1413">
        <v>25</v>
      </c>
      <c r="N1413" s="3">
        <v>4950</v>
      </c>
      <c r="O1413" s="3">
        <v>4950</v>
      </c>
      <c r="P1413" t="s">
        <v>74</v>
      </c>
      <c r="Q1413" t="s">
        <v>82</v>
      </c>
      <c r="R1413" t="s">
        <v>36</v>
      </c>
      <c r="S1413" t="s">
        <v>164</v>
      </c>
      <c r="T1413" t="s">
        <v>314</v>
      </c>
      <c r="U1413" t="s">
        <v>54</v>
      </c>
      <c r="V1413" t="s">
        <v>969</v>
      </c>
      <c r="W1413">
        <v>4</v>
      </c>
      <c r="X1413" t="s">
        <v>41</v>
      </c>
      <c r="Y1413" t="s">
        <v>55</v>
      </c>
      <c r="Z1413">
        <v>4</v>
      </c>
    </row>
    <row r="1414" spans="1:26">
      <c r="A1414" t="s">
        <v>2462</v>
      </c>
      <c r="B1414" t="s">
        <v>599</v>
      </c>
      <c r="C1414" t="s">
        <v>28</v>
      </c>
      <c r="D1414" t="s">
        <v>46</v>
      </c>
      <c r="E1414" s="1">
        <v>44645</v>
      </c>
      <c r="F1414" t="s">
        <v>65</v>
      </c>
      <c r="G1414" t="s">
        <v>72</v>
      </c>
      <c r="H1414" t="s">
        <v>59</v>
      </c>
      <c r="I1414">
        <v>7</v>
      </c>
      <c r="J1414" t="s">
        <v>73</v>
      </c>
      <c r="K1414">
        <v>3</v>
      </c>
      <c r="L1414" s="3">
        <v>7199</v>
      </c>
      <c r="M1414">
        <v>25</v>
      </c>
      <c r="N1414" s="3">
        <v>5400</v>
      </c>
      <c r="O1414" s="3">
        <v>16200</v>
      </c>
      <c r="P1414" t="s">
        <v>74</v>
      </c>
      <c r="Q1414" t="s">
        <v>82</v>
      </c>
      <c r="R1414" t="s">
        <v>36</v>
      </c>
      <c r="S1414" t="s">
        <v>210</v>
      </c>
      <c r="T1414" t="s">
        <v>680</v>
      </c>
      <c r="U1414" t="s">
        <v>39</v>
      </c>
      <c r="V1414" t="s">
        <v>315</v>
      </c>
      <c r="W1414">
        <v>3</v>
      </c>
      <c r="X1414" t="s">
        <v>41</v>
      </c>
      <c r="Y1414" t="s">
        <v>42</v>
      </c>
      <c r="Z1414">
        <v>4</v>
      </c>
    </row>
    <row r="1415" spans="1:26">
      <c r="A1415" t="s">
        <v>2463</v>
      </c>
      <c r="B1415" t="s">
        <v>908</v>
      </c>
      <c r="C1415" t="s">
        <v>28</v>
      </c>
      <c r="D1415" t="s">
        <v>103</v>
      </c>
      <c r="E1415" s="1">
        <v>44645</v>
      </c>
      <c r="F1415" t="s">
        <v>86</v>
      </c>
      <c r="G1415" t="s">
        <v>87</v>
      </c>
      <c r="H1415" t="s">
        <v>59</v>
      </c>
      <c r="I1415">
        <v>9</v>
      </c>
      <c r="J1415" t="s">
        <v>88</v>
      </c>
      <c r="K1415">
        <v>1</v>
      </c>
      <c r="L1415" s="3">
        <v>5799</v>
      </c>
      <c r="M1415">
        <v>35</v>
      </c>
      <c r="N1415" s="3">
        <v>3770</v>
      </c>
      <c r="O1415" s="3">
        <v>3770</v>
      </c>
      <c r="P1415" t="s">
        <v>74</v>
      </c>
      <c r="Q1415" t="s">
        <v>82</v>
      </c>
      <c r="R1415" t="s">
        <v>36</v>
      </c>
      <c r="S1415" t="s">
        <v>354</v>
      </c>
      <c r="T1415" t="s">
        <v>518</v>
      </c>
      <c r="U1415" t="s">
        <v>39</v>
      </c>
      <c r="V1415" t="s">
        <v>315</v>
      </c>
      <c r="W1415">
        <v>4.5999999999999996</v>
      </c>
      <c r="X1415" t="s">
        <v>62</v>
      </c>
      <c r="Y1415" t="s">
        <v>147</v>
      </c>
      <c r="Z1415">
        <v>1</v>
      </c>
    </row>
    <row r="1416" spans="1:26">
      <c r="A1416" t="s">
        <v>2464</v>
      </c>
      <c r="B1416" t="s">
        <v>2465</v>
      </c>
      <c r="C1416" t="s">
        <v>45</v>
      </c>
      <c r="D1416" t="s">
        <v>29</v>
      </c>
      <c r="E1416" s="1">
        <v>44647</v>
      </c>
      <c r="F1416" t="s">
        <v>30</v>
      </c>
      <c r="G1416" t="s">
        <v>110</v>
      </c>
      <c r="H1416" t="s">
        <v>111</v>
      </c>
      <c r="I1416">
        <v>12</v>
      </c>
      <c r="J1416" t="s">
        <v>33</v>
      </c>
      <c r="K1416">
        <v>1</v>
      </c>
      <c r="L1416" s="3">
        <v>4799</v>
      </c>
      <c r="M1416">
        <v>20</v>
      </c>
      <c r="N1416" s="3">
        <v>3840</v>
      </c>
      <c r="O1416" s="3">
        <v>3840</v>
      </c>
      <c r="P1416" t="s">
        <v>50</v>
      </c>
      <c r="Q1416" t="s">
        <v>51</v>
      </c>
      <c r="R1416" t="s">
        <v>36</v>
      </c>
      <c r="S1416" t="s">
        <v>68</v>
      </c>
      <c r="T1416" t="s">
        <v>207</v>
      </c>
      <c r="U1416" t="s">
        <v>91</v>
      </c>
      <c r="V1416" t="s">
        <v>40</v>
      </c>
      <c r="W1416">
        <v>3.4</v>
      </c>
      <c r="X1416" t="s">
        <v>41</v>
      </c>
      <c r="Y1416" t="s">
        <v>42</v>
      </c>
      <c r="Z1416">
        <v>3</v>
      </c>
    </row>
    <row r="1417" spans="1:26">
      <c r="A1417" t="s">
        <v>2466</v>
      </c>
      <c r="B1417" t="s">
        <v>1500</v>
      </c>
      <c r="C1417" t="s">
        <v>28</v>
      </c>
      <c r="D1417" t="s">
        <v>95</v>
      </c>
      <c r="E1417" s="1">
        <v>44648</v>
      </c>
      <c r="F1417" t="s">
        <v>30</v>
      </c>
      <c r="G1417" t="s">
        <v>214</v>
      </c>
      <c r="H1417" t="s">
        <v>128</v>
      </c>
      <c r="I1417">
        <v>6</v>
      </c>
      <c r="J1417" t="s">
        <v>67</v>
      </c>
      <c r="K1417">
        <v>3</v>
      </c>
      <c r="L1417" s="3">
        <v>5299</v>
      </c>
      <c r="M1417">
        <v>15</v>
      </c>
      <c r="N1417" s="3">
        <v>4500</v>
      </c>
      <c r="O1417" s="3">
        <v>13500</v>
      </c>
      <c r="P1417" t="s">
        <v>74</v>
      </c>
      <c r="Q1417" t="s">
        <v>82</v>
      </c>
      <c r="R1417" t="s">
        <v>36</v>
      </c>
      <c r="S1417" t="s">
        <v>104</v>
      </c>
      <c r="T1417" t="s">
        <v>179</v>
      </c>
      <c r="U1417" t="s">
        <v>54</v>
      </c>
      <c r="V1417" t="s">
        <v>315</v>
      </c>
      <c r="W1417">
        <v>4</v>
      </c>
      <c r="X1417" t="s">
        <v>106</v>
      </c>
      <c r="Y1417" t="s">
        <v>42</v>
      </c>
      <c r="Z1417">
        <v>2</v>
      </c>
    </row>
    <row r="1418" spans="1:26">
      <c r="A1418" t="s">
        <v>2467</v>
      </c>
      <c r="B1418" t="s">
        <v>2468</v>
      </c>
      <c r="C1418" t="s">
        <v>45</v>
      </c>
      <c r="D1418" t="s">
        <v>29</v>
      </c>
      <c r="E1418" s="1">
        <v>44648</v>
      </c>
      <c r="F1418" t="s">
        <v>79</v>
      </c>
      <c r="G1418" t="s">
        <v>80</v>
      </c>
      <c r="H1418" t="s">
        <v>59</v>
      </c>
      <c r="I1418">
        <v>7</v>
      </c>
      <c r="J1418" t="s">
        <v>88</v>
      </c>
      <c r="K1418">
        <v>1</v>
      </c>
      <c r="L1418" s="3">
        <v>7099</v>
      </c>
      <c r="M1418">
        <v>15</v>
      </c>
      <c r="N1418" s="3">
        <v>6030</v>
      </c>
      <c r="O1418" s="3">
        <v>6030</v>
      </c>
      <c r="P1418" t="s">
        <v>74</v>
      </c>
      <c r="Q1418" t="s">
        <v>51</v>
      </c>
      <c r="R1418" t="s">
        <v>36</v>
      </c>
      <c r="S1418" t="s">
        <v>129</v>
      </c>
      <c r="T1418" t="s">
        <v>655</v>
      </c>
      <c r="U1418" t="s">
        <v>91</v>
      </c>
      <c r="V1418" t="s">
        <v>40</v>
      </c>
      <c r="W1418">
        <v>4.3</v>
      </c>
      <c r="X1418" t="s">
        <v>41</v>
      </c>
      <c r="Y1418" t="s">
        <v>42</v>
      </c>
      <c r="Z1418">
        <v>6</v>
      </c>
    </row>
    <row r="1419" spans="1:26">
      <c r="A1419" t="s">
        <v>2469</v>
      </c>
      <c r="B1419" t="s">
        <v>2130</v>
      </c>
      <c r="C1419" t="s">
        <v>45</v>
      </c>
      <c r="D1419" t="s">
        <v>103</v>
      </c>
      <c r="E1419" s="1">
        <v>44648</v>
      </c>
      <c r="F1419" t="s">
        <v>65</v>
      </c>
      <c r="G1419" t="s">
        <v>72</v>
      </c>
      <c r="H1419" t="s">
        <v>59</v>
      </c>
      <c r="I1419">
        <v>7</v>
      </c>
      <c r="J1419" t="s">
        <v>73</v>
      </c>
      <c r="K1419">
        <v>3</v>
      </c>
      <c r="L1419" s="3">
        <v>7999</v>
      </c>
      <c r="M1419">
        <v>15</v>
      </c>
      <c r="N1419" s="3">
        <v>6800</v>
      </c>
      <c r="O1419" s="3">
        <v>20400</v>
      </c>
      <c r="P1419" t="s">
        <v>74</v>
      </c>
      <c r="Q1419" t="s">
        <v>82</v>
      </c>
      <c r="R1419" t="s">
        <v>36</v>
      </c>
      <c r="S1419" t="s">
        <v>238</v>
      </c>
      <c r="T1419" t="s">
        <v>260</v>
      </c>
      <c r="U1419" t="s">
        <v>61</v>
      </c>
      <c r="V1419" t="s">
        <v>315</v>
      </c>
      <c r="W1419">
        <v>3.9</v>
      </c>
      <c r="X1419" t="s">
        <v>41</v>
      </c>
      <c r="Y1419" t="s">
        <v>42</v>
      </c>
      <c r="Z1419">
        <v>5</v>
      </c>
    </row>
    <row r="1420" spans="1:26">
      <c r="A1420" t="s">
        <v>2470</v>
      </c>
      <c r="B1420" t="s">
        <v>1447</v>
      </c>
      <c r="C1420" t="s">
        <v>28</v>
      </c>
      <c r="D1420" t="s">
        <v>109</v>
      </c>
      <c r="E1420" s="1">
        <v>44652</v>
      </c>
      <c r="F1420" t="s">
        <v>65</v>
      </c>
      <c r="G1420" t="s">
        <v>268</v>
      </c>
      <c r="H1420" t="s">
        <v>128</v>
      </c>
      <c r="I1420">
        <v>12</v>
      </c>
      <c r="J1420" t="s">
        <v>88</v>
      </c>
      <c r="K1420">
        <v>1</v>
      </c>
      <c r="L1420" s="3">
        <v>8199</v>
      </c>
      <c r="M1420">
        <v>15</v>
      </c>
      <c r="N1420" s="3">
        <v>6970</v>
      </c>
      <c r="O1420" s="3">
        <v>6970</v>
      </c>
      <c r="P1420" t="s">
        <v>74</v>
      </c>
      <c r="Q1420" t="s">
        <v>82</v>
      </c>
      <c r="R1420" t="s">
        <v>36</v>
      </c>
      <c r="S1420" t="s">
        <v>160</v>
      </c>
      <c r="T1420" t="s">
        <v>344</v>
      </c>
      <c r="U1420" t="s">
        <v>91</v>
      </c>
      <c r="V1420" t="s">
        <v>315</v>
      </c>
      <c r="W1420">
        <v>3.7</v>
      </c>
      <c r="X1420" t="s">
        <v>106</v>
      </c>
      <c r="Y1420" t="s">
        <v>55</v>
      </c>
      <c r="Z1420">
        <v>2</v>
      </c>
    </row>
    <row r="1421" spans="1:26">
      <c r="A1421" t="s">
        <v>2471</v>
      </c>
      <c r="B1421" t="s">
        <v>1378</v>
      </c>
      <c r="C1421" t="s">
        <v>28</v>
      </c>
      <c r="D1421" t="s">
        <v>29</v>
      </c>
      <c r="E1421" s="1">
        <v>44653</v>
      </c>
      <c r="F1421" t="s">
        <v>30</v>
      </c>
      <c r="G1421" t="s">
        <v>145</v>
      </c>
      <c r="H1421" t="s">
        <v>59</v>
      </c>
      <c r="I1421">
        <v>8</v>
      </c>
      <c r="J1421" t="s">
        <v>33</v>
      </c>
      <c r="K1421">
        <v>1</v>
      </c>
      <c r="L1421" s="3">
        <v>7599</v>
      </c>
      <c r="M1421">
        <v>5</v>
      </c>
      <c r="N1421" s="3">
        <v>7220</v>
      </c>
      <c r="O1421" s="3">
        <v>7220</v>
      </c>
      <c r="P1421" t="s">
        <v>81</v>
      </c>
      <c r="Q1421" t="s">
        <v>51</v>
      </c>
      <c r="R1421" t="s">
        <v>36</v>
      </c>
      <c r="S1421" t="s">
        <v>151</v>
      </c>
      <c r="T1421" t="s">
        <v>452</v>
      </c>
      <c r="U1421" t="s">
        <v>91</v>
      </c>
      <c r="V1421" t="s">
        <v>969</v>
      </c>
      <c r="W1421">
        <v>4.3</v>
      </c>
      <c r="X1421" t="s">
        <v>106</v>
      </c>
      <c r="Y1421" t="s">
        <v>42</v>
      </c>
      <c r="Z1421">
        <v>2</v>
      </c>
    </row>
    <row r="1422" spans="1:26">
      <c r="A1422" t="s">
        <v>2472</v>
      </c>
      <c r="B1422" t="s">
        <v>2473</v>
      </c>
      <c r="C1422" t="s">
        <v>28</v>
      </c>
      <c r="D1422" t="s">
        <v>103</v>
      </c>
      <c r="E1422" s="1">
        <v>44653</v>
      </c>
      <c r="F1422" t="s">
        <v>96</v>
      </c>
      <c r="G1422" t="s">
        <v>323</v>
      </c>
      <c r="H1422" t="s">
        <v>59</v>
      </c>
      <c r="I1422">
        <v>6</v>
      </c>
      <c r="J1422" t="s">
        <v>33</v>
      </c>
      <c r="K1422">
        <v>1</v>
      </c>
      <c r="L1422" s="3">
        <v>5699</v>
      </c>
      <c r="M1422">
        <v>25</v>
      </c>
      <c r="N1422" s="3">
        <v>4270</v>
      </c>
      <c r="O1422" s="3">
        <v>4270</v>
      </c>
      <c r="P1422" t="s">
        <v>34</v>
      </c>
      <c r="Q1422" t="s">
        <v>82</v>
      </c>
      <c r="R1422" t="s">
        <v>36</v>
      </c>
      <c r="S1422" t="s">
        <v>122</v>
      </c>
      <c r="T1422" t="s">
        <v>304</v>
      </c>
      <c r="U1422" t="s">
        <v>39</v>
      </c>
      <c r="V1422" t="s">
        <v>40</v>
      </c>
      <c r="W1422">
        <v>4.5999999999999996</v>
      </c>
      <c r="X1422" t="s">
        <v>62</v>
      </c>
      <c r="Y1422" t="s">
        <v>42</v>
      </c>
      <c r="Z1422">
        <v>6</v>
      </c>
    </row>
    <row r="1423" spans="1:26">
      <c r="A1423" t="s">
        <v>2474</v>
      </c>
      <c r="B1423" t="s">
        <v>630</v>
      </c>
      <c r="C1423" t="s">
        <v>45</v>
      </c>
      <c r="D1423" t="s">
        <v>95</v>
      </c>
      <c r="E1423" s="1">
        <v>44658</v>
      </c>
      <c r="F1423" t="s">
        <v>65</v>
      </c>
      <c r="G1423" t="s">
        <v>256</v>
      </c>
      <c r="H1423" t="s">
        <v>32</v>
      </c>
      <c r="I1423">
        <v>9</v>
      </c>
      <c r="J1423" t="s">
        <v>67</v>
      </c>
      <c r="K1423">
        <v>1</v>
      </c>
      <c r="L1423" s="3">
        <v>8799</v>
      </c>
      <c r="M1423">
        <v>5</v>
      </c>
      <c r="N1423" s="3">
        <v>8360</v>
      </c>
      <c r="O1423" s="3">
        <v>8360</v>
      </c>
      <c r="P1423" t="s">
        <v>74</v>
      </c>
      <c r="Q1423" t="s">
        <v>51</v>
      </c>
      <c r="R1423" t="s">
        <v>36</v>
      </c>
      <c r="S1423" t="s">
        <v>418</v>
      </c>
      <c r="T1423" t="s">
        <v>419</v>
      </c>
      <c r="U1423" t="s">
        <v>61</v>
      </c>
      <c r="V1423" t="s">
        <v>315</v>
      </c>
      <c r="W1423">
        <v>3.7</v>
      </c>
      <c r="X1423" t="s">
        <v>41</v>
      </c>
      <c r="Y1423" t="s">
        <v>42</v>
      </c>
      <c r="Z1423">
        <v>7</v>
      </c>
    </row>
    <row r="1424" spans="1:26">
      <c r="A1424" t="s">
        <v>2475</v>
      </c>
      <c r="B1424" t="s">
        <v>1036</v>
      </c>
      <c r="C1424" t="s">
        <v>45</v>
      </c>
      <c r="D1424" t="s">
        <v>103</v>
      </c>
      <c r="E1424" s="1">
        <v>44658</v>
      </c>
      <c r="F1424" t="s">
        <v>86</v>
      </c>
      <c r="G1424" t="s">
        <v>285</v>
      </c>
      <c r="H1424" t="s">
        <v>111</v>
      </c>
      <c r="I1424">
        <v>12</v>
      </c>
      <c r="J1424" t="s">
        <v>73</v>
      </c>
      <c r="K1424">
        <v>1</v>
      </c>
      <c r="L1424" s="3">
        <v>7299</v>
      </c>
      <c r="M1424">
        <v>25</v>
      </c>
      <c r="N1424" s="3">
        <v>5470</v>
      </c>
      <c r="O1424" s="3">
        <v>5470</v>
      </c>
      <c r="P1424" t="s">
        <v>74</v>
      </c>
      <c r="Q1424" t="s">
        <v>51</v>
      </c>
      <c r="R1424" t="s">
        <v>36</v>
      </c>
      <c r="S1424" t="s">
        <v>286</v>
      </c>
      <c r="T1424" t="s">
        <v>287</v>
      </c>
      <c r="U1424" t="s">
        <v>61</v>
      </c>
      <c r="V1424" t="s">
        <v>969</v>
      </c>
      <c r="W1424">
        <v>3.9</v>
      </c>
      <c r="X1424" t="s">
        <v>41</v>
      </c>
      <c r="Y1424" t="s">
        <v>42</v>
      </c>
      <c r="Z1424">
        <v>3</v>
      </c>
    </row>
    <row r="1425" spans="1:26">
      <c r="A1425" t="s">
        <v>2476</v>
      </c>
      <c r="B1425" t="s">
        <v>916</v>
      </c>
      <c r="C1425" t="s">
        <v>45</v>
      </c>
      <c r="D1425" t="s">
        <v>95</v>
      </c>
      <c r="E1425" s="1">
        <v>44659</v>
      </c>
      <c r="F1425" t="s">
        <v>65</v>
      </c>
      <c r="G1425" t="s">
        <v>365</v>
      </c>
      <c r="H1425" t="s">
        <v>49</v>
      </c>
      <c r="I1425">
        <v>11</v>
      </c>
      <c r="J1425" t="s">
        <v>88</v>
      </c>
      <c r="K1425">
        <v>1</v>
      </c>
      <c r="L1425" s="3">
        <v>7199</v>
      </c>
      <c r="M1425">
        <v>20</v>
      </c>
      <c r="N1425" s="3">
        <v>5760</v>
      </c>
      <c r="O1425" s="3">
        <v>5760</v>
      </c>
      <c r="P1425" t="s">
        <v>74</v>
      </c>
      <c r="Q1425" t="s">
        <v>51</v>
      </c>
      <c r="R1425" t="s">
        <v>36</v>
      </c>
      <c r="S1425" t="s">
        <v>75</v>
      </c>
      <c r="T1425" t="s">
        <v>215</v>
      </c>
      <c r="U1425" t="s">
        <v>124</v>
      </c>
      <c r="V1425" t="s">
        <v>969</v>
      </c>
      <c r="W1425">
        <v>4.5999999999999996</v>
      </c>
      <c r="X1425" t="s">
        <v>41</v>
      </c>
      <c r="Y1425" t="s">
        <v>42</v>
      </c>
      <c r="Z1425">
        <v>3</v>
      </c>
    </row>
    <row r="1426" spans="1:26">
      <c r="A1426" t="s">
        <v>2477</v>
      </c>
      <c r="B1426" t="s">
        <v>1339</v>
      </c>
      <c r="C1426" t="s">
        <v>28</v>
      </c>
      <c r="D1426" t="s">
        <v>29</v>
      </c>
      <c r="E1426" s="1">
        <v>44664</v>
      </c>
      <c r="F1426" t="s">
        <v>96</v>
      </c>
      <c r="G1426" t="s">
        <v>171</v>
      </c>
      <c r="H1426" t="s">
        <v>128</v>
      </c>
      <c r="I1426">
        <v>10</v>
      </c>
      <c r="J1426" t="s">
        <v>98</v>
      </c>
      <c r="K1426">
        <v>1</v>
      </c>
      <c r="L1426" s="3">
        <v>5799</v>
      </c>
      <c r="M1426">
        <v>15</v>
      </c>
      <c r="N1426" s="3">
        <v>4930</v>
      </c>
      <c r="O1426" s="3">
        <v>4930</v>
      </c>
      <c r="P1426" t="s">
        <v>81</v>
      </c>
      <c r="Q1426" t="s">
        <v>35</v>
      </c>
      <c r="R1426" t="s">
        <v>36</v>
      </c>
      <c r="S1426" t="s">
        <v>384</v>
      </c>
      <c r="T1426" t="s">
        <v>481</v>
      </c>
      <c r="U1426" t="s">
        <v>124</v>
      </c>
      <c r="V1426" t="s">
        <v>315</v>
      </c>
      <c r="W1426">
        <v>3.3</v>
      </c>
      <c r="X1426" t="s">
        <v>41</v>
      </c>
      <c r="Y1426" t="s">
        <v>55</v>
      </c>
      <c r="Z1426">
        <v>4</v>
      </c>
    </row>
    <row r="1427" spans="1:26">
      <c r="A1427" t="s">
        <v>2478</v>
      </c>
      <c r="B1427" t="s">
        <v>2280</v>
      </c>
      <c r="C1427" t="s">
        <v>28</v>
      </c>
      <c r="D1427" t="s">
        <v>103</v>
      </c>
      <c r="E1427" s="1">
        <v>44664</v>
      </c>
      <c r="F1427" t="s">
        <v>79</v>
      </c>
      <c r="G1427" t="s">
        <v>80</v>
      </c>
      <c r="H1427" t="s">
        <v>59</v>
      </c>
      <c r="I1427">
        <v>11</v>
      </c>
      <c r="J1427" t="s">
        <v>98</v>
      </c>
      <c r="K1427">
        <v>2</v>
      </c>
      <c r="L1427" s="3">
        <v>6599</v>
      </c>
      <c r="M1427">
        <v>10</v>
      </c>
      <c r="N1427" s="3">
        <v>5940</v>
      </c>
      <c r="O1427" s="3">
        <v>11880</v>
      </c>
      <c r="P1427" t="s">
        <v>74</v>
      </c>
      <c r="Q1427" t="s">
        <v>82</v>
      </c>
      <c r="R1427" t="s">
        <v>36</v>
      </c>
      <c r="S1427" t="s">
        <v>418</v>
      </c>
      <c r="T1427" t="s">
        <v>613</v>
      </c>
      <c r="U1427" t="s">
        <v>91</v>
      </c>
      <c r="V1427" t="s">
        <v>315</v>
      </c>
      <c r="W1427">
        <v>3.7</v>
      </c>
      <c r="X1427" t="s">
        <v>41</v>
      </c>
      <c r="Y1427" t="s">
        <v>42</v>
      </c>
      <c r="Z1427">
        <v>4</v>
      </c>
    </row>
    <row r="1428" spans="1:26">
      <c r="A1428" t="s">
        <v>2479</v>
      </c>
      <c r="B1428" t="s">
        <v>1240</v>
      </c>
      <c r="C1428" t="s">
        <v>28</v>
      </c>
      <c r="D1428" t="s">
        <v>46</v>
      </c>
      <c r="E1428" s="1">
        <v>44664</v>
      </c>
      <c r="F1428" t="s">
        <v>30</v>
      </c>
      <c r="G1428" t="s">
        <v>214</v>
      </c>
      <c r="H1428" t="s">
        <v>128</v>
      </c>
      <c r="I1428">
        <v>10</v>
      </c>
      <c r="J1428" t="s">
        <v>98</v>
      </c>
      <c r="K1428">
        <v>1</v>
      </c>
      <c r="L1428" s="3">
        <v>3599</v>
      </c>
      <c r="M1428">
        <v>20</v>
      </c>
      <c r="N1428" s="3">
        <v>2880</v>
      </c>
      <c r="O1428" s="3">
        <v>2880</v>
      </c>
      <c r="P1428" t="s">
        <v>34</v>
      </c>
      <c r="Q1428" t="s">
        <v>82</v>
      </c>
      <c r="R1428" t="s">
        <v>36</v>
      </c>
      <c r="S1428" t="s">
        <v>210</v>
      </c>
      <c r="T1428" t="s">
        <v>412</v>
      </c>
      <c r="U1428" t="s">
        <v>39</v>
      </c>
      <c r="V1428" t="s">
        <v>315</v>
      </c>
      <c r="W1428">
        <v>4.5</v>
      </c>
      <c r="X1428" t="s">
        <v>41</v>
      </c>
      <c r="Y1428" t="s">
        <v>42</v>
      </c>
      <c r="Z1428">
        <v>5</v>
      </c>
    </row>
    <row r="1429" spans="1:26">
      <c r="A1429" t="s">
        <v>2480</v>
      </c>
      <c r="B1429" t="s">
        <v>1569</v>
      </c>
      <c r="C1429" t="s">
        <v>45</v>
      </c>
      <c r="D1429" t="s">
        <v>29</v>
      </c>
      <c r="E1429" s="1">
        <v>44664</v>
      </c>
      <c r="F1429" t="s">
        <v>47</v>
      </c>
      <c r="G1429" t="s">
        <v>48</v>
      </c>
      <c r="H1429" t="s">
        <v>49</v>
      </c>
      <c r="I1429">
        <v>10</v>
      </c>
      <c r="J1429" t="s">
        <v>33</v>
      </c>
      <c r="K1429">
        <v>2</v>
      </c>
      <c r="L1429" s="3">
        <v>6899</v>
      </c>
      <c r="M1429">
        <v>15</v>
      </c>
      <c r="N1429" s="3">
        <v>5860</v>
      </c>
      <c r="O1429" s="3">
        <v>11720</v>
      </c>
      <c r="P1429" t="s">
        <v>34</v>
      </c>
      <c r="Q1429" t="s">
        <v>51</v>
      </c>
      <c r="R1429" t="s">
        <v>36</v>
      </c>
      <c r="S1429" t="s">
        <v>182</v>
      </c>
      <c r="T1429" t="s">
        <v>183</v>
      </c>
      <c r="U1429" t="s">
        <v>124</v>
      </c>
      <c r="V1429" t="s">
        <v>969</v>
      </c>
      <c r="W1429">
        <v>4.0999999999999996</v>
      </c>
      <c r="X1429" t="s">
        <v>41</v>
      </c>
      <c r="Y1429" t="s">
        <v>42</v>
      </c>
      <c r="Z1429">
        <v>3</v>
      </c>
    </row>
    <row r="1430" spans="1:26">
      <c r="A1430" t="s">
        <v>2481</v>
      </c>
      <c r="B1430" t="s">
        <v>2161</v>
      </c>
      <c r="C1430" t="s">
        <v>28</v>
      </c>
      <c r="D1430" t="s">
        <v>46</v>
      </c>
      <c r="E1430" s="1">
        <v>44666</v>
      </c>
      <c r="F1430" t="s">
        <v>30</v>
      </c>
      <c r="G1430" t="s">
        <v>347</v>
      </c>
      <c r="H1430" t="s">
        <v>49</v>
      </c>
      <c r="I1430">
        <v>8</v>
      </c>
      <c r="J1430" t="s">
        <v>67</v>
      </c>
      <c r="K1430">
        <v>2</v>
      </c>
      <c r="L1430" s="3">
        <v>7799</v>
      </c>
      <c r="M1430">
        <v>20</v>
      </c>
      <c r="N1430" s="3">
        <v>6240</v>
      </c>
      <c r="O1430" s="3">
        <v>12480</v>
      </c>
      <c r="P1430" t="s">
        <v>34</v>
      </c>
      <c r="Q1430" t="s">
        <v>51</v>
      </c>
      <c r="R1430" t="s">
        <v>36</v>
      </c>
      <c r="S1430" t="s">
        <v>122</v>
      </c>
      <c r="T1430" t="s">
        <v>372</v>
      </c>
      <c r="U1430" t="s">
        <v>124</v>
      </c>
      <c r="V1430" t="s">
        <v>315</v>
      </c>
      <c r="W1430">
        <v>3.8</v>
      </c>
      <c r="X1430" t="s">
        <v>41</v>
      </c>
      <c r="Y1430" t="s">
        <v>42</v>
      </c>
      <c r="Z1430">
        <v>4</v>
      </c>
    </row>
    <row r="1431" spans="1:26">
      <c r="A1431" t="s">
        <v>2482</v>
      </c>
      <c r="B1431" t="s">
        <v>475</v>
      </c>
      <c r="C1431" t="s">
        <v>28</v>
      </c>
      <c r="D1431" t="s">
        <v>29</v>
      </c>
      <c r="E1431" s="1">
        <v>44667</v>
      </c>
      <c r="F1431" t="s">
        <v>30</v>
      </c>
      <c r="G1431" t="s">
        <v>110</v>
      </c>
      <c r="H1431" t="s">
        <v>111</v>
      </c>
      <c r="I1431">
        <v>6</v>
      </c>
      <c r="J1431" t="s">
        <v>98</v>
      </c>
      <c r="K1431">
        <v>1</v>
      </c>
      <c r="L1431" s="3">
        <v>4399</v>
      </c>
      <c r="M1431">
        <v>15</v>
      </c>
      <c r="N1431" s="3">
        <v>3740</v>
      </c>
      <c r="O1431" s="3">
        <v>3740</v>
      </c>
      <c r="P1431" t="s">
        <v>34</v>
      </c>
      <c r="Q1431" t="s">
        <v>82</v>
      </c>
      <c r="R1431" t="s">
        <v>36</v>
      </c>
      <c r="S1431" t="s">
        <v>89</v>
      </c>
      <c r="T1431" t="s">
        <v>425</v>
      </c>
      <c r="U1431" t="s">
        <v>39</v>
      </c>
      <c r="V1431" t="s">
        <v>969</v>
      </c>
      <c r="W1431">
        <v>3.2</v>
      </c>
      <c r="X1431" t="s">
        <v>106</v>
      </c>
      <c r="Y1431" t="s">
        <v>42</v>
      </c>
      <c r="Z1431">
        <v>4</v>
      </c>
    </row>
    <row r="1432" spans="1:26">
      <c r="A1432" t="s">
        <v>2483</v>
      </c>
      <c r="B1432" t="s">
        <v>1619</v>
      </c>
      <c r="C1432" t="s">
        <v>28</v>
      </c>
      <c r="D1432" t="s">
        <v>46</v>
      </c>
      <c r="E1432" s="1">
        <v>44667</v>
      </c>
      <c r="F1432" t="s">
        <v>65</v>
      </c>
      <c r="G1432" t="s">
        <v>365</v>
      </c>
      <c r="H1432" t="s">
        <v>49</v>
      </c>
      <c r="I1432">
        <v>7</v>
      </c>
      <c r="J1432" t="s">
        <v>88</v>
      </c>
      <c r="K1432">
        <v>2</v>
      </c>
      <c r="L1432" s="3">
        <v>6699</v>
      </c>
      <c r="M1432">
        <v>0</v>
      </c>
      <c r="N1432" s="3">
        <v>6700</v>
      </c>
      <c r="O1432" s="3">
        <v>13400</v>
      </c>
      <c r="P1432" t="s">
        <v>74</v>
      </c>
      <c r="Q1432" t="s">
        <v>35</v>
      </c>
      <c r="R1432" t="s">
        <v>36</v>
      </c>
      <c r="S1432" t="s">
        <v>384</v>
      </c>
      <c r="T1432" t="s">
        <v>1217</v>
      </c>
      <c r="U1432" t="s">
        <v>54</v>
      </c>
      <c r="V1432" t="s">
        <v>315</v>
      </c>
      <c r="W1432">
        <v>3.9</v>
      </c>
      <c r="X1432" t="s">
        <v>41</v>
      </c>
      <c r="Y1432" t="s">
        <v>42</v>
      </c>
      <c r="Z1432">
        <v>2</v>
      </c>
    </row>
    <row r="1433" spans="1:26">
      <c r="A1433" t="s">
        <v>2484</v>
      </c>
      <c r="B1433" t="s">
        <v>293</v>
      </c>
      <c r="C1433" t="s">
        <v>94</v>
      </c>
      <c r="D1433" t="s">
        <v>103</v>
      </c>
      <c r="E1433" s="1">
        <v>44668</v>
      </c>
      <c r="F1433" t="s">
        <v>30</v>
      </c>
      <c r="G1433" t="s">
        <v>58</v>
      </c>
      <c r="H1433" t="s">
        <v>59</v>
      </c>
      <c r="I1433">
        <v>9</v>
      </c>
      <c r="J1433" t="s">
        <v>150</v>
      </c>
      <c r="K1433">
        <v>2</v>
      </c>
      <c r="L1433" s="3">
        <v>5299</v>
      </c>
      <c r="M1433">
        <v>20</v>
      </c>
      <c r="N1433" s="3">
        <v>4240</v>
      </c>
      <c r="O1433" s="3">
        <v>8480</v>
      </c>
      <c r="P1433" t="s">
        <v>81</v>
      </c>
      <c r="Q1433" t="s">
        <v>51</v>
      </c>
      <c r="R1433" t="s">
        <v>36</v>
      </c>
      <c r="S1433" t="s">
        <v>297</v>
      </c>
      <c r="T1433" t="s">
        <v>566</v>
      </c>
      <c r="U1433" t="s">
        <v>61</v>
      </c>
      <c r="V1433" t="s">
        <v>315</v>
      </c>
      <c r="W1433">
        <v>3</v>
      </c>
      <c r="X1433" t="s">
        <v>62</v>
      </c>
      <c r="Y1433" t="s">
        <v>42</v>
      </c>
      <c r="Z1433">
        <v>3</v>
      </c>
    </row>
    <row r="1434" spans="1:26">
      <c r="A1434" t="s">
        <v>2485</v>
      </c>
      <c r="B1434" t="s">
        <v>1614</v>
      </c>
      <c r="C1434" t="s">
        <v>45</v>
      </c>
      <c r="D1434" t="s">
        <v>46</v>
      </c>
      <c r="E1434" s="1">
        <v>44668</v>
      </c>
      <c r="F1434" t="s">
        <v>96</v>
      </c>
      <c r="G1434" t="s">
        <v>171</v>
      </c>
      <c r="H1434" t="s">
        <v>128</v>
      </c>
      <c r="I1434">
        <v>11</v>
      </c>
      <c r="J1434" t="s">
        <v>98</v>
      </c>
      <c r="K1434">
        <v>1</v>
      </c>
      <c r="L1434" s="3">
        <v>7399</v>
      </c>
      <c r="M1434">
        <v>10</v>
      </c>
      <c r="N1434" s="3">
        <v>6660</v>
      </c>
      <c r="O1434" s="3">
        <v>6660</v>
      </c>
      <c r="P1434" t="s">
        <v>34</v>
      </c>
      <c r="Q1434" t="s">
        <v>51</v>
      </c>
      <c r="R1434" t="s">
        <v>36</v>
      </c>
      <c r="S1434" t="s">
        <v>418</v>
      </c>
      <c r="T1434" t="s">
        <v>924</v>
      </c>
      <c r="U1434" t="s">
        <v>54</v>
      </c>
      <c r="V1434" t="s">
        <v>315</v>
      </c>
      <c r="W1434">
        <v>3.4</v>
      </c>
      <c r="X1434" t="s">
        <v>41</v>
      </c>
      <c r="Y1434" t="s">
        <v>42</v>
      </c>
      <c r="Z1434">
        <v>2</v>
      </c>
    </row>
    <row r="1435" spans="1:26">
      <c r="A1435" t="s">
        <v>2486</v>
      </c>
      <c r="B1435" t="s">
        <v>1453</v>
      </c>
      <c r="C1435" t="s">
        <v>94</v>
      </c>
      <c r="D1435" t="s">
        <v>46</v>
      </c>
      <c r="E1435" s="1">
        <v>44668</v>
      </c>
      <c r="F1435" t="s">
        <v>86</v>
      </c>
      <c r="G1435" t="s">
        <v>116</v>
      </c>
      <c r="H1435" t="s">
        <v>49</v>
      </c>
      <c r="I1435">
        <v>6</v>
      </c>
      <c r="J1435" t="s">
        <v>98</v>
      </c>
      <c r="K1435">
        <v>1</v>
      </c>
      <c r="L1435" s="3">
        <v>7899</v>
      </c>
      <c r="M1435">
        <v>15</v>
      </c>
      <c r="N1435" s="3">
        <v>6710</v>
      </c>
      <c r="O1435" s="3">
        <v>6710</v>
      </c>
      <c r="P1435" t="s">
        <v>74</v>
      </c>
      <c r="Q1435" t="s">
        <v>51</v>
      </c>
      <c r="R1435" t="s">
        <v>36</v>
      </c>
      <c r="S1435" t="s">
        <v>141</v>
      </c>
      <c r="T1435" t="s">
        <v>728</v>
      </c>
      <c r="U1435" t="s">
        <v>91</v>
      </c>
      <c r="V1435" t="s">
        <v>315</v>
      </c>
      <c r="W1435">
        <v>4.0999999999999996</v>
      </c>
      <c r="X1435" t="s">
        <v>41</v>
      </c>
      <c r="Y1435" t="s">
        <v>55</v>
      </c>
      <c r="Z1435">
        <v>2</v>
      </c>
    </row>
    <row r="1436" spans="1:26">
      <c r="A1436" t="s">
        <v>2487</v>
      </c>
      <c r="B1436" t="s">
        <v>2265</v>
      </c>
      <c r="C1436" t="s">
        <v>45</v>
      </c>
      <c r="D1436" t="s">
        <v>29</v>
      </c>
      <c r="E1436" s="1">
        <v>44668</v>
      </c>
      <c r="F1436" t="s">
        <v>96</v>
      </c>
      <c r="G1436" t="s">
        <v>155</v>
      </c>
      <c r="H1436" t="s">
        <v>111</v>
      </c>
      <c r="I1436">
        <v>10</v>
      </c>
      <c r="J1436" t="s">
        <v>33</v>
      </c>
      <c r="K1436">
        <v>2</v>
      </c>
      <c r="L1436" s="3">
        <v>4999</v>
      </c>
      <c r="M1436">
        <v>25</v>
      </c>
      <c r="N1436" s="3">
        <v>3750</v>
      </c>
      <c r="O1436" s="3">
        <v>7500</v>
      </c>
      <c r="P1436" t="s">
        <v>74</v>
      </c>
      <c r="Q1436" t="s">
        <v>51</v>
      </c>
      <c r="R1436" t="s">
        <v>36</v>
      </c>
      <c r="S1436" t="s">
        <v>129</v>
      </c>
      <c r="T1436" t="s">
        <v>282</v>
      </c>
      <c r="U1436" t="s">
        <v>91</v>
      </c>
      <c r="V1436" t="s">
        <v>315</v>
      </c>
      <c r="W1436">
        <v>4.9000000000000004</v>
      </c>
      <c r="X1436" t="s">
        <v>41</v>
      </c>
      <c r="Y1436" t="s">
        <v>42</v>
      </c>
      <c r="Z1436">
        <v>4</v>
      </c>
    </row>
    <row r="1437" spans="1:26">
      <c r="A1437" t="s">
        <v>2488</v>
      </c>
      <c r="B1437" t="s">
        <v>1356</v>
      </c>
      <c r="C1437" t="s">
        <v>28</v>
      </c>
      <c r="D1437" t="s">
        <v>46</v>
      </c>
      <c r="E1437" s="1">
        <v>44669</v>
      </c>
      <c r="F1437" t="s">
        <v>47</v>
      </c>
      <c r="G1437" t="s">
        <v>402</v>
      </c>
      <c r="H1437" t="s">
        <v>32</v>
      </c>
      <c r="I1437">
        <v>10</v>
      </c>
      <c r="J1437" t="s">
        <v>88</v>
      </c>
      <c r="K1437">
        <v>1</v>
      </c>
      <c r="L1437" s="3">
        <v>8499</v>
      </c>
      <c r="M1437">
        <v>10</v>
      </c>
      <c r="N1437" s="3">
        <v>7650</v>
      </c>
      <c r="O1437" s="3">
        <v>7650</v>
      </c>
      <c r="P1437" t="s">
        <v>74</v>
      </c>
      <c r="Q1437" t="s">
        <v>82</v>
      </c>
      <c r="R1437" t="s">
        <v>36</v>
      </c>
      <c r="S1437" t="s">
        <v>117</v>
      </c>
      <c r="T1437" t="s">
        <v>118</v>
      </c>
      <c r="U1437" t="s">
        <v>61</v>
      </c>
      <c r="V1437" t="s">
        <v>315</v>
      </c>
      <c r="W1437">
        <v>2.9</v>
      </c>
      <c r="X1437" t="s">
        <v>41</v>
      </c>
      <c r="Y1437" t="s">
        <v>42</v>
      </c>
      <c r="Z1437">
        <v>5</v>
      </c>
    </row>
    <row r="1438" spans="1:26">
      <c r="A1438" t="s">
        <v>2489</v>
      </c>
      <c r="B1438" t="s">
        <v>1119</v>
      </c>
      <c r="C1438" t="s">
        <v>28</v>
      </c>
      <c r="D1438" t="s">
        <v>46</v>
      </c>
      <c r="E1438" s="1">
        <v>44671</v>
      </c>
      <c r="F1438" t="s">
        <v>47</v>
      </c>
      <c r="G1438" t="s">
        <v>48</v>
      </c>
      <c r="H1438" t="s">
        <v>49</v>
      </c>
      <c r="I1438">
        <v>10</v>
      </c>
      <c r="J1438" t="s">
        <v>150</v>
      </c>
      <c r="K1438">
        <v>1</v>
      </c>
      <c r="L1438" s="3">
        <v>4899</v>
      </c>
      <c r="M1438">
        <v>15</v>
      </c>
      <c r="N1438" s="3">
        <v>4160</v>
      </c>
      <c r="O1438" s="3">
        <v>4160</v>
      </c>
      <c r="P1438" t="s">
        <v>34</v>
      </c>
      <c r="Q1438" t="s">
        <v>82</v>
      </c>
      <c r="R1438" t="s">
        <v>36</v>
      </c>
      <c r="S1438" t="s">
        <v>338</v>
      </c>
      <c r="T1438" t="s">
        <v>338</v>
      </c>
      <c r="U1438" t="s">
        <v>124</v>
      </c>
      <c r="V1438" t="s">
        <v>315</v>
      </c>
      <c r="W1438">
        <v>4.3</v>
      </c>
      <c r="X1438" t="s">
        <v>41</v>
      </c>
      <c r="Y1438" t="s">
        <v>42</v>
      </c>
      <c r="Z1438">
        <v>4</v>
      </c>
    </row>
    <row r="1439" spans="1:26">
      <c r="A1439" t="s">
        <v>2490</v>
      </c>
      <c r="B1439" t="s">
        <v>1560</v>
      </c>
      <c r="C1439" t="s">
        <v>45</v>
      </c>
      <c r="D1439" t="s">
        <v>29</v>
      </c>
      <c r="E1439" s="1">
        <v>44671</v>
      </c>
      <c r="F1439" t="s">
        <v>47</v>
      </c>
      <c r="G1439" t="s">
        <v>140</v>
      </c>
      <c r="H1439" t="s">
        <v>128</v>
      </c>
      <c r="I1439">
        <v>7</v>
      </c>
      <c r="J1439" t="s">
        <v>98</v>
      </c>
      <c r="K1439">
        <v>1</v>
      </c>
      <c r="L1439" s="3">
        <v>3499</v>
      </c>
      <c r="M1439">
        <v>5</v>
      </c>
      <c r="N1439" s="3">
        <v>3320</v>
      </c>
      <c r="O1439" s="3">
        <v>3320</v>
      </c>
      <c r="P1439" t="s">
        <v>74</v>
      </c>
      <c r="Q1439" t="s">
        <v>51</v>
      </c>
      <c r="R1439" t="s">
        <v>36</v>
      </c>
      <c r="S1439" t="s">
        <v>191</v>
      </c>
      <c r="T1439" t="s">
        <v>332</v>
      </c>
      <c r="U1439" t="s">
        <v>54</v>
      </c>
      <c r="V1439" t="s">
        <v>315</v>
      </c>
      <c r="W1439">
        <v>3.1</v>
      </c>
      <c r="X1439" t="s">
        <v>106</v>
      </c>
      <c r="Y1439" t="s">
        <v>42</v>
      </c>
      <c r="Z1439">
        <v>4</v>
      </c>
    </row>
    <row r="1440" spans="1:26">
      <c r="A1440" t="s">
        <v>2491</v>
      </c>
      <c r="B1440" t="s">
        <v>1381</v>
      </c>
      <c r="C1440" t="s">
        <v>28</v>
      </c>
      <c r="D1440" t="s">
        <v>103</v>
      </c>
      <c r="E1440" s="1">
        <v>44672</v>
      </c>
      <c r="F1440" t="s">
        <v>65</v>
      </c>
      <c r="G1440" t="s">
        <v>66</v>
      </c>
      <c r="H1440" t="s">
        <v>59</v>
      </c>
      <c r="I1440">
        <v>12</v>
      </c>
      <c r="J1440" t="s">
        <v>67</v>
      </c>
      <c r="K1440">
        <v>2</v>
      </c>
      <c r="L1440" s="3">
        <v>6899</v>
      </c>
      <c r="M1440">
        <v>25</v>
      </c>
      <c r="N1440" s="3">
        <v>5170</v>
      </c>
      <c r="O1440" s="3">
        <v>10340</v>
      </c>
      <c r="P1440" t="s">
        <v>74</v>
      </c>
      <c r="Q1440" t="s">
        <v>51</v>
      </c>
      <c r="R1440" t="s">
        <v>36</v>
      </c>
      <c r="S1440" t="s">
        <v>151</v>
      </c>
      <c r="T1440" t="s">
        <v>152</v>
      </c>
      <c r="U1440" t="s">
        <v>54</v>
      </c>
      <c r="V1440" t="s">
        <v>315</v>
      </c>
      <c r="W1440">
        <v>3.6</v>
      </c>
      <c r="X1440" t="s">
        <v>41</v>
      </c>
      <c r="Y1440" t="s">
        <v>55</v>
      </c>
      <c r="Z1440">
        <v>2</v>
      </c>
    </row>
    <row r="1441" spans="1:26">
      <c r="A1441" t="s">
        <v>2492</v>
      </c>
      <c r="B1441" t="s">
        <v>144</v>
      </c>
      <c r="C1441" t="s">
        <v>94</v>
      </c>
      <c r="D1441" t="s">
        <v>29</v>
      </c>
      <c r="E1441" s="1">
        <v>44672</v>
      </c>
      <c r="F1441" t="s">
        <v>47</v>
      </c>
      <c r="G1441" t="s">
        <v>218</v>
      </c>
      <c r="H1441" t="s">
        <v>59</v>
      </c>
      <c r="I1441">
        <v>7</v>
      </c>
      <c r="J1441" t="s">
        <v>73</v>
      </c>
      <c r="K1441">
        <v>4</v>
      </c>
      <c r="L1441" s="3">
        <v>5399</v>
      </c>
      <c r="M1441">
        <v>5</v>
      </c>
      <c r="N1441" s="3">
        <v>5130</v>
      </c>
      <c r="O1441" s="3">
        <v>20520</v>
      </c>
      <c r="P1441" t="s">
        <v>74</v>
      </c>
      <c r="Q1441" t="s">
        <v>51</v>
      </c>
      <c r="R1441" t="s">
        <v>36</v>
      </c>
      <c r="S1441" t="s">
        <v>182</v>
      </c>
      <c r="T1441" t="s">
        <v>183</v>
      </c>
      <c r="U1441" t="s">
        <v>39</v>
      </c>
      <c r="V1441" t="s">
        <v>969</v>
      </c>
      <c r="W1441">
        <v>4.5999999999999996</v>
      </c>
      <c r="X1441" t="s">
        <v>106</v>
      </c>
      <c r="Y1441" t="s">
        <v>42</v>
      </c>
      <c r="Z1441">
        <v>5</v>
      </c>
    </row>
    <row r="1442" spans="1:26">
      <c r="A1442" t="s">
        <v>2493</v>
      </c>
      <c r="B1442" t="s">
        <v>2198</v>
      </c>
      <c r="C1442" t="s">
        <v>45</v>
      </c>
      <c r="D1442" t="s">
        <v>103</v>
      </c>
      <c r="E1442" s="1">
        <v>44673</v>
      </c>
      <c r="F1442" t="s">
        <v>86</v>
      </c>
      <c r="G1442" t="s">
        <v>285</v>
      </c>
      <c r="H1442" t="s">
        <v>111</v>
      </c>
      <c r="I1442">
        <v>8</v>
      </c>
      <c r="J1442" t="s">
        <v>150</v>
      </c>
      <c r="K1442">
        <v>1</v>
      </c>
      <c r="L1442" s="3">
        <v>7199</v>
      </c>
      <c r="M1442">
        <v>20</v>
      </c>
      <c r="N1442" s="3">
        <v>5760</v>
      </c>
      <c r="O1442" s="3">
        <v>5760</v>
      </c>
      <c r="P1442" t="s">
        <v>74</v>
      </c>
      <c r="Q1442" t="s">
        <v>82</v>
      </c>
      <c r="R1442" t="s">
        <v>36</v>
      </c>
      <c r="S1442" t="s">
        <v>164</v>
      </c>
      <c r="T1442" t="s">
        <v>409</v>
      </c>
      <c r="U1442" t="s">
        <v>61</v>
      </c>
      <c r="V1442" t="s">
        <v>315</v>
      </c>
      <c r="W1442">
        <v>3.9</v>
      </c>
      <c r="X1442" t="s">
        <v>41</v>
      </c>
      <c r="Y1442" t="s">
        <v>55</v>
      </c>
      <c r="Z1442">
        <v>3</v>
      </c>
    </row>
    <row r="1443" spans="1:26">
      <c r="A1443" t="s">
        <v>2494</v>
      </c>
      <c r="B1443" t="s">
        <v>1107</v>
      </c>
      <c r="C1443" t="s">
        <v>45</v>
      </c>
      <c r="D1443" t="s">
        <v>46</v>
      </c>
      <c r="E1443" s="1">
        <v>44674</v>
      </c>
      <c r="F1443" t="s">
        <v>79</v>
      </c>
      <c r="G1443" t="s">
        <v>127</v>
      </c>
      <c r="H1443" t="s">
        <v>128</v>
      </c>
      <c r="I1443">
        <v>10</v>
      </c>
      <c r="J1443" t="s">
        <v>73</v>
      </c>
      <c r="K1443">
        <v>1</v>
      </c>
      <c r="L1443" s="3">
        <v>7999</v>
      </c>
      <c r="M1443">
        <v>10</v>
      </c>
      <c r="N1443" s="3">
        <v>7200</v>
      </c>
      <c r="O1443" s="3">
        <v>7200</v>
      </c>
      <c r="P1443" t="s">
        <v>74</v>
      </c>
      <c r="Q1443" t="s">
        <v>51</v>
      </c>
      <c r="R1443" t="s">
        <v>36</v>
      </c>
      <c r="S1443" t="s">
        <v>52</v>
      </c>
      <c r="T1443" t="s">
        <v>60</v>
      </c>
      <c r="U1443" t="s">
        <v>39</v>
      </c>
      <c r="V1443" t="s">
        <v>969</v>
      </c>
      <c r="W1443">
        <v>4</v>
      </c>
      <c r="X1443" t="s">
        <v>106</v>
      </c>
      <c r="Y1443" t="s">
        <v>55</v>
      </c>
      <c r="Z1443">
        <v>2</v>
      </c>
    </row>
    <row r="1444" spans="1:26">
      <c r="A1444" t="s">
        <v>2495</v>
      </c>
      <c r="B1444" t="s">
        <v>1598</v>
      </c>
      <c r="C1444" t="s">
        <v>45</v>
      </c>
      <c r="D1444" t="s">
        <v>103</v>
      </c>
      <c r="E1444" s="1">
        <v>44674</v>
      </c>
      <c r="F1444" t="s">
        <v>30</v>
      </c>
      <c r="G1444" t="s">
        <v>31</v>
      </c>
      <c r="H1444" t="s">
        <v>32</v>
      </c>
      <c r="I1444">
        <v>10</v>
      </c>
      <c r="J1444" t="s">
        <v>150</v>
      </c>
      <c r="K1444">
        <v>1</v>
      </c>
      <c r="L1444" s="3">
        <v>7099</v>
      </c>
      <c r="M1444">
        <v>5</v>
      </c>
      <c r="N1444" s="3">
        <v>6740</v>
      </c>
      <c r="O1444" s="3">
        <v>6740</v>
      </c>
      <c r="P1444" t="s">
        <v>74</v>
      </c>
      <c r="Q1444" t="s">
        <v>35</v>
      </c>
      <c r="R1444" t="s">
        <v>36</v>
      </c>
      <c r="S1444" t="s">
        <v>269</v>
      </c>
      <c r="T1444" t="s">
        <v>961</v>
      </c>
      <c r="U1444" t="s">
        <v>124</v>
      </c>
      <c r="V1444" t="s">
        <v>315</v>
      </c>
      <c r="W1444">
        <v>4.2</v>
      </c>
      <c r="X1444" t="s">
        <v>41</v>
      </c>
      <c r="Y1444" t="s">
        <v>147</v>
      </c>
      <c r="Z1444">
        <v>1</v>
      </c>
    </row>
    <row r="1445" spans="1:26">
      <c r="A1445" t="s">
        <v>2496</v>
      </c>
      <c r="B1445" t="s">
        <v>468</v>
      </c>
      <c r="C1445" t="s">
        <v>28</v>
      </c>
      <c r="D1445" t="s">
        <v>46</v>
      </c>
      <c r="E1445" s="1">
        <v>44675</v>
      </c>
      <c r="F1445" t="s">
        <v>65</v>
      </c>
      <c r="G1445" t="s">
        <v>279</v>
      </c>
      <c r="H1445" t="s">
        <v>111</v>
      </c>
      <c r="I1445">
        <v>8</v>
      </c>
      <c r="J1445" t="s">
        <v>150</v>
      </c>
      <c r="K1445">
        <v>1</v>
      </c>
      <c r="L1445" s="3">
        <v>4299</v>
      </c>
      <c r="M1445">
        <v>15</v>
      </c>
      <c r="N1445" s="3">
        <v>3650</v>
      </c>
      <c r="O1445" s="3">
        <v>3650</v>
      </c>
      <c r="P1445" t="s">
        <v>34</v>
      </c>
      <c r="Q1445" t="s">
        <v>51</v>
      </c>
      <c r="R1445" t="s">
        <v>36</v>
      </c>
      <c r="S1445" t="s">
        <v>99</v>
      </c>
      <c r="T1445" t="s">
        <v>759</v>
      </c>
      <c r="U1445" t="s">
        <v>39</v>
      </c>
      <c r="V1445" t="s">
        <v>315</v>
      </c>
      <c r="W1445">
        <v>3.3</v>
      </c>
      <c r="X1445" t="s">
        <v>41</v>
      </c>
      <c r="Y1445" t="s">
        <v>42</v>
      </c>
      <c r="Z1445">
        <v>4</v>
      </c>
    </row>
    <row r="1446" spans="1:26">
      <c r="A1446" t="s">
        <v>2497</v>
      </c>
      <c r="B1446" t="s">
        <v>642</v>
      </c>
      <c r="C1446" t="s">
        <v>45</v>
      </c>
      <c r="D1446" t="s">
        <v>46</v>
      </c>
      <c r="E1446" s="1">
        <v>44676</v>
      </c>
      <c r="F1446" t="s">
        <v>47</v>
      </c>
      <c r="G1446" t="s">
        <v>218</v>
      </c>
      <c r="H1446" t="s">
        <v>59</v>
      </c>
      <c r="I1446">
        <v>6</v>
      </c>
      <c r="J1446" t="s">
        <v>150</v>
      </c>
      <c r="K1446">
        <v>1</v>
      </c>
      <c r="L1446" s="3">
        <v>4499</v>
      </c>
      <c r="M1446">
        <v>15</v>
      </c>
      <c r="N1446" s="3">
        <v>3820</v>
      </c>
      <c r="O1446" s="3">
        <v>3820</v>
      </c>
      <c r="P1446" t="s">
        <v>74</v>
      </c>
      <c r="Q1446" t="s">
        <v>51</v>
      </c>
      <c r="R1446" t="s">
        <v>36</v>
      </c>
      <c r="S1446" t="s">
        <v>418</v>
      </c>
      <c r="T1446" t="s">
        <v>549</v>
      </c>
      <c r="U1446" t="s">
        <v>61</v>
      </c>
      <c r="V1446" t="s">
        <v>969</v>
      </c>
      <c r="W1446">
        <v>3.9</v>
      </c>
      <c r="X1446" t="s">
        <v>41</v>
      </c>
      <c r="Y1446" t="s">
        <v>42</v>
      </c>
      <c r="Z1446">
        <v>4</v>
      </c>
    </row>
    <row r="1447" spans="1:26">
      <c r="A1447" t="s">
        <v>2498</v>
      </c>
      <c r="B1447" t="s">
        <v>2499</v>
      </c>
      <c r="C1447" t="s">
        <v>45</v>
      </c>
      <c r="D1447" t="s">
        <v>46</v>
      </c>
      <c r="E1447" s="1">
        <v>44676</v>
      </c>
      <c r="F1447" t="s">
        <v>79</v>
      </c>
      <c r="G1447" t="s">
        <v>127</v>
      </c>
      <c r="H1447" t="s">
        <v>128</v>
      </c>
      <c r="I1447">
        <v>12</v>
      </c>
      <c r="J1447" t="s">
        <v>98</v>
      </c>
      <c r="K1447">
        <v>1</v>
      </c>
      <c r="L1447" s="3">
        <v>6699</v>
      </c>
      <c r="M1447">
        <v>5</v>
      </c>
      <c r="N1447" s="3">
        <v>6360</v>
      </c>
      <c r="O1447" s="3">
        <v>6360</v>
      </c>
      <c r="P1447" t="s">
        <v>74</v>
      </c>
      <c r="Q1447" t="s">
        <v>51</v>
      </c>
      <c r="R1447" t="s">
        <v>36</v>
      </c>
      <c r="S1447" t="s">
        <v>52</v>
      </c>
      <c r="T1447" t="s">
        <v>235</v>
      </c>
      <c r="U1447" t="s">
        <v>91</v>
      </c>
      <c r="V1447" t="s">
        <v>40</v>
      </c>
      <c r="W1447">
        <v>4.5</v>
      </c>
      <c r="X1447" t="s">
        <v>41</v>
      </c>
      <c r="Y1447" t="s">
        <v>42</v>
      </c>
      <c r="Z1447">
        <v>3</v>
      </c>
    </row>
    <row r="1448" spans="1:26">
      <c r="A1448" t="s">
        <v>2500</v>
      </c>
      <c r="B1448" t="s">
        <v>584</v>
      </c>
      <c r="C1448" t="s">
        <v>45</v>
      </c>
      <c r="D1448" t="s">
        <v>46</v>
      </c>
      <c r="E1448" s="1">
        <v>44676</v>
      </c>
      <c r="F1448" t="s">
        <v>47</v>
      </c>
      <c r="G1448" t="s">
        <v>199</v>
      </c>
      <c r="H1448" t="s">
        <v>59</v>
      </c>
      <c r="I1448">
        <v>9</v>
      </c>
      <c r="J1448" t="s">
        <v>73</v>
      </c>
      <c r="K1448">
        <v>1</v>
      </c>
      <c r="L1448" s="3">
        <v>5699</v>
      </c>
      <c r="M1448">
        <v>25</v>
      </c>
      <c r="N1448" s="3">
        <v>4270</v>
      </c>
      <c r="O1448" s="3">
        <v>4270</v>
      </c>
      <c r="P1448" t="s">
        <v>74</v>
      </c>
      <c r="Q1448" t="s">
        <v>82</v>
      </c>
      <c r="R1448" t="s">
        <v>36</v>
      </c>
      <c r="S1448" t="s">
        <v>269</v>
      </c>
      <c r="T1448" t="s">
        <v>961</v>
      </c>
      <c r="U1448" t="s">
        <v>54</v>
      </c>
      <c r="V1448" t="s">
        <v>969</v>
      </c>
      <c r="W1448">
        <v>4.5</v>
      </c>
      <c r="X1448" t="s">
        <v>41</v>
      </c>
      <c r="Y1448" t="s">
        <v>55</v>
      </c>
      <c r="Z1448">
        <v>1</v>
      </c>
    </row>
    <row r="1449" spans="1:26">
      <c r="A1449" t="s">
        <v>2501</v>
      </c>
      <c r="B1449" t="s">
        <v>941</v>
      </c>
      <c r="C1449" t="s">
        <v>28</v>
      </c>
      <c r="D1449" t="s">
        <v>109</v>
      </c>
      <c r="E1449" s="1">
        <v>44677</v>
      </c>
      <c r="F1449" t="s">
        <v>65</v>
      </c>
      <c r="G1449" t="s">
        <v>268</v>
      </c>
      <c r="H1449" t="s">
        <v>128</v>
      </c>
      <c r="I1449">
        <v>7</v>
      </c>
      <c r="J1449" t="s">
        <v>67</v>
      </c>
      <c r="K1449">
        <v>1</v>
      </c>
      <c r="L1449" s="3">
        <v>3799</v>
      </c>
      <c r="M1449">
        <v>15</v>
      </c>
      <c r="N1449" s="3">
        <v>3230</v>
      </c>
      <c r="O1449" s="3">
        <v>3230</v>
      </c>
      <c r="P1449" t="s">
        <v>74</v>
      </c>
      <c r="Q1449" t="s">
        <v>51</v>
      </c>
      <c r="R1449" t="s">
        <v>36</v>
      </c>
      <c r="S1449" t="s">
        <v>164</v>
      </c>
      <c r="T1449" t="s">
        <v>409</v>
      </c>
      <c r="U1449" t="s">
        <v>39</v>
      </c>
      <c r="V1449" t="s">
        <v>969</v>
      </c>
      <c r="W1449">
        <v>3.9</v>
      </c>
      <c r="X1449" t="s">
        <v>41</v>
      </c>
      <c r="Y1449" t="s">
        <v>42</v>
      </c>
      <c r="Z1449">
        <v>6</v>
      </c>
    </row>
    <row r="1450" spans="1:26">
      <c r="A1450" t="s">
        <v>2502</v>
      </c>
      <c r="B1450" t="s">
        <v>2503</v>
      </c>
      <c r="C1450" t="s">
        <v>45</v>
      </c>
      <c r="D1450" t="s">
        <v>29</v>
      </c>
      <c r="E1450" s="1">
        <v>44679</v>
      </c>
      <c r="F1450" t="s">
        <v>47</v>
      </c>
      <c r="G1450" t="s">
        <v>199</v>
      </c>
      <c r="H1450" t="s">
        <v>59</v>
      </c>
      <c r="I1450">
        <v>10</v>
      </c>
      <c r="J1450" t="s">
        <v>33</v>
      </c>
      <c r="K1450">
        <v>1</v>
      </c>
      <c r="L1450" s="3">
        <v>5799</v>
      </c>
      <c r="M1450">
        <v>15</v>
      </c>
      <c r="N1450" s="3">
        <v>4930</v>
      </c>
      <c r="O1450" s="3">
        <v>4930</v>
      </c>
      <c r="P1450" t="s">
        <v>74</v>
      </c>
      <c r="Q1450" t="s">
        <v>82</v>
      </c>
      <c r="R1450" t="s">
        <v>36</v>
      </c>
      <c r="S1450" t="s">
        <v>156</v>
      </c>
      <c r="T1450" t="s">
        <v>157</v>
      </c>
      <c r="U1450" t="s">
        <v>124</v>
      </c>
      <c r="V1450" t="s">
        <v>40</v>
      </c>
      <c r="W1450">
        <v>4.0999999999999996</v>
      </c>
      <c r="X1450" t="s">
        <v>41</v>
      </c>
      <c r="Y1450" t="s">
        <v>42</v>
      </c>
      <c r="Z1450">
        <v>5</v>
      </c>
    </row>
    <row r="1451" spans="1:26">
      <c r="A1451" t="s">
        <v>2504</v>
      </c>
      <c r="B1451" t="s">
        <v>1565</v>
      </c>
      <c r="C1451" t="s">
        <v>28</v>
      </c>
      <c r="D1451" t="s">
        <v>103</v>
      </c>
      <c r="E1451" s="1">
        <v>44682</v>
      </c>
      <c r="F1451" t="s">
        <v>47</v>
      </c>
      <c r="G1451" t="s">
        <v>199</v>
      </c>
      <c r="H1451" t="s">
        <v>59</v>
      </c>
      <c r="I1451">
        <v>9</v>
      </c>
      <c r="J1451" t="s">
        <v>150</v>
      </c>
      <c r="K1451">
        <v>2</v>
      </c>
      <c r="L1451" s="3">
        <v>7299</v>
      </c>
      <c r="M1451">
        <v>5</v>
      </c>
      <c r="N1451" s="3">
        <v>6930</v>
      </c>
      <c r="O1451" s="3">
        <v>13860</v>
      </c>
      <c r="P1451" t="s">
        <v>74</v>
      </c>
      <c r="Q1451" t="s">
        <v>82</v>
      </c>
      <c r="R1451" t="s">
        <v>36</v>
      </c>
      <c r="S1451" t="s">
        <v>358</v>
      </c>
      <c r="T1451" t="s">
        <v>464</v>
      </c>
      <c r="U1451" t="s">
        <v>61</v>
      </c>
      <c r="V1451" t="s">
        <v>315</v>
      </c>
      <c r="W1451">
        <v>3.6</v>
      </c>
      <c r="X1451" t="s">
        <v>41</v>
      </c>
      <c r="Y1451" t="s">
        <v>42</v>
      </c>
      <c r="Z1451">
        <v>4</v>
      </c>
    </row>
    <row r="1452" spans="1:26">
      <c r="A1452" t="s">
        <v>2505</v>
      </c>
      <c r="B1452" t="s">
        <v>2506</v>
      </c>
      <c r="C1452" t="s">
        <v>94</v>
      </c>
      <c r="D1452" t="s">
        <v>46</v>
      </c>
      <c r="E1452" s="1">
        <v>44683</v>
      </c>
      <c r="F1452" t="s">
        <v>96</v>
      </c>
      <c r="G1452" t="s">
        <v>97</v>
      </c>
      <c r="H1452" t="s">
        <v>49</v>
      </c>
      <c r="I1452">
        <v>10</v>
      </c>
      <c r="J1452" t="s">
        <v>98</v>
      </c>
      <c r="K1452">
        <v>1</v>
      </c>
      <c r="L1452" s="3">
        <v>5999</v>
      </c>
      <c r="M1452">
        <v>30</v>
      </c>
      <c r="N1452" s="3">
        <v>4200</v>
      </c>
      <c r="O1452" s="3">
        <v>4200</v>
      </c>
      <c r="P1452" t="s">
        <v>34</v>
      </c>
      <c r="Q1452" t="s">
        <v>35</v>
      </c>
      <c r="R1452" t="s">
        <v>36</v>
      </c>
      <c r="S1452" t="s">
        <v>358</v>
      </c>
      <c r="T1452" t="s">
        <v>464</v>
      </c>
      <c r="U1452" t="s">
        <v>54</v>
      </c>
      <c r="V1452" t="s">
        <v>40</v>
      </c>
      <c r="W1452">
        <v>4.8</v>
      </c>
      <c r="X1452" t="s">
        <v>41</v>
      </c>
      <c r="Y1452" t="s">
        <v>42</v>
      </c>
      <c r="Z1452">
        <v>3</v>
      </c>
    </row>
    <row r="1453" spans="1:26">
      <c r="A1453" t="s">
        <v>2507</v>
      </c>
      <c r="B1453" t="s">
        <v>500</v>
      </c>
      <c r="C1453" t="s">
        <v>45</v>
      </c>
      <c r="D1453" t="s">
        <v>46</v>
      </c>
      <c r="E1453" s="1">
        <v>44683</v>
      </c>
      <c r="F1453" t="s">
        <v>30</v>
      </c>
      <c r="G1453" t="s">
        <v>58</v>
      </c>
      <c r="H1453" t="s">
        <v>59</v>
      </c>
      <c r="I1453">
        <v>10</v>
      </c>
      <c r="J1453" t="s">
        <v>88</v>
      </c>
      <c r="K1453">
        <v>4</v>
      </c>
      <c r="L1453" s="3">
        <v>9199</v>
      </c>
      <c r="M1453">
        <v>10</v>
      </c>
      <c r="N1453" s="3">
        <v>8280</v>
      </c>
      <c r="O1453" s="3">
        <v>33120</v>
      </c>
      <c r="P1453" t="s">
        <v>74</v>
      </c>
      <c r="Q1453" t="s">
        <v>51</v>
      </c>
      <c r="R1453" t="s">
        <v>36</v>
      </c>
      <c r="S1453" t="s">
        <v>286</v>
      </c>
      <c r="T1453" t="s">
        <v>737</v>
      </c>
      <c r="U1453" t="s">
        <v>54</v>
      </c>
      <c r="V1453" t="s">
        <v>315</v>
      </c>
      <c r="W1453">
        <v>3.4</v>
      </c>
      <c r="X1453" t="s">
        <v>106</v>
      </c>
      <c r="Y1453" t="s">
        <v>55</v>
      </c>
      <c r="Z1453">
        <v>3</v>
      </c>
    </row>
    <row r="1454" spans="1:26">
      <c r="A1454" t="s">
        <v>2508</v>
      </c>
      <c r="B1454" t="s">
        <v>241</v>
      </c>
      <c r="C1454" t="s">
        <v>28</v>
      </c>
      <c r="D1454" t="s">
        <v>46</v>
      </c>
      <c r="E1454" s="1">
        <v>44683</v>
      </c>
      <c r="F1454" t="s">
        <v>86</v>
      </c>
      <c r="G1454" t="s">
        <v>312</v>
      </c>
      <c r="H1454" t="s">
        <v>59</v>
      </c>
      <c r="I1454">
        <v>8</v>
      </c>
      <c r="J1454" t="s">
        <v>73</v>
      </c>
      <c r="K1454">
        <v>1</v>
      </c>
      <c r="L1454" s="3">
        <v>6699</v>
      </c>
      <c r="M1454">
        <v>35</v>
      </c>
      <c r="N1454" s="3">
        <v>4350</v>
      </c>
      <c r="O1454" s="3">
        <v>4350</v>
      </c>
      <c r="P1454" t="s">
        <v>74</v>
      </c>
      <c r="Q1454" t="s">
        <v>82</v>
      </c>
      <c r="R1454" t="s">
        <v>36</v>
      </c>
      <c r="S1454" t="s">
        <v>129</v>
      </c>
      <c r="T1454" t="s">
        <v>146</v>
      </c>
      <c r="U1454" t="s">
        <v>54</v>
      </c>
      <c r="V1454" t="s">
        <v>315</v>
      </c>
      <c r="W1454">
        <v>3.5</v>
      </c>
      <c r="X1454" t="s">
        <v>41</v>
      </c>
      <c r="Y1454" t="s">
        <v>55</v>
      </c>
      <c r="Z1454">
        <v>4</v>
      </c>
    </row>
    <row r="1455" spans="1:26">
      <c r="A1455" t="s">
        <v>2509</v>
      </c>
      <c r="B1455" t="s">
        <v>1421</v>
      </c>
      <c r="C1455" t="s">
        <v>45</v>
      </c>
      <c r="D1455" t="s">
        <v>46</v>
      </c>
      <c r="E1455" s="1">
        <v>44684</v>
      </c>
      <c r="F1455" t="s">
        <v>79</v>
      </c>
      <c r="G1455" t="s">
        <v>127</v>
      </c>
      <c r="H1455" t="s">
        <v>128</v>
      </c>
      <c r="I1455">
        <v>8</v>
      </c>
      <c r="J1455" t="s">
        <v>67</v>
      </c>
      <c r="K1455">
        <v>1</v>
      </c>
      <c r="L1455" s="3">
        <v>4299</v>
      </c>
      <c r="M1455">
        <v>10</v>
      </c>
      <c r="N1455" s="3">
        <v>3870</v>
      </c>
      <c r="O1455" s="3">
        <v>3870</v>
      </c>
      <c r="P1455" t="s">
        <v>81</v>
      </c>
      <c r="Q1455" t="s">
        <v>51</v>
      </c>
      <c r="R1455" t="s">
        <v>36</v>
      </c>
      <c r="S1455" t="s">
        <v>384</v>
      </c>
      <c r="T1455" t="s">
        <v>444</v>
      </c>
      <c r="U1455" t="s">
        <v>61</v>
      </c>
      <c r="V1455" t="s">
        <v>315</v>
      </c>
      <c r="W1455">
        <v>3.2</v>
      </c>
      <c r="X1455" t="s">
        <v>41</v>
      </c>
      <c r="Y1455" t="s">
        <v>42</v>
      </c>
      <c r="Z1455">
        <v>2</v>
      </c>
    </row>
    <row r="1456" spans="1:26">
      <c r="A1456" t="s">
        <v>2510</v>
      </c>
      <c r="B1456" t="s">
        <v>763</v>
      </c>
      <c r="C1456" t="s">
        <v>28</v>
      </c>
      <c r="D1456" t="s">
        <v>29</v>
      </c>
      <c r="E1456" s="1">
        <v>44685</v>
      </c>
      <c r="F1456" t="s">
        <v>47</v>
      </c>
      <c r="G1456" t="s">
        <v>402</v>
      </c>
      <c r="H1456" t="s">
        <v>32</v>
      </c>
      <c r="I1456">
        <v>12</v>
      </c>
      <c r="J1456" t="s">
        <v>33</v>
      </c>
      <c r="K1456">
        <v>1</v>
      </c>
      <c r="L1456" s="3">
        <v>6199</v>
      </c>
      <c r="M1456">
        <v>10</v>
      </c>
      <c r="N1456" s="3">
        <v>5580</v>
      </c>
      <c r="O1456" s="3">
        <v>5580</v>
      </c>
      <c r="P1456" t="s">
        <v>34</v>
      </c>
      <c r="Q1456" t="s">
        <v>51</v>
      </c>
      <c r="R1456" t="s">
        <v>36</v>
      </c>
      <c r="S1456" t="s">
        <v>117</v>
      </c>
      <c r="T1456" t="s">
        <v>544</v>
      </c>
      <c r="U1456" t="s">
        <v>91</v>
      </c>
      <c r="V1456" t="s">
        <v>315</v>
      </c>
      <c r="W1456">
        <v>3.8</v>
      </c>
      <c r="X1456" t="s">
        <v>41</v>
      </c>
      <c r="Y1456" t="s">
        <v>55</v>
      </c>
      <c r="Z1456">
        <v>3</v>
      </c>
    </row>
    <row r="1457" spans="1:26">
      <c r="A1457" t="s">
        <v>2511</v>
      </c>
      <c r="B1457" t="s">
        <v>2048</v>
      </c>
      <c r="C1457" t="s">
        <v>45</v>
      </c>
      <c r="D1457" t="s">
        <v>95</v>
      </c>
      <c r="E1457" s="1">
        <v>44686</v>
      </c>
      <c r="F1457" t="s">
        <v>96</v>
      </c>
      <c r="G1457" t="s">
        <v>171</v>
      </c>
      <c r="H1457" t="s">
        <v>128</v>
      </c>
      <c r="I1457">
        <v>8</v>
      </c>
      <c r="J1457" t="s">
        <v>73</v>
      </c>
      <c r="K1457">
        <v>2</v>
      </c>
      <c r="L1457" s="3">
        <v>8599</v>
      </c>
      <c r="M1457">
        <v>15</v>
      </c>
      <c r="N1457" s="3">
        <v>7310</v>
      </c>
      <c r="O1457" s="3">
        <v>14620</v>
      </c>
      <c r="P1457" t="s">
        <v>74</v>
      </c>
      <c r="Q1457" t="s">
        <v>82</v>
      </c>
      <c r="R1457" t="s">
        <v>36</v>
      </c>
      <c r="S1457" t="s">
        <v>338</v>
      </c>
      <c r="T1457" t="s">
        <v>449</v>
      </c>
      <c r="U1457" t="s">
        <v>61</v>
      </c>
      <c r="V1457" t="s">
        <v>315</v>
      </c>
      <c r="W1457">
        <v>3.6</v>
      </c>
      <c r="X1457" t="s">
        <v>106</v>
      </c>
      <c r="Y1457" t="s">
        <v>42</v>
      </c>
      <c r="Z1457">
        <v>2</v>
      </c>
    </row>
    <row r="1458" spans="1:26">
      <c r="A1458" t="s">
        <v>2512</v>
      </c>
      <c r="B1458" t="s">
        <v>466</v>
      </c>
      <c r="C1458" t="s">
        <v>45</v>
      </c>
      <c r="D1458" t="s">
        <v>46</v>
      </c>
      <c r="E1458" s="1">
        <v>44686</v>
      </c>
      <c r="F1458" t="s">
        <v>79</v>
      </c>
      <c r="G1458" t="s">
        <v>174</v>
      </c>
      <c r="H1458" t="s">
        <v>32</v>
      </c>
      <c r="I1458">
        <v>7</v>
      </c>
      <c r="J1458" t="s">
        <v>73</v>
      </c>
      <c r="K1458">
        <v>1</v>
      </c>
      <c r="L1458" s="3">
        <v>6999</v>
      </c>
      <c r="M1458">
        <v>5</v>
      </c>
      <c r="N1458" s="3">
        <v>6650</v>
      </c>
      <c r="O1458" s="3">
        <v>6650</v>
      </c>
      <c r="P1458" t="s">
        <v>74</v>
      </c>
      <c r="Q1458" t="s">
        <v>35</v>
      </c>
      <c r="R1458" t="s">
        <v>36</v>
      </c>
      <c r="S1458" t="s">
        <v>460</v>
      </c>
      <c r="T1458" t="s">
        <v>580</v>
      </c>
      <c r="U1458" t="s">
        <v>61</v>
      </c>
      <c r="V1458" t="s">
        <v>969</v>
      </c>
      <c r="W1458">
        <v>5</v>
      </c>
      <c r="X1458" t="s">
        <v>41</v>
      </c>
      <c r="Y1458" t="s">
        <v>55</v>
      </c>
      <c r="Z1458">
        <v>2</v>
      </c>
    </row>
    <row r="1459" spans="1:26">
      <c r="A1459" t="s">
        <v>2513</v>
      </c>
      <c r="B1459" t="s">
        <v>823</v>
      </c>
      <c r="C1459" t="s">
        <v>28</v>
      </c>
      <c r="D1459" t="s">
        <v>29</v>
      </c>
      <c r="E1459" s="1">
        <v>44686</v>
      </c>
      <c r="F1459" t="s">
        <v>86</v>
      </c>
      <c r="G1459" t="s">
        <v>285</v>
      </c>
      <c r="H1459" t="s">
        <v>111</v>
      </c>
      <c r="I1459">
        <v>10</v>
      </c>
      <c r="J1459" t="s">
        <v>88</v>
      </c>
      <c r="K1459">
        <v>2</v>
      </c>
      <c r="L1459" s="3">
        <v>6199</v>
      </c>
      <c r="M1459">
        <v>0</v>
      </c>
      <c r="N1459" s="3">
        <v>6200</v>
      </c>
      <c r="O1459" s="3">
        <v>12400</v>
      </c>
      <c r="P1459" t="s">
        <v>74</v>
      </c>
      <c r="Q1459" t="s">
        <v>51</v>
      </c>
      <c r="R1459" t="s">
        <v>36</v>
      </c>
      <c r="S1459" t="s">
        <v>269</v>
      </c>
      <c r="T1459" t="s">
        <v>270</v>
      </c>
      <c r="U1459" t="s">
        <v>124</v>
      </c>
      <c r="V1459" t="s">
        <v>969</v>
      </c>
      <c r="W1459">
        <v>3.8</v>
      </c>
      <c r="X1459" t="s">
        <v>41</v>
      </c>
      <c r="Y1459" t="s">
        <v>147</v>
      </c>
      <c r="Z1459">
        <v>1</v>
      </c>
    </row>
    <row r="1460" spans="1:26">
      <c r="A1460" t="s">
        <v>2514</v>
      </c>
      <c r="B1460" t="s">
        <v>774</v>
      </c>
      <c r="C1460" t="s">
        <v>94</v>
      </c>
      <c r="D1460" t="s">
        <v>46</v>
      </c>
      <c r="E1460" s="1">
        <v>44687</v>
      </c>
      <c r="F1460" t="s">
        <v>47</v>
      </c>
      <c r="G1460" t="s">
        <v>199</v>
      </c>
      <c r="H1460" t="s">
        <v>59</v>
      </c>
      <c r="I1460">
        <v>6</v>
      </c>
      <c r="J1460" t="s">
        <v>88</v>
      </c>
      <c r="K1460">
        <v>3</v>
      </c>
      <c r="L1460" s="3">
        <v>9199</v>
      </c>
      <c r="M1460">
        <v>5</v>
      </c>
      <c r="N1460" s="3">
        <v>8740</v>
      </c>
      <c r="O1460" s="3">
        <v>26220</v>
      </c>
      <c r="P1460" t="s">
        <v>74</v>
      </c>
      <c r="Q1460" t="s">
        <v>51</v>
      </c>
      <c r="R1460" t="s">
        <v>36</v>
      </c>
      <c r="S1460" t="s">
        <v>384</v>
      </c>
      <c r="T1460" t="s">
        <v>481</v>
      </c>
      <c r="U1460" t="s">
        <v>39</v>
      </c>
      <c r="V1460" t="s">
        <v>969</v>
      </c>
      <c r="W1460">
        <v>4</v>
      </c>
      <c r="X1460" t="s">
        <v>41</v>
      </c>
      <c r="Y1460" t="s">
        <v>55</v>
      </c>
      <c r="Z1460">
        <v>3</v>
      </c>
    </row>
    <row r="1461" spans="1:26">
      <c r="A1461" t="s">
        <v>2515</v>
      </c>
      <c r="B1461" t="s">
        <v>2516</v>
      </c>
      <c r="C1461" t="s">
        <v>45</v>
      </c>
      <c r="D1461" t="s">
        <v>103</v>
      </c>
      <c r="E1461" s="1">
        <v>44688</v>
      </c>
      <c r="F1461" t="s">
        <v>65</v>
      </c>
      <c r="G1461" t="s">
        <v>365</v>
      </c>
      <c r="H1461" t="s">
        <v>49</v>
      </c>
      <c r="I1461">
        <v>6</v>
      </c>
      <c r="J1461" t="s">
        <v>73</v>
      </c>
      <c r="K1461">
        <v>1</v>
      </c>
      <c r="L1461" s="3">
        <v>4399</v>
      </c>
      <c r="M1461">
        <v>20</v>
      </c>
      <c r="N1461" s="3">
        <v>3520</v>
      </c>
      <c r="O1461" s="3">
        <v>3520</v>
      </c>
      <c r="P1461" t="s">
        <v>74</v>
      </c>
      <c r="Q1461" t="s">
        <v>51</v>
      </c>
      <c r="R1461" t="s">
        <v>36</v>
      </c>
      <c r="S1461" t="s">
        <v>243</v>
      </c>
      <c r="T1461" t="s">
        <v>276</v>
      </c>
      <c r="U1461" t="s">
        <v>39</v>
      </c>
      <c r="V1461" t="s">
        <v>40</v>
      </c>
      <c r="W1461">
        <v>3</v>
      </c>
      <c r="X1461" t="s">
        <v>41</v>
      </c>
      <c r="Y1461" t="s">
        <v>55</v>
      </c>
      <c r="Z1461">
        <v>2</v>
      </c>
    </row>
    <row r="1462" spans="1:26">
      <c r="A1462" t="s">
        <v>2517</v>
      </c>
      <c r="B1462" t="s">
        <v>2146</v>
      </c>
      <c r="C1462" t="s">
        <v>28</v>
      </c>
      <c r="D1462" t="s">
        <v>29</v>
      </c>
      <c r="E1462" s="1">
        <v>44689</v>
      </c>
      <c r="F1462" t="s">
        <v>30</v>
      </c>
      <c r="G1462" t="s">
        <v>145</v>
      </c>
      <c r="H1462" t="s">
        <v>59</v>
      </c>
      <c r="I1462">
        <v>11</v>
      </c>
      <c r="J1462" t="s">
        <v>67</v>
      </c>
      <c r="K1462">
        <v>1</v>
      </c>
      <c r="L1462" s="3">
        <v>7999</v>
      </c>
      <c r="M1462">
        <v>10</v>
      </c>
      <c r="N1462" s="3">
        <v>7200</v>
      </c>
      <c r="O1462" s="3">
        <v>7200</v>
      </c>
      <c r="P1462" t="s">
        <v>74</v>
      </c>
      <c r="Q1462" t="s">
        <v>35</v>
      </c>
      <c r="R1462" t="s">
        <v>36</v>
      </c>
      <c r="S1462" t="s">
        <v>338</v>
      </c>
      <c r="T1462" t="s">
        <v>338</v>
      </c>
      <c r="U1462" t="s">
        <v>91</v>
      </c>
      <c r="V1462" t="s">
        <v>315</v>
      </c>
      <c r="W1462">
        <v>3.4</v>
      </c>
      <c r="X1462" t="s">
        <v>62</v>
      </c>
      <c r="Y1462" t="s">
        <v>42</v>
      </c>
      <c r="Z1462">
        <v>6</v>
      </c>
    </row>
    <row r="1463" spans="1:26">
      <c r="A1463" t="s">
        <v>2518</v>
      </c>
      <c r="B1463" t="s">
        <v>667</v>
      </c>
      <c r="C1463" t="s">
        <v>94</v>
      </c>
      <c r="D1463" t="s">
        <v>103</v>
      </c>
      <c r="E1463" s="1">
        <v>44690</v>
      </c>
      <c r="F1463" t="s">
        <v>47</v>
      </c>
      <c r="G1463" t="s">
        <v>121</v>
      </c>
      <c r="H1463" t="s">
        <v>111</v>
      </c>
      <c r="I1463">
        <v>8</v>
      </c>
      <c r="J1463" t="s">
        <v>150</v>
      </c>
      <c r="K1463">
        <v>1</v>
      </c>
      <c r="L1463" s="3">
        <v>6499</v>
      </c>
      <c r="M1463">
        <v>5</v>
      </c>
      <c r="N1463" s="3">
        <v>6170</v>
      </c>
      <c r="O1463" s="3">
        <v>6170</v>
      </c>
      <c r="P1463" t="s">
        <v>74</v>
      </c>
      <c r="Q1463" t="s">
        <v>51</v>
      </c>
      <c r="R1463" t="s">
        <v>36</v>
      </c>
      <c r="S1463" t="s">
        <v>175</v>
      </c>
      <c r="T1463" t="s">
        <v>437</v>
      </c>
      <c r="U1463" t="s">
        <v>39</v>
      </c>
      <c r="V1463" t="s">
        <v>315</v>
      </c>
      <c r="W1463">
        <v>3.9</v>
      </c>
      <c r="X1463" t="s">
        <v>62</v>
      </c>
      <c r="Y1463" t="s">
        <v>42</v>
      </c>
      <c r="Z1463">
        <v>5</v>
      </c>
    </row>
    <row r="1464" spans="1:26">
      <c r="A1464" t="s">
        <v>2519</v>
      </c>
      <c r="B1464" t="s">
        <v>57</v>
      </c>
      <c r="C1464" t="s">
        <v>45</v>
      </c>
      <c r="D1464" t="s">
        <v>29</v>
      </c>
      <c r="E1464" s="1">
        <v>44691</v>
      </c>
      <c r="F1464" t="s">
        <v>86</v>
      </c>
      <c r="G1464" t="s">
        <v>116</v>
      </c>
      <c r="H1464" t="s">
        <v>49</v>
      </c>
      <c r="I1464">
        <v>8</v>
      </c>
      <c r="J1464" t="s">
        <v>150</v>
      </c>
      <c r="K1464">
        <v>1</v>
      </c>
      <c r="L1464" s="3">
        <v>9399</v>
      </c>
      <c r="M1464">
        <v>25</v>
      </c>
      <c r="N1464" s="3">
        <v>7050</v>
      </c>
      <c r="O1464" s="3">
        <v>7050</v>
      </c>
      <c r="P1464" t="s">
        <v>74</v>
      </c>
      <c r="Q1464" t="s">
        <v>51</v>
      </c>
      <c r="R1464" t="s">
        <v>36</v>
      </c>
      <c r="S1464" t="s">
        <v>129</v>
      </c>
      <c r="T1464" t="s">
        <v>130</v>
      </c>
      <c r="U1464" t="s">
        <v>54</v>
      </c>
      <c r="V1464" t="s">
        <v>315</v>
      </c>
      <c r="W1464">
        <v>2.6</v>
      </c>
      <c r="X1464" t="s">
        <v>41</v>
      </c>
      <c r="Y1464" t="s">
        <v>55</v>
      </c>
      <c r="Z1464">
        <v>3</v>
      </c>
    </row>
    <row r="1465" spans="1:26">
      <c r="A1465" t="s">
        <v>2520</v>
      </c>
      <c r="B1465" t="s">
        <v>673</v>
      </c>
      <c r="C1465" t="s">
        <v>28</v>
      </c>
      <c r="D1465" t="s">
        <v>29</v>
      </c>
      <c r="E1465" s="1">
        <v>44691</v>
      </c>
      <c r="F1465" t="s">
        <v>79</v>
      </c>
      <c r="G1465" t="s">
        <v>301</v>
      </c>
      <c r="H1465" t="s">
        <v>49</v>
      </c>
      <c r="I1465">
        <v>10</v>
      </c>
      <c r="J1465" t="s">
        <v>67</v>
      </c>
      <c r="K1465">
        <v>1</v>
      </c>
      <c r="L1465" s="3">
        <v>4499</v>
      </c>
      <c r="M1465">
        <v>10</v>
      </c>
      <c r="N1465" s="3">
        <v>4050</v>
      </c>
      <c r="O1465" s="3">
        <v>4050</v>
      </c>
      <c r="P1465" t="s">
        <v>74</v>
      </c>
      <c r="Q1465" t="s">
        <v>82</v>
      </c>
      <c r="R1465" t="s">
        <v>36</v>
      </c>
      <c r="S1465" t="s">
        <v>99</v>
      </c>
      <c r="T1465" t="s">
        <v>335</v>
      </c>
      <c r="U1465" t="s">
        <v>61</v>
      </c>
      <c r="V1465" t="s">
        <v>969</v>
      </c>
      <c r="W1465">
        <v>3.8</v>
      </c>
      <c r="X1465" t="s">
        <v>41</v>
      </c>
      <c r="Y1465" t="s">
        <v>42</v>
      </c>
      <c r="Z1465">
        <v>6</v>
      </c>
    </row>
    <row r="1466" spans="1:26">
      <c r="A1466" t="s">
        <v>2521</v>
      </c>
      <c r="B1466" t="s">
        <v>340</v>
      </c>
      <c r="C1466" t="s">
        <v>94</v>
      </c>
      <c r="D1466" t="s">
        <v>29</v>
      </c>
      <c r="E1466" s="1">
        <v>44692</v>
      </c>
      <c r="F1466" t="s">
        <v>65</v>
      </c>
      <c r="G1466" t="s">
        <v>268</v>
      </c>
      <c r="H1466" t="s">
        <v>128</v>
      </c>
      <c r="I1466">
        <v>8</v>
      </c>
      <c r="J1466" t="s">
        <v>67</v>
      </c>
      <c r="K1466">
        <v>1</v>
      </c>
      <c r="L1466" s="3">
        <v>7799</v>
      </c>
      <c r="M1466">
        <v>25</v>
      </c>
      <c r="N1466" s="3">
        <v>5850</v>
      </c>
      <c r="O1466" s="3">
        <v>5850</v>
      </c>
      <c r="P1466" t="s">
        <v>74</v>
      </c>
      <c r="Q1466" t="s">
        <v>82</v>
      </c>
      <c r="R1466" t="s">
        <v>36</v>
      </c>
      <c r="S1466" t="s">
        <v>210</v>
      </c>
      <c r="T1466" t="s">
        <v>680</v>
      </c>
      <c r="U1466" t="s">
        <v>124</v>
      </c>
      <c r="V1466" t="s">
        <v>969</v>
      </c>
      <c r="W1466">
        <v>3</v>
      </c>
      <c r="X1466" t="s">
        <v>41</v>
      </c>
      <c r="Y1466" t="s">
        <v>55</v>
      </c>
      <c r="Z1466">
        <v>3</v>
      </c>
    </row>
    <row r="1467" spans="1:26">
      <c r="A1467" t="s">
        <v>2522</v>
      </c>
      <c r="B1467" t="s">
        <v>2219</v>
      </c>
      <c r="C1467" t="s">
        <v>45</v>
      </c>
      <c r="D1467" t="s">
        <v>29</v>
      </c>
      <c r="E1467" s="1">
        <v>44692</v>
      </c>
      <c r="F1467" t="s">
        <v>96</v>
      </c>
      <c r="G1467" t="s">
        <v>171</v>
      </c>
      <c r="H1467" t="s">
        <v>128</v>
      </c>
      <c r="I1467">
        <v>9</v>
      </c>
      <c r="J1467" t="s">
        <v>150</v>
      </c>
      <c r="K1467">
        <v>2</v>
      </c>
      <c r="L1467" s="3">
        <v>5099</v>
      </c>
      <c r="M1467">
        <v>0</v>
      </c>
      <c r="N1467" s="3">
        <v>5100</v>
      </c>
      <c r="O1467" s="3">
        <v>10200</v>
      </c>
      <c r="P1467" t="s">
        <v>81</v>
      </c>
      <c r="Q1467" t="s">
        <v>82</v>
      </c>
      <c r="R1467" t="s">
        <v>36</v>
      </c>
      <c r="S1467" t="s">
        <v>168</v>
      </c>
      <c r="T1467" t="s">
        <v>557</v>
      </c>
      <c r="U1467" t="s">
        <v>54</v>
      </c>
      <c r="V1467" t="s">
        <v>315</v>
      </c>
      <c r="W1467">
        <v>4.5</v>
      </c>
      <c r="X1467" t="s">
        <v>41</v>
      </c>
      <c r="Y1467" t="s">
        <v>42</v>
      </c>
      <c r="Z1467">
        <v>3</v>
      </c>
    </row>
    <row r="1468" spans="1:26">
      <c r="A1468" t="s">
        <v>2523</v>
      </c>
      <c r="B1468" t="s">
        <v>1279</v>
      </c>
      <c r="C1468" t="s">
        <v>28</v>
      </c>
      <c r="D1468" t="s">
        <v>29</v>
      </c>
      <c r="E1468" s="1">
        <v>44692</v>
      </c>
      <c r="F1468" t="s">
        <v>79</v>
      </c>
      <c r="G1468" t="s">
        <v>174</v>
      </c>
      <c r="H1468" t="s">
        <v>32</v>
      </c>
      <c r="I1468">
        <v>10</v>
      </c>
      <c r="J1468" t="s">
        <v>98</v>
      </c>
      <c r="K1468">
        <v>1</v>
      </c>
      <c r="L1468" s="3">
        <v>6899</v>
      </c>
      <c r="M1468">
        <v>10</v>
      </c>
      <c r="N1468" s="3">
        <v>6210</v>
      </c>
      <c r="O1468" s="3">
        <v>6210</v>
      </c>
      <c r="P1468" t="s">
        <v>74</v>
      </c>
      <c r="Q1468" t="s">
        <v>51</v>
      </c>
      <c r="R1468" t="s">
        <v>36</v>
      </c>
      <c r="S1468" t="s">
        <v>68</v>
      </c>
      <c r="T1468" t="s">
        <v>400</v>
      </c>
      <c r="U1468" t="s">
        <v>124</v>
      </c>
      <c r="V1468" t="s">
        <v>315</v>
      </c>
      <c r="W1468">
        <v>4.5</v>
      </c>
      <c r="X1468" t="s">
        <v>41</v>
      </c>
      <c r="Y1468" t="s">
        <v>42</v>
      </c>
      <c r="Z1468">
        <v>3</v>
      </c>
    </row>
    <row r="1469" spans="1:26">
      <c r="A1469" t="s">
        <v>2524</v>
      </c>
      <c r="B1469" t="s">
        <v>2525</v>
      </c>
      <c r="C1469" t="s">
        <v>28</v>
      </c>
      <c r="D1469" t="s">
        <v>29</v>
      </c>
      <c r="E1469" s="1">
        <v>44692</v>
      </c>
      <c r="F1469" t="s">
        <v>30</v>
      </c>
      <c r="G1469" t="s">
        <v>145</v>
      </c>
      <c r="H1469" t="s">
        <v>59</v>
      </c>
      <c r="I1469">
        <v>8</v>
      </c>
      <c r="J1469" t="s">
        <v>150</v>
      </c>
      <c r="K1469">
        <v>1</v>
      </c>
      <c r="L1469" s="3">
        <v>6499</v>
      </c>
      <c r="M1469">
        <v>15</v>
      </c>
      <c r="N1469" s="3">
        <v>5520</v>
      </c>
      <c r="O1469" s="3">
        <v>5520</v>
      </c>
      <c r="P1469" t="s">
        <v>34</v>
      </c>
      <c r="Q1469" t="s">
        <v>35</v>
      </c>
      <c r="R1469" t="s">
        <v>36</v>
      </c>
      <c r="S1469" t="s">
        <v>243</v>
      </c>
      <c r="T1469" t="s">
        <v>273</v>
      </c>
      <c r="U1469" t="s">
        <v>91</v>
      </c>
      <c r="V1469" t="s">
        <v>40</v>
      </c>
      <c r="W1469">
        <v>5</v>
      </c>
      <c r="X1469" t="s">
        <v>41</v>
      </c>
      <c r="Y1469" t="s">
        <v>55</v>
      </c>
      <c r="Z1469">
        <v>1</v>
      </c>
    </row>
    <row r="1470" spans="1:26">
      <c r="A1470" t="s">
        <v>2526</v>
      </c>
      <c r="B1470" t="s">
        <v>2087</v>
      </c>
      <c r="C1470" t="s">
        <v>45</v>
      </c>
      <c r="D1470" t="s">
        <v>95</v>
      </c>
      <c r="E1470" s="1">
        <v>44694</v>
      </c>
      <c r="F1470" t="s">
        <v>30</v>
      </c>
      <c r="G1470" t="s">
        <v>110</v>
      </c>
      <c r="H1470" t="s">
        <v>111</v>
      </c>
      <c r="I1470">
        <v>9</v>
      </c>
      <c r="J1470" t="s">
        <v>67</v>
      </c>
      <c r="K1470">
        <v>2</v>
      </c>
      <c r="L1470" s="3">
        <v>6599</v>
      </c>
      <c r="M1470">
        <v>25</v>
      </c>
      <c r="N1470" s="3">
        <v>4950</v>
      </c>
      <c r="O1470" s="3">
        <v>9900</v>
      </c>
      <c r="P1470" t="s">
        <v>81</v>
      </c>
      <c r="Q1470" t="s">
        <v>82</v>
      </c>
      <c r="R1470" t="s">
        <v>36</v>
      </c>
      <c r="S1470" t="s">
        <v>200</v>
      </c>
      <c r="T1470" t="s">
        <v>219</v>
      </c>
      <c r="U1470" t="s">
        <v>61</v>
      </c>
      <c r="V1470" t="s">
        <v>315</v>
      </c>
      <c r="W1470">
        <v>3.8</v>
      </c>
      <c r="X1470" t="s">
        <v>41</v>
      </c>
      <c r="Y1470" t="s">
        <v>42</v>
      </c>
      <c r="Z1470">
        <v>4</v>
      </c>
    </row>
    <row r="1471" spans="1:26">
      <c r="A1471" t="s">
        <v>2527</v>
      </c>
      <c r="B1471" t="s">
        <v>1356</v>
      </c>
      <c r="C1471" t="s">
        <v>28</v>
      </c>
      <c r="D1471" t="s">
        <v>29</v>
      </c>
      <c r="E1471" s="1">
        <v>44694</v>
      </c>
      <c r="F1471" t="s">
        <v>30</v>
      </c>
      <c r="G1471" t="s">
        <v>31</v>
      </c>
      <c r="H1471" t="s">
        <v>32</v>
      </c>
      <c r="I1471">
        <v>10</v>
      </c>
      <c r="J1471" t="s">
        <v>67</v>
      </c>
      <c r="K1471">
        <v>1</v>
      </c>
      <c r="L1471" s="3">
        <v>5099</v>
      </c>
      <c r="M1471">
        <v>25</v>
      </c>
      <c r="N1471" s="3">
        <v>3820</v>
      </c>
      <c r="O1471" s="3">
        <v>3820</v>
      </c>
      <c r="P1471" t="s">
        <v>34</v>
      </c>
      <c r="Q1471" t="s">
        <v>82</v>
      </c>
      <c r="R1471" t="s">
        <v>36</v>
      </c>
      <c r="S1471" t="s">
        <v>418</v>
      </c>
      <c r="T1471" t="s">
        <v>924</v>
      </c>
      <c r="U1471" t="s">
        <v>124</v>
      </c>
      <c r="V1471" t="s">
        <v>315</v>
      </c>
      <c r="W1471">
        <v>3.9</v>
      </c>
      <c r="X1471" t="s">
        <v>106</v>
      </c>
      <c r="Y1471" t="s">
        <v>42</v>
      </c>
      <c r="Z1471">
        <v>6</v>
      </c>
    </row>
    <row r="1472" spans="1:26">
      <c r="A1472" t="s">
        <v>2528</v>
      </c>
      <c r="B1472" t="s">
        <v>630</v>
      </c>
      <c r="C1472" t="s">
        <v>28</v>
      </c>
      <c r="D1472" t="s">
        <v>95</v>
      </c>
      <c r="E1472" s="1">
        <v>44695</v>
      </c>
      <c r="F1472" t="s">
        <v>86</v>
      </c>
      <c r="G1472" t="s">
        <v>87</v>
      </c>
      <c r="H1472" t="s">
        <v>59</v>
      </c>
      <c r="I1472">
        <v>12</v>
      </c>
      <c r="J1472" t="s">
        <v>98</v>
      </c>
      <c r="K1472">
        <v>1</v>
      </c>
      <c r="L1472" s="3">
        <v>9899</v>
      </c>
      <c r="M1472">
        <v>0</v>
      </c>
      <c r="N1472" s="3">
        <v>9900</v>
      </c>
      <c r="O1472" s="3">
        <v>9900</v>
      </c>
      <c r="P1472" t="s">
        <v>74</v>
      </c>
      <c r="Q1472" t="s">
        <v>82</v>
      </c>
      <c r="R1472" t="s">
        <v>36</v>
      </c>
      <c r="S1472" t="s">
        <v>238</v>
      </c>
      <c r="T1472" t="s">
        <v>239</v>
      </c>
      <c r="U1472" t="s">
        <v>124</v>
      </c>
      <c r="V1472" t="s">
        <v>969</v>
      </c>
      <c r="W1472">
        <v>4.2</v>
      </c>
      <c r="X1472" t="s">
        <v>62</v>
      </c>
      <c r="Y1472" t="s">
        <v>147</v>
      </c>
      <c r="Z1472">
        <v>1</v>
      </c>
    </row>
    <row r="1473" spans="1:26">
      <c r="A1473" t="s">
        <v>2529</v>
      </c>
      <c r="B1473" t="s">
        <v>1635</v>
      </c>
      <c r="C1473" t="s">
        <v>94</v>
      </c>
      <c r="D1473" t="s">
        <v>29</v>
      </c>
      <c r="E1473" s="1">
        <v>44697</v>
      </c>
      <c r="F1473" t="s">
        <v>65</v>
      </c>
      <c r="G1473" t="s">
        <v>268</v>
      </c>
      <c r="H1473" t="s">
        <v>128</v>
      </c>
      <c r="I1473">
        <v>9</v>
      </c>
      <c r="J1473" t="s">
        <v>67</v>
      </c>
      <c r="K1473">
        <v>1</v>
      </c>
      <c r="L1473" s="3">
        <v>4199</v>
      </c>
      <c r="M1473">
        <v>15</v>
      </c>
      <c r="N1473" s="3">
        <v>3570</v>
      </c>
      <c r="O1473" s="3">
        <v>3570</v>
      </c>
      <c r="P1473" t="s">
        <v>74</v>
      </c>
      <c r="Q1473" t="s">
        <v>35</v>
      </c>
      <c r="R1473" t="s">
        <v>36</v>
      </c>
      <c r="S1473" t="s">
        <v>191</v>
      </c>
      <c r="T1473" t="s">
        <v>192</v>
      </c>
      <c r="U1473" t="s">
        <v>61</v>
      </c>
      <c r="V1473" t="s">
        <v>315</v>
      </c>
      <c r="W1473">
        <v>4.5999999999999996</v>
      </c>
      <c r="X1473" t="s">
        <v>106</v>
      </c>
      <c r="Y1473" t="s">
        <v>42</v>
      </c>
      <c r="Z1473">
        <v>7</v>
      </c>
    </row>
    <row r="1474" spans="1:26">
      <c r="A1474" t="s">
        <v>2530</v>
      </c>
      <c r="B1474" t="s">
        <v>1786</v>
      </c>
      <c r="C1474" t="s">
        <v>28</v>
      </c>
      <c r="D1474" t="s">
        <v>46</v>
      </c>
      <c r="E1474" s="1">
        <v>44698</v>
      </c>
      <c r="F1474" t="s">
        <v>47</v>
      </c>
      <c r="G1474" t="s">
        <v>48</v>
      </c>
      <c r="H1474" t="s">
        <v>49</v>
      </c>
      <c r="I1474">
        <v>7</v>
      </c>
      <c r="J1474" t="s">
        <v>88</v>
      </c>
      <c r="K1474">
        <v>1</v>
      </c>
      <c r="L1474" s="3">
        <v>5599</v>
      </c>
      <c r="M1474">
        <v>20</v>
      </c>
      <c r="N1474" s="3">
        <v>4480</v>
      </c>
      <c r="O1474" s="3">
        <v>4480</v>
      </c>
      <c r="P1474" t="s">
        <v>74</v>
      </c>
      <c r="Q1474" t="s">
        <v>35</v>
      </c>
      <c r="R1474" t="s">
        <v>36</v>
      </c>
      <c r="S1474" t="s">
        <v>117</v>
      </c>
      <c r="T1474" t="s">
        <v>751</v>
      </c>
      <c r="U1474" t="s">
        <v>39</v>
      </c>
      <c r="V1474" t="s">
        <v>315</v>
      </c>
      <c r="W1474">
        <v>3.3</v>
      </c>
      <c r="X1474" t="s">
        <v>41</v>
      </c>
      <c r="Y1474" t="s">
        <v>55</v>
      </c>
      <c r="Z1474">
        <v>2</v>
      </c>
    </row>
    <row r="1475" spans="1:26">
      <c r="A1475" t="s">
        <v>2531</v>
      </c>
      <c r="B1475" t="s">
        <v>1076</v>
      </c>
      <c r="C1475" t="s">
        <v>28</v>
      </c>
      <c r="D1475" t="s">
        <v>46</v>
      </c>
      <c r="E1475" s="1">
        <v>44699</v>
      </c>
      <c r="F1475" t="s">
        <v>79</v>
      </c>
      <c r="G1475" t="s">
        <v>127</v>
      </c>
      <c r="H1475" t="s">
        <v>128</v>
      </c>
      <c r="I1475">
        <v>7</v>
      </c>
      <c r="J1475" t="s">
        <v>73</v>
      </c>
      <c r="K1475">
        <v>1</v>
      </c>
      <c r="L1475" s="3">
        <v>7999</v>
      </c>
      <c r="M1475">
        <v>10</v>
      </c>
      <c r="N1475" s="3">
        <v>7200</v>
      </c>
      <c r="O1475" s="3">
        <v>7200</v>
      </c>
      <c r="P1475" t="s">
        <v>74</v>
      </c>
      <c r="Q1475" t="s">
        <v>82</v>
      </c>
      <c r="R1475" t="s">
        <v>36</v>
      </c>
      <c r="S1475" t="s">
        <v>117</v>
      </c>
      <c r="T1475" t="s">
        <v>751</v>
      </c>
      <c r="U1475" t="s">
        <v>39</v>
      </c>
      <c r="V1475" t="s">
        <v>315</v>
      </c>
      <c r="W1475">
        <v>3.7</v>
      </c>
      <c r="X1475" t="s">
        <v>106</v>
      </c>
      <c r="Y1475" t="s">
        <v>55</v>
      </c>
      <c r="Z1475">
        <v>4</v>
      </c>
    </row>
    <row r="1476" spans="1:26">
      <c r="A1476" t="s">
        <v>2532</v>
      </c>
      <c r="B1476" t="s">
        <v>724</v>
      </c>
      <c r="C1476" t="s">
        <v>28</v>
      </c>
      <c r="D1476" t="s">
        <v>46</v>
      </c>
      <c r="E1476" s="1">
        <v>44700</v>
      </c>
      <c r="F1476" t="s">
        <v>96</v>
      </c>
      <c r="G1476" t="s">
        <v>323</v>
      </c>
      <c r="H1476" t="s">
        <v>59</v>
      </c>
      <c r="I1476">
        <v>11</v>
      </c>
      <c r="J1476" t="s">
        <v>98</v>
      </c>
      <c r="K1476">
        <v>1</v>
      </c>
      <c r="L1476" s="3">
        <v>4499</v>
      </c>
      <c r="M1476">
        <v>25</v>
      </c>
      <c r="N1476" s="3">
        <v>3370</v>
      </c>
      <c r="O1476" s="3">
        <v>3370</v>
      </c>
      <c r="P1476" t="s">
        <v>74</v>
      </c>
      <c r="Q1476" t="s">
        <v>51</v>
      </c>
      <c r="R1476" t="s">
        <v>36</v>
      </c>
      <c r="S1476" t="s">
        <v>168</v>
      </c>
      <c r="T1476" t="s">
        <v>557</v>
      </c>
      <c r="U1476" t="s">
        <v>54</v>
      </c>
      <c r="V1476" t="s">
        <v>315</v>
      </c>
      <c r="W1476">
        <v>3.4</v>
      </c>
      <c r="X1476" t="s">
        <v>41</v>
      </c>
      <c r="Y1476" t="s">
        <v>42</v>
      </c>
      <c r="Z1476">
        <v>4</v>
      </c>
    </row>
    <row r="1477" spans="1:26">
      <c r="A1477" t="s">
        <v>2533</v>
      </c>
      <c r="B1477" t="s">
        <v>1109</v>
      </c>
      <c r="C1477" t="s">
        <v>45</v>
      </c>
      <c r="D1477" t="s">
        <v>46</v>
      </c>
      <c r="E1477" s="1">
        <v>44700</v>
      </c>
      <c r="F1477" t="s">
        <v>96</v>
      </c>
      <c r="G1477" t="s">
        <v>290</v>
      </c>
      <c r="H1477" t="s">
        <v>32</v>
      </c>
      <c r="I1477">
        <v>8</v>
      </c>
      <c r="J1477" t="s">
        <v>98</v>
      </c>
      <c r="K1477">
        <v>1</v>
      </c>
      <c r="L1477" s="3">
        <v>8999</v>
      </c>
      <c r="M1477">
        <v>20</v>
      </c>
      <c r="N1477" s="3">
        <v>7200</v>
      </c>
      <c r="O1477" s="3">
        <v>7200</v>
      </c>
      <c r="P1477" t="s">
        <v>50</v>
      </c>
      <c r="Q1477" t="s">
        <v>51</v>
      </c>
      <c r="R1477" t="s">
        <v>36</v>
      </c>
      <c r="S1477" t="s">
        <v>238</v>
      </c>
      <c r="T1477" t="s">
        <v>377</v>
      </c>
      <c r="U1477" t="s">
        <v>54</v>
      </c>
      <c r="V1477" t="s">
        <v>315</v>
      </c>
      <c r="W1477">
        <v>3.5</v>
      </c>
      <c r="X1477" t="s">
        <v>62</v>
      </c>
      <c r="Y1477" t="s">
        <v>42</v>
      </c>
      <c r="Z1477">
        <v>4</v>
      </c>
    </row>
    <row r="1478" spans="1:26">
      <c r="A1478" t="s">
        <v>2534</v>
      </c>
      <c r="B1478" t="s">
        <v>2535</v>
      </c>
      <c r="C1478" t="s">
        <v>28</v>
      </c>
      <c r="D1478" t="s">
        <v>103</v>
      </c>
      <c r="E1478" s="1">
        <v>44700</v>
      </c>
      <c r="F1478" t="s">
        <v>47</v>
      </c>
      <c r="G1478" t="s">
        <v>402</v>
      </c>
      <c r="H1478" t="s">
        <v>32</v>
      </c>
      <c r="I1478">
        <v>7</v>
      </c>
      <c r="J1478" t="s">
        <v>88</v>
      </c>
      <c r="K1478">
        <v>3</v>
      </c>
      <c r="L1478" s="3">
        <v>4599</v>
      </c>
      <c r="M1478">
        <v>10</v>
      </c>
      <c r="N1478" s="3">
        <v>4140</v>
      </c>
      <c r="O1478" s="3">
        <v>12420</v>
      </c>
      <c r="P1478" t="s">
        <v>74</v>
      </c>
      <c r="Q1478" t="s">
        <v>35</v>
      </c>
      <c r="R1478" t="s">
        <v>36</v>
      </c>
      <c r="S1478" t="s">
        <v>175</v>
      </c>
      <c r="T1478" t="s">
        <v>865</v>
      </c>
      <c r="U1478" t="s">
        <v>61</v>
      </c>
      <c r="V1478" t="s">
        <v>40</v>
      </c>
      <c r="W1478">
        <v>4.8</v>
      </c>
      <c r="X1478" t="s">
        <v>41</v>
      </c>
      <c r="Y1478" t="s">
        <v>42</v>
      </c>
      <c r="Z1478">
        <v>3</v>
      </c>
    </row>
    <row r="1479" spans="1:26">
      <c r="A1479" t="s">
        <v>2536</v>
      </c>
      <c r="B1479" t="s">
        <v>878</v>
      </c>
      <c r="C1479" t="s">
        <v>45</v>
      </c>
      <c r="D1479" t="s">
        <v>46</v>
      </c>
      <c r="E1479" s="1">
        <v>44702</v>
      </c>
      <c r="F1479" t="s">
        <v>47</v>
      </c>
      <c r="G1479" t="s">
        <v>140</v>
      </c>
      <c r="H1479" t="s">
        <v>128</v>
      </c>
      <c r="I1479">
        <v>8</v>
      </c>
      <c r="J1479" t="s">
        <v>98</v>
      </c>
      <c r="K1479">
        <v>1</v>
      </c>
      <c r="L1479" s="3">
        <v>3899</v>
      </c>
      <c r="M1479">
        <v>10</v>
      </c>
      <c r="N1479" s="3">
        <v>3510</v>
      </c>
      <c r="O1479" s="3">
        <v>3510</v>
      </c>
      <c r="P1479" t="s">
        <v>74</v>
      </c>
      <c r="Q1479" t="s">
        <v>82</v>
      </c>
      <c r="R1479" t="s">
        <v>36</v>
      </c>
      <c r="S1479" t="s">
        <v>75</v>
      </c>
      <c r="T1479" t="s">
        <v>215</v>
      </c>
      <c r="U1479" t="s">
        <v>39</v>
      </c>
      <c r="V1479" t="s">
        <v>315</v>
      </c>
      <c r="W1479">
        <v>5</v>
      </c>
      <c r="X1479" t="s">
        <v>62</v>
      </c>
      <c r="Y1479" t="s">
        <v>42</v>
      </c>
      <c r="Z1479">
        <v>2</v>
      </c>
    </row>
    <row r="1480" spans="1:26">
      <c r="A1480" t="s">
        <v>2537</v>
      </c>
      <c r="B1480" t="s">
        <v>1222</v>
      </c>
      <c r="C1480" t="s">
        <v>45</v>
      </c>
      <c r="D1480" t="s">
        <v>95</v>
      </c>
      <c r="E1480" s="1">
        <v>44704</v>
      </c>
      <c r="F1480" t="s">
        <v>96</v>
      </c>
      <c r="G1480" t="s">
        <v>97</v>
      </c>
      <c r="H1480" t="s">
        <v>49</v>
      </c>
      <c r="I1480">
        <v>10</v>
      </c>
      <c r="J1480" t="s">
        <v>73</v>
      </c>
      <c r="K1480">
        <v>1</v>
      </c>
      <c r="L1480" s="3">
        <v>4699</v>
      </c>
      <c r="M1480">
        <v>15</v>
      </c>
      <c r="N1480" s="3">
        <v>3990</v>
      </c>
      <c r="O1480" s="3">
        <v>3990</v>
      </c>
      <c r="P1480" t="s">
        <v>34</v>
      </c>
      <c r="Q1480" t="s">
        <v>82</v>
      </c>
      <c r="R1480" t="s">
        <v>36</v>
      </c>
      <c r="S1480" t="s">
        <v>186</v>
      </c>
      <c r="T1480" t="s">
        <v>187</v>
      </c>
      <c r="U1480" t="s">
        <v>124</v>
      </c>
      <c r="V1480" t="s">
        <v>315</v>
      </c>
      <c r="W1480">
        <v>2.6</v>
      </c>
      <c r="X1480" t="s">
        <v>41</v>
      </c>
      <c r="Y1480" t="s">
        <v>55</v>
      </c>
      <c r="Z1480">
        <v>2</v>
      </c>
    </row>
    <row r="1481" spans="1:26">
      <c r="A1481" t="s">
        <v>2538</v>
      </c>
      <c r="B1481" t="s">
        <v>1260</v>
      </c>
      <c r="C1481" t="s">
        <v>45</v>
      </c>
      <c r="D1481" t="s">
        <v>29</v>
      </c>
      <c r="E1481" s="1">
        <v>44704</v>
      </c>
      <c r="F1481" t="s">
        <v>65</v>
      </c>
      <c r="G1481" t="s">
        <v>365</v>
      </c>
      <c r="H1481" t="s">
        <v>49</v>
      </c>
      <c r="I1481">
        <v>8</v>
      </c>
      <c r="J1481" t="s">
        <v>98</v>
      </c>
      <c r="K1481">
        <v>1</v>
      </c>
      <c r="L1481" s="3">
        <v>4299</v>
      </c>
      <c r="M1481">
        <v>25</v>
      </c>
      <c r="N1481" s="3">
        <v>3220</v>
      </c>
      <c r="O1481" s="3">
        <v>3220</v>
      </c>
      <c r="P1481" t="s">
        <v>74</v>
      </c>
      <c r="Q1481" t="s">
        <v>51</v>
      </c>
      <c r="R1481" t="s">
        <v>36</v>
      </c>
      <c r="S1481" t="s">
        <v>200</v>
      </c>
      <c r="T1481" t="s">
        <v>219</v>
      </c>
      <c r="U1481" t="s">
        <v>91</v>
      </c>
      <c r="V1481" t="s">
        <v>315</v>
      </c>
      <c r="W1481">
        <v>4.7</v>
      </c>
      <c r="X1481" t="s">
        <v>41</v>
      </c>
      <c r="Y1481" t="s">
        <v>55</v>
      </c>
      <c r="Z1481">
        <v>4</v>
      </c>
    </row>
    <row r="1482" spans="1:26">
      <c r="A1482" t="s">
        <v>2539</v>
      </c>
      <c r="B1482" t="s">
        <v>387</v>
      </c>
      <c r="C1482" t="s">
        <v>45</v>
      </c>
      <c r="D1482" t="s">
        <v>46</v>
      </c>
      <c r="E1482" s="1">
        <v>44704</v>
      </c>
      <c r="F1482" t="s">
        <v>47</v>
      </c>
      <c r="G1482" t="s">
        <v>218</v>
      </c>
      <c r="H1482" t="s">
        <v>59</v>
      </c>
      <c r="I1482">
        <v>8</v>
      </c>
      <c r="J1482" t="s">
        <v>98</v>
      </c>
      <c r="K1482">
        <v>1</v>
      </c>
      <c r="L1482" s="3">
        <v>4899</v>
      </c>
      <c r="M1482">
        <v>15</v>
      </c>
      <c r="N1482" s="3">
        <v>4160</v>
      </c>
      <c r="O1482" s="3">
        <v>4160</v>
      </c>
      <c r="P1482" t="s">
        <v>34</v>
      </c>
      <c r="Q1482" t="s">
        <v>35</v>
      </c>
      <c r="R1482" t="s">
        <v>36</v>
      </c>
      <c r="S1482" t="s">
        <v>136</v>
      </c>
      <c r="T1482" t="s">
        <v>638</v>
      </c>
      <c r="U1482" t="s">
        <v>39</v>
      </c>
      <c r="V1482" t="s">
        <v>969</v>
      </c>
      <c r="W1482">
        <v>4.0999999999999996</v>
      </c>
      <c r="X1482" t="s">
        <v>62</v>
      </c>
      <c r="Y1482" t="s">
        <v>55</v>
      </c>
      <c r="Z1482">
        <v>2</v>
      </c>
    </row>
    <row r="1483" spans="1:26">
      <c r="A1483" t="s">
        <v>2540</v>
      </c>
      <c r="B1483" t="s">
        <v>1121</v>
      </c>
      <c r="C1483" t="s">
        <v>45</v>
      </c>
      <c r="D1483" t="s">
        <v>29</v>
      </c>
      <c r="E1483" s="1">
        <v>44704</v>
      </c>
      <c r="F1483" t="s">
        <v>47</v>
      </c>
      <c r="G1483" t="s">
        <v>199</v>
      </c>
      <c r="H1483" t="s">
        <v>59</v>
      </c>
      <c r="I1483">
        <v>8</v>
      </c>
      <c r="J1483" t="s">
        <v>33</v>
      </c>
      <c r="K1483">
        <v>1</v>
      </c>
      <c r="L1483" s="3">
        <v>9199</v>
      </c>
      <c r="M1483">
        <v>20</v>
      </c>
      <c r="N1483" s="3">
        <v>7360</v>
      </c>
      <c r="O1483" s="3">
        <v>7360</v>
      </c>
      <c r="P1483" t="s">
        <v>74</v>
      </c>
      <c r="Q1483" t="s">
        <v>82</v>
      </c>
      <c r="R1483" t="s">
        <v>36</v>
      </c>
      <c r="S1483" t="s">
        <v>129</v>
      </c>
      <c r="T1483" t="s">
        <v>146</v>
      </c>
      <c r="U1483" t="s">
        <v>61</v>
      </c>
      <c r="V1483" t="s">
        <v>315</v>
      </c>
      <c r="W1483">
        <v>3.2</v>
      </c>
      <c r="X1483" t="s">
        <v>41</v>
      </c>
      <c r="Y1483" t="s">
        <v>55</v>
      </c>
      <c r="Z1483">
        <v>4</v>
      </c>
    </row>
    <row r="1484" spans="1:26">
      <c r="A1484" t="s">
        <v>2541</v>
      </c>
      <c r="B1484" t="s">
        <v>2542</v>
      </c>
      <c r="C1484" t="s">
        <v>28</v>
      </c>
      <c r="D1484" t="s">
        <v>103</v>
      </c>
      <c r="E1484" s="1">
        <v>44704</v>
      </c>
      <c r="F1484" t="s">
        <v>30</v>
      </c>
      <c r="G1484" t="s">
        <v>58</v>
      </c>
      <c r="H1484" t="s">
        <v>59</v>
      </c>
      <c r="I1484">
        <v>9</v>
      </c>
      <c r="J1484" t="s">
        <v>150</v>
      </c>
      <c r="K1484">
        <v>1</v>
      </c>
      <c r="L1484" s="3">
        <v>6099</v>
      </c>
      <c r="M1484">
        <v>15</v>
      </c>
      <c r="N1484" s="3">
        <v>5180</v>
      </c>
      <c r="O1484" s="3">
        <v>5180</v>
      </c>
      <c r="P1484" t="s">
        <v>74</v>
      </c>
      <c r="Q1484" t="s">
        <v>51</v>
      </c>
      <c r="R1484" t="s">
        <v>36</v>
      </c>
      <c r="S1484" t="s">
        <v>122</v>
      </c>
      <c r="T1484" t="s">
        <v>123</v>
      </c>
      <c r="U1484" t="s">
        <v>54</v>
      </c>
      <c r="V1484" t="s">
        <v>40</v>
      </c>
      <c r="W1484">
        <v>4.7</v>
      </c>
      <c r="X1484" t="s">
        <v>106</v>
      </c>
      <c r="Y1484" t="s">
        <v>55</v>
      </c>
      <c r="Z1484">
        <v>2</v>
      </c>
    </row>
    <row r="1485" spans="1:26">
      <c r="A1485" t="s">
        <v>2543</v>
      </c>
      <c r="B1485" t="s">
        <v>2354</v>
      </c>
      <c r="C1485" t="s">
        <v>45</v>
      </c>
      <c r="D1485" t="s">
        <v>29</v>
      </c>
      <c r="E1485" s="1">
        <v>44705</v>
      </c>
      <c r="F1485" t="s">
        <v>30</v>
      </c>
      <c r="G1485" t="s">
        <v>145</v>
      </c>
      <c r="H1485" t="s">
        <v>59</v>
      </c>
      <c r="I1485">
        <v>11</v>
      </c>
      <c r="J1485" t="s">
        <v>73</v>
      </c>
      <c r="K1485">
        <v>1</v>
      </c>
      <c r="L1485" s="3">
        <v>4499</v>
      </c>
      <c r="M1485">
        <v>30</v>
      </c>
      <c r="N1485" s="3">
        <v>3150</v>
      </c>
      <c r="O1485" s="3">
        <v>3150</v>
      </c>
      <c r="P1485" t="s">
        <v>74</v>
      </c>
      <c r="Q1485" t="s">
        <v>35</v>
      </c>
      <c r="R1485" t="s">
        <v>36</v>
      </c>
      <c r="S1485" t="s">
        <v>117</v>
      </c>
      <c r="T1485" t="s">
        <v>751</v>
      </c>
      <c r="U1485" t="s">
        <v>124</v>
      </c>
      <c r="V1485" t="s">
        <v>315</v>
      </c>
      <c r="W1485">
        <v>3.5</v>
      </c>
      <c r="X1485" t="s">
        <v>41</v>
      </c>
      <c r="Y1485" t="s">
        <v>55</v>
      </c>
      <c r="Z1485">
        <v>3</v>
      </c>
    </row>
    <row r="1486" spans="1:26">
      <c r="A1486" t="s">
        <v>2544</v>
      </c>
      <c r="B1486" t="s">
        <v>1207</v>
      </c>
      <c r="C1486" t="s">
        <v>28</v>
      </c>
      <c r="D1486" t="s">
        <v>29</v>
      </c>
      <c r="E1486" s="1">
        <v>44705</v>
      </c>
      <c r="F1486" t="s">
        <v>96</v>
      </c>
      <c r="G1486" t="s">
        <v>155</v>
      </c>
      <c r="H1486" t="s">
        <v>111</v>
      </c>
      <c r="I1486">
        <v>6</v>
      </c>
      <c r="J1486" t="s">
        <v>98</v>
      </c>
      <c r="K1486">
        <v>1</v>
      </c>
      <c r="L1486" s="3">
        <v>6699</v>
      </c>
      <c r="M1486">
        <v>10</v>
      </c>
      <c r="N1486" s="3">
        <v>6030</v>
      </c>
      <c r="O1486" s="3">
        <v>6030</v>
      </c>
      <c r="P1486" t="s">
        <v>74</v>
      </c>
      <c r="Q1486" t="s">
        <v>51</v>
      </c>
      <c r="R1486" t="s">
        <v>36</v>
      </c>
      <c r="S1486" t="s">
        <v>243</v>
      </c>
      <c r="T1486" t="s">
        <v>328</v>
      </c>
      <c r="U1486" t="s">
        <v>124</v>
      </c>
      <c r="V1486" t="s">
        <v>315</v>
      </c>
      <c r="W1486">
        <v>3.7</v>
      </c>
      <c r="X1486" t="s">
        <v>41</v>
      </c>
      <c r="Y1486" t="s">
        <v>42</v>
      </c>
      <c r="Z1486">
        <v>5</v>
      </c>
    </row>
    <row r="1487" spans="1:26">
      <c r="A1487" t="s">
        <v>2545</v>
      </c>
      <c r="B1487" t="s">
        <v>1702</v>
      </c>
      <c r="C1487" t="s">
        <v>28</v>
      </c>
      <c r="D1487" t="s">
        <v>46</v>
      </c>
      <c r="E1487" s="1">
        <v>44707</v>
      </c>
      <c r="F1487" t="s">
        <v>96</v>
      </c>
      <c r="G1487" t="s">
        <v>290</v>
      </c>
      <c r="H1487" t="s">
        <v>32</v>
      </c>
      <c r="I1487">
        <v>6</v>
      </c>
      <c r="J1487" t="s">
        <v>67</v>
      </c>
      <c r="K1487">
        <v>1</v>
      </c>
      <c r="L1487" s="3">
        <v>7899</v>
      </c>
      <c r="M1487">
        <v>15</v>
      </c>
      <c r="N1487" s="3">
        <v>6710</v>
      </c>
      <c r="O1487" s="3">
        <v>6710</v>
      </c>
      <c r="P1487" t="s">
        <v>74</v>
      </c>
      <c r="Q1487" t="s">
        <v>35</v>
      </c>
      <c r="R1487" t="s">
        <v>36</v>
      </c>
      <c r="S1487" t="s">
        <v>89</v>
      </c>
      <c r="T1487" t="s">
        <v>1982</v>
      </c>
      <c r="U1487" t="s">
        <v>54</v>
      </c>
      <c r="V1487" t="s">
        <v>315</v>
      </c>
      <c r="W1487">
        <v>2.9</v>
      </c>
      <c r="X1487" t="s">
        <v>41</v>
      </c>
      <c r="Y1487" t="s">
        <v>55</v>
      </c>
      <c r="Z1487">
        <v>3</v>
      </c>
    </row>
    <row r="1488" spans="1:26">
      <c r="A1488" t="s">
        <v>2546</v>
      </c>
      <c r="B1488" t="s">
        <v>1485</v>
      </c>
      <c r="C1488" t="s">
        <v>28</v>
      </c>
      <c r="D1488" t="s">
        <v>109</v>
      </c>
      <c r="E1488" s="1">
        <v>44707</v>
      </c>
      <c r="F1488" t="s">
        <v>30</v>
      </c>
      <c r="G1488" t="s">
        <v>110</v>
      </c>
      <c r="H1488" t="s">
        <v>111</v>
      </c>
      <c r="I1488">
        <v>9</v>
      </c>
      <c r="J1488" t="s">
        <v>33</v>
      </c>
      <c r="K1488">
        <v>2</v>
      </c>
      <c r="L1488" s="3">
        <v>7099</v>
      </c>
      <c r="M1488">
        <v>40</v>
      </c>
      <c r="N1488" s="3">
        <v>4260</v>
      </c>
      <c r="O1488" s="3">
        <v>8520</v>
      </c>
      <c r="P1488" t="s">
        <v>81</v>
      </c>
      <c r="Q1488" t="s">
        <v>82</v>
      </c>
      <c r="R1488" t="s">
        <v>36</v>
      </c>
      <c r="S1488" t="s">
        <v>37</v>
      </c>
      <c r="T1488" t="s">
        <v>509</v>
      </c>
      <c r="U1488" t="s">
        <v>124</v>
      </c>
      <c r="V1488" t="s">
        <v>969</v>
      </c>
      <c r="W1488">
        <v>4.3</v>
      </c>
      <c r="X1488" t="s">
        <v>41</v>
      </c>
      <c r="Y1488" t="s">
        <v>42</v>
      </c>
      <c r="Z1488">
        <v>1</v>
      </c>
    </row>
    <row r="1489" spans="1:26">
      <c r="A1489" t="s">
        <v>2547</v>
      </c>
      <c r="B1489" t="s">
        <v>1715</v>
      </c>
      <c r="C1489" t="s">
        <v>28</v>
      </c>
      <c r="D1489" t="s">
        <v>29</v>
      </c>
      <c r="E1489" s="1">
        <v>44708</v>
      </c>
      <c r="F1489" t="s">
        <v>79</v>
      </c>
      <c r="G1489" t="s">
        <v>174</v>
      </c>
      <c r="H1489" t="s">
        <v>32</v>
      </c>
      <c r="I1489">
        <v>10</v>
      </c>
      <c r="J1489" t="s">
        <v>33</v>
      </c>
      <c r="K1489">
        <v>1</v>
      </c>
      <c r="L1489" s="3">
        <v>5999</v>
      </c>
      <c r="M1489">
        <v>35</v>
      </c>
      <c r="N1489" s="3">
        <v>3900</v>
      </c>
      <c r="O1489" s="3">
        <v>3900</v>
      </c>
      <c r="P1489" t="s">
        <v>34</v>
      </c>
      <c r="Q1489" t="s">
        <v>51</v>
      </c>
      <c r="R1489" t="s">
        <v>36</v>
      </c>
      <c r="S1489" t="s">
        <v>75</v>
      </c>
      <c r="T1489" t="s">
        <v>215</v>
      </c>
      <c r="U1489" t="s">
        <v>54</v>
      </c>
      <c r="V1489" t="s">
        <v>315</v>
      </c>
      <c r="W1489">
        <v>4.4000000000000004</v>
      </c>
      <c r="X1489" t="s">
        <v>41</v>
      </c>
      <c r="Y1489" t="s">
        <v>55</v>
      </c>
      <c r="Z1489">
        <v>2</v>
      </c>
    </row>
    <row r="1490" spans="1:26">
      <c r="A1490" t="s">
        <v>2548</v>
      </c>
      <c r="B1490" t="s">
        <v>2525</v>
      </c>
      <c r="C1490" t="s">
        <v>45</v>
      </c>
      <c r="D1490" t="s">
        <v>29</v>
      </c>
      <c r="E1490" s="1">
        <v>44714</v>
      </c>
      <c r="F1490" t="s">
        <v>96</v>
      </c>
      <c r="G1490" t="s">
        <v>228</v>
      </c>
      <c r="H1490" t="s">
        <v>59</v>
      </c>
      <c r="I1490">
        <v>12</v>
      </c>
      <c r="J1490" t="s">
        <v>73</v>
      </c>
      <c r="K1490">
        <v>1</v>
      </c>
      <c r="L1490" s="3">
        <v>7999</v>
      </c>
      <c r="M1490">
        <v>20</v>
      </c>
      <c r="N1490" s="3">
        <v>6400</v>
      </c>
      <c r="O1490" s="3">
        <v>6400</v>
      </c>
      <c r="P1490" t="s">
        <v>34</v>
      </c>
      <c r="Q1490" t="s">
        <v>51</v>
      </c>
      <c r="R1490" t="s">
        <v>36</v>
      </c>
      <c r="S1490" t="s">
        <v>243</v>
      </c>
      <c r="T1490" t="s">
        <v>244</v>
      </c>
      <c r="U1490" t="s">
        <v>91</v>
      </c>
      <c r="V1490" t="s">
        <v>315</v>
      </c>
      <c r="W1490">
        <v>4.5999999999999996</v>
      </c>
      <c r="X1490" t="s">
        <v>106</v>
      </c>
      <c r="Y1490" t="s">
        <v>42</v>
      </c>
      <c r="Z1490">
        <v>5</v>
      </c>
    </row>
    <row r="1491" spans="1:26">
      <c r="A1491" t="s">
        <v>2549</v>
      </c>
      <c r="B1491" t="s">
        <v>234</v>
      </c>
      <c r="C1491" t="s">
        <v>45</v>
      </c>
      <c r="D1491" t="s">
        <v>29</v>
      </c>
      <c r="E1491" s="1">
        <v>44714</v>
      </c>
      <c r="F1491" t="s">
        <v>30</v>
      </c>
      <c r="G1491" t="s">
        <v>58</v>
      </c>
      <c r="H1491" t="s">
        <v>59</v>
      </c>
      <c r="I1491">
        <v>8</v>
      </c>
      <c r="J1491" t="s">
        <v>33</v>
      </c>
      <c r="K1491">
        <v>1</v>
      </c>
      <c r="L1491" s="3">
        <v>5699</v>
      </c>
      <c r="M1491">
        <v>20</v>
      </c>
      <c r="N1491" s="3">
        <v>4560</v>
      </c>
      <c r="O1491" s="3">
        <v>4560</v>
      </c>
      <c r="P1491" t="s">
        <v>74</v>
      </c>
      <c r="Q1491" t="s">
        <v>51</v>
      </c>
      <c r="R1491" t="s">
        <v>36</v>
      </c>
      <c r="S1491" t="s">
        <v>112</v>
      </c>
      <c r="T1491" t="s">
        <v>113</v>
      </c>
      <c r="U1491" t="s">
        <v>39</v>
      </c>
      <c r="V1491" t="s">
        <v>315</v>
      </c>
      <c r="W1491">
        <v>4.3</v>
      </c>
      <c r="X1491" t="s">
        <v>41</v>
      </c>
      <c r="Y1491" t="s">
        <v>147</v>
      </c>
      <c r="Z1491">
        <v>2</v>
      </c>
    </row>
    <row r="1492" spans="1:26">
      <c r="A1492" t="s">
        <v>2550</v>
      </c>
      <c r="B1492" t="s">
        <v>2551</v>
      </c>
      <c r="C1492" t="s">
        <v>45</v>
      </c>
      <c r="D1492" t="s">
        <v>29</v>
      </c>
      <c r="E1492" s="1">
        <v>44716</v>
      </c>
      <c r="F1492" t="s">
        <v>79</v>
      </c>
      <c r="G1492" t="s">
        <v>301</v>
      </c>
      <c r="H1492" t="s">
        <v>49</v>
      </c>
      <c r="I1492">
        <v>8</v>
      </c>
      <c r="J1492" t="s">
        <v>150</v>
      </c>
      <c r="K1492">
        <v>1</v>
      </c>
      <c r="L1492" s="3">
        <v>5299</v>
      </c>
      <c r="M1492">
        <v>20</v>
      </c>
      <c r="N1492" s="3">
        <v>4240</v>
      </c>
      <c r="O1492" s="3">
        <v>4240</v>
      </c>
      <c r="P1492" t="s">
        <v>81</v>
      </c>
      <c r="Q1492" t="s">
        <v>82</v>
      </c>
      <c r="R1492" t="s">
        <v>36</v>
      </c>
      <c r="S1492" t="s">
        <v>354</v>
      </c>
      <c r="T1492" t="s">
        <v>434</v>
      </c>
      <c r="U1492" t="s">
        <v>91</v>
      </c>
      <c r="V1492" t="s">
        <v>40</v>
      </c>
      <c r="W1492">
        <v>3.8</v>
      </c>
      <c r="X1492" t="s">
        <v>62</v>
      </c>
      <c r="Y1492" t="s">
        <v>55</v>
      </c>
      <c r="Z1492">
        <v>2</v>
      </c>
    </row>
    <row r="1493" spans="1:26">
      <c r="A1493" t="s">
        <v>2552</v>
      </c>
      <c r="B1493" t="s">
        <v>1425</v>
      </c>
      <c r="C1493" t="s">
        <v>28</v>
      </c>
      <c r="D1493" t="s">
        <v>46</v>
      </c>
      <c r="E1493" s="1">
        <v>44716</v>
      </c>
      <c r="F1493" t="s">
        <v>65</v>
      </c>
      <c r="G1493" t="s">
        <v>365</v>
      </c>
      <c r="H1493" t="s">
        <v>49</v>
      </c>
      <c r="I1493">
        <v>10</v>
      </c>
      <c r="J1493" t="s">
        <v>73</v>
      </c>
      <c r="K1493">
        <v>1</v>
      </c>
      <c r="L1493" s="3">
        <v>4099</v>
      </c>
      <c r="M1493">
        <v>20</v>
      </c>
      <c r="N1493" s="3">
        <v>3280</v>
      </c>
      <c r="O1493" s="3">
        <v>3280</v>
      </c>
      <c r="P1493" t="s">
        <v>74</v>
      </c>
      <c r="Q1493" t="s">
        <v>35</v>
      </c>
      <c r="R1493" t="s">
        <v>36</v>
      </c>
      <c r="S1493" t="s">
        <v>182</v>
      </c>
      <c r="T1493" t="s">
        <v>183</v>
      </c>
      <c r="U1493" t="s">
        <v>61</v>
      </c>
      <c r="V1493" t="s">
        <v>969</v>
      </c>
      <c r="W1493">
        <v>4.0999999999999996</v>
      </c>
      <c r="X1493" t="s">
        <v>41</v>
      </c>
      <c r="Y1493" t="s">
        <v>42</v>
      </c>
      <c r="Z1493">
        <v>2</v>
      </c>
    </row>
    <row r="1494" spans="1:26">
      <c r="A1494" t="s">
        <v>2553</v>
      </c>
      <c r="B1494" t="s">
        <v>1036</v>
      </c>
      <c r="C1494" t="s">
        <v>28</v>
      </c>
      <c r="D1494" t="s">
        <v>103</v>
      </c>
      <c r="E1494" s="1">
        <v>44716</v>
      </c>
      <c r="F1494" t="s">
        <v>47</v>
      </c>
      <c r="G1494" t="s">
        <v>140</v>
      </c>
      <c r="H1494" t="s">
        <v>128</v>
      </c>
      <c r="I1494">
        <v>12</v>
      </c>
      <c r="J1494" t="s">
        <v>150</v>
      </c>
      <c r="K1494">
        <v>1</v>
      </c>
      <c r="L1494" s="3">
        <v>5999</v>
      </c>
      <c r="M1494">
        <v>0</v>
      </c>
      <c r="N1494" s="3">
        <v>6000</v>
      </c>
      <c r="O1494" s="3">
        <v>6000</v>
      </c>
      <c r="P1494" t="s">
        <v>81</v>
      </c>
      <c r="Q1494" t="s">
        <v>82</v>
      </c>
      <c r="R1494" t="s">
        <v>36</v>
      </c>
      <c r="S1494" t="s">
        <v>286</v>
      </c>
      <c r="T1494" t="s">
        <v>366</v>
      </c>
      <c r="U1494" t="s">
        <v>54</v>
      </c>
      <c r="V1494" t="s">
        <v>969</v>
      </c>
      <c r="W1494">
        <v>3.8</v>
      </c>
      <c r="X1494" t="s">
        <v>41</v>
      </c>
      <c r="Y1494" t="s">
        <v>55</v>
      </c>
      <c r="Z1494">
        <v>1</v>
      </c>
    </row>
    <row r="1495" spans="1:26">
      <c r="A1495" t="s">
        <v>2554</v>
      </c>
      <c r="B1495" t="s">
        <v>2555</v>
      </c>
      <c r="C1495" t="s">
        <v>28</v>
      </c>
      <c r="D1495" t="s">
        <v>109</v>
      </c>
      <c r="E1495" s="1">
        <v>44717</v>
      </c>
      <c r="F1495" t="s">
        <v>30</v>
      </c>
      <c r="G1495" t="s">
        <v>214</v>
      </c>
      <c r="H1495" t="s">
        <v>128</v>
      </c>
      <c r="I1495">
        <v>9</v>
      </c>
      <c r="J1495" t="s">
        <v>67</v>
      </c>
      <c r="K1495">
        <v>1</v>
      </c>
      <c r="L1495" s="3">
        <v>8899</v>
      </c>
      <c r="M1495">
        <v>10</v>
      </c>
      <c r="N1495" s="3">
        <v>8010</v>
      </c>
      <c r="O1495" s="3">
        <v>8010</v>
      </c>
      <c r="P1495" t="s">
        <v>74</v>
      </c>
      <c r="Q1495" t="s">
        <v>35</v>
      </c>
      <c r="R1495" t="s">
        <v>36</v>
      </c>
      <c r="S1495" t="s">
        <v>191</v>
      </c>
      <c r="T1495" t="s">
        <v>332</v>
      </c>
      <c r="U1495" t="s">
        <v>124</v>
      </c>
      <c r="V1495" t="s">
        <v>40</v>
      </c>
      <c r="W1495">
        <v>4.0999999999999996</v>
      </c>
      <c r="X1495" t="s">
        <v>41</v>
      </c>
      <c r="Y1495" t="s">
        <v>55</v>
      </c>
      <c r="Z1495">
        <v>1</v>
      </c>
    </row>
    <row r="1496" spans="1:26">
      <c r="A1496" t="s">
        <v>2556</v>
      </c>
      <c r="B1496" t="s">
        <v>2238</v>
      </c>
      <c r="C1496" t="s">
        <v>28</v>
      </c>
      <c r="D1496" t="s">
        <v>46</v>
      </c>
      <c r="E1496" s="1">
        <v>44718</v>
      </c>
      <c r="F1496" t="s">
        <v>30</v>
      </c>
      <c r="G1496" t="s">
        <v>214</v>
      </c>
      <c r="H1496" t="s">
        <v>128</v>
      </c>
      <c r="I1496">
        <v>8</v>
      </c>
      <c r="J1496" t="s">
        <v>98</v>
      </c>
      <c r="K1496">
        <v>2</v>
      </c>
      <c r="L1496" s="3">
        <v>6199</v>
      </c>
      <c r="M1496">
        <v>0</v>
      </c>
      <c r="N1496" s="3">
        <v>6200</v>
      </c>
      <c r="O1496" s="3">
        <v>12400</v>
      </c>
      <c r="P1496" t="s">
        <v>74</v>
      </c>
      <c r="Q1496" t="s">
        <v>51</v>
      </c>
      <c r="R1496" t="s">
        <v>36</v>
      </c>
      <c r="S1496" t="s">
        <v>286</v>
      </c>
      <c r="T1496" t="s">
        <v>737</v>
      </c>
      <c r="U1496" t="s">
        <v>124</v>
      </c>
      <c r="V1496" t="s">
        <v>315</v>
      </c>
      <c r="W1496">
        <v>4.2</v>
      </c>
      <c r="X1496" t="s">
        <v>41</v>
      </c>
      <c r="Y1496" t="s">
        <v>42</v>
      </c>
      <c r="Z1496">
        <v>3</v>
      </c>
    </row>
    <row r="1497" spans="1:26">
      <c r="A1497" t="s">
        <v>2557</v>
      </c>
      <c r="B1497" t="s">
        <v>396</v>
      </c>
      <c r="C1497" t="s">
        <v>28</v>
      </c>
      <c r="D1497" t="s">
        <v>29</v>
      </c>
      <c r="E1497" s="1">
        <v>44720</v>
      </c>
      <c r="F1497" t="s">
        <v>30</v>
      </c>
      <c r="G1497" t="s">
        <v>58</v>
      </c>
      <c r="H1497" t="s">
        <v>59</v>
      </c>
      <c r="I1497">
        <v>9</v>
      </c>
      <c r="J1497" t="s">
        <v>98</v>
      </c>
      <c r="K1497">
        <v>4</v>
      </c>
      <c r="L1497" s="3">
        <v>7799</v>
      </c>
      <c r="M1497">
        <v>20</v>
      </c>
      <c r="N1497" s="3">
        <v>6240</v>
      </c>
      <c r="O1497" s="3">
        <v>24960</v>
      </c>
      <c r="P1497" t="s">
        <v>34</v>
      </c>
      <c r="Q1497" t="s">
        <v>51</v>
      </c>
      <c r="R1497" t="s">
        <v>36</v>
      </c>
      <c r="S1497" t="s">
        <v>175</v>
      </c>
      <c r="T1497" t="s">
        <v>176</v>
      </c>
      <c r="U1497" t="s">
        <v>91</v>
      </c>
      <c r="V1497" t="s">
        <v>315</v>
      </c>
      <c r="W1497">
        <v>4.2</v>
      </c>
      <c r="X1497" t="s">
        <v>41</v>
      </c>
      <c r="Y1497" t="s">
        <v>42</v>
      </c>
      <c r="Z1497">
        <v>5</v>
      </c>
    </row>
    <row r="1498" spans="1:26">
      <c r="A1498" t="s">
        <v>2558</v>
      </c>
      <c r="B1498" t="s">
        <v>2559</v>
      </c>
      <c r="C1498" t="s">
        <v>94</v>
      </c>
      <c r="D1498" t="s">
        <v>95</v>
      </c>
      <c r="E1498" s="1">
        <v>44720</v>
      </c>
      <c r="F1498" t="s">
        <v>86</v>
      </c>
      <c r="G1498" t="s">
        <v>87</v>
      </c>
      <c r="H1498" t="s">
        <v>59</v>
      </c>
      <c r="I1498">
        <v>7</v>
      </c>
      <c r="J1498" t="s">
        <v>33</v>
      </c>
      <c r="K1498">
        <v>1</v>
      </c>
      <c r="L1498" s="3">
        <v>5299</v>
      </c>
      <c r="M1498">
        <v>25</v>
      </c>
      <c r="N1498" s="3">
        <v>3970</v>
      </c>
      <c r="O1498" s="3">
        <v>3970</v>
      </c>
      <c r="P1498" t="s">
        <v>74</v>
      </c>
      <c r="Q1498" t="s">
        <v>51</v>
      </c>
      <c r="R1498" t="s">
        <v>36</v>
      </c>
      <c r="S1498" t="s">
        <v>210</v>
      </c>
      <c r="T1498" t="s">
        <v>680</v>
      </c>
      <c r="U1498" t="s">
        <v>39</v>
      </c>
      <c r="V1498" t="s">
        <v>40</v>
      </c>
      <c r="W1498">
        <v>4.5</v>
      </c>
      <c r="X1498" t="s">
        <v>62</v>
      </c>
      <c r="Y1498" t="s">
        <v>55</v>
      </c>
      <c r="Z1498">
        <v>3</v>
      </c>
    </row>
    <row r="1499" spans="1:26">
      <c r="A1499" t="s">
        <v>2560</v>
      </c>
      <c r="B1499" t="s">
        <v>536</v>
      </c>
      <c r="C1499" t="s">
        <v>94</v>
      </c>
      <c r="D1499" t="s">
        <v>46</v>
      </c>
      <c r="E1499" s="1">
        <v>44721</v>
      </c>
      <c r="F1499" t="s">
        <v>96</v>
      </c>
      <c r="G1499" t="s">
        <v>171</v>
      </c>
      <c r="H1499" t="s">
        <v>128</v>
      </c>
      <c r="I1499">
        <v>8</v>
      </c>
      <c r="J1499" t="s">
        <v>98</v>
      </c>
      <c r="K1499">
        <v>1</v>
      </c>
      <c r="L1499" s="3">
        <v>7299</v>
      </c>
      <c r="M1499">
        <v>15</v>
      </c>
      <c r="N1499" s="3">
        <v>6200</v>
      </c>
      <c r="O1499" s="3">
        <v>6200</v>
      </c>
      <c r="P1499" t="s">
        <v>34</v>
      </c>
      <c r="Q1499" t="s">
        <v>82</v>
      </c>
      <c r="R1499" t="s">
        <v>36</v>
      </c>
      <c r="S1499" t="s">
        <v>182</v>
      </c>
      <c r="T1499" t="s">
        <v>604</v>
      </c>
      <c r="U1499" t="s">
        <v>54</v>
      </c>
      <c r="V1499" t="s">
        <v>315</v>
      </c>
      <c r="W1499">
        <v>3.7</v>
      </c>
      <c r="X1499" t="s">
        <v>41</v>
      </c>
      <c r="Y1499" t="s">
        <v>42</v>
      </c>
      <c r="Z1499">
        <v>2</v>
      </c>
    </row>
    <row r="1500" spans="1:26">
      <c r="A1500" t="s">
        <v>2561</v>
      </c>
      <c r="B1500" t="s">
        <v>2562</v>
      </c>
      <c r="C1500" t="s">
        <v>45</v>
      </c>
      <c r="D1500" t="s">
        <v>46</v>
      </c>
      <c r="E1500" s="1">
        <v>44722</v>
      </c>
      <c r="F1500" t="s">
        <v>79</v>
      </c>
      <c r="G1500" t="s">
        <v>517</v>
      </c>
      <c r="H1500" t="s">
        <v>59</v>
      </c>
      <c r="I1500">
        <v>9</v>
      </c>
      <c r="J1500" t="s">
        <v>67</v>
      </c>
      <c r="K1500">
        <v>2</v>
      </c>
      <c r="L1500" s="3">
        <v>6099</v>
      </c>
      <c r="M1500">
        <v>35</v>
      </c>
      <c r="N1500" s="3">
        <v>3960</v>
      </c>
      <c r="O1500" s="3">
        <v>7920</v>
      </c>
      <c r="P1500" t="s">
        <v>74</v>
      </c>
      <c r="Q1500" t="s">
        <v>35</v>
      </c>
      <c r="R1500" t="s">
        <v>36</v>
      </c>
      <c r="S1500" t="s">
        <v>160</v>
      </c>
      <c r="T1500" t="s">
        <v>247</v>
      </c>
      <c r="U1500" t="s">
        <v>54</v>
      </c>
      <c r="V1500" t="s">
        <v>40</v>
      </c>
      <c r="W1500">
        <v>4.5999999999999996</v>
      </c>
      <c r="X1500" t="s">
        <v>41</v>
      </c>
      <c r="Y1500" t="s">
        <v>42</v>
      </c>
      <c r="Z1500">
        <v>3</v>
      </c>
    </row>
    <row r="1501" spans="1:26">
      <c r="A1501" t="s">
        <v>2563</v>
      </c>
      <c r="B1501" t="s">
        <v>974</v>
      </c>
      <c r="C1501" t="s">
        <v>28</v>
      </c>
      <c r="D1501" t="s">
        <v>109</v>
      </c>
      <c r="E1501" s="1">
        <v>44723</v>
      </c>
      <c r="F1501" t="s">
        <v>65</v>
      </c>
      <c r="G1501" t="s">
        <v>268</v>
      </c>
      <c r="H1501" t="s">
        <v>128</v>
      </c>
      <c r="I1501">
        <v>8</v>
      </c>
      <c r="J1501" t="s">
        <v>67</v>
      </c>
      <c r="K1501">
        <v>1</v>
      </c>
      <c r="L1501" s="3">
        <v>2799</v>
      </c>
      <c r="M1501">
        <v>20</v>
      </c>
      <c r="N1501" s="3">
        <v>2240</v>
      </c>
      <c r="O1501" s="3">
        <v>2240</v>
      </c>
      <c r="P1501" t="s">
        <v>74</v>
      </c>
      <c r="Q1501" t="s">
        <v>51</v>
      </c>
      <c r="R1501" t="s">
        <v>36</v>
      </c>
      <c r="S1501" t="s">
        <v>186</v>
      </c>
      <c r="T1501" t="s">
        <v>222</v>
      </c>
      <c r="U1501" t="s">
        <v>124</v>
      </c>
      <c r="V1501" t="s">
        <v>315</v>
      </c>
      <c r="W1501">
        <v>3.2</v>
      </c>
      <c r="X1501" t="s">
        <v>41</v>
      </c>
      <c r="Y1501" t="s">
        <v>55</v>
      </c>
      <c r="Z1501">
        <v>3</v>
      </c>
    </row>
    <row r="1502" spans="1:26">
      <c r="A1502" t="s">
        <v>2564</v>
      </c>
      <c r="B1502" t="s">
        <v>1266</v>
      </c>
      <c r="C1502" t="s">
        <v>45</v>
      </c>
      <c r="D1502" t="s">
        <v>46</v>
      </c>
      <c r="E1502" s="1">
        <v>44726</v>
      </c>
      <c r="F1502" t="s">
        <v>86</v>
      </c>
      <c r="G1502" t="s">
        <v>87</v>
      </c>
      <c r="H1502" t="s">
        <v>59</v>
      </c>
      <c r="I1502">
        <v>10</v>
      </c>
      <c r="J1502" t="s">
        <v>98</v>
      </c>
      <c r="K1502">
        <v>1</v>
      </c>
      <c r="L1502" s="3">
        <v>6899</v>
      </c>
      <c r="M1502">
        <v>30</v>
      </c>
      <c r="N1502" s="3">
        <v>4830</v>
      </c>
      <c r="O1502" s="3">
        <v>4830</v>
      </c>
      <c r="P1502" t="s">
        <v>34</v>
      </c>
      <c r="Q1502" t="s">
        <v>35</v>
      </c>
      <c r="R1502" t="s">
        <v>36</v>
      </c>
      <c r="S1502" t="s">
        <v>37</v>
      </c>
      <c r="T1502" t="s">
        <v>1122</v>
      </c>
      <c r="U1502" t="s">
        <v>91</v>
      </c>
      <c r="V1502" t="s">
        <v>969</v>
      </c>
      <c r="W1502">
        <v>4</v>
      </c>
      <c r="X1502" t="s">
        <v>41</v>
      </c>
      <c r="Y1502" t="s">
        <v>55</v>
      </c>
      <c r="Z1502">
        <v>2</v>
      </c>
    </row>
    <row r="1503" spans="1:26">
      <c r="A1503" t="s">
        <v>2565</v>
      </c>
      <c r="B1503" t="s">
        <v>1887</v>
      </c>
      <c r="C1503" t="s">
        <v>28</v>
      </c>
      <c r="D1503" t="s">
        <v>46</v>
      </c>
      <c r="E1503" s="1">
        <v>44727</v>
      </c>
      <c r="F1503" t="s">
        <v>30</v>
      </c>
      <c r="G1503" t="s">
        <v>110</v>
      </c>
      <c r="H1503" t="s">
        <v>111</v>
      </c>
      <c r="I1503">
        <v>9</v>
      </c>
      <c r="J1503" t="s">
        <v>33</v>
      </c>
      <c r="K1503">
        <v>1</v>
      </c>
      <c r="L1503" s="3">
        <v>8299</v>
      </c>
      <c r="M1503">
        <v>15</v>
      </c>
      <c r="N1503" s="3">
        <v>7050</v>
      </c>
      <c r="O1503" s="3">
        <v>7050</v>
      </c>
      <c r="P1503" t="s">
        <v>34</v>
      </c>
      <c r="Q1503" t="s">
        <v>51</v>
      </c>
      <c r="R1503" t="s">
        <v>36</v>
      </c>
      <c r="S1503" t="s">
        <v>186</v>
      </c>
      <c r="T1503" t="s">
        <v>397</v>
      </c>
      <c r="U1503" t="s">
        <v>54</v>
      </c>
      <c r="V1503" t="s">
        <v>315</v>
      </c>
      <c r="W1503">
        <v>3</v>
      </c>
      <c r="X1503" t="s">
        <v>41</v>
      </c>
      <c r="Y1503" t="s">
        <v>55</v>
      </c>
      <c r="Z1503">
        <v>4</v>
      </c>
    </row>
    <row r="1504" spans="1:26">
      <c r="A1504" t="s">
        <v>2566</v>
      </c>
      <c r="B1504" t="s">
        <v>443</v>
      </c>
      <c r="C1504" t="s">
        <v>28</v>
      </c>
      <c r="D1504" t="s">
        <v>95</v>
      </c>
      <c r="E1504" s="1">
        <v>44728</v>
      </c>
      <c r="F1504" t="s">
        <v>30</v>
      </c>
      <c r="G1504" t="s">
        <v>58</v>
      </c>
      <c r="H1504" t="s">
        <v>59</v>
      </c>
      <c r="I1504">
        <v>8</v>
      </c>
      <c r="J1504" t="s">
        <v>33</v>
      </c>
      <c r="K1504">
        <v>1</v>
      </c>
      <c r="L1504" s="3">
        <v>8199</v>
      </c>
      <c r="M1504">
        <v>10</v>
      </c>
      <c r="N1504" s="3">
        <v>7380</v>
      </c>
      <c r="O1504" s="3">
        <v>7380</v>
      </c>
      <c r="P1504" t="s">
        <v>34</v>
      </c>
      <c r="Q1504" t="s">
        <v>82</v>
      </c>
      <c r="R1504" t="s">
        <v>36</v>
      </c>
      <c r="S1504" t="s">
        <v>191</v>
      </c>
      <c r="T1504" t="s">
        <v>572</v>
      </c>
      <c r="U1504" t="s">
        <v>54</v>
      </c>
      <c r="V1504" t="s">
        <v>315</v>
      </c>
      <c r="W1504">
        <v>3.5</v>
      </c>
      <c r="X1504" t="s">
        <v>41</v>
      </c>
      <c r="Y1504" t="s">
        <v>42</v>
      </c>
      <c r="Z1504">
        <v>4</v>
      </c>
    </row>
    <row r="1505" spans="1:26">
      <c r="A1505" t="s">
        <v>2567</v>
      </c>
      <c r="B1505" t="s">
        <v>1572</v>
      </c>
      <c r="C1505" t="s">
        <v>45</v>
      </c>
      <c r="D1505" t="s">
        <v>29</v>
      </c>
      <c r="E1505" s="1">
        <v>44728</v>
      </c>
      <c r="F1505" t="s">
        <v>79</v>
      </c>
      <c r="G1505" t="s">
        <v>517</v>
      </c>
      <c r="H1505" t="s">
        <v>59</v>
      </c>
      <c r="I1505">
        <v>9</v>
      </c>
      <c r="J1505" t="s">
        <v>67</v>
      </c>
      <c r="K1505">
        <v>2</v>
      </c>
      <c r="L1505" s="3">
        <v>6499</v>
      </c>
      <c r="M1505">
        <v>0</v>
      </c>
      <c r="N1505" s="3">
        <v>6500</v>
      </c>
      <c r="O1505" s="3">
        <v>13000</v>
      </c>
      <c r="P1505" t="s">
        <v>74</v>
      </c>
      <c r="Q1505" t="s">
        <v>51</v>
      </c>
      <c r="R1505" t="s">
        <v>36</v>
      </c>
      <c r="S1505" t="s">
        <v>168</v>
      </c>
      <c r="T1505" t="s">
        <v>557</v>
      </c>
      <c r="U1505" t="s">
        <v>39</v>
      </c>
      <c r="V1505" t="s">
        <v>969</v>
      </c>
      <c r="W1505">
        <v>3.8</v>
      </c>
      <c r="X1505" t="s">
        <v>41</v>
      </c>
      <c r="Y1505" t="s">
        <v>42</v>
      </c>
      <c r="Z1505">
        <v>2</v>
      </c>
    </row>
    <row r="1506" spans="1:26">
      <c r="A1506" t="s">
        <v>2568</v>
      </c>
      <c r="B1506" t="s">
        <v>259</v>
      </c>
      <c r="C1506" t="s">
        <v>94</v>
      </c>
      <c r="D1506" t="s">
        <v>46</v>
      </c>
      <c r="E1506" s="1">
        <v>44728</v>
      </c>
      <c r="F1506" t="s">
        <v>86</v>
      </c>
      <c r="G1506" t="s">
        <v>242</v>
      </c>
      <c r="H1506" t="s">
        <v>32</v>
      </c>
      <c r="I1506">
        <v>6</v>
      </c>
      <c r="J1506" t="s">
        <v>73</v>
      </c>
      <c r="K1506">
        <v>1</v>
      </c>
      <c r="L1506" s="3">
        <v>8099</v>
      </c>
      <c r="M1506">
        <v>15</v>
      </c>
      <c r="N1506" s="3">
        <v>6880</v>
      </c>
      <c r="O1506" s="3">
        <v>6880</v>
      </c>
      <c r="P1506" t="s">
        <v>34</v>
      </c>
      <c r="Q1506" t="s">
        <v>82</v>
      </c>
      <c r="R1506" t="s">
        <v>36</v>
      </c>
      <c r="S1506" t="s">
        <v>384</v>
      </c>
      <c r="T1506" t="s">
        <v>481</v>
      </c>
      <c r="U1506" t="s">
        <v>54</v>
      </c>
      <c r="V1506" t="s">
        <v>315</v>
      </c>
      <c r="W1506">
        <v>4.5999999999999996</v>
      </c>
      <c r="X1506" t="s">
        <v>106</v>
      </c>
      <c r="Y1506" t="s">
        <v>42</v>
      </c>
      <c r="Z1506">
        <v>2</v>
      </c>
    </row>
    <row r="1507" spans="1:26">
      <c r="A1507" t="s">
        <v>2569</v>
      </c>
      <c r="B1507" t="s">
        <v>2570</v>
      </c>
      <c r="C1507" t="s">
        <v>28</v>
      </c>
      <c r="D1507" t="s">
        <v>46</v>
      </c>
      <c r="E1507" s="1">
        <v>44732</v>
      </c>
      <c r="F1507" t="s">
        <v>47</v>
      </c>
      <c r="G1507" t="s">
        <v>402</v>
      </c>
      <c r="H1507" t="s">
        <v>32</v>
      </c>
      <c r="I1507">
        <v>10</v>
      </c>
      <c r="J1507" t="s">
        <v>33</v>
      </c>
      <c r="K1507">
        <v>4</v>
      </c>
      <c r="L1507" s="3">
        <v>7599</v>
      </c>
      <c r="M1507">
        <v>15</v>
      </c>
      <c r="N1507" s="3">
        <v>6460</v>
      </c>
      <c r="O1507" s="3">
        <v>25840</v>
      </c>
      <c r="P1507" t="s">
        <v>74</v>
      </c>
      <c r="Q1507" t="s">
        <v>82</v>
      </c>
      <c r="R1507" t="s">
        <v>36</v>
      </c>
      <c r="S1507" t="s">
        <v>186</v>
      </c>
      <c r="T1507" t="s">
        <v>341</v>
      </c>
      <c r="U1507" t="s">
        <v>54</v>
      </c>
      <c r="V1507" t="s">
        <v>40</v>
      </c>
      <c r="W1507">
        <v>4.0999999999999996</v>
      </c>
      <c r="X1507" t="s">
        <v>41</v>
      </c>
      <c r="Y1507" t="s">
        <v>55</v>
      </c>
      <c r="Z1507">
        <v>3</v>
      </c>
    </row>
    <row r="1508" spans="1:26">
      <c r="A1508" t="s">
        <v>2571</v>
      </c>
      <c r="B1508" t="s">
        <v>2572</v>
      </c>
      <c r="C1508" t="s">
        <v>28</v>
      </c>
      <c r="D1508" t="s">
        <v>46</v>
      </c>
      <c r="E1508" s="1">
        <v>44735</v>
      </c>
      <c r="F1508" t="s">
        <v>79</v>
      </c>
      <c r="G1508" t="s">
        <v>517</v>
      </c>
      <c r="H1508" t="s">
        <v>59</v>
      </c>
      <c r="I1508">
        <v>8</v>
      </c>
      <c r="J1508" t="s">
        <v>67</v>
      </c>
      <c r="K1508">
        <v>1</v>
      </c>
      <c r="L1508" s="3">
        <v>4599</v>
      </c>
      <c r="M1508">
        <v>25</v>
      </c>
      <c r="N1508" s="3">
        <v>3450</v>
      </c>
      <c r="O1508" s="3">
        <v>3450</v>
      </c>
      <c r="P1508" t="s">
        <v>34</v>
      </c>
      <c r="Q1508" t="s">
        <v>35</v>
      </c>
      <c r="R1508" t="s">
        <v>36</v>
      </c>
      <c r="S1508" t="s">
        <v>354</v>
      </c>
      <c r="T1508" t="s">
        <v>518</v>
      </c>
      <c r="U1508" t="s">
        <v>91</v>
      </c>
      <c r="V1508" t="s">
        <v>40</v>
      </c>
      <c r="W1508">
        <v>3.9</v>
      </c>
      <c r="X1508" t="s">
        <v>41</v>
      </c>
      <c r="Y1508" t="s">
        <v>147</v>
      </c>
      <c r="Z1508">
        <v>1</v>
      </c>
    </row>
    <row r="1509" spans="1:26">
      <c r="A1509" t="s">
        <v>2573</v>
      </c>
      <c r="B1509" t="s">
        <v>471</v>
      </c>
      <c r="C1509" t="s">
        <v>28</v>
      </c>
      <c r="D1509" t="s">
        <v>95</v>
      </c>
      <c r="E1509" s="1">
        <v>44735</v>
      </c>
      <c r="F1509" t="s">
        <v>86</v>
      </c>
      <c r="G1509" t="s">
        <v>242</v>
      </c>
      <c r="H1509" t="s">
        <v>32</v>
      </c>
      <c r="I1509">
        <v>6</v>
      </c>
      <c r="J1509" t="s">
        <v>67</v>
      </c>
      <c r="K1509">
        <v>1</v>
      </c>
      <c r="L1509" s="3">
        <v>8999</v>
      </c>
      <c r="M1509">
        <v>30</v>
      </c>
      <c r="N1509" s="3">
        <v>6300</v>
      </c>
      <c r="O1509" s="3">
        <v>6300</v>
      </c>
      <c r="P1509" t="s">
        <v>81</v>
      </c>
      <c r="Q1509" t="s">
        <v>35</v>
      </c>
      <c r="R1509" t="s">
        <v>36</v>
      </c>
      <c r="S1509" t="s">
        <v>418</v>
      </c>
      <c r="T1509" t="s">
        <v>549</v>
      </c>
      <c r="U1509" t="s">
        <v>124</v>
      </c>
      <c r="V1509" t="s">
        <v>969</v>
      </c>
      <c r="W1509">
        <v>5</v>
      </c>
      <c r="X1509" t="s">
        <v>41</v>
      </c>
      <c r="Y1509" t="s">
        <v>55</v>
      </c>
      <c r="Z1509">
        <v>3</v>
      </c>
    </row>
    <row r="1510" spans="1:26">
      <c r="A1510" t="s">
        <v>2574</v>
      </c>
      <c r="B1510" t="s">
        <v>1056</v>
      </c>
      <c r="C1510" t="s">
        <v>45</v>
      </c>
      <c r="D1510" t="s">
        <v>29</v>
      </c>
      <c r="E1510" s="1">
        <v>44735</v>
      </c>
      <c r="F1510" t="s">
        <v>65</v>
      </c>
      <c r="G1510" t="s">
        <v>66</v>
      </c>
      <c r="H1510" t="s">
        <v>59</v>
      </c>
      <c r="I1510">
        <v>7</v>
      </c>
      <c r="J1510" t="s">
        <v>67</v>
      </c>
      <c r="K1510">
        <v>1</v>
      </c>
      <c r="L1510" s="3">
        <v>6499</v>
      </c>
      <c r="M1510">
        <v>20</v>
      </c>
      <c r="N1510" s="3">
        <v>5200</v>
      </c>
      <c r="O1510" s="3">
        <v>5200</v>
      </c>
      <c r="P1510" t="s">
        <v>74</v>
      </c>
      <c r="Q1510" t="s">
        <v>51</v>
      </c>
      <c r="R1510" t="s">
        <v>36</v>
      </c>
      <c r="S1510" t="s">
        <v>418</v>
      </c>
      <c r="T1510" t="s">
        <v>924</v>
      </c>
      <c r="U1510" t="s">
        <v>39</v>
      </c>
      <c r="V1510" t="s">
        <v>315</v>
      </c>
      <c r="W1510">
        <v>5</v>
      </c>
      <c r="X1510" t="s">
        <v>106</v>
      </c>
      <c r="Y1510" t="s">
        <v>42</v>
      </c>
      <c r="Z1510">
        <v>3</v>
      </c>
    </row>
    <row r="1511" spans="1:26">
      <c r="A1511" t="s">
        <v>2575</v>
      </c>
      <c r="B1511" t="s">
        <v>596</v>
      </c>
      <c r="C1511" t="s">
        <v>45</v>
      </c>
      <c r="D1511" t="s">
        <v>103</v>
      </c>
      <c r="E1511" s="1">
        <v>44735</v>
      </c>
      <c r="F1511" t="s">
        <v>96</v>
      </c>
      <c r="G1511" t="s">
        <v>155</v>
      </c>
      <c r="H1511" t="s">
        <v>111</v>
      </c>
      <c r="I1511">
        <v>12</v>
      </c>
      <c r="J1511" t="s">
        <v>98</v>
      </c>
      <c r="K1511">
        <v>2</v>
      </c>
      <c r="L1511" s="3">
        <v>6399</v>
      </c>
      <c r="M1511">
        <v>25</v>
      </c>
      <c r="N1511" s="3">
        <v>4800</v>
      </c>
      <c r="O1511" s="3">
        <v>9600</v>
      </c>
      <c r="P1511" t="s">
        <v>74</v>
      </c>
      <c r="Q1511" t="s">
        <v>51</v>
      </c>
      <c r="R1511" t="s">
        <v>36</v>
      </c>
      <c r="S1511" t="s">
        <v>164</v>
      </c>
      <c r="T1511" t="s">
        <v>165</v>
      </c>
      <c r="U1511" t="s">
        <v>91</v>
      </c>
      <c r="V1511" t="s">
        <v>315</v>
      </c>
      <c r="W1511">
        <v>2.9</v>
      </c>
      <c r="X1511" t="s">
        <v>41</v>
      </c>
      <c r="Y1511" t="s">
        <v>42</v>
      </c>
      <c r="Z1511">
        <v>6</v>
      </c>
    </row>
    <row r="1512" spans="1:26">
      <c r="A1512" t="s">
        <v>2576</v>
      </c>
      <c r="B1512" t="s">
        <v>2446</v>
      </c>
      <c r="C1512" t="s">
        <v>28</v>
      </c>
      <c r="D1512" t="s">
        <v>46</v>
      </c>
      <c r="E1512" s="1">
        <v>44736</v>
      </c>
      <c r="F1512" t="s">
        <v>65</v>
      </c>
      <c r="G1512" t="s">
        <v>72</v>
      </c>
      <c r="H1512" t="s">
        <v>59</v>
      </c>
      <c r="I1512">
        <v>9</v>
      </c>
      <c r="J1512" t="s">
        <v>98</v>
      </c>
      <c r="K1512">
        <v>1</v>
      </c>
      <c r="L1512" s="3">
        <v>6199</v>
      </c>
      <c r="M1512">
        <v>15</v>
      </c>
      <c r="N1512" s="3">
        <v>5270</v>
      </c>
      <c r="O1512" s="3">
        <v>5270</v>
      </c>
      <c r="P1512" t="s">
        <v>74</v>
      </c>
      <c r="Q1512" t="s">
        <v>51</v>
      </c>
      <c r="R1512" t="s">
        <v>36</v>
      </c>
      <c r="S1512" t="s">
        <v>151</v>
      </c>
      <c r="T1512" t="s">
        <v>452</v>
      </c>
      <c r="U1512" t="s">
        <v>124</v>
      </c>
      <c r="V1512" t="s">
        <v>315</v>
      </c>
      <c r="W1512">
        <v>3.5</v>
      </c>
      <c r="X1512" t="s">
        <v>41</v>
      </c>
      <c r="Y1512" t="s">
        <v>147</v>
      </c>
      <c r="Z1512">
        <v>2</v>
      </c>
    </row>
    <row r="1513" spans="1:26">
      <c r="A1513" t="s">
        <v>2577</v>
      </c>
      <c r="B1513" t="s">
        <v>870</v>
      </c>
      <c r="C1513" t="s">
        <v>94</v>
      </c>
      <c r="D1513" t="s">
        <v>29</v>
      </c>
      <c r="E1513" s="1">
        <v>44736</v>
      </c>
      <c r="F1513" t="s">
        <v>30</v>
      </c>
      <c r="G1513" t="s">
        <v>347</v>
      </c>
      <c r="H1513" t="s">
        <v>49</v>
      </c>
      <c r="I1513">
        <v>11</v>
      </c>
      <c r="J1513" t="s">
        <v>150</v>
      </c>
      <c r="K1513">
        <v>1</v>
      </c>
      <c r="L1513" s="3">
        <v>7599</v>
      </c>
      <c r="M1513">
        <v>10</v>
      </c>
      <c r="N1513" s="3">
        <v>6840</v>
      </c>
      <c r="O1513" s="3">
        <v>6840</v>
      </c>
      <c r="P1513" t="s">
        <v>34</v>
      </c>
      <c r="Q1513" t="s">
        <v>82</v>
      </c>
      <c r="R1513" t="s">
        <v>36</v>
      </c>
      <c r="S1513" t="s">
        <v>243</v>
      </c>
      <c r="T1513" t="s">
        <v>273</v>
      </c>
      <c r="U1513" t="s">
        <v>54</v>
      </c>
      <c r="V1513" t="s">
        <v>969</v>
      </c>
      <c r="W1513">
        <v>3.9</v>
      </c>
      <c r="X1513" t="s">
        <v>62</v>
      </c>
      <c r="Y1513" t="s">
        <v>42</v>
      </c>
      <c r="Z1513">
        <v>4</v>
      </c>
    </row>
    <row r="1514" spans="1:26">
      <c r="A1514" t="s">
        <v>2578</v>
      </c>
      <c r="B1514" t="s">
        <v>1668</v>
      </c>
      <c r="C1514" t="s">
        <v>28</v>
      </c>
      <c r="D1514" t="s">
        <v>46</v>
      </c>
      <c r="E1514" s="1">
        <v>44737</v>
      </c>
      <c r="F1514" t="s">
        <v>65</v>
      </c>
      <c r="G1514" t="s">
        <v>256</v>
      </c>
      <c r="H1514" t="s">
        <v>32</v>
      </c>
      <c r="I1514">
        <v>10</v>
      </c>
      <c r="J1514" t="s">
        <v>98</v>
      </c>
      <c r="K1514">
        <v>1</v>
      </c>
      <c r="L1514" s="3">
        <v>6899</v>
      </c>
      <c r="M1514">
        <v>25</v>
      </c>
      <c r="N1514" s="3">
        <v>5170</v>
      </c>
      <c r="O1514" s="3">
        <v>5170</v>
      </c>
      <c r="P1514" t="s">
        <v>34</v>
      </c>
      <c r="Q1514" t="s">
        <v>82</v>
      </c>
      <c r="R1514" t="s">
        <v>36</v>
      </c>
      <c r="S1514" t="s">
        <v>52</v>
      </c>
      <c r="T1514" t="s">
        <v>53</v>
      </c>
      <c r="U1514" t="s">
        <v>91</v>
      </c>
      <c r="V1514" t="s">
        <v>315</v>
      </c>
      <c r="W1514">
        <v>4.4000000000000004</v>
      </c>
      <c r="X1514" t="s">
        <v>106</v>
      </c>
      <c r="Y1514" t="s">
        <v>42</v>
      </c>
      <c r="Z1514">
        <v>2</v>
      </c>
    </row>
    <row r="1515" spans="1:26">
      <c r="A1515" t="s">
        <v>2579</v>
      </c>
      <c r="B1515" t="s">
        <v>1279</v>
      </c>
      <c r="C1515" t="s">
        <v>45</v>
      </c>
      <c r="D1515" t="s">
        <v>29</v>
      </c>
      <c r="E1515" s="1">
        <v>44737</v>
      </c>
      <c r="F1515" t="s">
        <v>96</v>
      </c>
      <c r="G1515" t="s">
        <v>171</v>
      </c>
      <c r="H1515" t="s">
        <v>128</v>
      </c>
      <c r="I1515">
        <v>7</v>
      </c>
      <c r="J1515" t="s">
        <v>33</v>
      </c>
      <c r="K1515">
        <v>3</v>
      </c>
      <c r="L1515" s="3">
        <v>7399</v>
      </c>
      <c r="M1515">
        <v>15</v>
      </c>
      <c r="N1515" s="3">
        <v>6290</v>
      </c>
      <c r="O1515" s="3">
        <v>18870</v>
      </c>
      <c r="P1515" t="s">
        <v>74</v>
      </c>
      <c r="Q1515" t="s">
        <v>51</v>
      </c>
      <c r="R1515" t="s">
        <v>36</v>
      </c>
      <c r="S1515" t="s">
        <v>354</v>
      </c>
      <c r="T1515" t="s">
        <v>434</v>
      </c>
      <c r="U1515" t="s">
        <v>39</v>
      </c>
      <c r="V1515" t="s">
        <v>315</v>
      </c>
      <c r="W1515">
        <v>3.5</v>
      </c>
      <c r="X1515" t="s">
        <v>41</v>
      </c>
      <c r="Y1515" t="s">
        <v>42</v>
      </c>
      <c r="Z1515">
        <v>2</v>
      </c>
    </row>
    <row r="1516" spans="1:26">
      <c r="A1516" t="s">
        <v>2580</v>
      </c>
      <c r="B1516" t="s">
        <v>1661</v>
      </c>
      <c r="C1516" t="s">
        <v>45</v>
      </c>
      <c r="D1516" t="s">
        <v>46</v>
      </c>
      <c r="E1516" s="1">
        <v>44738</v>
      </c>
      <c r="F1516" t="s">
        <v>30</v>
      </c>
      <c r="G1516" t="s">
        <v>110</v>
      </c>
      <c r="H1516" t="s">
        <v>111</v>
      </c>
      <c r="I1516">
        <v>10</v>
      </c>
      <c r="J1516" t="s">
        <v>67</v>
      </c>
      <c r="K1516">
        <v>2</v>
      </c>
      <c r="L1516" s="3">
        <v>6299</v>
      </c>
      <c r="M1516">
        <v>15</v>
      </c>
      <c r="N1516" s="3">
        <v>5350</v>
      </c>
      <c r="O1516" s="3">
        <v>10700</v>
      </c>
      <c r="P1516" t="s">
        <v>74</v>
      </c>
      <c r="Q1516" t="s">
        <v>82</v>
      </c>
      <c r="R1516" t="s">
        <v>36</v>
      </c>
      <c r="S1516" t="s">
        <v>151</v>
      </c>
      <c r="T1516" t="s">
        <v>152</v>
      </c>
      <c r="U1516" t="s">
        <v>61</v>
      </c>
      <c r="V1516" t="s">
        <v>315</v>
      </c>
      <c r="W1516">
        <v>4.5999999999999996</v>
      </c>
      <c r="X1516" t="s">
        <v>41</v>
      </c>
      <c r="Y1516" t="s">
        <v>55</v>
      </c>
      <c r="Z1516">
        <v>3</v>
      </c>
    </row>
    <row r="1517" spans="1:26">
      <c r="A1517" t="s">
        <v>2581</v>
      </c>
      <c r="B1517" t="s">
        <v>1582</v>
      </c>
      <c r="C1517" t="s">
        <v>28</v>
      </c>
      <c r="D1517" t="s">
        <v>46</v>
      </c>
      <c r="E1517" s="1">
        <v>44738</v>
      </c>
      <c r="F1517" t="s">
        <v>96</v>
      </c>
      <c r="G1517" t="s">
        <v>228</v>
      </c>
      <c r="H1517" t="s">
        <v>59</v>
      </c>
      <c r="I1517">
        <v>8</v>
      </c>
      <c r="J1517" t="s">
        <v>67</v>
      </c>
      <c r="K1517">
        <v>1</v>
      </c>
      <c r="L1517" s="3">
        <v>8799</v>
      </c>
      <c r="M1517">
        <v>35</v>
      </c>
      <c r="N1517" s="3">
        <v>5720</v>
      </c>
      <c r="O1517" s="3">
        <v>5720</v>
      </c>
      <c r="P1517" t="s">
        <v>74</v>
      </c>
      <c r="Q1517" t="s">
        <v>35</v>
      </c>
      <c r="R1517" t="s">
        <v>36</v>
      </c>
      <c r="S1517" t="s">
        <v>117</v>
      </c>
      <c r="T1517" t="s">
        <v>751</v>
      </c>
      <c r="U1517" t="s">
        <v>124</v>
      </c>
      <c r="V1517" t="s">
        <v>315</v>
      </c>
      <c r="W1517">
        <v>4</v>
      </c>
      <c r="X1517" t="s">
        <v>106</v>
      </c>
      <c r="Y1517" t="s">
        <v>55</v>
      </c>
      <c r="Z1517">
        <v>3</v>
      </c>
    </row>
    <row r="1518" spans="1:26">
      <c r="A1518" t="s">
        <v>2582</v>
      </c>
      <c r="B1518" t="s">
        <v>2583</v>
      </c>
      <c r="C1518" t="s">
        <v>28</v>
      </c>
      <c r="D1518" t="s">
        <v>46</v>
      </c>
      <c r="E1518" s="1">
        <v>44739</v>
      </c>
      <c r="F1518" t="s">
        <v>65</v>
      </c>
      <c r="G1518" t="s">
        <v>365</v>
      </c>
      <c r="H1518" t="s">
        <v>49</v>
      </c>
      <c r="I1518">
        <v>7</v>
      </c>
      <c r="J1518" t="s">
        <v>88</v>
      </c>
      <c r="K1518">
        <v>1</v>
      </c>
      <c r="L1518" s="3">
        <v>3099</v>
      </c>
      <c r="M1518">
        <v>25</v>
      </c>
      <c r="N1518" s="3">
        <v>2320</v>
      </c>
      <c r="O1518" s="3">
        <v>2320</v>
      </c>
      <c r="P1518" t="s">
        <v>81</v>
      </c>
      <c r="Q1518" t="s">
        <v>35</v>
      </c>
      <c r="R1518" t="s">
        <v>36</v>
      </c>
      <c r="S1518" t="s">
        <v>168</v>
      </c>
      <c r="T1518" t="s">
        <v>714</v>
      </c>
      <c r="U1518" t="s">
        <v>61</v>
      </c>
      <c r="V1518" t="s">
        <v>40</v>
      </c>
      <c r="W1518">
        <v>5</v>
      </c>
      <c r="X1518" t="s">
        <v>41</v>
      </c>
      <c r="Y1518" t="s">
        <v>42</v>
      </c>
      <c r="Z1518">
        <v>2</v>
      </c>
    </row>
    <row r="1519" spans="1:26">
      <c r="A1519" t="s">
        <v>2584</v>
      </c>
      <c r="B1519" t="s">
        <v>275</v>
      </c>
      <c r="C1519" t="s">
        <v>45</v>
      </c>
      <c r="D1519" t="s">
        <v>29</v>
      </c>
      <c r="E1519" s="1">
        <v>44739</v>
      </c>
      <c r="F1519" t="s">
        <v>96</v>
      </c>
      <c r="G1519" t="s">
        <v>171</v>
      </c>
      <c r="H1519" t="s">
        <v>128</v>
      </c>
      <c r="I1519">
        <v>9</v>
      </c>
      <c r="J1519" t="s">
        <v>67</v>
      </c>
      <c r="K1519">
        <v>1</v>
      </c>
      <c r="L1519" s="3">
        <v>7699</v>
      </c>
      <c r="M1519">
        <v>10</v>
      </c>
      <c r="N1519" s="3">
        <v>6930</v>
      </c>
      <c r="O1519" s="3">
        <v>6930</v>
      </c>
      <c r="P1519" t="s">
        <v>34</v>
      </c>
      <c r="Q1519" t="s">
        <v>82</v>
      </c>
      <c r="R1519" t="s">
        <v>36</v>
      </c>
      <c r="S1519" t="s">
        <v>182</v>
      </c>
      <c r="T1519" t="s">
        <v>604</v>
      </c>
      <c r="U1519" t="s">
        <v>39</v>
      </c>
      <c r="V1519" t="s">
        <v>969</v>
      </c>
      <c r="W1519">
        <v>5</v>
      </c>
      <c r="X1519" t="s">
        <v>41</v>
      </c>
      <c r="Y1519" t="s">
        <v>147</v>
      </c>
      <c r="Z1519">
        <v>2</v>
      </c>
    </row>
    <row r="1520" spans="1:26">
      <c r="A1520" t="s">
        <v>2585</v>
      </c>
      <c r="B1520" t="s">
        <v>408</v>
      </c>
      <c r="C1520" t="s">
        <v>28</v>
      </c>
      <c r="D1520" t="s">
        <v>103</v>
      </c>
      <c r="E1520" s="1">
        <v>44740</v>
      </c>
      <c r="F1520" t="s">
        <v>96</v>
      </c>
      <c r="G1520" t="s">
        <v>171</v>
      </c>
      <c r="H1520" t="s">
        <v>128</v>
      </c>
      <c r="I1520">
        <v>10</v>
      </c>
      <c r="J1520" t="s">
        <v>33</v>
      </c>
      <c r="K1520">
        <v>4</v>
      </c>
      <c r="L1520" s="3">
        <v>8999</v>
      </c>
      <c r="M1520">
        <v>20</v>
      </c>
      <c r="N1520" s="3">
        <v>7200</v>
      </c>
      <c r="O1520" s="3">
        <v>28800</v>
      </c>
      <c r="P1520" t="s">
        <v>34</v>
      </c>
      <c r="Q1520" t="s">
        <v>82</v>
      </c>
      <c r="R1520" t="s">
        <v>36</v>
      </c>
      <c r="S1520" t="s">
        <v>164</v>
      </c>
      <c r="T1520" t="s">
        <v>165</v>
      </c>
      <c r="U1520" t="s">
        <v>124</v>
      </c>
      <c r="V1520" t="s">
        <v>315</v>
      </c>
      <c r="W1520">
        <v>5</v>
      </c>
      <c r="X1520" t="s">
        <v>41</v>
      </c>
      <c r="Y1520" t="s">
        <v>42</v>
      </c>
      <c r="Z1520">
        <v>3</v>
      </c>
    </row>
    <row r="1521" spans="1:26">
      <c r="A1521" t="s">
        <v>2586</v>
      </c>
      <c r="B1521" t="s">
        <v>1447</v>
      </c>
      <c r="C1521" t="s">
        <v>28</v>
      </c>
      <c r="D1521" t="s">
        <v>29</v>
      </c>
      <c r="E1521" s="1">
        <v>44743</v>
      </c>
      <c r="F1521" t="s">
        <v>96</v>
      </c>
      <c r="G1521" t="s">
        <v>290</v>
      </c>
      <c r="H1521" t="s">
        <v>32</v>
      </c>
      <c r="I1521">
        <v>10</v>
      </c>
      <c r="J1521" t="s">
        <v>98</v>
      </c>
      <c r="K1521">
        <v>1</v>
      </c>
      <c r="L1521" s="3">
        <v>5099</v>
      </c>
      <c r="M1521">
        <v>10</v>
      </c>
      <c r="N1521" s="3">
        <v>4590</v>
      </c>
      <c r="O1521" s="3">
        <v>4590</v>
      </c>
      <c r="P1521" t="s">
        <v>74</v>
      </c>
      <c r="Q1521" t="s">
        <v>82</v>
      </c>
      <c r="R1521" t="s">
        <v>36</v>
      </c>
      <c r="S1521" t="s">
        <v>384</v>
      </c>
      <c r="T1521" t="s">
        <v>1217</v>
      </c>
      <c r="U1521" t="s">
        <v>61</v>
      </c>
      <c r="V1521" t="s">
        <v>315</v>
      </c>
      <c r="W1521">
        <v>2.8</v>
      </c>
      <c r="X1521" t="s">
        <v>106</v>
      </c>
      <c r="Y1521" t="s">
        <v>147</v>
      </c>
      <c r="Z1521">
        <v>2</v>
      </c>
    </row>
    <row r="1522" spans="1:26">
      <c r="A1522" t="s">
        <v>2587</v>
      </c>
      <c r="B1522" t="s">
        <v>2588</v>
      </c>
      <c r="C1522" t="s">
        <v>94</v>
      </c>
      <c r="D1522" t="s">
        <v>29</v>
      </c>
      <c r="E1522" s="1">
        <v>44743</v>
      </c>
      <c r="F1522" t="s">
        <v>30</v>
      </c>
      <c r="G1522" t="s">
        <v>347</v>
      </c>
      <c r="H1522" t="s">
        <v>49</v>
      </c>
      <c r="I1522">
        <v>10</v>
      </c>
      <c r="J1522" t="s">
        <v>73</v>
      </c>
      <c r="K1522">
        <v>2</v>
      </c>
      <c r="L1522" s="3">
        <v>4699</v>
      </c>
      <c r="M1522">
        <v>0</v>
      </c>
      <c r="N1522" s="3">
        <v>4700</v>
      </c>
      <c r="O1522" s="3">
        <v>9400</v>
      </c>
      <c r="P1522" t="s">
        <v>50</v>
      </c>
      <c r="Q1522" t="s">
        <v>51</v>
      </c>
      <c r="R1522" t="s">
        <v>36</v>
      </c>
      <c r="S1522" t="s">
        <v>195</v>
      </c>
      <c r="T1522" t="s">
        <v>428</v>
      </c>
      <c r="U1522" t="s">
        <v>124</v>
      </c>
      <c r="V1522" t="s">
        <v>40</v>
      </c>
      <c r="W1522">
        <v>5</v>
      </c>
      <c r="X1522" t="s">
        <v>41</v>
      </c>
      <c r="Y1522" t="s">
        <v>42</v>
      </c>
      <c r="Z1522">
        <v>2</v>
      </c>
    </row>
    <row r="1523" spans="1:26">
      <c r="A1523" t="s">
        <v>2589</v>
      </c>
      <c r="B1523" t="s">
        <v>2231</v>
      </c>
      <c r="C1523" t="s">
        <v>45</v>
      </c>
      <c r="D1523" t="s">
        <v>95</v>
      </c>
      <c r="E1523" s="1">
        <v>44747</v>
      </c>
      <c r="F1523" t="s">
        <v>96</v>
      </c>
      <c r="G1523" t="s">
        <v>155</v>
      </c>
      <c r="H1523" t="s">
        <v>111</v>
      </c>
      <c r="I1523">
        <v>8</v>
      </c>
      <c r="J1523" t="s">
        <v>73</v>
      </c>
      <c r="K1523">
        <v>1</v>
      </c>
      <c r="L1523" s="3">
        <v>7599</v>
      </c>
      <c r="M1523">
        <v>25</v>
      </c>
      <c r="N1523" s="3">
        <v>5700</v>
      </c>
      <c r="O1523" s="3">
        <v>5700</v>
      </c>
      <c r="P1523" t="s">
        <v>74</v>
      </c>
      <c r="Q1523" t="s">
        <v>82</v>
      </c>
      <c r="R1523" t="s">
        <v>36</v>
      </c>
      <c r="S1523" t="s">
        <v>164</v>
      </c>
      <c r="T1523" t="s">
        <v>165</v>
      </c>
      <c r="U1523" t="s">
        <v>61</v>
      </c>
      <c r="V1523" t="s">
        <v>315</v>
      </c>
      <c r="W1523">
        <v>4.2</v>
      </c>
      <c r="X1523" t="s">
        <v>41</v>
      </c>
      <c r="Y1523" t="s">
        <v>42</v>
      </c>
      <c r="Z1523">
        <v>4</v>
      </c>
    </row>
    <row r="1524" spans="1:26">
      <c r="A1524" t="s">
        <v>2590</v>
      </c>
      <c r="B1524" t="s">
        <v>2591</v>
      </c>
      <c r="C1524" t="s">
        <v>45</v>
      </c>
      <c r="D1524" t="s">
        <v>29</v>
      </c>
      <c r="E1524" s="1">
        <v>44749</v>
      </c>
      <c r="F1524" t="s">
        <v>30</v>
      </c>
      <c r="G1524" t="s">
        <v>110</v>
      </c>
      <c r="H1524" t="s">
        <v>111</v>
      </c>
      <c r="I1524">
        <v>9</v>
      </c>
      <c r="J1524" t="s">
        <v>73</v>
      </c>
      <c r="K1524">
        <v>2</v>
      </c>
      <c r="L1524" s="3">
        <v>8599</v>
      </c>
      <c r="M1524">
        <v>20</v>
      </c>
      <c r="N1524" s="3">
        <v>6880</v>
      </c>
      <c r="O1524" s="3">
        <v>13760</v>
      </c>
      <c r="P1524" t="s">
        <v>74</v>
      </c>
      <c r="Q1524" t="s">
        <v>35</v>
      </c>
      <c r="R1524" t="s">
        <v>36</v>
      </c>
      <c r="S1524" t="s">
        <v>384</v>
      </c>
      <c r="T1524" t="s">
        <v>1217</v>
      </c>
      <c r="U1524" t="s">
        <v>91</v>
      </c>
      <c r="V1524" t="s">
        <v>40</v>
      </c>
      <c r="W1524">
        <v>3.9</v>
      </c>
      <c r="X1524" t="s">
        <v>41</v>
      </c>
      <c r="Y1524" t="s">
        <v>55</v>
      </c>
      <c r="Z1524">
        <v>2</v>
      </c>
    </row>
    <row r="1525" spans="1:26">
      <c r="A1525" t="s">
        <v>2592</v>
      </c>
      <c r="B1525" t="s">
        <v>2593</v>
      </c>
      <c r="C1525" t="s">
        <v>45</v>
      </c>
      <c r="D1525" t="s">
        <v>95</v>
      </c>
      <c r="E1525" s="1">
        <v>44750</v>
      </c>
      <c r="F1525" t="s">
        <v>65</v>
      </c>
      <c r="G1525" t="s">
        <v>365</v>
      </c>
      <c r="H1525" t="s">
        <v>49</v>
      </c>
      <c r="I1525">
        <v>9</v>
      </c>
      <c r="J1525" t="s">
        <v>98</v>
      </c>
      <c r="K1525">
        <v>1</v>
      </c>
      <c r="L1525" s="3">
        <v>5599</v>
      </c>
      <c r="M1525">
        <v>25</v>
      </c>
      <c r="N1525" s="3">
        <v>4200</v>
      </c>
      <c r="O1525" s="3">
        <v>4200</v>
      </c>
      <c r="P1525" t="s">
        <v>34</v>
      </c>
      <c r="Q1525" t="s">
        <v>51</v>
      </c>
      <c r="R1525" t="s">
        <v>36</v>
      </c>
      <c r="S1525" t="s">
        <v>175</v>
      </c>
      <c r="T1525" t="s">
        <v>176</v>
      </c>
      <c r="U1525" t="s">
        <v>61</v>
      </c>
      <c r="V1525" t="s">
        <v>40</v>
      </c>
      <c r="W1525">
        <v>5</v>
      </c>
      <c r="X1525" t="s">
        <v>106</v>
      </c>
      <c r="Y1525" t="s">
        <v>42</v>
      </c>
      <c r="Z1525">
        <v>1</v>
      </c>
    </row>
    <row r="1526" spans="1:26">
      <c r="A1526" t="s">
        <v>2594</v>
      </c>
      <c r="B1526" t="s">
        <v>1336</v>
      </c>
      <c r="C1526" t="s">
        <v>45</v>
      </c>
      <c r="D1526" t="s">
        <v>46</v>
      </c>
      <c r="E1526" s="1">
        <v>44752</v>
      </c>
      <c r="F1526" t="s">
        <v>30</v>
      </c>
      <c r="G1526" t="s">
        <v>110</v>
      </c>
      <c r="H1526" t="s">
        <v>111</v>
      </c>
      <c r="I1526">
        <v>10</v>
      </c>
      <c r="J1526" t="s">
        <v>67</v>
      </c>
      <c r="K1526">
        <v>1</v>
      </c>
      <c r="L1526" s="3">
        <v>6799</v>
      </c>
      <c r="M1526">
        <v>25</v>
      </c>
      <c r="N1526" s="3">
        <v>5100</v>
      </c>
      <c r="O1526" s="3">
        <v>5100</v>
      </c>
      <c r="P1526" t="s">
        <v>74</v>
      </c>
      <c r="Q1526" t="s">
        <v>51</v>
      </c>
      <c r="R1526" t="s">
        <v>36</v>
      </c>
      <c r="S1526" t="s">
        <v>129</v>
      </c>
      <c r="T1526" t="s">
        <v>130</v>
      </c>
      <c r="U1526" t="s">
        <v>54</v>
      </c>
      <c r="V1526" t="s">
        <v>969</v>
      </c>
      <c r="W1526">
        <v>3.8</v>
      </c>
      <c r="X1526" t="s">
        <v>41</v>
      </c>
      <c r="Y1526" t="s">
        <v>42</v>
      </c>
      <c r="Z1526">
        <v>4</v>
      </c>
    </row>
    <row r="1527" spans="1:26">
      <c r="A1527" t="s">
        <v>2595</v>
      </c>
      <c r="B1527" t="s">
        <v>2398</v>
      </c>
      <c r="C1527" t="s">
        <v>28</v>
      </c>
      <c r="D1527" t="s">
        <v>46</v>
      </c>
      <c r="E1527" s="1">
        <v>44755</v>
      </c>
      <c r="F1527" t="s">
        <v>96</v>
      </c>
      <c r="G1527" t="s">
        <v>323</v>
      </c>
      <c r="H1527" t="s">
        <v>59</v>
      </c>
      <c r="I1527">
        <v>7</v>
      </c>
      <c r="J1527" t="s">
        <v>98</v>
      </c>
      <c r="K1527">
        <v>1</v>
      </c>
      <c r="L1527" s="3">
        <v>5499</v>
      </c>
      <c r="M1527">
        <v>20</v>
      </c>
      <c r="N1527" s="3">
        <v>4400</v>
      </c>
      <c r="O1527" s="3">
        <v>4400</v>
      </c>
      <c r="P1527" t="s">
        <v>34</v>
      </c>
      <c r="Q1527" t="s">
        <v>51</v>
      </c>
      <c r="R1527" t="s">
        <v>36</v>
      </c>
      <c r="S1527" t="s">
        <v>200</v>
      </c>
      <c r="T1527" t="s">
        <v>232</v>
      </c>
      <c r="U1527" t="s">
        <v>91</v>
      </c>
      <c r="V1527" t="s">
        <v>315</v>
      </c>
      <c r="W1527">
        <v>3.4</v>
      </c>
      <c r="X1527" t="s">
        <v>106</v>
      </c>
      <c r="Y1527" t="s">
        <v>42</v>
      </c>
      <c r="Z1527">
        <v>5</v>
      </c>
    </row>
    <row r="1528" spans="1:26">
      <c r="A1528" t="s">
        <v>2596</v>
      </c>
      <c r="B1528" t="s">
        <v>906</v>
      </c>
      <c r="C1528" t="s">
        <v>28</v>
      </c>
      <c r="D1528" t="s">
        <v>109</v>
      </c>
      <c r="E1528" s="1">
        <v>44756</v>
      </c>
      <c r="F1528" t="s">
        <v>65</v>
      </c>
      <c r="G1528" t="s">
        <v>256</v>
      </c>
      <c r="H1528" t="s">
        <v>32</v>
      </c>
      <c r="I1528">
        <v>11</v>
      </c>
      <c r="J1528" t="s">
        <v>98</v>
      </c>
      <c r="K1528">
        <v>1</v>
      </c>
      <c r="L1528" s="3">
        <v>7599</v>
      </c>
      <c r="M1528">
        <v>25</v>
      </c>
      <c r="N1528" s="3">
        <v>5700</v>
      </c>
      <c r="O1528" s="3">
        <v>5700</v>
      </c>
      <c r="P1528" t="s">
        <v>34</v>
      </c>
      <c r="Q1528" t="s">
        <v>35</v>
      </c>
      <c r="R1528" t="s">
        <v>36</v>
      </c>
      <c r="S1528" t="s">
        <v>68</v>
      </c>
      <c r="T1528" t="s">
        <v>69</v>
      </c>
      <c r="U1528" t="s">
        <v>124</v>
      </c>
      <c r="V1528" t="s">
        <v>315</v>
      </c>
      <c r="W1528">
        <v>4</v>
      </c>
      <c r="X1528" t="s">
        <v>41</v>
      </c>
      <c r="Y1528" t="s">
        <v>42</v>
      </c>
      <c r="Z1528">
        <v>7</v>
      </c>
    </row>
    <row r="1529" spans="1:26">
      <c r="A1529" t="s">
        <v>2597</v>
      </c>
      <c r="B1529" t="s">
        <v>466</v>
      </c>
      <c r="C1529" t="s">
        <v>45</v>
      </c>
      <c r="D1529" t="s">
        <v>103</v>
      </c>
      <c r="E1529" s="1">
        <v>44757</v>
      </c>
      <c r="F1529" t="s">
        <v>47</v>
      </c>
      <c r="G1529" t="s">
        <v>218</v>
      </c>
      <c r="H1529" t="s">
        <v>59</v>
      </c>
      <c r="I1529">
        <v>8</v>
      </c>
      <c r="J1529" t="s">
        <v>33</v>
      </c>
      <c r="K1529">
        <v>1</v>
      </c>
      <c r="L1529" s="3">
        <v>8399</v>
      </c>
      <c r="M1529">
        <v>20</v>
      </c>
      <c r="N1529" s="3">
        <v>6720</v>
      </c>
      <c r="O1529" s="3">
        <v>6720</v>
      </c>
      <c r="P1529" t="s">
        <v>74</v>
      </c>
      <c r="Q1529" t="s">
        <v>51</v>
      </c>
      <c r="R1529" t="s">
        <v>36</v>
      </c>
      <c r="S1529" t="s">
        <v>195</v>
      </c>
      <c r="T1529" t="s">
        <v>665</v>
      </c>
      <c r="U1529" t="s">
        <v>61</v>
      </c>
      <c r="V1529" t="s">
        <v>969</v>
      </c>
      <c r="W1529">
        <v>3.2</v>
      </c>
      <c r="X1529" t="s">
        <v>41</v>
      </c>
      <c r="Y1529" t="s">
        <v>42</v>
      </c>
      <c r="Z1529">
        <v>7</v>
      </c>
    </row>
    <row r="1530" spans="1:26">
      <c r="A1530" t="s">
        <v>2598</v>
      </c>
      <c r="B1530" t="s">
        <v>783</v>
      </c>
      <c r="C1530" t="s">
        <v>45</v>
      </c>
      <c r="D1530" t="s">
        <v>46</v>
      </c>
      <c r="E1530" s="1">
        <v>44757</v>
      </c>
      <c r="F1530" t="s">
        <v>79</v>
      </c>
      <c r="G1530" t="s">
        <v>517</v>
      </c>
      <c r="H1530" t="s">
        <v>59</v>
      </c>
      <c r="I1530">
        <v>9</v>
      </c>
      <c r="J1530" t="s">
        <v>67</v>
      </c>
      <c r="K1530">
        <v>1</v>
      </c>
      <c r="L1530" s="3">
        <v>7399</v>
      </c>
      <c r="M1530">
        <v>25</v>
      </c>
      <c r="N1530" s="3">
        <v>5550</v>
      </c>
      <c r="O1530" s="3">
        <v>5550</v>
      </c>
      <c r="P1530" t="s">
        <v>74</v>
      </c>
      <c r="Q1530" t="s">
        <v>35</v>
      </c>
      <c r="R1530" t="s">
        <v>36</v>
      </c>
      <c r="S1530" t="s">
        <v>286</v>
      </c>
      <c r="T1530" t="s">
        <v>366</v>
      </c>
      <c r="U1530" t="s">
        <v>54</v>
      </c>
      <c r="V1530" t="s">
        <v>315</v>
      </c>
      <c r="W1530">
        <v>3.8</v>
      </c>
      <c r="X1530" t="s">
        <v>106</v>
      </c>
      <c r="Y1530" t="s">
        <v>42</v>
      </c>
      <c r="Z1530">
        <v>5</v>
      </c>
    </row>
    <row r="1531" spans="1:26">
      <c r="A1531" t="s">
        <v>2599</v>
      </c>
      <c r="B1531" t="s">
        <v>688</v>
      </c>
      <c r="C1531" t="s">
        <v>45</v>
      </c>
      <c r="D1531" t="s">
        <v>46</v>
      </c>
      <c r="E1531" s="1">
        <v>44758</v>
      </c>
      <c r="F1531" t="s">
        <v>96</v>
      </c>
      <c r="G1531" t="s">
        <v>323</v>
      </c>
      <c r="H1531" t="s">
        <v>59</v>
      </c>
      <c r="I1531">
        <v>11</v>
      </c>
      <c r="J1531" t="s">
        <v>98</v>
      </c>
      <c r="K1531">
        <v>2</v>
      </c>
      <c r="L1531" s="3">
        <v>8299</v>
      </c>
      <c r="M1531">
        <v>20</v>
      </c>
      <c r="N1531" s="3">
        <v>6640</v>
      </c>
      <c r="O1531" s="3">
        <v>13280</v>
      </c>
      <c r="P1531" t="s">
        <v>74</v>
      </c>
      <c r="Q1531" t="s">
        <v>51</v>
      </c>
      <c r="R1531" t="s">
        <v>36</v>
      </c>
      <c r="S1531" t="s">
        <v>243</v>
      </c>
      <c r="T1531" t="s">
        <v>273</v>
      </c>
      <c r="U1531" t="s">
        <v>54</v>
      </c>
      <c r="V1531" t="s">
        <v>315</v>
      </c>
      <c r="W1531">
        <v>4.2</v>
      </c>
      <c r="X1531" t="s">
        <v>106</v>
      </c>
      <c r="Y1531" t="s">
        <v>55</v>
      </c>
      <c r="Z1531">
        <v>3</v>
      </c>
    </row>
    <row r="1532" spans="1:26">
      <c r="A1532" t="s">
        <v>2600</v>
      </c>
      <c r="B1532" t="s">
        <v>814</v>
      </c>
      <c r="C1532" t="s">
        <v>94</v>
      </c>
      <c r="D1532" t="s">
        <v>109</v>
      </c>
      <c r="E1532" s="1">
        <v>44758</v>
      </c>
      <c r="F1532" t="s">
        <v>79</v>
      </c>
      <c r="G1532" t="s">
        <v>480</v>
      </c>
      <c r="H1532" t="s">
        <v>111</v>
      </c>
      <c r="I1532">
        <v>11</v>
      </c>
      <c r="J1532" t="s">
        <v>73</v>
      </c>
      <c r="K1532">
        <v>1</v>
      </c>
      <c r="L1532" s="3">
        <v>7999</v>
      </c>
      <c r="M1532">
        <v>15</v>
      </c>
      <c r="N1532" s="3">
        <v>6800</v>
      </c>
      <c r="O1532" s="3">
        <v>6800</v>
      </c>
      <c r="P1532" t="s">
        <v>74</v>
      </c>
      <c r="Q1532" t="s">
        <v>51</v>
      </c>
      <c r="R1532" t="s">
        <v>36</v>
      </c>
      <c r="S1532" t="s">
        <v>156</v>
      </c>
      <c r="T1532" t="s">
        <v>324</v>
      </c>
      <c r="U1532" t="s">
        <v>124</v>
      </c>
      <c r="V1532" t="s">
        <v>969</v>
      </c>
      <c r="W1532">
        <v>4.5999999999999996</v>
      </c>
      <c r="X1532" t="s">
        <v>41</v>
      </c>
      <c r="Y1532" t="s">
        <v>42</v>
      </c>
      <c r="Z1532">
        <v>4</v>
      </c>
    </row>
    <row r="1533" spans="1:26">
      <c r="A1533" t="s">
        <v>2601</v>
      </c>
      <c r="B1533" t="s">
        <v>2593</v>
      </c>
      <c r="C1533" t="s">
        <v>94</v>
      </c>
      <c r="D1533" t="s">
        <v>95</v>
      </c>
      <c r="E1533" s="1">
        <v>44759</v>
      </c>
      <c r="F1533" t="s">
        <v>96</v>
      </c>
      <c r="G1533" t="s">
        <v>323</v>
      </c>
      <c r="H1533" t="s">
        <v>59</v>
      </c>
      <c r="I1533">
        <v>11</v>
      </c>
      <c r="J1533" t="s">
        <v>73</v>
      </c>
      <c r="K1533">
        <v>1</v>
      </c>
      <c r="L1533" s="3">
        <v>7199</v>
      </c>
      <c r="M1533">
        <v>15</v>
      </c>
      <c r="N1533" s="3">
        <v>6120</v>
      </c>
      <c r="O1533" s="3">
        <v>6120</v>
      </c>
      <c r="P1533" t="s">
        <v>74</v>
      </c>
      <c r="Q1533" t="s">
        <v>51</v>
      </c>
      <c r="R1533" t="s">
        <v>36</v>
      </c>
      <c r="S1533" t="s">
        <v>151</v>
      </c>
      <c r="T1533" t="s">
        <v>152</v>
      </c>
      <c r="U1533" t="s">
        <v>91</v>
      </c>
      <c r="V1533" t="s">
        <v>315</v>
      </c>
      <c r="W1533">
        <v>2</v>
      </c>
      <c r="X1533" t="s">
        <v>106</v>
      </c>
      <c r="Y1533" t="s">
        <v>42</v>
      </c>
      <c r="Z1533">
        <v>4</v>
      </c>
    </row>
    <row r="1534" spans="1:26">
      <c r="A1534" t="s">
        <v>2602</v>
      </c>
      <c r="B1534" t="s">
        <v>2342</v>
      </c>
      <c r="C1534" t="s">
        <v>45</v>
      </c>
      <c r="D1534" t="s">
        <v>29</v>
      </c>
      <c r="E1534" s="1">
        <v>44760</v>
      </c>
      <c r="F1534" t="s">
        <v>65</v>
      </c>
      <c r="G1534" t="s">
        <v>279</v>
      </c>
      <c r="H1534" t="s">
        <v>111</v>
      </c>
      <c r="I1534">
        <v>10</v>
      </c>
      <c r="J1534" t="s">
        <v>98</v>
      </c>
      <c r="K1534">
        <v>2</v>
      </c>
      <c r="L1534" s="3">
        <v>5299</v>
      </c>
      <c r="M1534">
        <v>25</v>
      </c>
      <c r="N1534" s="3">
        <v>3970</v>
      </c>
      <c r="O1534" s="3">
        <v>7940</v>
      </c>
      <c r="P1534" t="s">
        <v>74</v>
      </c>
      <c r="Q1534" t="s">
        <v>35</v>
      </c>
      <c r="R1534" t="s">
        <v>36</v>
      </c>
      <c r="S1534" t="s">
        <v>68</v>
      </c>
      <c r="T1534" t="s">
        <v>207</v>
      </c>
      <c r="U1534" t="s">
        <v>61</v>
      </c>
      <c r="V1534" t="s">
        <v>315</v>
      </c>
      <c r="W1534">
        <v>3.8</v>
      </c>
      <c r="X1534" t="s">
        <v>41</v>
      </c>
      <c r="Y1534" t="s">
        <v>55</v>
      </c>
      <c r="Z1534">
        <v>2</v>
      </c>
    </row>
    <row r="1535" spans="1:26">
      <c r="A1535" t="s">
        <v>2603</v>
      </c>
      <c r="B1535" t="s">
        <v>816</v>
      </c>
      <c r="C1535" t="s">
        <v>45</v>
      </c>
      <c r="D1535" t="s">
        <v>103</v>
      </c>
      <c r="E1535" s="1">
        <v>44760</v>
      </c>
      <c r="F1535" t="s">
        <v>47</v>
      </c>
      <c r="G1535" t="s">
        <v>218</v>
      </c>
      <c r="H1535" t="s">
        <v>59</v>
      </c>
      <c r="I1535">
        <v>11</v>
      </c>
      <c r="J1535" t="s">
        <v>67</v>
      </c>
      <c r="K1535">
        <v>1</v>
      </c>
      <c r="L1535" s="3">
        <v>6999</v>
      </c>
      <c r="M1535">
        <v>15</v>
      </c>
      <c r="N1535" s="3">
        <v>5950</v>
      </c>
      <c r="O1535" s="3">
        <v>5950</v>
      </c>
      <c r="P1535" t="s">
        <v>74</v>
      </c>
      <c r="Q1535" t="s">
        <v>51</v>
      </c>
      <c r="R1535" t="s">
        <v>36</v>
      </c>
      <c r="S1535" t="s">
        <v>75</v>
      </c>
      <c r="T1535" t="s">
        <v>796</v>
      </c>
      <c r="U1535" t="s">
        <v>61</v>
      </c>
      <c r="V1535" t="s">
        <v>315</v>
      </c>
      <c r="W1535">
        <v>3.3</v>
      </c>
      <c r="X1535" t="s">
        <v>41</v>
      </c>
      <c r="Y1535" t="s">
        <v>147</v>
      </c>
      <c r="Z1535">
        <v>1</v>
      </c>
    </row>
    <row r="1536" spans="1:26">
      <c r="A1536" t="s">
        <v>2604</v>
      </c>
      <c r="B1536" t="s">
        <v>300</v>
      </c>
      <c r="C1536" t="s">
        <v>45</v>
      </c>
      <c r="D1536" t="s">
        <v>46</v>
      </c>
      <c r="E1536" s="1">
        <v>44761</v>
      </c>
      <c r="F1536" t="s">
        <v>79</v>
      </c>
      <c r="G1536" t="s">
        <v>301</v>
      </c>
      <c r="H1536" t="s">
        <v>49</v>
      </c>
      <c r="I1536">
        <v>8</v>
      </c>
      <c r="J1536" t="s">
        <v>33</v>
      </c>
      <c r="K1536">
        <v>1</v>
      </c>
      <c r="L1536" s="3">
        <v>7199</v>
      </c>
      <c r="M1536">
        <v>5</v>
      </c>
      <c r="N1536" s="3">
        <v>6840</v>
      </c>
      <c r="O1536" s="3">
        <v>6840</v>
      </c>
      <c r="P1536" t="s">
        <v>74</v>
      </c>
      <c r="Q1536" t="s">
        <v>82</v>
      </c>
      <c r="R1536" t="s">
        <v>36</v>
      </c>
      <c r="S1536" t="s">
        <v>129</v>
      </c>
      <c r="T1536" t="s">
        <v>146</v>
      </c>
      <c r="U1536" t="s">
        <v>54</v>
      </c>
      <c r="V1536" t="s">
        <v>969</v>
      </c>
      <c r="W1536">
        <v>5</v>
      </c>
      <c r="X1536" t="s">
        <v>41</v>
      </c>
      <c r="Y1536" t="s">
        <v>42</v>
      </c>
      <c r="Z1536">
        <v>4</v>
      </c>
    </row>
    <row r="1537" spans="1:26">
      <c r="A1537" t="s">
        <v>2605</v>
      </c>
      <c r="B1537" t="s">
        <v>2161</v>
      </c>
      <c r="C1537" t="s">
        <v>45</v>
      </c>
      <c r="D1537" t="s">
        <v>46</v>
      </c>
      <c r="E1537" s="1">
        <v>44761</v>
      </c>
      <c r="F1537" t="s">
        <v>96</v>
      </c>
      <c r="G1537" t="s">
        <v>155</v>
      </c>
      <c r="H1537" t="s">
        <v>111</v>
      </c>
      <c r="I1537">
        <v>6</v>
      </c>
      <c r="J1537" t="s">
        <v>73</v>
      </c>
      <c r="K1537">
        <v>1</v>
      </c>
      <c r="L1537" s="3">
        <v>4399</v>
      </c>
      <c r="M1537">
        <v>10</v>
      </c>
      <c r="N1537" s="3">
        <v>3960</v>
      </c>
      <c r="O1537" s="3">
        <v>3960</v>
      </c>
      <c r="P1537" t="s">
        <v>74</v>
      </c>
      <c r="Q1537" t="s">
        <v>51</v>
      </c>
      <c r="R1537" t="s">
        <v>36</v>
      </c>
      <c r="S1537" t="s">
        <v>460</v>
      </c>
      <c r="T1537" t="s">
        <v>525</v>
      </c>
      <c r="U1537" t="s">
        <v>54</v>
      </c>
      <c r="V1537" t="s">
        <v>315</v>
      </c>
      <c r="W1537">
        <v>5</v>
      </c>
      <c r="X1537" t="s">
        <v>41</v>
      </c>
      <c r="Y1537" t="s">
        <v>42</v>
      </c>
      <c r="Z1537">
        <v>3</v>
      </c>
    </row>
    <row r="1538" spans="1:26">
      <c r="A1538" t="s">
        <v>2606</v>
      </c>
      <c r="B1538" t="s">
        <v>2607</v>
      </c>
      <c r="C1538" t="s">
        <v>28</v>
      </c>
      <c r="D1538" t="s">
        <v>29</v>
      </c>
      <c r="E1538" s="1">
        <v>44762</v>
      </c>
      <c r="F1538" t="s">
        <v>65</v>
      </c>
      <c r="G1538" t="s">
        <v>72</v>
      </c>
      <c r="H1538" t="s">
        <v>59</v>
      </c>
      <c r="I1538">
        <v>12</v>
      </c>
      <c r="J1538" t="s">
        <v>98</v>
      </c>
      <c r="K1538">
        <v>1</v>
      </c>
      <c r="L1538" s="3">
        <v>7799</v>
      </c>
      <c r="M1538">
        <v>25</v>
      </c>
      <c r="N1538" s="3">
        <v>5850</v>
      </c>
      <c r="O1538" s="3">
        <v>5850</v>
      </c>
      <c r="P1538" t="s">
        <v>74</v>
      </c>
      <c r="Q1538" t="s">
        <v>35</v>
      </c>
      <c r="R1538" t="s">
        <v>36</v>
      </c>
      <c r="S1538" t="s">
        <v>418</v>
      </c>
      <c r="T1538" t="s">
        <v>419</v>
      </c>
      <c r="U1538" t="s">
        <v>91</v>
      </c>
      <c r="V1538" t="s">
        <v>40</v>
      </c>
      <c r="W1538">
        <v>4.5</v>
      </c>
      <c r="X1538" t="s">
        <v>41</v>
      </c>
      <c r="Y1538" t="s">
        <v>42</v>
      </c>
      <c r="Z1538">
        <v>4</v>
      </c>
    </row>
    <row r="1539" spans="1:26">
      <c r="A1539" t="s">
        <v>2608</v>
      </c>
      <c r="B1539" t="s">
        <v>2609</v>
      </c>
      <c r="C1539" t="s">
        <v>28</v>
      </c>
      <c r="D1539" t="s">
        <v>29</v>
      </c>
      <c r="E1539" s="1">
        <v>44764</v>
      </c>
      <c r="F1539" t="s">
        <v>30</v>
      </c>
      <c r="G1539" t="s">
        <v>347</v>
      </c>
      <c r="H1539" t="s">
        <v>49</v>
      </c>
      <c r="I1539">
        <v>12</v>
      </c>
      <c r="J1539" t="s">
        <v>88</v>
      </c>
      <c r="K1539">
        <v>2</v>
      </c>
      <c r="L1539" s="3">
        <v>4199</v>
      </c>
      <c r="M1539">
        <v>15</v>
      </c>
      <c r="N1539" s="3">
        <v>3570</v>
      </c>
      <c r="O1539" s="3">
        <v>7140</v>
      </c>
      <c r="P1539" t="s">
        <v>34</v>
      </c>
      <c r="Q1539" t="s">
        <v>35</v>
      </c>
      <c r="R1539" t="s">
        <v>36</v>
      </c>
      <c r="S1539" t="s">
        <v>68</v>
      </c>
      <c r="T1539" t="s">
        <v>207</v>
      </c>
      <c r="U1539" t="s">
        <v>54</v>
      </c>
      <c r="V1539" t="s">
        <v>40</v>
      </c>
      <c r="W1539">
        <v>4.3</v>
      </c>
      <c r="X1539" t="s">
        <v>41</v>
      </c>
      <c r="Y1539" t="s">
        <v>42</v>
      </c>
      <c r="Z1539">
        <v>5</v>
      </c>
    </row>
    <row r="1540" spans="1:26">
      <c r="A1540" t="s">
        <v>2610</v>
      </c>
      <c r="B1540" t="s">
        <v>1276</v>
      </c>
      <c r="C1540" t="s">
        <v>28</v>
      </c>
      <c r="D1540" t="s">
        <v>46</v>
      </c>
      <c r="E1540" s="1">
        <v>44764</v>
      </c>
      <c r="F1540" t="s">
        <v>96</v>
      </c>
      <c r="G1540" t="s">
        <v>155</v>
      </c>
      <c r="H1540" t="s">
        <v>111</v>
      </c>
      <c r="I1540">
        <v>8</v>
      </c>
      <c r="J1540" t="s">
        <v>98</v>
      </c>
      <c r="K1540">
        <v>2</v>
      </c>
      <c r="L1540" s="3">
        <v>9699</v>
      </c>
      <c r="M1540">
        <v>15</v>
      </c>
      <c r="N1540" s="3">
        <v>8240</v>
      </c>
      <c r="O1540" s="3">
        <v>16480</v>
      </c>
      <c r="P1540" t="s">
        <v>34</v>
      </c>
      <c r="Q1540" t="s">
        <v>51</v>
      </c>
      <c r="R1540" t="s">
        <v>36</v>
      </c>
      <c r="S1540" t="s">
        <v>117</v>
      </c>
      <c r="T1540" t="s">
        <v>751</v>
      </c>
      <c r="U1540" t="s">
        <v>91</v>
      </c>
      <c r="V1540" t="s">
        <v>315</v>
      </c>
      <c r="W1540">
        <v>4.0999999999999996</v>
      </c>
      <c r="X1540" t="s">
        <v>41</v>
      </c>
      <c r="Y1540" t="s">
        <v>42</v>
      </c>
      <c r="Z1540">
        <v>6</v>
      </c>
    </row>
    <row r="1541" spans="1:26">
      <c r="A1541" t="s">
        <v>2611</v>
      </c>
      <c r="B1541" t="s">
        <v>1248</v>
      </c>
      <c r="C1541" t="s">
        <v>94</v>
      </c>
      <c r="D1541" t="s">
        <v>46</v>
      </c>
      <c r="E1541" s="1">
        <v>44764</v>
      </c>
      <c r="F1541" t="s">
        <v>30</v>
      </c>
      <c r="G1541" t="s">
        <v>145</v>
      </c>
      <c r="H1541" t="s">
        <v>59</v>
      </c>
      <c r="I1541">
        <v>7</v>
      </c>
      <c r="J1541" t="s">
        <v>33</v>
      </c>
      <c r="K1541">
        <v>1</v>
      </c>
      <c r="L1541" s="3">
        <v>4999</v>
      </c>
      <c r="M1541">
        <v>25</v>
      </c>
      <c r="N1541" s="3">
        <v>3750</v>
      </c>
      <c r="O1541" s="3">
        <v>3750</v>
      </c>
      <c r="P1541" t="s">
        <v>74</v>
      </c>
      <c r="Q1541" t="s">
        <v>51</v>
      </c>
      <c r="R1541" t="s">
        <v>36</v>
      </c>
      <c r="S1541" t="s">
        <v>129</v>
      </c>
      <c r="T1541" t="s">
        <v>146</v>
      </c>
      <c r="U1541" t="s">
        <v>61</v>
      </c>
      <c r="V1541" t="s">
        <v>315</v>
      </c>
      <c r="W1541">
        <v>3.2</v>
      </c>
      <c r="X1541" t="s">
        <v>41</v>
      </c>
      <c r="Y1541" t="s">
        <v>42</v>
      </c>
      <c r="Z1541">
        <v>4</v>
      </c>
    </row>
    <row r="1542" spans="1:26">
      <c r="A1542" t="s">
        <v>2612</v>
      </c>
      <c r="B1542" t="s">
        <v>852</v>
      </c>
      <c r="C1542" t="s">
        <v>28</v>
      </c>
      <c r="D1542" t="s">
        <v>46</v>
      </c>
      <c r="E1542" s="1">
        <v>44766</v>
      </c>
      <c r="F1542" t="s">
        <v>30</v>
      </c>
      <c r="G1542" t="s">
        <v>58</v>
      </c>
      <c r="H1542" t="s">
        <v>59</v>
      </c>
      <c r="I1542">
        <v>11</v>
      </c>
      <c r="J1542" t="s">
        <v>98</v>
      </c>
      <c r="K1542">
        <v>1</v>
      </c>
      <c r="L1542" s="3">
        <v>6299</v>
      </c>
      <c r="M1542">
        <v>5</v>
      </c>
      <c r="N1542" s="3">
        <v>5980</v>
      </c>
      <c r="O1542" s="3">
        <v>5980</v>
      </c>
      <c r="P1542" t="s">
        <v>74</v>
      </c>
      <c r="Q1542" t="s">
        <v>82</v>
      </c>
      <c r="R1542" t="s">
        <v>36</v>
      </c>
      <c r="S1542" t="s">
        <v>37</v>
      </c>
      <c r="T1542" t="s">
        <v>38</v>
      </c>
      <c r="U1542" t="s">
        <v>91</v>
      </c>
      <c r="V1542" t="s">
        <v>315</v>
      </c>
      <c r="W1542">
        <v>3.7</v>
      </c>
      <c r="X1542" t="s">
        <v>62</v>
      </c>
      <c r="Y1542" t="s">
        <v>42</v>
      </c>
      <c r="Z1542">
        <v>5</v>
      </c>
    </row>
    <row r="1543" spans="1:26">
      <c r="A1543" t="s">
        <v>2613</v>
      </c>
      <c r="B1543" t="s">
        <v>610</v>
      </c>
      <c r="C1543" t="s">
        <v>94</v>
      </c>
      <c r="D1543" t="s">
        <v>46</v>
      </c>
      <c r="E1543" s="1">
        <v>44766</v>
      </c>
      <c r="F1543" t="s">
        <v>79</v>
      </c>
      <c r="G1543" t="s">
        <v>80</v>
      </c>
      <c r="H1543" t="s">
        <v>59</v>
      </c>
      <c r="I1543">
        <v>7</v>
      </c>
      <c r="J1543" t="s">
        <v>98</v>
      </c>
      <c r="K1543">
        <v>1</v>
      </c>
      <c r="L1543" s="3">
        <v>6599</v>
      </c>
      <c r="M1543">
        <v>30</v>
      </c>
      <c r="N1543" s="3">
        <v>4620</v>
      </c>
      <c r="O1543" s="3">
        <v>4620</v>
      </c>
      <c r="P1543" t="s">
        <v>74</v>
      </c>
      <c r="Q1543" t="s">
        <v>51</v>
      </c>
      <c r="R1543" t="s">
        <v>36</v>
      </c>
      <c r="S1543" t="s">
        <v>112</v>
      </c>
      <c r="T1543" t="s">
        <v>250</v>
      </c>
      <c r="U1543" t="s">
        <v>54</v>
      </c>
      <c r="V1543" t="s">
        <v>315</v>
      </c>
      <c r="W1543">
        <v>4.5</v>
      </c>
      <c r="X1543" t="s">
        <v>41</v>
      </c>
      <c r="Y1543" t="s">
        <v>42</v>
      </c>
      <c r="Z1543">
        <v>3</v>
      </c>
    </row>
    <row r="1544" spans="1:26">
      <c r="A1544" t="s">
        <v>2614</v>
      </c>
      <c r="B1544" t="s">
        <v>1013</v>
      </c>
      <c r="C1544" t="s">
        <v>28</v>
      </c>
      <c r="D1544" t="s">
        <v>103</v>
      </c>
      <c r="E1544" s="1">
        <v>44766</v>
      </c>
      <c r="F1544" t="s">
        <v>86</v>
      </c>
      <c r="G1544" t="s">
        <v>190</v>
      </c>
      <c r="H1544" t="s">
        <v>128</v>
      </c>
      <c r="I1544">
        <v>10</v>
      </c>
      <c r="J1544" t="s">
        <v>150</v>
      </c>
      <c r="K1544">
        <v>1</v>
      </c>
      <c r="L1544" s="3">
        <v>5199</v>
      </c>
      <c r="M1544">
        <v>20</v>
      </c>
      <c r="N1544" s="3">
        <v>4160</v>
      </c>
      <c r="O1544" s="3">
        <v>4160</v>
      </c>
      <c r="P1544" t="s">
        <v>74</v>
      </c>
      <c r="Q1544" t="s">
        <v>51</v>
      </c>
      <c r="R1544" t="s">
        <v>36</v>
      </c>
      <c r="S1544" t="s">
        <v>160</v>
      </c>
      <c r="T1544" t="s">
        <v>161</v>
      </c>
      <c r="U1544" t="s">
        <v>61</v>
      </c>
      <c r="V1544" t="s">
        <v>315</v>
      </c>
      <c r="W1544">
        <v>5</v>
      </c>
      <c r="X1544" t="s">
        <v>106</v>
      </c>
      <c r="Y1544" t="s">
        <v>42</v>
      </c>
      <c r="Z1544">
        <v>6</v>
      </c>
    </row>
    <row r="1545" spans="1:26">
      <c r="A1545" t="s">
        <v>2615</v>
      </c>
      <c r="B1545" t="s">
        <v>630</v>
      </c>
      <c r="C1545" t="s">
        <v>45</v>
      </c>
      <c r="D1545" t="s">
        <v>103</v>
      </c>
      <c r="E1545" s="1">
        <v>44766</v>
      </c>
      <c r="F1545" t="s">
        <v>96</v>
      </c>
      <c r="G1545" t="s">
        <v>155</v>
      </c>
      <c r="H1545" t="s">
        <v>111</v>
      </c>
      <c r="I1545">
        <v>10</v>
      </c>
      <c r="J1545" t="s">
        <v>98</v>
      </c>
      <c r="K1545">
        <v>1</v>
      </c>
      <c r="L1545" s="3">
        <v>9899</v>
      </c>
      <c r="M1545">
        <v>20</v>
      </c>
      <c r="N1545" s="3">
        <v>7920</v>
      </c>
      <c r="O1545" s="3">
        <v>7920</v>
      </c>
      <c r="P1545" t="s">
        <v>74</v>
      </c>
      <c r="Q1545" t="s">
        <v>51</v>
      </c>
      <c r="R1545" t="s">
        <v>36</v>
      </c>
      <c r="S1545" t="s">
        <v>117</v>
      </c>
      <c r="T1545" t="s">
        <v>751</v>
      </c>
      <c r="U1545" t="s">
        <v>124</v>
      </c>
      <c r="V1545" t="s">
        <v>969</v>
      </c>
      <c r="W1545">
        <v>4.2</v>
      </c>
      <c r="X1545" t="s">
        <v>41</v>
      </c>
      <c r="Y1545" t="s">
        <v>42</v>
      </c>
      <c r="Z1545">
        <v>5</v>
      </c>
    </row>
    <row r="1546" spans="1:26">
      <c r="A1546" t="s">
        <v>2616</v>
      </c>
      <c r="B1546" t="s">
        <v>1537</v>
      </c>
      <c r="C1546" t="s">
        <v>28</v>
      </c>
      <c r="D1546" t="s">
        <v>29</v>
      </c>
      <c r="E1546" s="1">
        <v>44769</v>
      </c>
      <c r="F1546" t="s">
        <v>30</v>
      </c>
      <c r="G1546" t="s">
        <v>110</v>
      </c>
      <c r="H1546" t="s">
        <v>111</v>
      </c>
      <c r="I1546">
        <v>11</v>
      </c>
      <c r="J1546" t="s">
        <v>98</v>
      </c>
      <c r="K1546">
        <v>1</v>
      </c>
      <c r="L1546" s="3">
        <v>4899</v>
      </c>
      <c r="M1546">
        <v>5</v>
      </c>
      <c r="N1546" s="3">
        <v>4650</v>
      </c>
      <c r="O1546" s="3">
        <v>4650</v>
      </c>
      <c r="P1546" t="s">
        <v>74</v>
      </c>
      <c r="Q1546" t="s">
        <v>51</v>
      </c>
      <c r="R1546" t="s">
        <v>36</v>
      </c>
      <c r="S1546" t="s">
        <v>129</v>
      </c>
      <c r="T1546" t="s">
        <v>146</v>
      </c>
      <c r="U1546" t="s">
        <v>91</v>
      </c>
      <c r="V1546" t="s">
        <v>315</v>
      </c>
      <c r="W1546">
        <v>2.8</v>
      </c>
      <c r="X1546" t="s">
        <v>41</v>
      </c>
      <c r="Y1546" t="s">
        <v>55</v>
      </c>
      <c r="Z1546">
        <v>1</v>
      </c>
    </row>
    <row r="1547" spans="1:26">
      <c r="A1547" t="s">
        <v>2617</v>
      </c>
      <c r="B1547" t="s">
        <v>2618</v>
      </c>
      <c r="C1547" t="s">
        <v>45</v>
      </c>
      <c r="D1547" t="s">
        <v>109</v>
      </c>
      <c r="E1547" s="1">
        <v>44778</v>
      </c>
      <c r="F1547" t="s">
        <v>79</v>
      </c>
      <c r="G1547" t="s">
        <v>301</v>
      </c>
      <c r="H1547" t="s">
        <v>49</v>
      </c>
      <c r="I1547">
        <v>6</v>
      </c>
      <c r="J1547" t="s">
        <v>88</v>
      </c>
      <c r="K1547">
        <v>1</v>
      </c>
      <c r="L1547" s="3">
        <v>7599</v>
      </c>
      <c r="M1547">
        <v>10</v>
      </c>
      <c r="N1547" s="3">
        <v>6840</v>
      </c>
      <c r="O1547" s="3">
        <v>6840</v>
      </c>
      <c r="P1547" t="s">
        <v>74</v>
      </c>
      <c r="Q1547" t="s">
        <v>82</v>
      </c>
      <c r="R1547" t="s">
        <v>36</v>
      </c>
      <c r="S1547" t="s">
        <v>52</v>
      </c>
      <c r="T1547" t="s">
        <v>53</v>
      </c>
      <c r="U1547" t="s">
        <v>54</v>
      </c>
      <c r="V1547" t="s">
        <v>40</v>
      </c>
      <c r="W1547">
        <v>4.9000000000000004</v>
      </c>
      <c r="X1547" t="s">
        <v>41</v>
      </c>
      <c r="Y1547" t="s">
        <v>42</v>
      </c>
      <c r="Z1547">
        <v>4</v>
      </c>
    </row>
    <row r="1548" spans="1:26">
      <c r="A1548" t="s">
        <v>2619</v>
      </c>
      <c r="B1548" t="s">
        <v>2620</v>
      </c>
      <c r="C1548" t="s">
        <v>28</v>
      </c>
      <c r="D1548" t="s">
        <v>29</v>
      </c>
      <c r="E1548" s="1">
        <v>44778</v>
      </c>
      <c r="F1548" t="s">
        <v>79</v>
      </c>
      <c r="G1548" t="s">
        <v>127</v>
      </c>
      <c r="H1548" t="s">
        <v>128</v>
      </c>
      <c r="I1548">
        <v>9</v>
      </c>
      <c r="J1548" t="s">
        <v>98</v>
      </c>
      <c r="K1548">
        <v>2</v>
      </c>
      <c r="L1548" s="3">
        <v>5899</v>
      </c>
      <c r="M1548">
        <v>20</v>
      </c>
      <c r="N1548" s="3">
        <v>4720</v>
      </c>
      <c r="O1548" s="3">
        <v>9440</v>
      </c>
      <c r="P1548" t="s">
        <v>34</v>
      </c>
      <c r="Q1548" t="s">
        <v>82</v>
      </c>
      <c r="R1548" t="s">
        <v>36</v>
      </c>
      <c r="S1548" t="s">
        <v>175</v>
      </c>
      <c r="T1548" t="s">
        <v>865</v>
      </c>
      <c r="U1548" t="s">
        <v>54</v>
      </c>
      <c r="V1548" t="s">
        <v>40</v>
      </c>
      <c r="W1548">
        <v>3.7</v>
      </c>
      <c r="X1548" t="s">
        <v>41</v>
      </c>
      <c r="Y1548" t="s">
        <v>42</v>
      </c>
      <c r="Z1548">
        <v>1</v>
      </c>
    </row>
    <row r="1549" spans="1:26">
      <c r="A1549" t="s">
        <v>2621</v>
      </c>
      <c r="B1549" t="s">
        <v>2427</v>
      </c>
      <c r="C1549" t="s">
        <v>28</v>
      </c>
      <c r="D1549" t="s">
        <v>46</v>
      </c>
      <c r="E1549" s="1">
        <v>44779</v>
      </c>
      <c r="F1549" t="s">
        <v>47</v>
      </c>
      <c r="G1549" t="s">
        <v>218</v>
      </c>
      <c r="H1549" t="s">
        <v>59</v>
      </c>
      <c r="I1549">
        <v>6</v>
      </c>
      <c r="J1549" t="s">
        <v>150</v>
      </c>
      <c r="K1549">
        <v>2</v>
      </c>
      <c r="L1549" s="3">
        <v>6899</v>
      </c>
      <c r="M1549">
        <v>20</v>
      </c>
      <c r="N1549" s="3">
        <v>5520</v>
      </c>
      <c r="O1549" s="3">
        <v>11040</v>
      </c>
      <c r="P1549" t="s">
        <v>74</v>
      </c>
      <c r="Q1549" t="s">
        <v>82</v>
      </c>
      <c r="R1549" t="s">
        <v>36</v>
      </c>
      <c r="S1549" t="s">
        <v>297</v>
      </c>
      <c r="T1549" t="s">
        <v>298</v>
      </c>
      <c r="U1549" t="s">
        <v>91</v>
      </c>
      <c r="V1549" t="s">
        <v>315</v>
      </c>
      <c r="W1549">
        <v>3.5</v>
      </c>
      <c r="X1549" t="s">
        <v>41</v>
      </c>
      <c r="Y1549" t="s">
        <v>42</v>
      </c>
      <c r="Z1549">
        <v>1</v>
      </c>
    </row>
    <row r="1550" spans="1:26">
      <c r="A1550" t="s">
        <v>2622</v>
      </c>
      <c r="B1550" t="s">
        <v>1627</v>
      </c>
      <c r="C1550" t="s">
        <v>28</v>
      </c>
      <c r="D1550" t="s">
        <v>103</v>
      </c>
      <c r="E1550" s="1">
        <v>44779</v>
      </c>
      <c r="F1550" t="s">
        <v>65</v>
      </c>
      <c r="G1550" t="s">
        <v>72</v>
      </c>
      <c r="H1550" t="s">
        <v>59</v>
      </c>
      <c r="I1550">
        <v>7</v>
      </c>
      <c r="J1550" t="s">
        <v>73</v>
      </c>
      <c r="K1550">
        <v>1</v>
      </c>
      <c r="L1550" s="3">
        <v>8499</v>
      </c>
      <c r="M1550">
        <v>15</v>
      </c>
      <c r="N1550" s="3">
        <v>7220</v>
      </c>
      <c r="O1550" s="3">
        <v>7220</v>
      </c>
      <c r="P1550" t="s">
        <v>74</v>
      </c>
      <c r="Q1550" t="s">
        <v>51</v>
      </c>
      <c r="R1550" t="s">
        <v>36</v>
      </c>
      <c r="S1550" t="s">
        <v>151</v>
      </c>
      <c r="T1550" t="s">
        <v>452</v>
      </c>
      <c r="U1550" t="s">
        <v>39</v>
      </c>
      <c r="V1550" t="s">
        <v>969</v>
      </c>
      <c r="W1550">
        <v>2.9</v>
      </c>
      <c r="X1550" t="s">
        <v>41</v>
      </c>
      <c r="Y1550" t="s">
        <v>42</v>
      </c>
      <c r="Z1550">
        <v>4</v>
      </c>
    </row>
    <row r="1551" spans="1:26">
      <c r="A1551" t="s">
        <v>2623</v>
      </c>
      <c r="B1551" t="s">
        <v>644</v>
      </c>
      <c r="C1551" t="s">
        <v>28</v>
      </c>
      <c r="D1551" t="s">
        <v>46</v>
      </c>
      <c r="E1551" s="1">
        <v>44780</v>
      </c>
      <c r="F1551" t="s">
        <v>86</v>
      </c>
      <c r="G1551" t="s">
        <v>312</v>
      </c>
      <c r="H1551" t="s">
        <v>59</v>
      </c>
      <c r="I1551">
        <v>8</v>
      </c>
      <c r="J1551" t="s">
        <v>150</v>
      </c>
      <c r="K1551">
        <v>2</v>
      </c>
      <c r="L1551" s="3">
        <v>5599</v>
      </c>
      <c r="M1551">
        <v>25</v>
      </c>
      <c r="N1551" s="3">
        <v>4200</v>
      </c>
      <c r="O1551" s="3">
        <v>8400</v>
      </c>
      <c r="P1551" t="s">
        <v>74</v>
      </c>
      <c r="Q1551" t="s">
        <v>35</v>
      </c>
      <c r="R1551" t="s">
        <v>36</v>
      </c>
      <c r="S1551" t="s">
        <v>151</v>
      </c>
      <c r="T1551" t="s">
        <v>890</v>
      </c>
      <c r="U1551" t="s">
        <v>39</v>
      </c>
      <c r="V1551" t="s">
        <v>969</v>
      </c>
      <c r="W1551">
        <v>3.2</v>
      </c>
      <c r="X1551" t="s">
        <v>62</v>
      </c>
      <c r="Y1551" t="s">
        <v>55</v>
      </c>
      <c r="Z1551">
        <v>4</v>
      </c>
    </row>
    <row r="1552" spans="1:26">
      <c r="A1552" t="s">
        <v>2624</v>
      </c>
      <c r="B1552" t="s">
        <v>1308</v>
      </c>
      <c r="C1552" t="s">
        <v>45</v>
      </c>
      <c r="D1552" t="s">
        <v>29</v>
      </c>
      <c r="E1552" s="1">
        <v>44781</v>
      </c>
      <c r="F1552" t="s">
        <v>65</v>
      </c>
      <c r="G1552" t="s">
        <v>256</v>
      </c>
      <c r="H1552" t="s">
        <v>32</v>
      </c>
      <c r="I1552">
        <v>7</v>
      </c>
      <c r="J1552" t="s">
        <v>98</v>
      </c>
      <c r="K1552">
        <v>1</v>
      </c>
      <c r="L1552" s="3">
        <v>6299</v>
      </c>
      <c r="M1552">
        <v>15</v>
      </c>
      <c r="N1552" s="3">
        <v>5350</v>
      </c>
      <c r="O1552" s="3">
        <v>5350</v>
      </c>
      <c r="P1552" t="s">
        <v>74</v>
      </c>
      <c r="Q1552" t="s">
        <v>82</v>
      </c>
      <c r="R1552" t="s">
        <v>36</v>
      </c>
      <c r="S1552" t="s">
        <v>269</v>
      </c>
      <c r="T1552" t="s">
        <v>575</v>
      </c>
      <c r="U1552" t="s">
        <v>54</v>
      </c>
      <c r="V1552" t="s">
        <v>315</v>
      </c>
      <c r="W1552">
        <v>4.5</v>
      </c>
      <c r="X1552" t="s">
        <v>41</v>
      </c>
      <c r="Y1552" t="s">
        <v>55</v>
      </c>
      <c r="Z1552">
        <v>2</v>
      </c>
    </row>
    <row r="1553" spans="1:26">
      <c r="A1553" t="s">
        <v>2625</v>
      </c>
      <c r="B1553" t="s">
        <v>531</v>
      </c>
      <c r="C1553" t="s">
        <v>45</v>
      </c>
      <c r="D1553" t="s">
        <v>109</v>
      </c>
      <c r="E1553" s="1">
        <v>44781</v>
      </c>
      <c r="F1553" t="s">
        <v>96</v>
      </c>
      <c r="G1553" t="s">
        <v>155</v>
      </c>
      <c r="H1553" t="s">
        <v>111</v>
      </c>
      <c r="I1553">
        <v>9</v>
      </c>
      <c r="J1553" t="s">
        <v>33</v>
      </c>
      <c r="K1553">
        <v>2</v>
      </c>
      <c r="L1553" s="3">
        <v>9199</v>
      </c>
      <c r="M1553">
        <v>20</v>
      </c>
      <c r="N1553" s="3">
        <v>7360</v>
      </c>
      <c r="O1553" s="3">
        <v>14720</v>
      </c>
      <c r="P1553" t="s">
        <v>74</v>
      </c>
      <c r="Q1553" t="s">
        <v>82</v>
      </c>
      <c r="R1553" t="s">
        <v>36</v>
      </c>
      <c r="S1553" t="s">
        <v>37</v>
      </c>
      <c r="T1553" t="s">
        <v>38</v>
      </c>
      <c r="U1553" t="s">
        <v>124</v>
      </c>
      <c r="V1553" t="s">
        <v>315</v>
      </c>
      <c r="W1553">
        <v>4.9000000000000004</v>
      </c>
      <c r="X1553" t="s">
        <v>41</v>
      </c>
      <c r="Y1553" t="s">
        <v>42</v>
      </c>
      <c r="Z1553">
        <v>3</v>
      </c>
    </row>
    <row r="1554" spans="1:26">
      <c r="A1554" t="s">
        <v>2626</v>
      </c>
      <c r="B1554" t="s">
        <v>1010</v>
      </c>
      <c r="C1554" t="s">
        <v>28</v>
      </c>
      <c r="D1554" t="s">
        <v>103</v>
      </c>
      <c r="E1554" s="1">
        <v>44781</v>
      </c>
      <c r="F1554" t="s">
        <v>47</v>
      </c>
      <c r="G1554" t="s">
        <v>199</v>
      </c>
      <c r="H1554" t="s">
        <v>59</v>
      </c>
      <c r="I1554">
        <v>9</v>
      </c>
      <c r="J1554" t="s">
        <v>73</v>
      </c>
      <c r="K1554">
        <v>1</v>
      </c>
      <c r="L1554" s="3">
        <v>8099</v>
      </c>
      <c r="M1554">
        <v>10</v>
      </c>
      <c r="N1554" s="3">
        <v>7290</v>
      </c>
      <c r="O1554" s="3">
        <v>7290</v>
      </c>
      <c r="P1554" t="s">
        <v>74</v>
      </c>
      <c r="Q1554" t="s">
        <v>82</v>
      </c>
      <c r="R1554" t="s">
        <v>36</v>
      </c>
      <c r="S1554" t="s">
        <v>175</v>
      </c>
      <c r="T1554" t="s">
        <v>865</v>
      </c>
      <c r="U1554" t="s">
        <v>39</v>
      </c>
      <c r="V1554" t="s">
        <v>969</v>
      </c>
      <c r="W1554">
        <v>3.4</v>
      </c>
      <c r="X1554" t="s">
        <v>62</v>
      </c>
      <c r="Y1554" t="s">
        <v>147</v>
      </c>
      <c r="Z1554">
        <v>1</v>
      </c>
    </row>
    <row r="1555" spans="1:26">
      <c r="A1555" t="s">
        <v>2627</v>
      </c>
      <c r="B1555" t="s">
        <v>163</v>
      </c>
      <c r="C1555" t="s">
        <v>28</v>
      </c>
      <c r="D1555" t="s">
        <v>95</v>
      </c>
      <c r="E1555" s="1">
        <v>44781</v>
      </c>
      <c r="F1555" t="s">
        <v>30</v>
      </c>
      <c r="G1555" t="s">
        <v>110</v>
      </c>
      <c r="H1555" t="s">
        <v>111</v>
      </c>
      <c r="I1555">
        <v>7</v>
      </c>
      <c r="J1555" t="s">
        <v>67</v>
      </c>
      <c r="K1555">
        <v>2</v>
      </c>
      <c r="L1555" s="3">
        <v>9299</v>
      </c>
      <c r="M1555">
        <v>20</v>
      </c>
      <c r="N1555" s="3">
        <v>7440</v>
      </c>
      <c r="O1555" s="3">
        <v>14880</v>
      </c>
      <c r="P1555" t="s">
        <v>34</v>
      </c>
      <c r="Q1555" t="s">
        <v>51</v>
      </c>
      <c r="R1555" t="s">
        <v>36</v>
      </c>
      <c r="S1555" t="s">
        <v>117</v>
      </c>
      <c r="T1555" t="s">
        <v>118</v>
      </c>
      <c r="U1555" t="s">
        <v>54</v>
      </c>
      <c r="V1555" t="s">
        <v>315</v>
      </c>
      <c r="W1555">
        <v>4.3</v>
      </c>
      <c r="X1555" t="s">
        <v>41</v>
      </c>
      <c r="Y1555" t="s">
        <v>42</v>
      </c>
      <c r="Z1555">
        <v>6</v>
      </c>
    </row>
    <row r="1556" spans="1:26">
      <c r="A1556" t="s">
        <v>2628</v>
      </c>
      <c r="B1556" t="s">
        <v>2076</v>
      </c>
      <c r="C1556" t="s">
        <v>94</v>
      </c>
      <c r="D1556" t="s">
        <v>46</v>
      </c>
      <c r="E1556" s="1">
        <v>44782</v>
      </c>
      <c r="F1556" t="s">
        <v>30</v>
      </c>
      <c r="G1556" t="s">
        <v>214</v>
      </c>
      <c r="H1556" t="s">
        <v>128</v>
      </c>
      <c r="I1556">
        <v>11</v>
      </c>
      <c r="J1556" t="s">
        <v>88</v>
      </c>
      <c r="K1556">
        <v>3</v>
      </c>
      <c r="L1556" s="3">
        <v>4199</v>
      </c>
      <c r="M1556">
        <v>30</v>
      </c>
      <c r="N1556" s="3">
        <v>2940</v>
      </c>
      <c r="O1556" s="3">
        <v>8820</v>
      </c>
      <c r="P1556" t="s">
        <v>34</v>
      </c>
      <c r="Q1556" t="s">
        <v>35</v>
      </c>
      <c r="R1556" t="s">
        <v>36</v>
      </c>
      <c r="S1556" t="s">
        <v>104</v>
      </c>
      <c r="T1556" t="s">
        <v>1048</v>
      </c>
      <c r="U1556" t="s">
        <v>91</v>
      </c>
      <c r="V1556" t="s">
        <v>315</v>
      </c>
      <c r="W1556">
        <v>3.4</v>
      </c>
      <c r="X1556" t="s">
        <v>41</v>
      </c>
      <c r="Y1556" t="s">
        <v>42</v>
      </c>
      <c r="Z1556">
        <v>3</v>
      </c>
    </row>
    <row r="1557" spans="1:26">
      <c r="A1557" t="s">
        <v>2629</v>
      </c>
      <c r="B1557" t="s">
        <v>1342</v>
      </c>
      <c r="C1557" t="s">
        <v>94</v>
      </c>
      <c r="D1557" t="s">
        <v>29</v>
      </c>
      <c r="E1557" s="1">
        <v>44783</v>
      </c>
      <c r="F1557" t="s">
        <v>79</v>
      </c>
      <c r="G1557" t="s">
        <v>127</v>
      </c>
      <c r="H1557" t="s">
        <v>128</v>
      </c>
      <c r="I1557">
        <v>9</v>
      </c>
      <c r="J1557" t="s">
        <v>67</v>
      </c>
      <c r="K1557">
        <v>1</v>
      </c>
      <c r="L1557" s="3">
        <v>5099</v>
      </c>
      <c r="M1557">
        <v>10</v>
      </c>
      <c r="N1557" s="3">
        <v>4590</v>
      </c>
      <c r="O1557" s="3">
        <v>4590</v>
      </c>
      <c r="P1557" t="s">
        <v>81</v>
      </c>
      <c r="Q1557" t="s">
        <v>82</v>
      </c>
      <c r="R1557" t="s">
        <v>36</v>
      </c>
      <c r="S1557" t="s">
        <v>156</v>
      </c>
      <c r="T1557" t="s">
        <v>257</v>
      </c>
      <c r="U1557" t="s">
        <v>91</v>
      </c>
      <c r="V1557" t="s">
        <v>315</v>
      </c>
      <c r="W1557">
        <v>4.7</v>
      </c>
      <c r="X1557" t="s">
        <v>62</v>
      </c>
      <c r="Y1557" t="s">
        <v>42</v>
      </c>
      <c r="Z1557">
        <v>5</v>
      </c>
    </row>
    <row r="1558" spans="1:26">
      <c r="A1558" t="s">
        <v>2630</v>
      </c>
      <c r="B1558" t="s">
        <v>1052</v>
      </c>
      <c r="C1558" t="s">
        <v>28</v>
      </c>
      <c r="D1558" t="s">
        <v>46</v>
      </c>
      <c r="E1558" s="1">
        <v>44784</v>
      </c>
      <c r="F1558" t="s">
        <v>47</v>
      </c>
      <c r="G1558" t="s">
        <v>402</v>
      </c>
      <c r="H1558" t="s">
        <v>32</v>
      </c>
      <c r="I1558">
        <v>9</v>
      </c>
      <c r="J1558" t="s">
        <v>73</v>
      </c>
      <c r="K1558">
        <v>1</v>
      </c>
      <c r="L1558" s="3">
        <v>5999</v>
      </c>
      <c r="M1558">
        <v>15</v>
      </c>
      <c r="N1558" s="3">
        <v>5100</v>
      </c>
      <c r="O1558" s="3">
        <v>5100</v>
      </c>
      <c r="P1558" t="s">
        <v>34</v>
      </c>
      <c r="Q1558" t="s">
        <v>82</v>
      </c>
      <c r="R1558" t="s">
        <v>36</v>
      </c>
      <c r="S1558" t="s">
        <v>104</v>
      </c>
      <c r="T1558" t="s">
        <v>105</v>
      </c>
      <c r="U1558" t="s">
        <v>91</v>
      </c>
      <c r="V1558" t="s">
        <v>315</v>
      </c>
      <c r="W1558">
        <v>4.2</v>
      </c>
      <c r="X1558" t="s">
        <v>106</v>
      </c>
      <c r="Y1558" t="s">
        <v>42</v>
      </c>
      <c r="Z1558">
        <v>2</v>
      </c>
    </row>
    <row r="1559" spans="1:26">
      <c r="A1559" t="s">
        <v>2631</v>
      </c>
      <c r="B1559" t="s">
        <v>2144</v>
      </c>
      <c r="C1559" t="s">
        <v>28</v>
      </c>
      <c r="D1559" t="s">
        <v>29</v>
      </c>
      <c r="E1559" s="1">
        <v>44785</v>
      </c>
      <c r="F1559" t="s">
        <v>30</v>
      </c>
      <c r="G1559" t="s">
        <v>145</v>
      </c>
      <c r="H1559" t="s">
        <v>59</v>
      </c>
      <c r="I1559">
        <v>8</v>
      </c>
      <c r="J1559" t="s">
        <v>98</v>
      </c>
      <c r="K1559">
        <v>1</v>
      </c>
      <c r="L1559" s="3">
        <v>9099</v>
      </c>
      <c r="M1559">
        <v>15</v>
      </c>
      <c r="N1559" s="3">
        <v>7730</v>
      </c>
      <c r="O1559" s="3">
        <v>7730</v>
      </c>
      <c r="P1559" t="s">
        <v>74</v>
      </c>
      <c r="Q1559" t="s">
        <v>51</v>
      </c>
      <c r="R1559" t="s">
        <v>36</v>
      </c>
      <c r="S1559" t="s">
        <v>191</v>
      </c>
      <c r="T1559" t="s">
        <v>332</v>
      </c>
      <c r="U1559" t="s">
        <v>61</v>
      </c>
      <c r="V1559" t="s">
        <v>315</v>
      </c>
      <c r="W1559">
        <v>4.0999999999999996</v>
      </c>
      <c r="X1559" t="s">
        <v>41</v>
      </c>
      <c r="Y1559" t="s">
        <v>42</v>
      </c>
      <c r="Z1559">
        <v>4</v>
      </c>
    </row>
    <row r="1560" spans="1:26">
      <c r="A1560" t="s">
        <v>2632</v>
      </c>
      <c r="B1560" t="s">
        <v>167</v>
      </c>
      <c r="C1560" t="s">
        <v>28</v>
      </c>
      <c r="D1560" t="s">
        <v>109</v>
      </c>
      <c r="E1560" s="1">
        <v>44785</v>
      </c>
      <c r="F1560" t="s">
        <v>30</v>
      </c>
      <c r="G1560" t="s">
        <v>58</v>
      </c>
      <c r="H1560" t="s">
        <v>59</v>
      </c>
      <c r="I1560">
        <v>8</v>
      </c>
      <c r="J1560" t="s">
        <v>73</v>
      </c>
      <c r="K1560">
        <v>1</v>
      </c>
      <c r="L1560" s="3">
        <v>8199</v>
      </c>
      <c r="M1560">
        <v>5</v>
      </c>
      <c r="N1560" s="3">
        <v>7790</v>
      </c>
      <c r="O1560" s="3">
        <v>7790</v>
      </c>
      <c r="P1560" t="s">
        <v>34</v>
      </c>
      <c r="Q1560" t="s">
        <v>82</v>
      </c>
      <c r="R1560" t="s">
        <v>36</v>
      </c>
      <c r="S1560" t="s">
        <v>75</v>
      </c>
      <c r="T1560" t="s">
        <v>318</v>
      </c>
      <c r="U1560" t="s">
        <v>91</v>
      </c>
      <c r="V1560" t="s">
        <v>969</v>
      </c>
      <c r="W1560">
        <v>4.5999999999999996</v>
      </c>
      <c r="X1560" t="s">
        <v>41</v>
      </c>
      <c r="Y1560" t="s">
        <v>55</v>
      </c>
      <c r="Z1560">
        <v>2</v>
      </c>
    </row>
    <row r="1561" spans="1:26">
      <c r="A1561" t="s">
        <v>2633</v>
      </c>
      <c r="B1561" t="s">
        <v>1429</v>
      </c>
      <c r="C1561" t="s">
        <v>94</v>
      </c>
      <c r="D1561" t="s">
        <v>46</v>
      </c>
      <c r="E1561" s="1">
        <v>44785</v>
      </c>
      <c r="F1561" t="s">
        <v>86</v>
      </c>
      <c r="G1561" t="s">
        <v>87</v>
      </c>
      <c r="H1561" t="s">
        <v>59</v>
      </c>
      <c r="I1561">
        <v>7</v>
      </c>
      <c r="J1561" t="s">
        <v>73</v>
      </c>
      <c r="K1561">
        <v>1</v>
      </c>
      <c r="L1561" s="3">
        <v>4799</v>
      </c>
      <c r="M1561">
        <v>20</v>
      </c>
      <c r="N1561" s="3">
        <v>3840</v>
      </c>
      <c r="O1561" s="3">
        <v>3840</v>
      </c>
      <c r="P1561" t="s">
        <v>74</v>
      </c>
      <c r="Q1561" t="s">
        <v>51</v>
      </c>
      <c r="R1561" t="s">
        <v>36</v>
      </c>
      <c r="S1561" t="s">
        <v>186</v>
      </c>
      <c r="T1561" t="s">
        <v>397</v>
      </c>
      <c r="U1561" t="s">
        <v>124</v>
      </c>
      <c r="V1561" t="s">
        <v>969</v>
      </c>
      <c r="W1561">
        <v>4</v>
      </c>
      <c r="X1561" t="s">
        <v>106</v>
      </c>
      <c r="Y1561" t="s">
        <v>147</v>
      </c>
      <c r="Z1561">
        <v>1</v>
      </c>
    </row>
    <row r="1562" spans="1:26">
      <c r="A1562" t="s">
        <v>2634</v>
      </c>
      <c r="B1562" t="s">
        <v>2213</v>
      </c>
      <c r="C1562" t="s">
        <v>28</v>
      </c>
      <c r="D1562" t="s">
        <v>103</v>
      </c>
      <c r="E1562" s="1">
        <v>44789</v>
      </c>
      <c r="F1562" t="s">
        <v>79</v>
      </c>
      <c r="G1562" t="s">
        <v>127</v>
      </c>
      <c r="H1562" t="s">
        <v>128</v>
      </c>
      <c r="I1562">
        <v>9</v>
      </c>
      <c r="J1562" t="s">
        <v>33</v>
      </c>
      <c r="K1562">
        <v>1</v>
      </c>
      <c r="L1562" s="3">
        <v>4599</v>
      </c>
      <c r="M1562">
        <v>0</v>
      </c>
      <c r="N1562" s="3">
        <v>4600</v>
      </c>
      <c r="O1562" s="3">
        <v>4600</v>
      </c>
      <c r="P1562" t="s">
        <v>74</v>
      </c>
      <c r="Q1562" t="s">
        <v>51</v>
      </c>
      <c r="R1562" t="s">
        <v>36</v>
      </c>
      <c r="S1562" t="s">
        <v>286</v>
      </c>
      <c r="T1562" t="s">
        <v>366</v>
      </c>
      <c r="U1562" t="s">
        <v>61</v>
      </c>
      <c r="V1562" t="s">
        <v>315</v>
      </c>
      <c r="W1562">
        <v>3.9</v>
      </c>
      <c r="X1562" t="s">
        <v>41</v>
      </c>
      <c r="Y1562" t="s">
        <v>42</v>
      </c>
      <c r="Z1562">
        <v>3</v>
      </c>
    </row>
    <row r="1563" spans="1:26">
      <c r="A1563" t="s">
        <v>2635</v>
      </c>
      <c r="B1563" t="s">
        <v>579</v>
      </c>
      <c r="C1563" t="s">
        <v>45</v>
      </c>
      <c r="D1563" t="s">
        <v>103</v>
      </c>
      <c r="E1563" s="1">
        <v>44789</v>
      </c>
      <c r="F1563" t="s">
        <v>65</v>
      </c>
      <c r="G1563" t="s">
        <v>66</v>
      </c>
      <c r="H1563" t="s">
        <v>59</v>
      </c>
      <c r="I1563">
        <v>10</v>
      </c>
      <c r="J1563" t="s">
        <v>67</v>
      </c>
      <c r="K1563">
        <v>1</v>
      </c>
      <c r="L1563" s="3">
        <v>4099</v>
      </c>
      <c r="M1563">
        <v>25</v>
      </c>
      <c r="N1563" s="3">
        <v>3070</v>
      </c>
      <c r="O1563" s="3">
        <v>3070</v>
      </c>
      <c r="P1563" t="s">
        <v>74</v>
      </c>
      <c r="Q1563" t="s">
        <v>35</v>
      </c>
      <c r="R1563" t="s">
        <v>36</v>
      </c>
      <c r="S1563" t="s">
        <v>89</v>
      </c>
      <c r="T1563" t="s">
        <v>425</v>
      </c>
      <c r="U1563" t="s">
        <v>124</v>
      </c>
      <c r="V1563" t="s">
        <v>969</v>
      </c>
      <c r="W1563">
        <v>4.0999999999999996</v>
      </c>
      <c r="X1563" t="s">
        <v>41</v>
      </c>
      <c r="Y1563" t="s">
        <v>55</v>
      </c>
      <c r="Z1563">
        <v>3</v>
      </c>
    </row>
    <row r="1564" spans="1:26">
      <c r="A1564" t="s">
        <v>2636</v>
      </c>
      <c r="B1564" t="s">
        <v>2637</v>
      </c>
      <c r="C1564" t="s">
        <v>45</v>
      </c>
      <c r="D1564" t="s">
        <v>109</v>
      </c>
      <c r="E1564" s="1">
        <v>44789</v>
      </c>
      <c r="F1564" t="s">
        <v>86</v>
      </c>
      <c r="G1564" t="s">
        <v>285</v>
      </c>
      <c r="H1564" t="s">
        <v>111</v>
      </c>
      <c r="I1564">
        <v>6</v>
      </c>
      <c r="J1564" t="s">
        <v>98</v>
      </c>
      <c r="K1564">
        <v>1</v>
      </c>
      <c r="L1564" s="3">
        <v>6199</v>
      </c>
      <c r="M1564">
        <v>25</v>
      </c>
      <c r="N1564" s="3">
        <v>4650</v>
      </c>
      <c r="O1564" s="3">
        <v>4650</v>
      </c>
      <c r="P1564" t="s">
        <v>34</v>
      </c>
      <c r="Q1564" t="s">
        <v>35</v>
      </c>
      <c r="R1564" t="s">
        <v>36</v>
      </c>
      <c r="S1564" t="s">
        <v>182</v>
      </c>
      <c r="T1564" t="s">
        <v>604</v>
      </c>
      <c r="U1564" t="s">
        <v>39</v>
      </c>
      <c r="V1564" t="s">
        <v>40</v>
      </c>
      <c r="W1564">
        <v>3.2</v>
      </c>
      <c r="X1564" t="s">
        <v>41</v>
      </c>
      <c r="Y1564" t="s">
        <v>147</v>
      </c>
      <c r="Z1564">
        <v>1</v>
      </c>
    </row>
    <row r="1565" spans="1:26">
      <c r="A1565" t="s">
        <v>2638</v>
      </c>
      <c r="B1565" t="s">
        <v>923</v>
      </c>
      <c r="C1565" t="s">
        <v>45</v>
      </c>
      <c r="D1565" t="s">
        <v>109</v>
      </c>
      <c r="E1565" s="1">
        <v>44789</v>
      </c>
      <c r="F1565" t="s">
        <v>30</v>
      </c>
      <c r="G1565" t="s">
        <v>347</v>
      </c>
      <c r="H1565" t="s">
        <v>49</v>
      </c>
      <c r="I1565">
        <v>8</v>
      </c>
      <c r="J1565" t="s">
        <v>88</v>
      </c>
      <c r="K1565">
        <v>1</v>
      </c>
      <c r="L1565" s="3">
        <v>4799</v>
      </c>
      <c r="M1565">
        <v>5</v>
      </c>
      <c r="N1565" s="3">
        <v>4560</v>
      </c>
      <c r="O1565" s="3">
        <v>4560</v>
      </c>
      <c r="P1565" t="s">
        <v>74</v>
      </c>
      <c r="Q1565" t="s">
        <v>82</v>
      </c>
      <c r="R1565" t="s">
        <v>36</v>
      </c>
      <c r="S1565" t="s">
        <v>286</v>
      </c>
      <c r="T1565" t="s">
        <v>287</v>
      </c>
      <c r="U1565" t="s">
        <v>54</v>
      </c>
      <c r="V1565" t="s">
        <v>969</v>
      </c>
      <c r="W1565">
        <v>4.5</v>
      </c>
      <c r="X1565" t="s">
        <v>106</v>
      </c>
      <c r="Y1565" t="s">
        <v>147</v>
      </c>
      <c r="Z1565">
        <v>1</v>
      </c>
    </row>
    <row r="1566" spans="1:26">
      <c r="A1566" t="s">
        <v>2639</v>
      </c>
      <c r="B1566" t="s">
        <v>1684</v>
      </c>
      <c r="C1566" t="s">
        <v>45</v>
      </c>
      <c r="D1566" t="s">
        <v>29</v>
      </c>
      <c r="E1566" s="1">
        <v>44789</v>
      </c>
      <c r="F1566" t="s">
        <v>65</v>
      </c>
      <c r="G1566" t="s">
        <v>268</v>
      </c>
      <c r="H1566" t="s">
        <v>128</v>
      </c>
      <c r="I1566">
        <v>9</v>
      </c>
      <c r="J1566" t="s">
        <v>98</v>
      </c>
      <c r="K1566">
        <v>1</v>
      </c>
      <c r="L1566" s="3">
        <v>7399</v>
      </c>
      <c r="M1566">
        <v>20</v>
      </c>
      <c r="N1566" s="3">
        <v>5920</v>
      </c>
      <c r="O1566" s="3">
        <v>5920</v>
      </c>
      <c r="P1566" t="s">
        <v>34</v>
      </c>
      <c r="Q1566" t="s">
        <v>51</v>
      </c>
      <c r="R1566" t="s">
        <v>36</v>
      </c>
      <c r="S1566" t="s">
        <v>122</v>
      </c>
      <c r="T1566" t="s">
        <v>304</v>
      </c>
      <c r="U1566" t="s">
        <v>61</v>
      </c>
      <c r="V1566" t="s">
        <v>315</v>
      </c>
      <c r="W1566">
        <v>3.5</v>
      </c>
      <c r="X1566" t="s">
        <v>41</v>
      </c>
      <c r="Y1566" t="s">
        <v>42</v>
      </c>
      <c r="Z1566">
        <v>3</v>
      </c>
    </row>
    <row r="1567" spans="1:26">
      <c r="A1567" t="s">
        <v>2640</v>
      </c>
      <c r="B1567" t="s">
        <v>967</v>
      </c>
      <c r="C1567" t="s">
        <v>45</v>
      </c>
      <c r="D1567" t="s">
        <v>103</v>
      </c>
      <c r="E1567" s="1">
        <v>44789</v>
      </c>
      <c r="F1567" t="s">
        <v>47</v>
      </c>
      <c r="G1567" t="s">
        <v>48</v>
      </c>
      <c r="H1567" t="s">
        <v>49</v>
      </c>
      <c r="I1567">
        <v>9</v>
      </c>
      <c r="J1567" t="s">
        <v>150</v>
      </c>
      <c r="K1567">
        <v>1</v>
      </c>
      <c r="L1567" s="3">
        <v>6899</v>
      </c>
      <c r="M1567">
        <v>20</v>
      </c>
      <c r="N1567" s="3">
        <v>5520</v>
      </c>
      <c r="O1567" s="3">
        <v>5520</v>
      </c>
      <c r="P1567" t="s">
        <v>34</v>
      </c>
      <c r="Q1567" t="s">
        <v>51</v>
      </c>
      <c r="R1567" t="s">
        <v>36</v>
      </c>
      <c r="S1567" t="s">
        <v>460</v>
      </c>
      <c r="T1567" t="s">
        <v>525</v>
      </c>
      <c r="U1567" t="s">
        <v>54</v>
      </c>
      <c r="V1567" t="s">
        <v>315</v>
      </c>
      <c r="W1567">
        <v>2.5</v>
      </c>
      <c r="X1567" t="s">
        <v>106</v>
      </c>
      <c r="Y1567" t="s">
        <v>42</v>
      </c>
      <c r="Z1567">
        <v>4</v>
      </c>
    </row>
    <row r="1568" spans="1:26">
      <c r="A1568" t="s">
        <v>2641</v>
      </c>
      <c r="B1568" t="s">
        <v>249</v>
      </c>
      <c r="C1568" t="s">
        <v>45</v>
      </c>
      <c r="D1568" t="s">
        <v>29</v>
      </c>
      <c r="E1568" s="1">
        <v>44790</v>
      </c>
      <c r="F1568" t="s">
        <v>86</v>
      </c>
      <c r="G1568" t="s">
        <v>242</v>
      </c>
      <c r="H1568" t="s">
        <v>32</v>
      </c>
      <c r="I1568">
        <v>10</v>
      </c>
      <c r="J1568" t="s">
        <v>98</v>
      </c>
      <c r="K1568">
        <v>1</v>
      </c>
      <c r="L1568" s="3">
        <v>6299</v>
      </c>
      <c r="M1568">
        <v>5</v>
      </c>
      <c r="N1568" s="3">
        <v>5980</v>
      </c>
      <c r="O1568" s="3">
        <v>5980</v>
      </c>
      <c r="P1568" t="s">
        <v>34</v>
      </c>
      <c r="Q1568" t="s">
        <v>51</v>
      </c>
      <c r="R1568" t="s">
        <v>36</v>
      </c>
      <c r="S1568" t="s">
        <v>112</v>
      </c>
      <c r="T1568" t="s">
        <v>133</v>
      </c>
      <c r="U1568" t="s">
        <v>124</v>
      </c>
      <c r="V1568" t="s">
        <v>315</v>
      </c>
      <c r="W1568">
        <v>3.7</v>
      </c>
      <c r="X1568" t="s">
        <v>41</v>
      </c>
      <c r="Y1568" t="s">
        <v>42</v>
      </c>
      <c r="Z1568">
        <v>3</v>
      </c>
    </row>
    <row r="1569" spans="1:26">
      <c r="A1569" t="s">
        <v>2642</v>
      </c>
      <c r="B1569" t="s">
        <v>2021</v>
      </c>
      <c r="C1569" t="s">
        <v>45</v>
      </c>
      <c r="D1569" t="s">
        <v>46</v>
      </c>
      <c r="E1569" s="1">
        <v>44790</v>
      </c>
      <c r="F1569" t="s">
        <v>47</v>
      </c>
      <c r="G1569" t="s">
        <v>121</v>
      </c>
      <c r="H1569" t="s">
        <v>111</v>
      </c>
      <c r="I1569">
        <v>8</v>
      </c>
      <c r="J1569" t="s">
        <v>150</v>
      </c>
      <c r="K1569">
        <v>1</v>
      </c>
      <c r="L1569" s="3">
        <v>8299</v>
      </c>
      <c r="M1569">
        <v>15</v>
      </c>
      <c r="N1569" s="3">
        <v>7050</v>
      </c>
      <c r="O1569" s="3">
        <v>7050</v>
      </c>
      <c r="P1569" t="s">
        <v>74</v>
      </c>
      <c r="Q1569" t="s">
        <v>82</v>
      </c>
      <c r="R1569" t="s">
        <v>36</v>
      </c>
      <c r="S1569" t="s">
        <v>112</v>
      </c>
      <c r="T1569" t="s">
        <v>113</v>
      </c>
      <c r="U1569" t="s">
        <v>91</v>
      </c>
      <c r="V1569" t="s">
        <v>969</v>
      </c>
      <c r="W1569">
        <v>3</v>
      </c>
      <c r="X1569" t="s">
        <v>41</v>
      </c>
      <c r="Y1569" t="s">
        <v>147</v>
      </c>
      <c r="Z1569">
        <v>1</v>
      </c>
    </row>
    <row r="1570" spans="1:26">
      <c r="A1570" t="s">
        <v>2643</v>
      </c>
      <c r="B1570" t="s">
        <v>2644</v>
      </c>
      <c r="C1570" t="s">
        <v>45</v>
      </c>
      <c r="D1570" t="s">
        <v>46</v>
      </c>
      <c r="E1570" s="1">
        <v>44791</v>
      </c>
      <c r="F1570" t="s">
        <v>79</v>
      </c>
      <c r="G1570" t="s">
        <v>480</v>
      </c>
      <c r="H1570" t="s">
        <v>111</v>
      </c>
      <c r="I1570">
        <v>11</v>
      </c>
      <c r="J1570" t="s">
        <v>33</v>
      </c>
      <c r="K1570">
        <v>1</v>
      </c>
      <c r="L1570" s="3">
        <v>8599</v>
      </c>
      <c r="M1570">
        <v>30</v>
      </c>
      <c r="N1570" s="3">
        <v>6020</v>
      </c>
      <c r="O1570" s="3">
        <v>6020</v>
      </c>
      <c r="P1570" t="s">
        <v>74</v>
      </c>
      <c r="Q1570" t="s">
        <v>51</v>
      </c>
      <c r="R1570" t="s">
        <v>36</v>
      </c>
      <c r="S1570" t="s">
        <v>117</v>
      </c>
      <c r="T1570" t="s">
        <v>544</v>
      </c>
      <c r="U1570" t="s">
        <v>91</v>
      </c>
      <c r="V1570" t="s">
        <v>40</v>
      </c>
      <c r="W1570">
        <v>3.1</v>
      </c>
      <c r="X1570" t="s">
        <v>41</v>
      </c>
      <c r="Y1570" t="s">
        <v>147</v>
      </c>
      <c r="Z1570">
        <v>1</v>
      </c>
    </row>
    <row r="1571" spans="1:26">
      <c r="A1571" t="s">
        <v>2645</v>
      </c>
      <c r="B1571" t="s">
        <v>529</v>
      </c>
      <c r="C1571" t="s">
        <v>94</v>
      </c>
      <c r="D1571" t="s">
        <v>29</v>
      </c>
      <c r="E1571" s="1">
        <v>44792</v>
      </c>
      <c r="F1571" t="s">
        <v>47</v>
      </c>
      <c r="G1571" t="s">
        <v>199</v>
      </c>
      <c r="H1571" t="s">
        <v>59</v>
      </c>
      <c r="I1571">
        <v>8</v>
      </c>
      <c r="J1571" t="s">
        <v>88</v>
      </c>
      <c r="K1571">
        <v>1</v>
      </c>
      <c r="L1571" s="3">
        <v>8499</v>
      </c>
      <c r="M1571">
        <v>10</v>
      </c>
      <c r="N1571" s="3">
        <v>7650</v>
      </c>
      <c r="O1571" s="3">
        <v>7650</v>
      </c>
      <c r="P1571" t="s">
        <v>34</v>
      </c>
      <c r="Q1571" t="s">
        <v>51</v>
      </c>
      <c r="R1571" t="s">
        <v>36</v>
      </c>
      <c r="S1571" t="s">
        <v>112</v>
      </c>
      <c r="T1571" t="s">
        <v>250</v>
      </c>
      <c r="U1571" t="s">
        <v>61</v>
      </c>
      <c r="V1571" t="s">
        <v>315</v>
      </c>
      <c r="W1571">
        <v>4.3</v>
      </c>
      <c r="X1571" t="s">
        <v>106</v>
      </c>
      <c r="Y1571" t="s">
        <v>42</v>
      </c>
      <c r="Z1571">
        <v>7</v>
      </c>
    </row>
    <row r="1572" spans="1:26">
      <c r="A1572" t="s">
        <v>2646</v>
      </c>
      <c r="B1572" t="s">
        <v>2398</v>
      </c>
      <c r="C1572" t="s">
        <v>28</v>
      </c>
      <c r="D1572" t="s">
        <v>103</v>
      </c>
      <c r="E1572" s="1">
        <v>44792</v>
      </c>
      <c r="F1572" t="s">
        <v>79</v>
      </c>
      <c r="G1572" t="s">
        <v>517</v>
      </c>
      <c r="H1572" t="s">
        <v>59</v>
      </c>
      <c r="I1572">
        <v>12</v>
      </c>
      <c r="J1572" t="s">
        <v>98</v>
      </c>
      <c r="K1572">
        <v>1</v>
      </c>
      <c r="L1572" s="3">
        <v>8799</v>
      </c>
      <c r="M1572">
        <v>15</v>
      </c>
      <c r="N1572" s="3">
        <v>7480</v>
      </c>
      <c r="O1572" s="3">
        <v>7480</v>
      </c>
      <c r="P1572" t="s">
        <v>74</v>
      </c>
      <c r="Q1572" t="s">
        <v>82</v>
      </c>
      <c r="R1572" t="s">
        <v>36</v>
      </c>
      <c r="S1572" t="s">
        <v>418</v>
      </c>
      <c r="T1572" t="s">
        <v>613</v>
      </c>
      <c r="U1572" t="s">
        <v>91</v>
      </c>
      <c r="V1572" t="s">
        <v>315</v>
      </c>
      <c r="W1572">
        <v>4.4000000000000004</v>
      </c>
      <c r="X1572" t="s">
        <v>41</v>
      </c>
      <c r="Y1572" t="s">
        <v>42</v>
      </c>
      <c r="Z1572">
        <v>2</v>
      </c>
    </row>
    <row r="1573" spans="1:26">
      <c r="A1573" t="s">
        <v>2647</v>
      </c>
      <c r="B1573" t="s">
        <v>511</v>
      </c>
      <c r="C1573" t="s">
        <v>94</v>
      </c>
      <c r="D1573" t="s">
        <v>95</v>
      </c>
      <c r="E1573" s="1">
        <v>44793</v>
      </c>
      <c r="F1573" t="s">
        <v>96</v>
      </c>
      <c r="G1573" t="s">
        <v>97</v>
      </c>
      <c r="H1573" t="s">
        <v>49</v>
      </c>
      <c r="I1573">
        <v>9</v>
      </c>
      <c r="J1573" t="s">
        <v>67</v>
      </c>
      <c r="K1573">
        <v>2</v>
      </c>
      <c r="L1573" s="3">
        <v>9199</v>
      </c>
      <c r="M1573">
        <v>35</v>
      </c>
      <c r="N1573" s="3">
        <v>5980</v>
      </c>
      <c r="O1573" s="3">
        <v>11960</v>
      </c>
      <c r="P1573" t="s">
        <v>74</v>
      </c>
      <c r="Q1573" t="s">
        <v>35</v>
      </c>
      <c r="R1573" t="s">
        <v>36</v>
      </c>
      <c r="S1573" t="s">
        <v>418</v>
      </c>
      <c r="T1573" t="s">
        <v>549</v>
      </c>
      <c r="U1573" t="s">
        <v>39</v>
      </c>
      <c r="V1573" t="s">
        <v>315</v>
      </c>
      <c r="W1573">
        <v>4.0999999999999996</v>
      </c>
      <c r="X1573" t="s">
        <v>41</v>
      </c>
      <c r="Y1573" t="s">
        <v>42</v>
      </c>
      <c r="Z1573">
        <v>3</v>
      </c>
    </row>
    <row r="1574" spans="1:26">
      <c r="A1574" t="s">
        <v>2648</v>
      </c>
      <c r="B1574" t="s">
        <v>2649</v>
      </c>
      <c r="C1574" t="s">
        <v>94</v>
      </c>
      <c r="D1574" t="s">
        <v>29</v>
      </c>
      <c r="E1574" s="1">
        <v>44793</v>
      </c>
      <c r="F1574" t="s">
        <v>96</v>
      </c>
      <c r="G1574" t="s">
        <v>155</v>
      </c>
      <c r="H1574" t="s">
        <v>111</v>
      </c>
      <c r="I1574">
        <v>8</v>
      </c>
      <c r="J1574" t="s">
        <v>98</v>
      </c>
      <c r="K1574">
        <v>2</v>
      </c>
      <c r="L1574" s="3">
        <v>7799</v>
      </c>
      <c r="M1574">
        <v>10</v>
      </c>
      <c r="N1574" s="3">
        <v>7020</v>
      </c>
      <c r="O1574" s="3">
        <v>14040</v>
      </c>
      <c r="P1574" t="s">
        <v>34</v>
      </c>
      <c r="Q1574" t="s">
        <v>82</v>
      </c>
      <c r="R1574" t="s">
        <v>36</v>
      </c>
      <c r="S1574" t="s">
        <v>160</v>
      </c>
      <c r="T1574" t="s">
        <v>160</v>
      </c>
      <c r="U1574" t="s">
        <v>91</v>
      </c>
      <c r="V1574" t="s">
        <v>40</v>
      </c>
      <c r="W1574">
        <v>3</v>
      </c>
      <c r="X1574" t="s">
        <v>41</v>
      </c>
      <c r="Y1574" t="s">
        <v>42</v>
      </c>
      <c r="Z1574">
        <v>2</v>
      </c>
    </row>
    <row r="1575" spans="1:26">
      <c r="A1575" t="s">
        <v>2650</v>
      </c>
      <c r="B1575" t="s">
        <v>2651</v>
      </c>
      <c r="C1575" t="s">
        <v>28</v>
      </c>
      <c r="D1575" t="s">
        <v>46</v>
      </c>
      <c r="E1575" s="1">
        <v>44793</v>
      </c>
      <c r="F1575" t="s">
        <v>47</v>
      </c>
      <c r="G1575" t="s">
        <v>121</v>
      </c>
      <c r="H1575" t="s">
        <v>111</v>
      </c>
      <c r="I1575">
        <v>10</v>
      </c>
      <c r="J1575" t="s">
        <v>67</v>
      </c>
      <c r="K1575">
        <v>2</v>
      </c>
      <c r="L1575" s="3">
        <v>5899</v>
      </c>
      <c r="M1575">
        <v>10</v>
      </c>
      <c r="N1575" s="3">
        <v>5310</v>
      </c>
      <c r="O1575" s="3">
        <v>10620</v>
      </c>
      <c r="P1575" t="s">
        <v>74</v>
      </c>
      <c r="Q1575" t="s">
        <v>35</v>
      </c>
      <c r="R1575" t="s">
        <v>36</v>
      </c>
      <c r="S1575" t="s">
        <v>358</v>
      </c>
      <c r="T1575" t="s">
        <v>805</v>
      </c>
      <c r="U1575" t="s">
        <v>54</v>
      </c>
      <c r="V1575" t="s">
        <v>40</v>
      </c>
      <c r="W1575">
        <v>4.3</v>
      </c>
      <c r="X1575" t="s">
        <v>41</v>
      </c>
      <c r="Y1575" t="s">
        <v>55</v>
      </c>
      <c r="Z1575">
        <v>2</v>
      </c>
    </row>
    <row r="1576" spans="1:26">
      <c r="A1576" t="s">
        <v>2652</v>
      </c>
      <c r="B1576" t="s">
        <v>878</v>
      </c>
      <c r="C1576" t="s">
        <v>28</v>
      </c>
      <c r="D1576" t="s">
        <v>103</v>
      </c>
      <c r="E1576" s="1">
        <v>44794</v>
      </c>
      <c r="F1576" t="s">
        <v>47</v>
      </c>
      <c r="G1576" t="s">
        <v>121</v>
      </c>
      <c r="H1576" t="s">
        <v>111</v>
      </c>
      <c r="I1576">
        <v>10</v>
      </c>
      <c r="J1576" t="s">
        <v>73</v>
      </c>
      <c r="K1576">
        <v>1</v>
      </c>
      <c r="L1576" s="3">
        <v>3899</v>
      </c>
      <c r="M1576">
        <v>20</v>
      </c>
      <c r="N1576" s="3">
        <v>3120</v>
      </c>
      <c r="O1576" s="3">
        <v>3120</v>
      </c>
      <c r="P1576" t="s">
        <v>34</v>
      </c>
      <c r="Q1576" t="s">
        <v>51</v>
      </c>
      <c r="R1576" t="s">
        <v>36</v>
      </c>
      <c r="S1576" t="s">
        <v>168</v>
      </c>
      <c r="T1576" t="s">
        <v>532</v>
      </c>
      <c r="U1576" t="s">
        <v>61</v>
      </c>
      <c r="V1576" t="s">
        <v>315</v>
      </c>
      <c r="W1576">
        <v>4.0999999999999996</v>
      </c>
      <c r="X1576" t="s">
        <v>106</v>
      </c>
      <c r="Y1576" t="s">
        <v>42</v>
      </c>
      <c r="Z1576">
        <v>2</v>
      </c>
    </row>
    <row r="1577" spans="1:26">
      <c r="A1577" t="s">
        <v>2653</v>
      </c>
      <c r="B1577" t="s">
        <v>173</v>
      </c>
      <c r="C1577" t="s">
        <v>45</v>
      </c>
      <c r="D1577" t="s">
        <v>103</v>
      </c>
      <c r="E1577" s="1">
        <v>44797</v>
      </c>
      <c r="F1577" t="s">
        <v>96</v>
      </c>
      <c r="G1577" t="s">
        <v>323</v>
      </c>
      <c r="H1577" t="s">
        <v>59</v>
      </c>
      <c r="I1577">
        <v>9</v>
      </c>
      <c r="J1577" t="s">
        <v>33</v>
      </c>
      <c r="K1577">
        <v>1</v>
      </c>
      <c r="L1577" s="3">
        <v>7099</v>
      </c>
      <c r="M1577">
        <v>35</v>
      </c>
      <c r="N1577" s="3">
        <v>4610</v>
      </c>
      <c r="O1577" s="3">
        <v>4610</v>
      </c>
      <c r="P1577" t="s">
        <v>50</v>
      </c>
      <c r="Q1577" t="s">
        <v>82</v>
      </c>
      <c r="R1577" t="s">
        <v>36</v>
      </c>
      <c r="S1577" t="s">
        <v>269</v>
      </c>
      <c r="T1577" t="s">
        <v>575</v>
      </c>
      <c r="U1577" t="s">
        <v>54</v>
      </c>
      <c r="V1577" t="s">
        <v>315</v>
      </c>
      <c r="W1577">
        <v>4.3</v>
      </c>
      <c r="X1577" t="s">
        <v>62</v>
      </c>
      <c r="Y1577" t="s">
        <v>55</v>
      </c>
      <c r="Z1577">
        <v>3</v>
      </c>
    </row>
    <row r="1578" spans="1:26">
      <c r="A1578" t="s">
        <v>2654</v>
      </c>
      <c r="B1578" t="s">
        <v>2655</v>
      </c>
      <c r="C1578" t="s">
        <v>28</v>
      </c>
      <c r="D1578" t="s">
        <v>95</v>
      </c>
      <c r="E1578" s="1">
        <v>44798</v>
      </c>
      <c r="F1578" t="s">
        <v>30</v>
      </c>
      <c r="G1578" t="s">
        <v>214</v>
      </c>
      <c r="H1578" t="s">
        <v>128</v>
      </c>
      <c r="I1578">
        <v>7</v>
      </c>
      <c r="J1578" t="s">
        <v>98</v>
      </c>
      <c r="K1578">
        <v>3</v>
      </c>
      <c r="L1578" s="3">
        <v>6199</v>
      </c>
      <c r="M1578">
        <v>30</v>
      </c>
      <c r="N1578" s="3">
        <v>4340</v>
      </c>
      <c r="O1578" s="3">
        <v>13020</v>
      </c>
      <c r="P1578" t="s">
        <v>34</v>
      </c>
      <c r="Q1578" t="s">
        <v>51</v>
      </c>
      <c r="R1578" t="s">
        <v>36</v>
      </c>
      <c r="S1578" t="s">
        <v>156</v>
      </c>
      <c r="T1578" t="s">
        <v>157</v>
      </c>
      <c r="U1578" t="s">
        <v>39</v>
      </c>
      <c r="V1578" t="s">
        <v>40</v>
      </c>
      <c r="W1578">
        <v>3.7</v>
      </c>
      <c r="X1578" t="s">
        <v>41</v>
      </c>
      <c r="Y1578" t="s">
        <v>55</v>
      </c>
      <c r="Z1578">
        <v>2</v>
      </c>
    </row>
    <row r="1579" spans="1:26">
      <c r="A1579" t="s">
        <v>2656</v>
      </c>
      <c r="B1579" t="s">
        <v>2657</v>
      </c>
      <c r="C1579" t="s">
        <v>28</v>
      </c>
      <c r="D1579" t="s">
        <v>46</v>
      </c>
      <c r="E1579" s="1">
        <v>44798</v>
      </c>
      <c r="F1579" t="s">
        <v>47</v>
      </c>
      <c r="G1579" t="s">
        <v>218</v>
      </c>
      <c r="H1579" t="s">
        <v>59</v>
      </c>
      <c r="I1579">
        <v>9</v>
      </c>
      <c r="J1579" t="s">
        <v>33</v>
      </c>
      <c r="K1579">
        <v>1</v>
      </c>
      <c r="L1579" s="3">
        <v>5099</v>
      </c>
      <c r="M1579">
        <v>25</v>
      </c>
      <c r="N1579" s="3">
        <v>3820</v>
      </c>
      <c r="O1579" s="3">
        <v>3820</v>
      </c>
      <c r="P1579" t="s">
        <v>34</v>
      </c>
      <c r="Q1579" t="s">
        <v>51</v>
      </c>
      <c r="R1579" t="s">
        <v>36</v>
      </c>
      <c r="S1579" t="s">
        <v>160</v>
      </c>
      <c r="T1579" t="s">
        <v>344</v>
      </c>
      <c r="U1579" t="s">
        <v>54</v>
      </c>
      <c r="V1579" t="s">
        <v>40</v>
      </c>
      <c r="W1579">
        <v>3.8</v>
      </c>
      <c r="X1579" t="s">
        <v>41</v>
      </c>
      <c r="Y1579" t="s">
        <v>42</v>
      </c>
      <c r="Z1579">
        <v>1</v>
      </c>
    </row>
    <row r="1580" spans="1:26">
      <c r="A1580" t="s">
        <v>2658</v>
      </c>
      <c r="B1580" t="s">
        <v>2659</v>
      </c>
      <c r="C1580" t="s">
        <v>45</v>
      </c>
      <c r="D1580" t="s">
        <v>103</v>
      </c>
      <c r="E1580" s="1">
        <v>44798</v>
      </c>
      <c r="F1580" t="s">
        <v>65</v>
      </c>
      <c r="G1580" t="s">
        <v>256</v>
      </c>
      <c r="H1580" t="s">
        <v>32</v>
      </c>
      <c r="I1580">
        <v>10</v>
      </c>
      <c r="J1580" t="s">
        <v>73</v>
      </c>
      <c r="K1580">
        <v>1</v>
      </c>
      <c r="L1580" s="3">
        <v>6399</v>
      </c>
      <c r="M1580">
        <v>25</v>
      </c>
      <c r="N1580" s="3">
        <v>4800</v>
      </c>
      <c r="O1580" s="3">
        <v>4800</v>
      </c>
      <c r="P1580" t="s">
        <v>74</v>
      </c>
      <c r="Q1580" t="s">
        <v>35</v>
      </c>
      <c r="R1580" t="s">
        <v>36</v>
      </c>
      <c r="S1580" t="s">
        <v>168</v>
      </c>
      <c r="T1580" t="s">
        <v>532</v>
      </c>
      <c r="U1580" t="s">
        <v>39</v>
      </c>
      <c r="V1580" t="s">
        <v>40</v>
      </c>
      <c r="W1580">
        <v>3.9</v>
      </c>
      <c r="X1580" t="s">
        <v>62</v>
      </c>
      <c r="Y1580" t="s">
        <v>42</v>
      </c>
      <c r="Z1580">
        <v>6</v>
      </c>
    </row>
    <row r="1581" spans="1:26">
      <c r="A1581" t="s">
        <v>2660</v>
      </c>
      <c r="B1581" t="s">
        <v>1081</v>
      </c>
      <c r="C1581" t="s">
        <v>28</v>
      </c>
      <c r="D1581" t="s">
        <v>103</v>
      </c>
      <c r="E1581" s="1">
        <v>44800</v>
      </c>
      <c r="F1581" t="s">
        <v>65</v>
      </c>
      <c r="G1581" t="s">
        <v>256</v>
      </c>
      <c r="H1581" t="s">
        <v>32</v>
      </c>
      <c r="I1581">
        <v>9</v>
      </c>
      <c r="J1581" t="s">
        <v>33</v>
      </c>
      <c r="K1581">
        <v>1</v>
      </c>
      <c r="L1581" s="3">
        <v>8099</v>
      </c>
      <c r="M1581">
        <v>5</v>
      </c>
      <c r="N1581" s="3">
        <v>7690</v>
      </c>
      <c r="O1581" s="3">
        <v>7690</v>
      </c>
      <c r="P1581" t="s">
        <v>74</v>
      </c>
      <c r="Q1581" t="s">
        <v>51</v>
      </c>
      <c r="R1581" t="s">
        <v>36</v>
      </c>
      <c r="S1581" t="s">
        <v>129</v>
      </c>
      <c r="T1581" t="s">
        <v>655</v>
      </c>
      <c r="U1581" t="s">
        <v>61</v>
      </c>
      <c r="V1581" t="s">
        <v>315</v>
      </c>
      <c r="W1581">
        <v>3.3</v>
      </c>
      <c r="X1581" t="s">
        <v>41</v>
      </c>
      <c r="Y1581" t="s">
        <v>42</v>
      </c>
      <c r="Z1581">
        <v>6</v>
      </c>
    </row>
    <row r="1582" spans="1:26">
      <c r="A1582" t="s">
        <v>2661</v>
      </c>
      <c r="B1582" t="s">
        <v>508</v>
      </c>
      <c r="C1582" t="s">
        <v>94</v>
      </c>
      <c r="D1582" t="s">
        <v>29</v>
      </c>
      <c r="E1582" s="1">
        <v>44800</v>
      </c>
      <c r="F1582" t="s">
        <v>30</v>
      </c>
      <c r="G1582" t="s">
        <v>214</v>
      </c>
      <c r="H1582" t="s">
        <v>128</v>
      </c>
      <c r="I1582">
        <v>10</v>
      </c>
      <c r="J1582" t="s">
        <v>98</v>
      </c>
      <c r="K1582">
        <v>1</v>
      </c>
      <c r="L1582" s="3">
        <v>5999</v>
      </c>
      <c r="M1582">
        <v>30</v>
      </c>
      <c r="N1582" s="3">
        <v>4200</v>
      </c>
      <c r="O1582" s="3">
        <v>4200</v>
      </c>
      <c r="P1582" t="s">
        <v>74</v>
      </c>
      <c r="Q1582" t="s">
        <v>51</v>
      </c>
      <c r="R1582" t="s">
        <v>36</v>
      </c>
      <c r="S1582" t="s">
        <v>68</v>
      </c>
      <c r="T1582" t="s">
        <v>69</v>
      </c>
      <c r="U1582" t="s">
        <v>124</v>
      </c>
      <c r="V1582" t="s">
        <v>315</v>
      </c>
      <c r="W1582">
        <v>3.5</v>
      </c>
      <c r="X1582" t="s">
        <v>41</v>
      </c>
      <c r="Y1582" t="s">
        <v>55</v>
      </c>
      <c r="Z1582">
        <v>2</v>
      </c>
    </row>
    <row r="1583" spans="1:26">
      <c r="A1583" t="s">
        <v>2662</v>
      </c>
      <c r="B1583" t="s">
        <v>1342</v>
      </c>
      <c r="C1583" t="s">
        <v>45</v>
      </c>
      <c r="D1583" t="s">
        <v>95</v>
      </c>
      <c r="E1583" s="1">
        <v>44806</v>
      </c>
      <c r="F1583" t="s">
        <v>96</v>
      </c>
      <c r="G1583" t="s">
        <v>155</v>
      </c>
      <c r="H1583" t="s">
        <v>111</v>
      </c>
      <c r="I1583">
        <v>8</v>
      </c>
      <c r="J1583" t="s">
        <v>98</v>
      </c>
      <c r="K1583">
        <v>1</v>
      </c>
      <c r="L1583" s="3">
        <v>7499</v>
      </c>
      <c r="M1583">
        <v>10</v>
      </c>
      <c r="N1583" s="3">
        <v>6750</v>
      </c>
      <c r="O1583" s="3">
        <v>6750</v>
      </c>
      <c r="P1583" t="s">
        <v>74</v>
      </c>
      <c r="Q1583" t="s">
        <v>51</v>
      </c>
      <c r="R1583" t="s">
        <v>36</v>
      </c>
      <c r="S1583" t="s">
        <v>136</v>
      </c>
      <c r="T1583" t="s">
        <v>137</v>
      </c>
      <c r="U1583" t="s">
        <v>91</v>
      </c>
      <c r="V1583" t="s">
        <v>315</v>
      </c>
      <c r="W1583">
        <v>3.5</v>
      </c>
      <c r="X1583" t="s">
        <v>106</v>
      </c>
      <c r="Y1583" t="s">
        <v>42</v>
      </c>
      <c r="Z1583">
        <v>1</v>
      </c>
    </row>
    <row r="1584" spans="1:26">
      <c r="A1584" t="s">
        <v>2663</v>
      </c>
      <c r="B1584" t="s">
        <v>2664</v>
      </c>
      <c r="C1584" t="s">
        <v>94</v>
      </c>
      <c r="D1584" t="s">
        <v>46</v>
      </c>
      <c r="E1584" s="1">
        <v>44806</v>
      </c>
      <c r="F1584" t="s">
        <v>47</v>
      </c>
      <c r="G1584" t="s">
        <v>199</v>
      </c>
      <c r="H1584" t="s">
        <v>59</v>
      </c>
      <c r="I1584">
        <v>11</v>
      </c>
      <c r="J1584" t="s">
        <v>67</v>
      </c>
      <c r="K1584">
        <v>1</v>
      </c>
      <c r="L1584" s="3">
        <v>9699</v>
      </c>
      <c r="M1584">
        <v>5</v>
      </c>
      <c r="N1584" s="3">
        <v>9210</v>
      </c>
      <c r="O1584" s="3">
        <v>9210</v>
      </c>
      <c r="P1584" t="s">
        <v>74</v>
      </c>
      <c r="Q1584" t="s">
        <v>51</v>
      </c>
      <c r="R1584" t="s">
        <v>36</v>
      </c>
      <c r="S1584" t="s">
        <v>160</v>
      </c>
      <c r="T1584" t="s">
        <v>161</v>
      </c>
      <c r="U1584" t="s">
        <v>54</v>
      </c>
      <c r="V1584" t="s">
        <v>40</v>
      </c>
      <c r="W1584">
        <v>4.9000000000000004</v>
      </c>
      <c r="X1584" t="s">
        <v>41</v>
      </c>
      <c r="Y1584" t="s">
        <v>147</v>
      </c>
      <c r="Z1584">
        <v>1</v>
      </c>
    </row>
    <row r="1585" spans="1:26">
      <c r="A1585" t="s">
        <v>2665</v>
      </c>
      <c r="B1585" t="s">
        <v>1961</v>
      </c>
      <c r="C1585" t="s">
        <v>45</v>
      </c>
      <c r="D1585" t="s">
        <v>95</v>
      </c>
      <c r="E1585" s="1">
        <v>44807</v>
      </c>
      <c r="F1585" t="s">
        <v>79</v>
      </c>
      <c r="G1585" t="s">
        <v>480</v>
      </c>
      <c r="H1585" t="s">
        <v>111</v>
      </c>
      <c r="I1585">
        <v>9</v>
      </c>
      <c r="J1585" t="s">
        <v>33</v>
      </c>
      <c r="K1585">
        <v>1</v>
      </c>
      <c r="L1585" s="3">
        <v>3799</v>
      </c>
      <c r="M1585">
        <v>30</v>
      </c>
      <c r="N1585" s="3">
        <v>2660</v>
      </c>
      <c r="O1585" s="3">
        <v>2660</v>
      </c>
      <c r="P1585" t="s">
        <v>34</v>
      </c>
      <c r="Q1585" t="s">
        <v>51</v>
      </c>
      <c r="R1585" t="s">
        <v>36</v>
      </c>
      <c r="S1585" t="s">
        <v>129</v>
      </c>
      <c r="T1585" t="s">
        <v>655</v>
      </c>
      <c r="U1585" t="s">
        <v>39</v>
      </c>
      <c r="V1585" t="s">
        <v>315</v>
      </c>
      <c r="W1585">
        <v>4.5</v>
      </c>
      <c r="X1585" t="s">
        <v>41</v>
      </c>
      <c r="Y1585" t="s">
        <v>42</v>
      </c>
      <c r="Z1585">
        <v>3</v>
      </c>
    </row>
    <row r="1586" spans="1:26">
      <c r="A1586" t="s">
        <v>2666</v>
      </c>
      <c r="B1586" t="s">
        <v>1775</v>
      </c>
      <c r="C1586" t="s">
        <v>45</v>
      </c>
      <c r="D1586" t="s">
        <v>103</v>
      </c>
      <c r="E1586" s="1">
        <v>44807</v>
      </c>
      <c r="F1586" t="s">
        <v>30</v>
      </c>
      <c r="G1586" t="s">
        <v>110</v>
      </c>
      <c r="H1586" t="s">
        <v>111</v>
      </c>
      <c r="I1586">
        <v>8</v>
      </c>
      <c r="J1586" t="s">
        <v>33</v>
      </c>
      <c r="K1586">
        <v>3</v>
      </c>
      <c r="L1586" s="3">
        <v>7899</v>
      </c>
      <c r="M1586">
        <v>10</v>
      </c>
      <c r="N1586" s="3">
        <v>7110</v>
      </c>
      <c r="O1586" s="3">
        <v>21330</v>
      </c>
      <c r="P1586" t="s">
        <v>34</v>
      </c>
      <c r="Q1586" t="s">
        <v>82</v>
      </c>
      <c r="R1586" t="s">
        <v>36</v>
      </c>
      <c r="S1586" t="s">
        <v>418</v>
      </c>
      <c r="T1586" t="s">
        <v>549</v>
      </c>
      <c r="U1586" t="s">
        <v>61</v>
      </c>
      <c r="V1586" t="s">
        <v>969</v>
      </c>
      <c r="W1586">
        <v>4.4000000000000004</v>
      </c>
      <c r="X1586" t="s">
        <v>41</v>
      </c>
      <c r="Y1586" t="s">
        <v>55</v>
      </c>
      <c r="Z1586">
        <v>2</v>
      </c>
    </row>
    <row r="1587" spans="1:26">
      <c r="A1587" t="s">
        <v>2667</v>
      </c>
      <c r="B1587" t="s">
        <v>2591</v>
      </c>
      <c r="C1587" t="s">
        <v>28</v>
      </c>
      <c r="D1587" t="s">
        <v>109</v>
      </c>
      <c r="E1587" s="1">
        <v>44807</v>
      </c>
      <c r="F1587" t="s">
        <v>79</v>
      </c>
      <c r="G1587" t="s">
        <v>127</v>
      </c>
      <c r="H1587" t="s">
        <v>128</v>
      </c>
      <c r="I1587">
        <v>10</v>
      </c>
      <c r="J1587" t="s">
        <v>98</v>
      </c>
      <c r="K1587">
        <v>1</v>
      </c>
      <c r="L1587" s="3">
        <v>6999</v>
      </c>
      <c r="M1587">
        <v>15</v>
      </c>
      <c r="N1587" s="3">
        <v>5950</v>
      </c>
      <c r="O1587" s="3">
        <v>5950</v>
      </c>
      <c r="P1587" t="s">
        <v>74</v>
      </c>
      <c r="Q1587" t="s">
        <v>82</v>
      </c>
      <c r="R1587" t="s">
        <v>36</v>
      </c>
      <c r="S1587" t="s">
        <v>68</v>
      </c>
      <c r="T1587" t="s">
        <v>811</v>
      </c>
      <c r="U1587" t="s">
        <v>124</v>
      </c>
      <c r="V1587" t="s">
        <v>315</v>
      </c>
      <c r="W1587">
        <v>4.5</v>
      </c>
      <c r="X1587" t="s">
        <v>41</v>
      </c>
      <c r="Y1587" t="s">
        <v>42</v>
      </c>
      <c r="Z1587">
        <v>2</v>
      </c>
    </row>
    <row r="1588" spans="1:26">
      <c r="A1588" t="s">
        <v>2668</v>
      </c>
      <c r="B1588" t="s">
        <v>1074</v>
      </c>
      <c r="C1588" t="s">
        <v>45</v>
      </c>
      <c r="D1588" t="s">
        <v>109</v>
      </c>
      <c r="E1588" s="1">
        <v>44807</v>
      </c>
      <c r="F1588" t="s">
        <v>30</v>
      </c>
      <c r="G1588" t="s">
        <v>145</v>
      </c>
      <c r="H1588" t="s">
        <v>59</v>
      </c>
      <c r="I1588">
        <v>10</v>
      </c>
      <c r="J1588" t="s">
        <v>33</v>
      </c>
      <c r="K1588">
        <v>1</v>
      </c>
      <c r="L1588" s="3">
        <v>4699</v>
      </c>
      <c r="M1588">
        <v>25</v>
      </c>
      <c r="N1588" s="3">
        <v>3520</v>
      </c>
      <c r="O1588" s="3">
        <v>3520</v>
      </c>
      <c r="P1588" t="s">
        <v>74</v>
      </c>
      <c r="Q1588" t="s">
        <v>51</v>
      </c>
      <c r="R1588" t="s">
        <v>36</v>
      </c>
      <c r="S1588" t="s">
        <v>75</v>
      </c>
      <c r="T1588" t="s">
        <v>215</v>
      </c>
      <c r="U1588" t="s">
        <v>39</v>
      </c>
      <c r="V1588" t="s">
        <v>315</v>
      </c>
      <c r="W1588">
        <v>2.9</v>
      </c>
      <c r="X1588" t="s">
        <v>106</v>
      </c>
      <c r="Y1588" t="s">
        <v>42</v>
      </c>
      <c r="Z1588">
        <v>3</v>
      </c>
    </row>
    <row r="1589" spans="1:26">
      <c r="A1589" t="s">
        <v>2669</v>
      </c>
      <c r="B1589" t="s">
        <v>856</v>
      </c>
      <c r="C1589" t="s">
        <v>45</v>
      </c>
      <c r="D1589" t="s">
        <v>103</v>
      </c>
      <c r="E1589" s="1">
        <v>44808</v>
      </c>
      <c r="F1589" t="s">
        <v>65</v>
      </c>
      <c r="G1589" t="s">
        <v>72</v>
      </c>
      <c r="H1589" t="s">
        <v>59</v>
      </c>
      <c r="I1589">
        <v>7</v>
      </c>
      <c r="J1589" t="s">
        <v>67</v>
      </c>
      <c r="K1589">
        <v>1</v>
      </c>
      <c r="L1589" s="3">
        <v>7399</v>
      </c>
      <c r="M1589">
        <v>5</v>
      </c>
      <c r="N1589" s="3">
        <v>7030</v>
      </c>
      <c r="O1589" s="3">
        <v>7030</v>
      </c>
      <c r="P1589" t="s">
        <v>74</v>
      </c>
      <c r="Q1589" t="s">
        <v>35</v>
      </c>
      <c r="R1589" t="s">
        <v>36</v>
      </c>
      <c r="S1589" t="s">
        <v>286</v>
      </c>
      <c r="T1589" t="s">
        <v>366</v>
      </c>
      <c r="U1589" t="s">
        <v>54</v>
      </c>
      <c r="V1589" t="s">
        <v>315</v>
      </c>
      <c r="W1589">
        <v>4.4000000000000004</v>
      </c>
      <c r="X1589" t="s">
        <v>41</v>
      </c>
      <c r="Y1589" t="s">
        <v>55</v>
      </c>
      <c r="Z1589">
        <v>2</v>
      </c>
    </row>
    <row r="1590" spans="1:26">
      <c r="A1590" t="s">
        <v>2670</v>
      </c>
      <c r="B1590" t="s">
        <v>2157</v>
      </c>
      <c r="C1590" t="s">
        <v>28</v>
      </c>
      <c r="D1590" t="s">
        <v>95</v>
      </c>
      <c r="E1590" s="1">
        <v>44808</v>
      </c>
      <c r="F1590" t="s">
        <v>79</v>
      </c>
      <c r="G1590" t="s">
        <v>174</v>
      </c>
      <c r="H1590" t="s">
        <v>32</v>
      </c>
      <c r="I1590">
        <v>9</v>
      </c>
      <c r="J1590" t="s">
        <v>150</v>
      </c>
      <c r="K1590">
        <v>1</v>
      </c>
      <c r="L1590" s="3">
        <v>7999</v>
      </c>
      <c r="M1590">
        <v>15</v>
      </c>
      <c r="N1590" s="3">
        <v>6800</v>
      </c>
      <c r="O1590" s="3">
        <v>6800</v>
      </c>
      <c r="P1590" t="s">
        <v>34</v>
      </c>
      <c r="Q1590" t="s">
        <v>82</v>
      </c>
      <c r="R1590" t="s">
        <v>36</v>
      </c>
      <c r="S1590" t="s">
        <v>200</v>
      </c>
      <c r="T1590" t="s">
        <v>201</v>
      </c>
      <c r="U1590" t="s">
        <v>61</v>
      </c>
      <c r="V1590" t="s">
        <v>315</v>
      </c>
      <c r="W1590">
        <v>5</v>
      </c>
      <c r="X1590" t="s">
        <v>41</v>
      </c>
      <c r="Y1590" t="s">
        <v>42</v>
      </c>
      <c r="Z1590">
        <v>3</v>
      </c>
    </row>
    <row r="1591" spans="1:26">
      <c r="A1591" t="s">
        <v>2671</v>
      </c>
      <c r="B1591" t="s">
        <v>744</v>
      </c>
      <c r="C1591" t="s">
        <v>45</v>
      </c>
      <c r="D1591" t="s">
        <v>46</v>
      </c>
      <c r="E1591" s="1">
        <v>44808</v>
      </c>
      <c r="F1591" t="s">
        <v>79</v>
      </c>
      <c r="G1591" t="s">
        <v>127</v>
      </c>
      <c r="H1591" t="s">
        <v>128</v>
      </c>
      <c r="I1591">
        <v>7</v>
      </c>
      <c r="J1591" t="s">
        <v>88</v>
      </c>
      <c r="K1591">
        <v>1</v>
      </c>
      <c r="L1591" s="3">
        <v>3099</v>
      </c>
      <c r="M1591">
        <v>5</v>
      </c>
      <c r="N1591" s="3">
        <v>2940</v>
      </c>
      <c r="O1591" s="3">
        <v>2940</v>
      </c>
      <c r="P1591" t="s">
        <v>34</v>
      </c>
      <c r="Q1591" t="s">
        <v>82</v>
      </c>
      <c r="R1591" t="s">
        <v>36</v>
      </c>
      <c r="S1591" t="s">
        <v>210</v>
      </c>
      <c r="T1591" t="s">
        <v>412</v>
      </c>
      <c r="U1591" t="s">
        <v>54</v>
      </c>
      <c r="V1591" t="s">
        <v>969</v>
      </c>
      <c r="W1591">
        <v>3.7</v>
      </c>
      <c r="X1591" t="s">
        <v>106</v>
      </c>
      <c r="Y1591" t="s">
        <v>42</v>
      </c>
      <c r="Z1591">
        <v>6</v>
      </c>
    </row>
    <row r="1592" spans="1:26">
      <c r="A1592" t="s">
        <v>2672</v>
      </c>
      <c r="B1592" t="s">
        <v>1665</v>
      </c>
      <c r="C1592" t="s">
        <v>28</v>
      </c>
      <c r="D1592" t="s">
        <v>29</v>
      </c>
      <c r="E1592" s="1">
        <v>44809</v>
      </c>
      <c r="F1592" t="s">
        <v>79</v>
      </c>
      <c r="G1592" t="s">
        <v>301</v>
      </c>
      <c r="H1592" t="s">
        <v>49</v>
      </c>
      <c r="I1592">
        <v>8</v>
      </c>
      <c r="J1592" t="s">
        <v>98</v>
      </c>
      <c r="K1592">
        <v>1</v>
      </c>
      <c r="L1592" s="3">
        <v>3299</v>
      </c>
      <c r="M1592">
        <v>35</v>
      </c>
      <c r="N1592" s="3">
        <v>2140</v>
      </c>
      <c r="O1592" s="3">
        <v>2140</v>
      </c>
      <c r="P1592" t="s">
        <v>34</v>
      </c>
      <c r="Q1592" t="s">
        <v>82</v>
      </c>
      <c r="R1592" t="s">
        <v>36</v>
      </c>
      <c r="S1592" t="s">
        <v>52</v>
      </c>
      <c r="T1592" t="s">
        <v>235</v>
      </c>
      <c r="U1592" t="s">
        <v>54</v>
      </c>
      <c r="V1592" t="s">
        <v>315</v>
      </c>
      <c r="W1592">
        <v>4.4000000000000004</v>
      </c>
      <c r="X1592" t="s">
        <v>106</v>
      </c>
      <c r="Y1592" t="s">
        <v>42</v>
      </c>
      <c r="Z1592">
        <v>3</v>
      </c>
    </row>
    <row r="1593" spans="1:26">
      <c r="A1593" t="s">
        <v>2673</v>
      </c>
      <c r="B1593" t="s">
        <v>2231</v>
      </c>
      <c r="C1593" t="s">
        <v>94</v>
      </c>
      <c r="D1593" t="s">
        <v>46</v>
      </c>
      <c r="E1593" s="1">
        <v>44809</v>
      </c>
      <c r="F1593" t="s">
        <v>65</v>
      </c>
      <c r="G1593" t="s">
        <v>268</v>
      </c>
      <c r="H1593" t="s">
        <v>128</v>
      </c>
      <c r="I1593">
        <v>6</v>
      </c>
      <c r="J1593" t="s">
        <v>67</v>
      </c>
      <c r="K1593">
        <v>1</v>
      </c>
      <c r="L1593" s="3">
        <v>3599</v>
      </c>
      <c r="M1593">
        <v>5</v>
      </c>
      <c r="N1593" s="3">
        <v>3420</v>
      </c>
      <c r="O1593" s="3">
        <v>3420</v>
      </c>
      <c r="P1593" t="s">
        <v>74</v>
      </c>
      <c r="Q1593" t="s">
        <v>82</v>
      </c>
      <c r="R1593" t="s">
        <v>36</v>
      </c>
      <c r="S1593" t="s">
        <v>156</v>
      </c>
      <c r="T1593" t="s">
        <v>369</v>
      </c>
      <c r="U1593" t="s">
        <v>39</v>
      </c>
      <c r="V1593" t="s">
        <v>315</v>
      </c>
      <c r="W1593">
        <v>3.9</v>
      </c>
      <c r="X1593" t="s">
        <v>41</v>
      </c>
      <c r="Y1593" t="s">
        <v>42</v>
      </c>
      <c r="Z1593">
        <v>6</v>
      </c>
    </row>
    <row r="1594" spans="1:26">
      <c r="A1594" t="s">
        <v>2674</v>
      </c>
      <c r="B1594" t="s">
        <v>1803</v>
      </c>
      <c r="C1594" t="s">
        <v>45</v>
      </c>
      <c r="D1594" t="s">
        <v>95</v>
      </c>
      <c r="E1594" s="1">
        <v>44809</v>
      </c>
      <c r="F1594" t="s">
        <v>65</v>
      </c>
      <c r="G1594" t="s">
        <v>279</v>
      </c>
      <c r="H1594" t="s">
        <v>111</v>
      </c>
      <c r="I1594">
        <v>7</v>
      </c>
      <c r="J1594" t="s">
        <v>150</v>
      </c>
      <c r="K1594">
        <v>1</v>
      </c>
      <c r="L1594" s="3">
        <v>6999</v>
      </c>
      <c r="M1594">
        <v>20</v>
      </c>
      <c r="N1594" s="3">
        <v>5600</v>
      </c>
      <c r="O1594" s="3">
        <v>5600</v>
      </c>
      <c r="P1594" t="s">
        <v>81</v>
      </c>
      <c r="Q1594" t="s">
        <v>51</v>
      </c>
      <c r="R1594" t="s">
        <v>36</v>
      </c>
      <c r="S1594" t="s">
        <v>168</v>
      </c>
      <c r="T1594" t="s">
        <v>557</v>
      </c>
      <c r="U1594" t="s">
        <v>124</v>
      </c>
      <c r="V1594" t="s">
        <v>315</v>
      </c>
      <c r="W1594">
        <v>4.7</v>
      </c>
      <c r="X1594" t="s">
        <v>41</v>
      </c>
      <c r="Y1594" t="s">
        <v>42</v>
      </c>
      <c r="Z1594">
        <v>7</v>
      </c>
    </row>
    <row r="1595" spans="1:26">
      <c r="A1595" t="s">
        <v>2675</v>
      </c>
      <c r="B1595" t="s">
        <v>2169</v>
      </c>
      <c r="C1595" t="s">
        <v>94</v>
      </c>
      <c r="D1595" t="s">
        <v>46</v>
      </c>
      <c r="E1595" s="1">
        <v>44809</v>
      </c>
      <c r="F1595" t="s">
        <v>79</v>
      </c>
      <c r="G1595" t="s">
        <v>517</v>
      </c>
      <c r="H1595" t="s">
        <v>59</v>
      </c>
      <c r="I1595">
        <v>8</v>
      </c>
      <c r="J1595" t="s">
        <v>150</v>
      </c>
      <c r="K1595">
        <v>1</v>
      </c>
      <c r="L1595" s="3">
        <v>7399</v>
      </c>
      <c r="M1595">
        <v>10</v>
      </c>
      <c r="N1595" s="3">
        <v>6660</v>
      </c>
      <c r="O1595" s="3">
        <v>6660</v>
      </c>
      <c r="P1595" t="s">
        <v>74</v>
      </c>
      <c r="Q1595" t="s">
        <v>35</v>
      </c>
      <c r="R1595" t="s">
        <v>36</v>
      </c>
      <c r="S1595" t="s">
        <v>160</v>
      </c>
      <c r="T1595" t="s">
        <v>344</v>
      </c>
      <c r="U1595" t="s">
        <v>39</v>
      </c>
      <c r="V1595" t="s">
        <v>315</v>
      </c>
      <c r="W1595">
        <v>4.9000000000000004</v>
      </c>
      <c r="X1595" t="s">
        <v>106</v>
      </c>
      <c r="Y1595" t="s">
        <v>147</v>
      </c>
      <c r="Z1595">
        <v>1</v>
      </c>
    </row>
    <row r="1596" spans="1:26">
      <c r="A1596" t="s">
        <v>2676</v>
      </c>
      <c r="B1596" t="s">
        <v>1990</v>
      </c>
      <c r="C1596" t="s">
        <v>94</v>
      </c>
      <c r="D1596" t="s">
        <v>29</v>
      </c>
      <c r="E1596" s="1">
        <v>44809</v>
      </c>
      <c r="F1596" t="s">
        <v>79</v>
      </c>
      <c r="G1596" t="s">
        <v>480</v>
      </c>
      <c r="H1596" t="s">
        <v>111</v>
      </c>
      <c r="I1596">
        <v>8</v>
      </c>
      <c r="J1596" t="s">
        <v>88</v>
      </c>
      <c r="K1596">
        <v>3</v>
      </c>
      <c r="L1596" s="3">
        <v>6999</v>
      </c>
      <c r="M1596">
        <v>15</v>
      </c>
      <c r="N1596" s="3">
        <v>5950</v>
      </c>
      <c r="O1596" s="3">
        <v>17850</v>
      </c>
      <c r="P1596" t="s">
        <v>74</v>
      </c>
      <c r="Q1596" t="s">
        <v>51</v>
      </c>
      <c r="R1596" t="s">
        <v>36</v>
      </c>
      <c r="S1596" t="s">
        <v>89</v>
      </c>
      <c r="T1596" t="s">
        <v>1982</v>
      </c>
      <c r="U1596" t="s">
        <v>124</v>
      </c>
      <c r="V1596" t="s">
        <v>315</v>
      </c>
      <c r="W1596">
        <v>3.9</v>
      </c>
      <c r="X1596" t="s">
        <v>106</v>
      </c>
      <c r="Y1596" t="s">
        <v>42</v>
      </c>
      <c r="Z1596">
        <v>4</v>
      </c>
    </row>
    <row r="1597" spans="1:26">
      <c r="A1597" t="s">
        <v>2677</v>
      </c>
      <c r="B1597" t="s">
        <v>1729</v>
      </c>
      <c r="C1597" t="s">
        <v>94</v>
      </c>
      <c r="D1597" t="s">
        <v>29</v>
      </c>
      <c r="E1597" s="1">
        <v>44810</v>
      </c>
      <c r="F1597" t="s">
        <v>30</v>
      </c>
      <c r="G1597" t="s">
        <v>31</v>
      </c>
      <c r="H1597" t="s">
        <v>32</v>
      </c>
      <c r="I1597">
        <v>8</v>
      </c>
      <c r="J1597" t="s">
        <v>67</v>
      </c>
      <c r="K1597">
        <v>1</v>
      </c>
      <c r="L1597" s="3">
        <v>7499</v>
      </c>
      <c r="M1597">
        <v>30</v>
      </c>
      <c r="N1597" s="3">
        <v>5250</v>
      </c>
      <c r="O1597" s="3">
        <v>5250</v>
      </c>
      <c r="P1597" t="s">
        <v>74</v>
      </c>
      <c r="Q1597" t="s">
        <v>51</v>
      </c>
      <c r="R1597" t="s">
        <v>36</v>
      </c>
      <c r="S1597" t="s">
        <v>182</v>
      </c>
      <c r="T1597" t="s">
        <v>309</v>
      </c>
      <c r="U1597" t="s">
        <v>91</v>
      </c>
      <c r="V1597" t="s">
        <v>315</v>
      </c>
      <c r="W1597">
        <v>2.5</v>
      </c>
      <c r="X1597" t="s">
        <v>41</v>
      </c>
      <c r="Y1597" t="s">
        <v>42</v>
      </c>
      <c r="Z1597">
        <v>4</v>
      </c>
    </row>
    <row r="1598" spans="1:26">
      <c r="A1598" t="s">
        <v>2678</v>
      </c>
      <c r="B1598" t="s">
        <v>1882</v>
      </c>
      <c r="C1598" t="s">
        <v>28</v>
      </c>
      <c r="D1598" t="s">
        <v>103</v>
      </c>
      <c r="E1598" s="1">
        <v>44810</v>
      </c>
      <c r="F1598" t="s">
        <v>86</v>
      </c>
      <c r="G1598" t="s">
        <v>312</v>
      </c>
      <c r="H1598" t="s">
        <v>59</v>
      </c>
      <c r="I1598">
        <v>11</v>
      </c>
      <c r="J1598" t="s">
        <v>67</v>
      </c>
      <c r="K1598">
        <v>1</v>
      </c>
      <c r="L1598" s="3">
        <v>4899</v>
      </c>
      <c r="M1598">
        <v>0</v>
      </c>
      <c r="N1598" s="3">
        <v>4900</v>
      </c>
      <c r="O1598" s="3">
        <v>4900</v>
      </c>
      <c r="P1598" t="s">
        <v>50</v>
      </c>
      <c r="Q1598" t="s">
        <v>51</v>
      </c>
      <c r="R1598" t="s">
        <v>36</v>
      </c>
      <c r="S1598" t="s">
        <v>384</v>
      </c>
      <c r="T1598" t="s">
        <v>444</v>
      </c>
      <c r="U1598" t="s">
        <v>124</v>
      </c>
      <c r="V1598" t="s">
        <v>969</v>
      </c>
      <c r="W1598">
        <v>4.3</v>
      </c>
      <c r="X1598" t="s">
        <v>41</v>
      </c>
      <c r="Y1598" t="s">
        <v>42</v>
      </c>
      <c r="Z1598">
        <v>4</v>
      </c>
    </row>
    <row r="1599" spans="1:26">
      <c r="A1599" t="s">
        <v>2679</v>
      </c>
      <c r="B1599" t="s">
        <v>1276</v>
      </c>
      <c r="C1599" t="s">
        <v>45</v>
      </c>
      <c r="D1599" t="s">
        <v>95</v>
      </c>
      <c r="E1599" s="1">
        <v>44810</v>
      </c>
      <c r="F1599" t="s">
        <v>86</v>
      </c>
      <c r="G1599" t="s">
        <v>312</v>
      </c>
      <c r="H1599" t="s">
        <v>59</v>
      </c>
      <c r="I1599">
        <v>7</v>
      </c>
      <c r="J1599" t="s">
        <v>98</v>
      </c>
      <c r="K1599">
        <v>1</v>
      </c>
      <c r="L1599" s="3">
        <v>6399</v>
      </c>
      <c r="M1599">
        <v>10</v>
      </c>
      <c r="N1599" s="3">
        <v>5760</v>
      </c>
      <c r="O1599" s="3">
        <v>5760</v>
      </c>
      <c r="P1599" t="s">
        <v>34</v>
      </c>
      <c r="Q1599" t="s">
        <v>35</v>
      </c>
      <c r="R1599" t="s">
        <v>36</v>
      </c>
      <c r="S1599" t="s">
        <v>89</v>
      </c>
      <c r="T1599" t="s">
        <v>515</v>
      </c>
      <c r="U1599" t="s">
        <v>39</v>
      </c>
      <c r="V1599" t="s">
        <v>315</v>
      </c>
      <c r="W1599">
        <v>5</v>
      </c>
      <c r="X1599" t="s">
        <v>106</v>
      </c>
      <c r="Y1599" t="s">
        <v>55</v>
      </c>
      <c r="Z1599">
        <v>3</v>
      </c>
    </row>
    <row r="1600" spans="1:26">
      <c r="A1600" t="s">
        <v>2680</v>
      </c>
      <c r="B1600" t="s">
        <v>2681</v>
      </c>
      <c r="C1600" t="s">
        <v>94</v>
      </c>
      <c r="D1600" t="s">
        <v>29</v>
      </c>
      <c r="E1600" s="1">
        <v>44810</v>
      </c>
      <c r="F1600" t="s">
        <v>96</v>
      </c>
      <c r="G1600" t="s">
        <v>155</v>
      </c>
      <c r="H1600" t="s">
        <v>111</v>
      </c>
      <c r="I1600">
        <v>12</v>
      </c>
      <c r="J1600" t="s">
        <v>98</v>
      </c>
      <c r="K1600">
        <v>1</v>
      </c>
      <c r="L1600" s="3">
        <v>6399</v>
      </c>
      <c r="M1600">
        <v>30</v>
      </c>
      <c r="N1600" s="3">
        <v>4480</v>
      </c>
      <c r="O1600" s="3">
        <v>4480</v>
      </c>
      <c r="P1600" t="s">
        <v>74</v>
      </c>
      <c r="Q1600" t="s">
        <v>51</v>
      </c>
      <c r="R1600" t="s">
        <v>36</v>
      </c>
      <c r="S1600" t="s">
        <v>112</v>
      </c>
      <c r="T1600" t="s">
        <v>133</v>
      </c>
      <c r="U1600" t="s">
        <v>54</v>
      </c>
      <c r="V1600" t="s">
        <v>40</v>
      </c>
      <c r="W1600">
        <v>3.8</v>
      </c>
      <c r="X1600" t="s">
        <v>41</v>
      </c>
      <c r="Y1600" t="s">
        <v>42</v>
      </c>
      <c r="Z1600">
        <v>2</v>
      </c>
    </row>
    <row r="1601" spans="1:26">
      <c r="A1601" t="s">
        <v>2682</v>
      </c>
      <c r="B1601" t="s">
        <v>660</v>
      </c>
      <c r="C1601" t="s">
        <v>28</v>
      </c>
      <c r="D1601" t="s">
        <v>29</v>
      </c>
      <c r="E1601" s="1">
        <v>44810</v>
      </c>
      <c r="F1601" t="s">
        <v>86</v>
      </c>
      <c r="G1601" t="s">
        <v>190</v>
      </c>
      <c r="H1601" t="s">
        <v>128</v>
      </c>
      <c r="I1601">
        <v>11</v>
      </c>
      <c r="J1601" t="s">
        <v>73</v>
      </c>
      <c r="K1601">
        <v>1</v>
      </c>
      <c r="L1601" s="3">
        <v>8099</v>
      </c>
      <c r="M1601">
        <v>10</v>
      </c>
      <c r="N1601" s="3">
        <v>7290</v>
      </c>
      <c r="O1601" s="3">
        <v>7290</v>
      </c>
      <c r="P1601" t="s">
        <v>34</v>
      </c>
      <c r="Q1601" t="s">
        <v>51</v>
      </c>
      <c r="R1601" t="s">
        <v>36</v>
      </c>
      <c r="S1601" t="s">
        <v>358</v>
      </c>
      <c r="T1601" t="s">
        <v>805</v>
      </c>
      <c r="U1601" t="s">
        <v>54</v>
      </c>
      <c r="V1601" t="s">
        <v>969</v>
      </c>
      <c r="W1601">
        <v>4.0999999999999996</v>
      </c>
      <c r="X1601" t="s">
        <v>41</v>
      </c>
      <c r="Y1601" t="s">
        <v>42</v>
      </c>
      <c r="Z1601">
        <v>4</v>
      </c>
    </row>
    <row r="1602" spans="1:26">
      <c r="A1602" t="s">
        <v>2683</v>
      </c>
      <c r="B1602" t="s">
        <v>2248</v>
      </c>
      <c r="C1602" t="s">
        <v>45</v>
      </c>
      <c r="D1602" t="s">
        <v>46</v>
      </c>
      <c r="E1602" s="1">
        <v>44810</v>
      </c>
      <c r="F1602" t="s">
        <v>96</v>
      </c>
      <c r="G1602" t="s">
        <v>290</v>
      </c>
      <c r="H1602" t="s">
        <v>32</v>
      </c>
      <c r="I1602">
        <v>11</v>
      </c>
      <c r="J1602" t="s">
        <v>98</v>
      </c>
      <c r="K1602">
        <v>2</v>
      </c>
      <c r="L1602" s="3">
        <v>6499</v>
      </c>
      <c r="M1602">
        <v>35</v>
      </c>
      <c r="N1602" s="3">
        <v>4220</v>
      </c>
      <c r="O1602" s="3">
        <v>8440</v>
      </c>
      <c r="P1602" t="s">
        <v>74</v>
      </c>
      <c r="Q1602" t="s">
        <v>35</v>
      </c>
      <c r="R1602" t="s">
        <v>36</v>
      </c>
      <c r="S1602" t="s">
        <v>358</v>
      </c>
      <c r="T1602" t="s">
        <v>805</v>
      </c>
      <c r="U1602" t="s">
        <v>54</v>
      </c>
      <c r="V1602" t="s">
        <v>315</v>
      </c>
      <c r="W1602">
        <v>4.0999999999999996</v>
      </c>
      <c r="X1602" t="s">
        <v>41</v>
      </c>
      <c r="Y1602" t="s">
        <v>42</v>
      </c>
      <c r="Z1602">
        <v>6</v>
      </c>
    </row>
    <row r="1603" spans="1:26">
      <c r="A1603" t="s">
        <v>2684</v>
      </c>
      <c r="B1603" t="s">
        <v>1417</v>
      </c>
      <c r="C1603" t="s">
        <v>45</v>
      </c>
      <c r="D1603" t="s">
        <v>46</v>
      </c>
      <c r="E1603" s="1">
        <v>44810</v>
      </c>
      <c r="F1603" t="s">
        <v>47</v>
      </c>
      <c r="G1603" t="s">
        <v>121</v>
      </c>
      <c r="H1603" t="s">
        <v>111</v>
      </c>
      <c r="I1603">
        <v>8</v>
      </c>
      <c r="J1603" t="s">
        <v>150</v>
      </c>
      <c r="K1603">
        <v>1</v>
      </c>
      <c r="L1603" s="3">
        <v>7399</v>
      </c>
      <c r="M1603">
        <v>15</v>
      </c>
      <c r="N1603" s="3">
        <v>6290</v>
      </c>
      <c r="O1603" s="3">
        <v>6290</v>
      </c>
      <c r="P1603" t="s">
        <v>34</v>
      </c>
      <c r="Q1603" t="s">
        <v>51</v>
      </c>
      <c r="R1603" t="s">
        <v>36</v>
      </c>
      <c r="S1603" t="s">
        <v>238</v>
      </c>
      <c r="T1603" t="s">
        <v>498</v>
      </c>
      <c r="U1603" t="s">
        <v>54</v>
      </c>
      <c r="V1603" t="s">
        <v>315</v>
      </c>
      <c r="W1603">
        <v>4.3</v>
      </c>
      <c r="X1603" t="s">
        <v>41</v>
      </c>
      <c r="Y1603" t="s">
        <v>42</v>
      </c>
      <c r="Z1603">
        <v>2</v>
      </c>
    </row>
    <row r="1604" spans="1:26">
      <c r="A1604" t="s">
        <v>2685</v>
      </c>
      <c r="B1604" t="s">
        <v>1854</v>
      </c>
      <c r="C1604" t="s">
        <v>28</v>
      </c>
      <c r="D1604" t="s">
        <v>29</v>
      </c>
      <c r="E1604" s="1">
        <v>44812</v>
      </c>
      <c r="F1604" t="s">
        <v>79</v>
      </c>
      <c r="G1604" t="s">
        <v>127</v>
      </c>
      <c r="H1604" t="s">
        <v>128</v>
      </c>
      <c r="I1604">
        <v>10</v>
      </c>
      <c r="J1604" t="s">
        <v>98</v>
      </c>
      <c r="K1604">
        <v>1</v>
      </c>
      <c r="L1604" s="3">
        <v>4999</v>
      </c>
      <c r="M1604">
        <v>20</v>
      </c>
      <c r="N1604" s="3">
        <v>4000</v>
      </c>
      <c r="O1604" s="3">
        <v>4000</v>
      </c>
      <c r="P1604" t="s">
        <v>74</v>
      </c>
      <c r="Q1604" t="s">
        <v>35</v>
      </c>
      <c r="R1604" t="s">
        <v>36</v>
      </c>
      <c r="S1604" t="s">
        <v>136</v>
      </c>
      <c r="T1604" t="s">
        <v>1693</v>
      </c>
      <c r="U1604" t="s">
        <v>91</v>
      </c>
      <c r="V1604" t="s">
        <v>315</v>
      </c>
      <c r="W1604">
        <v>4.8</v>
      </c>
      <c r="X1604" t="s">
        <v>41</v>
      </c>
      <c r="Y1604" t="s">
        <v>55</v>
      </c>
      <c r="Z1604">
        <v>2</v>
      </c>
    </row>
    <row r="1605" spans="1:26">
      <c r="A1605" t="s">
        <v>2686</v>
      </c>
      <c r="B1605" t="s">
        <v>1493</v>
      </c>
      <c r="C1605" t="s">
        <v>28</v>
      </c>
      <c r="D1605" t="s">
        <v>29</v>
      </c>
      <c r="E1605" s="1">
        <v>44814</v>
      </c>
      <c r="F1605" t="s">
        <v>86</v>
      </c>
      <c r="G1605" t="s">
        <v>242</v>
      </c>
      <c r="H1605" t="s">
        <v>32</v>
      </c>
      <c r="I1605">
        <v>8</v>
      </c>
      <c r="J1605" t="s">
        <v>33</v>
      </c>
      <c r="K1605">
        <v>1</v>
      </c>
      <c r="L1605" s="3">
        <v>8499</v>
      </c>
      <c r="M1605">
        <v>20</v>
      </c>
      <c r="N1605" s="3">
        <v>6800</v>
      </c>
      <c r="O1605" s="3">
        <v>6800</v>
      </c>
      <c r="P1605" t="s">
        <v>74</v>
      </c>
      <c r="Q1605" t="s">
        <v>35</v>
      </c>
      <c r="R1605" t="s">
        <v>36</v>
      </c>
      <c r="S1605" t="s">
        <v>136</v>
      </c>
      <c r="T1605" t="s">
        <v>137</v>
      </c>
      <c r="U1605" t="s">
        <v>54</v>
      </c>
      <c r="V1605" t="s">
        <v>315</v>
      </c>
      <c r="W1605">
        <v>4.2</v>
      </c>
      <c r="X1605" t="s">
        <v>41</v>
      </c>
      <c r="Y1605" t="s">
        <v>42</v>
      </c>
      <c r="Z1605">
        <v>1</v>
      </c>
    </row>
    <row r="1606" spans="1:26">
      <c r="A1606" t="s">
        <v>2687</v>
      </c>
      <c r="B1606" t="s">
        <v>671</v>
      </c>
      <c r="C1606" t="s">
        <v>45</v>
      </c>
      <c r="D1606" t="s">
        <v>29</v>
      </c>
      <c r="E1606" s="1">
        <v>44814</v>
      </c>
      <c r="F1606" t="s">
        <v>79</v>
      </c>
      <c r="G1606" t="s">
        <v>127</v>
      </c>
      <c r="H1606" t="s">
        <v>128</v>
      </c>
      <c r="I1606">
        <v>7</v>
      </c>
      <c r="J1606" t="s">
        <v>73</v>
      </c>
      <c r="K1606">
        <v>1</v>
      </c>
      <c r="L1606" s="3">
        <v>5899</v>
      </c>
      <c r="M1606">
        <v>10</v>
      </c>
      <c r="N1606" s="3">
        <v>5310</v>
      </c>
      <c r="O1606" s="3">
        <v>5310</v>
      </c>
      <c r="P1606" t="s">
        <v>74</v>
      </c>
      <c r="Q1606" t="s">
        <v>51</v>
      </c>
      <c r="R1606" t="s">
        <v>36</v>
      </c>
      <c r="S1606" t="s">
        <v>175</v>
      </c>
      <c r="T1606" t="s">
        <v>865</v>
      </c>
      <c r="U1606" t="s">
        <v>39</v>
      </c>
      <c r="V1606" t="s">
        <v>315</v>
      </c>
      <c r="W1606">
        <v>4.7</v>
      </c>
      <c r="X1606" t="s">
        <v>41</v>
      </c>
      <c r="Y1606" t="s">
        <v>42</v>
      </c>
      <c r="Z1606">
        <v>3</v>
      </c>
    </row>
    <row r="1607" spans="1:26">
      <c r="A1607" t="s">
        <v>2688</v>
      </c>
      <c r="B1607" t="s">
        <v>1921</v>
      </c>
      <c r="C1607" t="s">
        <v>94</v>
      </c>
      <c r="D1607" t="s">
        <v>46</v>
      </c>
      <c r="E1607" s="1">
        <v>44814</v>
      </c>
      <c r="F1607" t="s">
        <v>47</v>
      </c>
      <c r="G1607" t="s">
        <v>121</v>
      </c>
      <c r="H1607" t="s">
        <v>111</v>
      </c>
      <c r="I1607">
        <v>7</v>
      </c>
      <c r="J1607" t="s">
        <v>88</v>
      </c>
      <c r="K1607">
        <v>1</v>
      </c>
      <c r="L1607" s="3">
        <v>8599</v>
      </c>
      <c r="M1607">
        <v>35</v>
      </c>
      <c r="N1607" s="3">
        <v>5590</v>
      </c>
      <c r="O1607" s="3">
        <v>5590</v>
      </c>
      <c r="P1607" t="s">
        <v>74</v>
      </c>
      <c r="Q1607" t="s">
        <v>82</v>
      </c>
      <c r="R1607" t="s">
        <v>36</v>
      </c>
      <c r="S1607" t="s">
        <v>52</v>
      </c>
      <c r="T1607" t="s">
        <v>83</v>
      </c>
      <c r="U1607" t="s">
        <v>61</v>
      </c>
      <c r="V1607" t="s">
        <v>315</v>
      </c>
      <c r="W1607">
        <v>4.3</v>
      </c>
      <c r="X1607" t="s">
        <v>41</v>
      </c>
      <c r="Y1607" t="s">
        <v>147</v>
      </c>
      <c r="Z1607">
        <v>1</v>
      </c>
    </row>
    <row r="1608" spans="1:26">
      <c r="A1608" t="s">
        <v>2689</v>
      </c>
      <c r="B1608" t="s">
        <v>2690</v>
      </c>
      <c r="C1608" t="s">
        <v>28</v>
      </c>
      <c r="D1608" t="s">
        <v>109</v>
      </c>
      <c r="E1608" s="1">
        <v>44815</v>
      </c>
      <c r="F1608" t="s">
        <v>96</v>
      </c>
      <c r="G1608" t="s">
        <v>290</v>
      </c>
      <c r="H1608" t="s">
        <v>32</v>
      </c>
      <c r="I1608">
        <v>10</v>
      </c>
      <c r="J1608" t="s">
        <v>98</v>
      </c>
      <c r="K1608">
        <v>1</v>
      </c>
      <c r="L1608" s="3">
        <v>8699</v>
      </c>
      <c r="M1608">
        <v>25</v>
      </c>
      <c r="N1608" s="3">
        <v>6520</v>
      </c>
      <c r="O1608" s="3">
        <v>6520</v>
      </c>
      <c r="P1608" t="s">
        <v>34</v>
      </c>
      <c r="Q1608" t="s">
        <v>51</v>
      </c>
      <c r="R1608" t="s">
        <v>36</v>
      </c>
      <c r="S1608" t="s">
        <v>99</v>
      </c>
      <c r="T1608" t="s">
        <v>759</v>
      </c>
      <c r="U1608" t="s">
        <v>124</v>
      </c>
      <c r="V1608" t="s">
        <v>40</v>
      </c>
      <c r="W1608">
        <v>3.8</v>
      </c>
      <c r="X1608" t="s">
        <v>62</v>
      </c>
      <c r="Y1608" t="s">
        <v>42</v>
      </c>
      <c r="Z1608">
        <v>2</v>
      </c>
    </row>
    <row r="1609" spans="1:26">
      <c r="A1609" t="s">
        <v>2691</v>
      </c>
      <c r="B1609" t="s">
        <v>1285</v>
      </c>
      <c r="C1609" t="s">
        <v>94</v>
      </c>
      <c r="D1609" t="s">
        <v>46</v>
      </c>
      <c r="E1609" s="1">
        <v>44816</v>
      </c>
      <c r="F1609" t="s">
        <v>30</v>
      </c>
      <c r="G1609" t="s">
        <v>31</v>
      </c>
      <c r="H1609" t="s">
        <v>32</v>
      </c>
      <c r="I1609">
        <v>9</v>
      </c>
      <c r="J1609" t="s">
        <v>73</v>
      </c>
      <c r="K1609">
        <v>2</v>
      </c>
      <c r="L1609" s="3">
        <v>8199</v>
      </c>
      <c r="M1609">
        <v>30</v>
      </c>
      <c r="N1609" s="3">
        <v>5740</v>
      </c>
      <c r="O1609" s="3">
        <v>11480</v>
      </c>
      <c r="P1609" t="s">
        <v>74</v>
      </c>
      <c r="Q1609" t="s">
        <v>51</v>
      </c>
      <c r="R1609" t="s">
        <v>36</v>
      </c>
      <c r="S1609" t="s">
        <v>238</v>
      </c>
      <c r="T1609" t="s">
        <v>260</v>
      </c>
      <c r="U1609" t="s">
        <v>54</v>
      </c>
      <c r="V1609" t="s">
        <v>969</v>
      </c>
      <c r="W1609">
        <v>5</v>
      </c>
      <c r="X1609" t="s">
        <v>41</v>
      </c>
      <c r="Y1609" t="s">
        <v>42</v>
      </c>
      <c r="Z1609">
        <v>2</v>
      </c>
    </row>
    <row r="1610" spans="1:26">
      <c r="A1610" t="s">
        <v>2692</v>
      </c>
      <c r="B1610" t="s">
        <v>2693</v>
      </c>
      <c r="C1610" t="s">
        <v>28</v>
      </c>
      <c r="D1610" t="s">
        <v>29</v>
      </c>
      <c r="E1610" s="1">
        <v>44816</v>
      </c>
      <c r="F1610" t="s">
        <v>96</v>
      </c>
      <c r="G1610" t="s">
        <v>155</v>
      </c>
      <c r="H1610" t="s">
        <v>111</v>
      </c>
      <c r="I1610">
        <v>8</v>
      </c>
      <c r="J1610" t="s">
        <v>88</v>
      </c>
      <c r="K1610">
        <v>1</v>
      </c>
      <c r="L1610" s="3">
        <v>6499</v>
      </c>
      <c r="M1610">
        <v>15</v>
      </c>
      <c r="N1610" s="3">
        <v>5520</v>
      </c>
      <c r="O1610" s="3">
        <v>5520</v>
      </c>
      <c r="P1610" t="s">
        <v>74</v>
      </c>
      <c r="Q1610" t="s">
        <v>35</v>
      </c>
      <c r="R1610" t="s">
        <v>36</v>
      </c>
      <c r="S1610" t="s">
        <v>112</v>
      </c>
      <c r="T1610" t="s">
        <v>133</v>
      </c>
      <c r="U1610" t="s">
        <v>39</v>
      </c>
      <c r="V1610" t="s">
        <v>40</v>
      </c>
      <c r="W1610">
        <v>4.3</v>
      </c>
      <c r="X1610" t="s">
        <v>41</v>
      </c>
      <c r="Y1610" t="s">
        <v>147</v>
      </c>
      <c r="Z1610">
        <v>2</v>
      </c>
    </row>
    <row r="1611" spans="1:26">
      <c r="A1611" t="s">
        <v>2694</v>
      </c>
      <c r="B1611" t="s">
        <v>776</v>
      </c>
      <c r="C1611" t="s">
        <v>45</v>
      </c>
      <c r="D1611" t="s">
        <v>46</v>
      </c>
      <c r="E1611" s="1">
        <v>44817</v>
      </c>
      <c r="F1611" t="s">
        <v>86</v>
      </c>
      <c r="G1611" t="s">
        <v>242</v>
      </c>
      <c r="H1611" t="s">
        <v>32</v>
      </c>
      <c r="I1611">
        <v>6</v>
      </c>
      <c r="J1611" t="s">
        <v>150</v>
      </c>
      <c r="K1611">
        <v>3</v>
      </c>
      <c r="L1611" s="3">
        <v>8099</v>
      </c>
      <c r="M1611">
        <v>20</v>
      </c>
      <c r="N1611" s="3">
        <v>6480</v>
      </c>
      <c r="O1611" s="3">
        <v>19440</v>
      </c>
      <c r="P1611" t="s">
        <v>34</v>
      </c>
      <c r="Q1611" t="s">
        <v>51</v>
      </c>
      <c r="R1611" t="s">
        <v>36</v>
      </c>
      <c r="S1611" t="s">
        <v>297</v>
      </c>
      <c r="T1611" t="s">
        <v>566</v>
      </c>
      <c r="U1611" t="s">
        <v>91</v>
      </c>
      <c r="V1611" t="s">
        <v>315</v>
      </c>
      <c r="W1611">
        <v>4.8</v>
      </c>
      <c r="X1611" t="s">
        <v>41</v>
      </c>
      <c r="Y1611" t="s">
        <v>55</v>
      </c>
      <c r="Z1611">
        <v>1</v>
      </c>
    </row>
    <row r="1612" spans="1:26">
      <c r="A1612" t="s">
        <v>2695</v>
      </c>
      <c r="B1612" t="s">
        <v>2562</v>
      </c>
      <c r="C1612" t="s">
        <v>45</v>
      </c>
      <c r="D1612" t="s">
        <v>46</v>
      </c>
      <c r="E1612" s="1">
        <v>44817</v>
      </c>
      <c r="F1612" t="s">
        <v>79</v>
      </c>
      <c r="G1612" t="s">
        <v>80</v>
      </c>
      <c r="H1612" t="s">
        <v>59</v>
      </c>
      <c r="I1612">
        <v>10</v>
      </c>
      <c r="J1612" t="s">
        <v>73</v>
      </c>
      <c r="K1612">
        <v>1</v>
      </c>
      <c r="L1612" s="3">
        <v>4399</v>
      </c>
      <c r="M1612">
        <v>5</v>
      </c>
      <c r="N1612" s="3">
        <v>4180</v>
      </c>
      <c r="O1612" s="3">
        <v>4180</v>
      </c>
      <c r="P1612" t="s">
        <v>74</v>
      </c>
      <c r="Q1612" t="s">
        <v>51</v>
      </c>
      <c r="R1612" t="s">
        <v>36</v>
      </c>
      <c r="S1612" t="s">
        <v>358</v>
      </c>
      <c r="T1612" t="s">
        <v>359</v>
      </c>
      <c r="U1612" t="s">
        <v>39</v>
      </c>
      <c r="V1612" t="s">
        <v>315</v>
      </c>
      <c r="W1612">
        <v>3.3</v>
      </c>
      <c r="X1612" t="s">
        <v>41</v>
      </c>
      <c r="Y1612" t="s">
        <v>147</v>
      </c>
      <c r="Z1612">
        <v>1</v>
      </c>
    </row>
    <row r="1613" spans="1:26">
      <c r="A1613" t="s">
        <v>2696</v>
      </c>
      <c r="B1613" t="s">
        <v>2200</v>
      </c>
      <c r="C1613" t="s">
        <v>45</v>
      </c>
      <c r="D1613" t="s">
        <v>95</v>
      </c>
      <c r="E1613" s="1">
        <v>44817</v>
      </c>
      <c r="F1613" t="s">
        <v>96</v>
      </c>
      <c r="G1613" t="s">
        <v>290</v>
      </c>
      <c r="H1613" t="s">
        <v>32</v>
      </c>
      <c r="I1613">
        <v>8</v>
      </c>
      <c r="J1613" t="s">
        <v>88</v>
      </c>
      <c r="K1613">
        <v>1</v>
      </c>
      <c r="L1613" s="3">
        <v>7199</v>
      </c>
      <c r="M1613">
        <v>20</v>
      </c>
      <c r="N1613" s="3">
        <v>5760</v>
      </c>
      <c r="O1613" s="3">
        <v>5760</v>
      </c>
      <c r="P1613" t="s">
        <v>74</v>
      </c>
      <c r="Q1613" t="s">
        <v>51</v>
      </c>
      <c r="R1613" t="s">
        <v>36</v>
      </c>
      <c r="S1613" t="s">
        <v>338</v>
      </c>
      <c r="T1613" t="s">
        <v>394</v>
      </c>
      <c r="U1613" t="s">
        <v>39</v>
      </c>
      <c r="V1613" t="s">
        <v>315</v>
      </c>
      <c r="W1613">
        <v>3.7</v>
      </c>
      <c r="X1613" t="s">
        <v>41</v>
      </c>
      <c r="Y1613" t="s">
        <v>42</v>
      </c>
      <c r="Z1613">
        <v>2</v>
      </c>
    </row>
    <row r="1614" spans="1:26">
      <c r="A1614" t="s">
        <v>2697</v>
      </c>
      <c r="B1614" t="s">
        <v>1838</v>
      </c>
      <c r="C1614" t="s">
        <v>28</v>
      </c>
      <c r="D1614" t="s">
        <v>109</v>
      </c>
      <c r="E1614" s="1">
        <v>44818</v>
      </c>
      <c r="F1614" t="s">
        <v>79</v>
      </c>
      <c r="G1614" t="s">
        <v>80</v>
      </c>
      <c r="H1614" t="s">
        <v>59</v>
      </c>
      <c r="I1614">
        <v>6</v>
      </c>
      <c r="J1614" t="s">
        <v>150</v>
      </c>
      <c r="K1614">
        <v>3</v>
      </c>
      <c r="L1614" s="3">
        <v>4499</v>
      </c>
      <c r="M1614">
        <v>30</v>
      </c>
      <c r="N1614" s="3">
        <v>3150</v>
      </c>
      <c r="O1614" s="3">
        <v>9450</v>
      </c>
      <c r="P1614" t="s">
        <v>34</v>
      </c>
      <c r="Q1614" t="s">
        <v>51</v>
      </c>
      <c r="R1614" t="s">
        <v>36</v>
      </c>
      <c r="S1614" t="s">
        <v>358</v>
      </c>
      <c r="T1614" t="s">
        <v>805</v>
      </c>
      <c r="U1614" t="s">
        <v>54</v>
      </c>
      <c r="V1614" t="s">
        <v>315</v>
      </c>
      <c r="W1614">
        <v>4.4000000000000004</v>
      </c>
      <c r="X1614" t="s">
        <v>62</v>
      </c>
      <c r="Y1614" t="s">
        <v>42</v>
      </c>
      <c r="Z1614">
        <v>3</v>
      </c>
    </row>
    <row r="1615" spans="1:26">
      <c r="A1615" t="s">
        <v>2698</v>
      </c>
      <c r="B1615" t="s">
        <v>2277</v>
      </c>
      <c r="C1615" t="s">
        <v>28</v>
      </c>
      <c r="D1615" t="s">
        <v>46</v>
      </c>
      <c r="E1615" s="1">
        <v>44818</v>
      </c>
      <c r="F1615" t="s">
        <v>86</v>
      </c>
      <c r="G1615" t="s">
        <v>285</v>
      </c>
      <c r="H1615" t="s">
        <v>111</v>
      </c>
      <c r="I1615">
        <v>9</v>
      </c>
      <c r="J1615" t="s">
        <v>98</v>
      </c>
      <c r="K1615">
        <v>1</v>
      </c>
      <c r="L1615" s="3">
        <v>4499</v>
      </c>
      <c r="M1615">
        <v>35</v>
      </c>
      <c r="N1615" s="3">
        <v>2920</v>
      </c>
      <c r="O1615" s="3">
        <v>2920</v>
      </c>
      <c r="P1615" t="s">
        <v>81</v>
      </c>
      <c r="Q1615" t="s">
        <v>35</v>
      </c>
      <c r="R1615" t="s">
        <v>36</v>
      </c>
      <c r="S1615" t="s">
        <v>286</v>
      </c>
      <c r="T1615" t="s">
        <v>768</v>
      </c>
      <c r="U1615" t="s">
        <v>54</v>
      </c>
      <c r="V1615" t="s">
        <v>315</v>
      </c>
      <c r="W1615">
        <v>3.1</v>
      </c>
      <c r="X1615" t="s">
        <v>41</v>
      </c>
      <c r="Y1615" t="s">
        <v>42</v>
      </c>
      <c r="Z1615">
        <v>1</v>
      </c>
    </row>
    <row r="1616" spans="1:26">
      <c r="A1616" t="s">
        <v>2699</v>
      </c>
      <c r="B1616" t="s">
        <v>2700</v>
      </c>
      <c r="C1616" t="s">
        <v>28</v>
      </c>
      <c r="D1616" t="s">
        <v>46</v>
      </c>
      <c r="E1616" s="1">
        <v>44818</v>
      </c>
      <c r="F1616" t="s">
        <v>65</v>
      </c>
      <c r="G1616" t="s">
        <v>66</v>
      </c>
      <c r="H1616" t="s">
        <v>59</v>
      </c>
      <c r="I1616">
        <v>8</v>
      </c>
      <c r="J1616" t="s">
        <v>33</v>
      </c>
      <c r="K1616">
        <v>1</v>
      </c>
      <c r="L1616" s="3">
        <v>3099</v>
      </c>
      <c r="M1616">
        <v>25</v>
      </c>
      <c r="N1616" s="3">
        <v>2320</v>
      </c>
      <c r="O1616" s="3">
        <v>2320</v>
      </c>
      <c r="P1616" t="s">
        <v>34</v>
      </c>
      <c r="Q1616" t="s">
        <v>82</v>
      </c>
      <c r="R1616" t="s">
        <v>36</v>
      </c>
      <c r="S1616" t="s">
        <v>297</v>
      </c>
      <c r="T1616" t="s">
        <v>298</v>
      </c>
      <c r="U1616" t="s">
        <v>91</v>
      </c>
      <c r="V1616" t="s">
        <v>40</v>
      </c>
      <c r="W1616">
        <v>3.9</v>
      </c>
      <c r="X1616" t="s">
        <v>41</v>
      </c>
      <c r="Y1616" t="s">
        <v>147</v>
      </c>
      <c r="Z1616">
        <v>1</v>
      </c>
    </row>
    <row r="1617" spans="1:26">
      <c r="A1617" t="s">
        <v>2701</v>
      </c>
      <c r="B1617" t="s">
        <v>2135</v>
      </c>
      <c r="C1617" t="s">
        <v>94</v>
      </c>
      <c r="D1617" t="s">
        <v>95</v>
      </c>
      <c r="E1617" s="1">
        <v>44820</v>
      </c>
      <c r="F1617" t="s">
        <v>79</v>
      </c>
      <c r="G1617" t="s">
        <v>174</v>
      </c>
      <c r="H1617" t="s">
        <v>32</v>
      </c>
      <c r="I1617">
        <v>8</v>
      </c>
      <c r="J1617" t="s">
        <v>67</v>
      </c>
      <c r="K1617">
        <v>1</v>
      </c>
      <c r="L1617" s="3">
        <v>4899</v>
      </c>
      <c r="M1617">
        <v>5</v>
      </c>
      <c r="N1617" s="3">
        <v>4650</v>
      </c>
      <c r="O1617" s="3">
        <v>4650</v>
      </c>
      <c r="P1617" t="s">
        <v>74</v>
      </c>
      <c r="Q1617" t="s">
        <v>35</v>
      </c>
      <c r="R1617" t="s">
        <v>36</v>
      </c>
      <c r="S1617" t="s">
        <v>297</v>
      </c>
      <c r="T1617" t="s">
        <v>351</v>
      </c>
      <c r="U1617" t="s">
        <v>39</v>
      </c>
      <c r="V1617" t="s">
        <v>315</v>
      </c>
      <c r="W1617">
        <v>3.2</v>
      </c>
      <c r="X1617" t="s">
        <v>41</v>
      </c>
      <c r="Y1617" t="s">
        <v>55</v>
      </c>
      <c r="Z1617">
        <v>3</v>
      </c>
    </row>
    <row r="1618" spans="1:26">
      <c r="A1618" t="s">
        <v>2702</v>
      </c>
      <c r="B1618" t="s">
        <v>2703</v>
      </c>
      <c r="C1618" t="s">
        <v>28</v>
      </c>
      <c r="D1618" t="s">
        <v>46</v>
      </c>
      <c r="E1618" s="1">
        <v>44820</v>
      </c>
      <c r="F1618" t="s">
        <v>79</v>
      </c>
      <c r="G1618" t="s">
        <v>517</v>
      </c>
      <c r="H1618" t="s">
        <v>59</v>
      </c>
      <c r="I1618">
        <v>11</v>
      </c>
      <c r="J1618" t="s">
        <v>67</v>
      </c>
      <c r="K1618">
        <v>1</v>
      </c>
      <c r="L1618" s="3">
        <v>5299</v>
      </c>
      <c r="M1618">
        <v>15</v>
      </c>
      <c r="N1618" s="3">
        <v>4500</v>
      </c>
      <c r="O1618" s="3">
        <v>4500</v>
      </c>
      <c r="P1618" t="s">
        <v>74</v>
      </c>
      <c r="Q1618" t="s">
        <v>35</v>
      </c>
      <c r="R1618" t="s">
        <v>36</v>
      </c>
      <c r="S1618" t="s">
        <v>338</v>
      </c>
      <c r="T1618" t="s">
        <v>449</v>
      </c>
      <c r="U1618" t="s">
        <v>91</v>
      </c>
      <c r="V1618" t="s">
        <v>40</v>
      </c>
      <c r="W1618">
        <v>4.0999999999999996</v>
      </c>
      <c r="X1618" t="s">
        <v>106</v>
      </c>
      <c r="Y1618" t="s">
        <v>55</v>
      </c>
      <c r="Z1618">
        <v>3</v>
      </c>
    </row>
    <row r="1619" spans="1:26">
      <c r="A1619" t="s">
        <v>2704</v>
      </c>
      <c r="B1619" t="s">
        <v>502</v>
      </c>
      <c r="C1619" t="s">
        <v>28</v>
      </c>
      <c r="D1619" t="s">
        <v>95</v>
      </c>
      <c r="E1619" s="1">
        <v>44820</v>
      </c>
      <c r="F1619" t="s">
        <v>86</v>
      </c>
      <c r="G1619" t="s">
        <v>242</v>
      </c>
      <c r="H1619" t="s">
        <v>32</v>
      </c>
      <c r="I1619">
        <v>11</v>
      </c>
      <c r="J1619" t="s">
        <v>67</v>
      </c>
      <c r="K1619">
        <v>3</v>
      </c>
      <c r="L1619" s="3">
        <v>6599</v>
      </c>
      <c r="M1619">
        <v>15</v>
      </c>
      <c r="N1619" s="3">
        <v>5610</v>
      </c>
      <c r="O1619" s="3">
        <v>16830</v>
      </c>
      <c r="P1619" t="s">
        <v>74</v>
      </c>
      <c r="Q1619" t="s">
        <v>35</v>
      </c>
      <c r="R1619" t="s">
        <v>36</v>
      </c>
      <c r="S1619" t="s">
        <v>99</v>
      </c>
      <c r="T1619" t="s">
        <v>759</v>
      </c>
      <c r="U1619" t="s">
        <v>61</v>
      </c>
      <c r="V1619" t="s">
        <v>315</v>
      </c>
      <c r="W1619">
        <v>4.3</v>
      </c>
      <c r="X1619" t="s">
        <v>41</v>
      </c>
      <c r="Y1619" t="s">
        <v>55</v>
      </c>
      <c r="Z1619">
        <v>3</v>
      </c>
    </row>
    <row r="1620" spans="1:26">
      <c r="A1620" t="s">
        <v>2705</v>
      </c>
      <c r="B1620" t="s">
        <v>870</v>
      </c>
      <c r="C1620" t="s">
        <v>28</v>
      </c>
      <c r="D1620" t="s">
        <v>29</v>
      </c>
      <c r="E1620" s="1">
        <v>44821</v>
      </c>
      <c r="F1620" t="s">
        <v>65</v>
      </c>
      <c r="G1620" t="s">
        <v>268</v>
      </c>
      <c r="H1620" t="s">
        <v>128</v>
      </c>
      <c r="I1620">
        <v>6</v>
      </c>
      <c r="J1620" t="s">
        <v>88</v>
      </c>
      <c r="K1620">
        <v>1</v>
      </c>
      <c r="L1620" s="3">
        <v>7099</v>
      </c>
      <c r="M1620">
        <v>15</v>
      </c>
      <c r="N1620" s="3">
        <v>6030</v>
      </c>
      <c r="O1620" s="3">
        <v>6030</v>
      </c>
      <c r="P1620" t="s">
        <v>74</v>
      </c>
      <c r="Q1620" t="s">
        <v>51</v>
      </c>
      <c r="R1620" t="s">
        <v>36</v>
      </c>
      <c r="S1620" t="s">
        <v>117</v>
      </c>
      <c r="T1620" t="s">
        <v>253</v>
      </c>
      <c r="U1620" t="s">
        <v>39</v>
      </c>
      <c r="V1620" t="s">
        <v>969</v>
      </c>
      <c r="W1620">
        <v>3.9</v>
      </c>
      <c r="X1620" t="s">
        <v>41</v>
      </c>
      <c r="Y1620" t="s">
        <v>42</v>
      </c>
      <c r="Z1620">
        <v>4</v>
      </c>
    </row>
    <row r="1621" spans="1:26">
      <c r="A1621" t="s">
        <v>2706</v>
      </c>
      <c r="B1621" t="s">
        <v>2588</v>
      </c>
      <c r="C1621" t="s">
        <v>45</v>
      </c>
      <c r="D1621" t="s">
        <v>103</v>
      </c>
      <c r="E1621" s="1">
        <v>44821</v>
      </c>
      <c r="F1621" t="s">
        <v>30</v>
      </c>
      <c r="G1621" t="s">
        <v>214</v>
      </c>
      <c r="H1621" t="s">
        <v>128</v>
      </c>
      <c r="I1621">
        <v>11</v>
      </c>
      <c r="J1621" t="s">
        <v>73</v>
      </c>
      <c r="K1621">
        <v>1</v>
      </c>
      <c r="L1621" s="3">
        <v>8299</v>
      </c>
      <c r="M1621">
        <v>20</v>
      </c>
      <c r="N1621" s="3">
        <v>6640</v>
      </c>
      <c r="O1621" s="3">
        <v>6640</v>
      </c>
      <c r="P1621" t="s">
        <v>34</v>
      </c>
      <c r="Q1621" t="s">
        <v>82</v>
      </c>
      <c r="R1621" t="s">
        <v>36</v>
      </c>
      <c r="S1621" t="s">
        <v>129</v>
      </c>
      <c r="T1621" t="s">
        <v>282</v>
      </c>
      <c r="U1621" t="s">
        <v>54</v>
      </c>
      <c r="V1621" t="s">
        <v>315</v>
      </c>
      <c r="W1621">
        <v>4.9000000000000004</v>
      </c>
      <c r="X1621" t="s">
        <v>62</v>
      </c>
      <c r="Y1621" t="s">
        <v>42</v>
      </c>
      <c r="Z1621">
        <v>3</v>
      </c>
    </row>
    <row r="1622" spans="1:26">
      <c r="A1622" t="s">
        <v>2707</v>
      </c>
      <c r="B1622" t="s">
        <v>1640</v>
      </c>
      <c r="C1622" t="s">
        <v>45</v>
      </c>
      <c r="D1622" t="s">
        <v>29</v>
      </c>
      <c r="E1622" s="1">
        <v>44821</v>
      </c>
      <c r="F1622" t="s">
        <v>79</v>
      </c>
      <c r="G1622" t="s">
        <v>80</v>
      </c>
      <c r="H1622" t="s">
        <v>59</v>
      </c>
      <c r="I1622">
        <v>10</v>
      </c>
      <c r="J1622" t="s">
        <v>150</v>
      </c>
      <c r="K1622">
        <v>2</v>
      </c>
      <c r="L1622" s="3">
        <v>4199</v>
      </c>
      <c r="M1622">
        <v>25</v>
      </c>
      <c r="N1622" s="3">
        <v>3150</v>
      </c>
      <c r="O1622" s="3">
        <v>6300</v>
      </c>
      <c r="P1622" t="s">
        <v>74</v>
      </c>
      <c r="Q1622" t="s">
        <v>51</v>
      </c>
      <c r="R1622" t="s">
        <v>36</v>
      </c>
      <c r="S1622" t="s">
        <v>156</v>
      </c>
      <c r="T1622" t="s">
        <v>324</v>
      </c>
      <c r="U1622" t="s">
        <v>91</v>
      </c>
      <c r="V1622" t="s">
        <v>315</v>
      </c>
      <c r="W1622">
        <v>4.0999999999999996</v>
      </c>
      <c r="X1622" t="s">
        <v>106</v>
      </c>
      <c r="Y1622" t="s">
        <v>55</v>
      </c>
      <c r="Z1622">
        <v>1</v>
      </c>
    </row>
    <row r="1623" spans="1:26">
      <c r="A1623" t="s">
        <v>2708</v>
      </c>
      <c r="B1623" t="s">
        <v>2709</v>
      </c>
      <c r="C1623" t="s">
        <v>28</v>
      </c>
      <c r="D1623" t="s">
        <v>46</v>
      </c>
      <c r="E1623" s="1">
        <v>44823</v>
      </c>
      <c r="F1623" t="s">
        <v>30</v>
      </c>
      <c r="G1623" t="s">
        <v>110</v>
      </c>
      <c r="H1623" t="s">
        <v>111</v>
      </c>
      <c r="I1623">
        <v>8</v>
      </c>
      <c r="J1623" t="s">
        <v>98</v>
      </c>
      <c r="K1623">
        <v>1</v>
      </c>
      <c r="L1623" s="3">
        <v>5699</v>
      </c>
      <c r="M1623">
        <v>10</v>
      </c>
      <c r="N1623" s="3">
        <v>5130</v>
      </c>
      <c r="O1623" s="3">
        <v>5130</v>
      </c>
      <c r="P1623" t="s">
        <v>34</v>
      </c>
      <c r="Q1623" t="s">
        <v>82</v>
      </c>
      <c r="R1623" t="s">
        <v>36</v>
      </c>
      <c r="S1623" t="s">
        <v>243</v>
      </c>
      <c r="T1623" t="s">
        <v>273</v>
      </c>
      <c r="U1623" t="s">
        <v>54</v>
      </c>
      <c r="V1623" t="s">
        <v>40</v>
      </c>
      <c r="W1623">
        <v>3.5</v>
      </c>
      <c r="X1623" t="s">
        <v>106</v>
      </c>
      <c r="Y1623" t="s">
        <v>55</v>
      </c>
      <c r="Z1623">
        <v>3</v>
      </c>
    </row>
    <row r="1624" spans="1:26">
      <c r="A1624" t="s">
        <v>2710</v>
      </c>
      <c r="B1624" t="s">
        <v>2416</v>
      </c>
      <c r="C1624" t="s">
        <v>28</v>
      </c>
      <c r="D1624" t="s">
        <v>46</v>
      </c>
      <c r="E1624" s="1">
        <v>44823</v>
      </c>
      <c r="F1624" t="s">
        <v>47</v>
      </c>
      <c r="G1624" t="s">
        <v>48</v>
      </c>
      <c r="H1624" t="s">
        <v>49</v>
      </c>
      <c r="I1624">
        <v>10</v>
      </c>
      <c r="J1624" t="s">
        <v>67</v>
      </c>
      <c r="K1624">
        <v>2</v>
      </c>
      <c r="L1624" s="3">
        <v>4599</v>
      </c>
      <c r="M1624">
        <v>0</v>
      </c>
      <c r="N1624" s="3">
        <v>4600</v>
      </c>
      <c r="O1624" s="3">
        <v>9200</v>
      </c>
      <c r="P1624" t="s">
        <v>74</v>
      </c>
      <c r="Q1624" t="s">
        <v>82</v>
      </c>
      <c r="R1624" t="s">
        <v>36</v>
      </c>
      <c r="S1624" t="s">
        <v>141</v>
      </c>
      <c r="T1624" t="s">
        <v>142</v>
      </c>
      <c r="U1624" t="s">
        <v>54</v>
      </c>
      <c r="V1624" t="s">
        <v>315</v>
      </c>
      <c r="W1624">
        <v>3.5</v>
      </c>
      <c r="X1624" t="s">
        <v>41</v>
      </c>
      <c r="Y1624" t="s">
        <v>55</v>
      </c>
      <c r="Z1624">
        <v>3</v>
      </c>
    </row>
    <row r="1625" spans="1:26">
      <c r="A1625" t="s">
        <v>2711</v>
      </c>
      <c r="B1625" t="s">
        <v>823</v>
      </c>
      <c r="C1625" t="s">
        <v>28</v>
      </c>
      <c r="D1625" t="s">
        <v>46</v>
      </c>
      <c r="E1625" s="1">
        <v>44824</v>
      </c>
      <c r="F1625" t="s">
        <v>96</v>
      </c>
      <c r="G1625" t="s">
        <v>171</v>
      </c>
      <c r="H1625" t="s">
        <v>128</v>
      </c>
      <c r="I1625">
        <v>11</v>
      </c>
      <c r="J1625" t="s">
        <v>33</v>
      </c>
      <c r="K1625">
        <v>1</v>
      </c>
      <c r="L1625" s="3">
        <v>7999</v>
      </c>
      <c r="M1625">
        <v>20</v>
      </c>
      <c r="N1625" s="3">
        <v>6400</v>
      </c>
      <c r="O1625" s="3">
        <v>6400</v>
      </c>
      <c r="P1625" t="s">
        <v>81</v>
      </c>
      <c r="Q1625" t="s">
        <v>51</v>
      </c>
      <c r="R1625" t="s">
        <v>36</v>
      </c>
      <c r="S1625" t="s">
        <v>141</v>
      </c>
      <c r="T1625" t="s">
        <v>728</v>
      </c>
      <c r="U1625" t="s">
        <v>39</v>
      </c>
      <c r="V1625" t="s">
        <v>969</v>
      </c>
      <c r="W1625">
        <v>4.5</v>
      </c>
      <c r="X1625" t="s">
        <v>41</v>
      </c>
      <c r="Y1625" t="s">
        <v>55</v>
      </c>
      <c r="Z1625">
        <v>2</v>
      </c>
    </row>
    <row r="1626" spans="1:26">
      <c r="A1626" t="s">
        <v>2712</v>
      </c>
      <c r="B1626" t="s">
        <v>459</v>
      </c>
      <c r="C1626" t="s">
        <v>28</v>
      </c>
      <c r="D1626" t="s">
        <v>29</v>
      </c>
      <c r="E1626" s="1">
        <v>44827</v>
      </c>
      <c r="F1626" t="s">
        <v>86</v>
      </c>
      <c r="G1626" t="s">
        <v>242</v>
      </c>
      <c r="H1626" t="s">
        <v>32</v>
      </c>
      <c r="I1626">
        <v>8</v>
      </c>
      <c r="J1626" t="s">
        <v>88</v>
      </c>
      <c r="K1626">
        <v>1</v>
      </c>
      <c r="L1626" s="3">
        <v>9199</v>
      </c>
      <c r="M1626">
        <v>15</v>
      </c>
      <c r="N1626" s="3">
        <v>7820</v>
      </c>
      <c r="O1626" s="3">
        <v>7820</v>
      </c>
      <c r="P1626" t="s">
        <v>34</v>
      </c>
      <c r="Q1626" t="s">
        <v>82</v>
      </c>
      <c r="R1626" t="s">
        <v>36</v>
      </c>
      <c r="S1626" t="s">
        <v>117</v>
      </c>
      <c r="T1626" t="s">
        <v>544</v>
      </c>
      <c r="U1626" t="s">
        <v>39</v>
      </c>
      <c r="V1626" t="s">
        <v>969</v>
      </c>
      <c r="W1626">
        <v>4.5999999999999996</v>
      </c>
      <c r="X1626" t="s">
        <v>106</v>
      </c>
      <c r="Y1626" t="s">
        <v>42</v>
      </c>
      <c r="Z1626">
        <v>6</v>
      </c>
    </row>
    <row r="1627" spans="1:26">
      <c r="A1627" t="s">
        <v>2713</v>
      </c>
      <c r="B1627" t="s">
        <v>1928</v>
      </c>
      <c r="C1627" t="s">
        <v>28</v>
      </c>
      <c r="D1627" t="s">
        <v>103</v>
      </c>
      <c r="E1627" s="1">
        <v>44830</v>
      </c>
      <c r="F1627" t="s">
        <v>47</v>
      </c>
      <c r="G1627" t="s">
        <v>402</v>
      </c>
      <c r="H1627" t="s">
        <v>32</v>
      </c>
      <c r="I1627">
        <v>10</v>
      </c>
      <c r="J1627" t="s">
        <v>73</v>
      </c>
      <c r="K1627">
        <v>1</v>
      </c>
      <c r="L1627" s="3">
        <v>5199</v>
      </c>
      <c r="M1627">
        <v>5</v>
      </c>
      <c r="N1627" s="3">
        <v>4940</v>
      </c>
      <c r="O1627" s="3">
        <v>4940</v>
      </c>
      <c r="P1627" t="s">
        <v>74</v>
      </c>
      <c r="Q1627" t="s">
        <v>51</v>
      </c>
      <c r="R1627" t="s">
        <v>36</v>
      </c>
      <c r="S1627" t="s">
        <v>112</v>
      </c>
      <c r="T1627" t="s">
        <v>113</v>
      </c>
      <c r="U1627" t="s">
        <v>61</v>
      </c>
      <c r="V1627" t="s">
        <v>315</v>
      </c>
      <c r="W1627">
        <v>4.9000000000000004</v>
      </c>
      <c r="X1627" t="s">
        <v>41</v>
      </c>
      <c r="Y1627" t="s">
        <v>42</v>
      </c>
      <c r="Z1627">
        <v>7</v>
      </c>
    </row>
    <row r="1628" spans="1:26">
      <c r="A1628" t="s">
        <v>2714</v>
      </c>
      <c r="B1628" t="s">
        <v>594</v>
      </c>
      <c r="C1628" t="s">
        <v>45</v>
      </c>
      <c r="D1628" t="s">
        <v>29</v>
      </c>
      <c r="E1628" s="1">
        <v>44832</v>
      </c>
      <c r="F1628" t="s">
        <v>47</v>
      </c>
      <c r="G1628" t="s">
        <v>402</v>
      </c>
      <c r="H1628" t="s">
        <v>32</v>
      </c>
      <c r="I1628">
        <v>11</v>
      </c>
      <c r="J1628" t="s">
        <v>150</v>
      </c>
      <c r="K1628">
        <v>1</v>
      </c>
      <c r="L1628" s="3">
        <v>6699</v>
      </c>
      <c r="M1628">
        <v>15</v>
      </c>
      <c r="N1628" s="3">
        <v>5690</v>
      </c>
      <c r="O1628" s="3">
        <v>5690</v>
      </c>
      <c r="P1628" t="s">
        <v>34</v>
      </c>
      <c r="Q1628" t="s">
        <v>35</v>
      </c>
      <c r="R1628" t="s">
        <v>36</v>
      </c>
      <c r="S1628" t="s">
        <v>384</v>
      </c>
      <c r="T1628" t="s">
        <v>1217</v>
      </c>
      <c r="U1628" t="s">
        <v>54</v>
      </c>
      <c r="V1628" t="s">
        <v>315</v>
      </c>
      <c r="W1628">
        <v>5</v>
      </c>
      <c r="X1628" t="s">
        <v>62</v>
      </c>
      <c r="Y1628" t="s">
        <v>55</v>
      </c>
      <c r="Z1628">
        <v>3</v>
      </c>
    </row>
    <row r="1629" spans="1:26">
      <c r="A1629" t="s">
        <v>2715</v>
      </c>
      <c r="B1629" t="s">
        <v>2244</v>
      </c>
      <c r="C1629" t="s">
        <v>28</v>
      </c>
      <c r="D1629" t="s">
        <v>46</v>
      </c>
      <c r="E1629" s="1">
        <v>44832</v>
      </c>
      <c r="F1629" t="s">
        <v>86</v>
      </c>
      <c r="G1629" t="s">
        <v>87</v>
      </c>
      <c r="H1629" t="s">
        <v>59</v>
      </c>
      <c r="I1629">
        <v>10</v>
      </c>
      <c r="J1629" t="s">
        <v>73</v>
      </c>
      <c r="K1629">
        <v>3</v>
      </c>
      <c r="L1629" s="3">
        <v>9999</v>
      </c>
      <c r="M1629">
        <v>15</v>
      </c>
      <c r="N1629" s="3">
        <v>8500</v>
      </c>
      <c r="O1629" s="3">
        <v>25500</v>
      </c>
      <c r="P1629" t="s">
        <v>34</v>
      </c>
      <c r="Q1629" t="s">
        <v>35</v>
      </c>
      <c r="R1629" t="s">
        <v>36</v>
      </c>
      <c r="S1629" t="s">
        <v>200</v>
      </c>
      <c r="T1629" t="s">
        <v>201</v>
      </c>
      <c r="U1629" t="s">
        <v>54</v>
      </c>
      <c r="V1629" t="s">
        <v>315</v>
      </c>
      <c r="W1629">
        <v>4.9000000000000004</v>
      </c>
      <c r="X1629" t="s">
        <v>41</v>
      </c>
      <c r="Y1629" t="s">
        <v>42</v>
      </c>
      <c r="Z1629">
        <v>2</v>
      </c>
    </row>
    <row r="1630" spans="1:26">
      <c r="A1630" t="s">
        <v>2716</v>
      </c>
      <c r="B1630" t="s">
        <v>808</v>
      </c>
      <c r="C1630" t="s">
        <v>28</v>
      </c>
      <c r="D1630" t="s">
        <v>46</v>
      </c>
      <c r="E1630" s="1">
        <v>44835</v>
      </c>
      <c r="F1630" t="s">
        <v>65</v>
      </c>
      <c r="G1630" t="s">
        <v>256</v>
      </c>
      <c r="H1630" t="s">
        <v>32</v>
      </c>
      <c r="I1630">
        <v>9</v>
      </c>
      <c r="J1630" t="s">
        <v>98</v>
      </c>
      <c r="K1630">
        <v>2</v>
      </c>
      <c r="L1630" s="3">
        <v>4099</v>
      </c>
      <c r="M1630">
        <v>15</v>
      </c>
      <c r="N1630" s="3">
        <v>3480</v>
      </c>
      <c r="O1630" s="3">
        <v>6960</v>
      </c>
      <c r="P1630" t="s">
        <v>74</v>
      </c>
      <c r="Q1630" t="s">
        <v>51</v>
      </c>
      <c r="R1630" t="s">
        <v>36</v>
      </c>
      <c r="S1630" t="s">
        <v>52</v>
      </c>
      <c r="T1630" t="s">
        <v>235</v>
      </c>
      <c r="U1630" t="s">
        <v>61</v>
      </c>
      <c r="V1630" t="s">
        <v>969</v>
      </c>
      <c r="W1630">
        <v>4.3</v>
      </c>
      <c r="X1630" t="s">
        <v>41</v>
      </c>
      <c r="Y1630" t="s">
        <v>42</v>
      </c>
      <c r="Z1630">
        <v>4</v>
      </c>
    </row>
    <row r="1631" spans="1:26">
      <c r="A1631" t="s">
        <v>2717</v>
      </c>
      <c r="B1631" t="s">
        <v>2090</v>
      </c>
      <c r="C1631" t="s">
        <v>28</v>
      </c>
      <c r="D1631" t="s">
        <v>46</v>
      </c>
      <c r="E1631" s="1">
        <v>44836</v>
      </c>
      <c r="F1631" t="s">
        <v>79</v>
      </c>
      <c r="G1631" t="s">
        <v>517</v>
      </c>
      <c r="H1631" t="s">
        <v>59</v>
      </c>
      <c r="I1631">
        <v>9</v>
      </c>
      <c r="J1631" t="s">
        <v>150</v>
      </c>
      <c r="K1631">
        <v>1</v>
      </c>
      <c r="L1631" s="3">
        <v>8099</v>
      </c>
      <c r="M1631">
        <v>10</v>
      </c>
      <c r="N1631" s="3">
        <v>7290</v>
      </c>
      <c r="O1631" s="3">
        <v>7290</v>
      </c>
      <c r="P1631" t="s">
        <v>74</v>
      </c>
      <c r="Q1631" t="s">
        <v>82</v>
      </c>
      <c r="R1631" t="s">
        <v>36</v>
      </c>
      <c r="S1631" t="s">
        <v>112</v>
      </c>
      <c r="T1631" t="s">
        <v>265</v>
      </c>
      <c r="U1631" t="s">
        <v>124</v>
      </c>
      <c r="V1631" t="s">
        <v>315</v>
      </c>
      <c r="W1631">
        <v>3.9</v>
      </c>
      <c r="X1631" t="s">
        <v>41</v>
      </c>
      <c r="Y1631" t="s">
        <v>42</v>
      </c>
      <c r="Z1631">
        <v>7</v>
      </c>
    </row>
    <row r="1632" spans="1:26">
      <c r="A1632" t="s">
        <v>2718</v>
      </c>
      <c r="B1632" t="s">
        <v>953</v>
      </c>
      <c r="C1632" t="s">
        <v>28</v>
      </c>
      <c r="D1632" t="s">
        <v>46</v>
      </c>
      <c r="E1632" s="1">
        <v>44836</v>
      </c>
      <c r="F1632" t="s">
        <v>65</v>
      </c>
      <c r="G1632" t="s">
        <v>268</v>
      </c>
      <c r="H1632" t="s">
        <v>128</v>
      </c>
      <c r="I1632">
        <v>9</v>
      </c>
      <c r="J1632" t="s">
        <v>150</v>
      </c>
      <c r="K1632">
        <v>1</v>
      </c>
      <c r="L1632" s="3">
        <v>5999</v>
      </c>
      <c r="M1632">
        <v>5</v>
      </c>
      <c r="N1632" s="3">
        <v>5700</v>
      </c>
      <c r="O1632" s="3">
        <v>5700</v>
      </c>
      <c r="P1632" t="s">
        <v>74</v>
      </c>
      <c r="Q1632" t="s">
        <v>51</v>
      </c>
      <c r="R1632" t="s">
        <v>36</v>
      </c>
      <c r="S1632" t="s">
        <v>104</v>
      </c>
      <c r="T1632" t="s">
        <v>179</v>
      </c>
      <c r="U1632" t="s">
        <v>39</v>
      </c>
      <c r="V1632" t="s">
        <v>315</v>
      </c>
      <c r="W1632">
        <v>4.2</v>
      </c>
      <c r="X1632" t="s">
        <v>41</v>
      </c>
      <c r="Y1632" t="s">
        <v>42</v>
      </c>
      <c r="Z1632">
        <v>3</v>
      </c>
    </row>
    <row r="1633" spans="1:26">
      <c r="A1633" t="s">
        <v>2719</v>
      </c>
      <c r="B1633" t="s">
        <v>2224</v>
      </c>
      <c r="C1633" t="s">
        <v>45</v>
      </c>
      <c r="D1633" t="s">
        <v>109</v>
      </c>
      <c r="E1633" s="1">
        <v>44837</v>
      </c>
      <c r="F1633" t="s">
        <v>86</v>
      </c>
      <c r="G1633" t="s">
        <v>87</v>
      </c>
      <c r="H1633" t="s">
        <v>59</v>
      </c>
      <c r="I1633">
        <v>7</v>
      </c>
      <c r="J1633" t="s">
        <v>88</v>
      </c>
      <c r="K1633">
        <v>1</v>
      </c>
      <c r="L1633" s="3">
        <v>7999</v>
      </c>
      <c r="M1633">
        <v>20</v>
      </c>
      <c r="N1633" s="3">
        <v>6400</v>
      </c>
      <c r="O1633" s="3">
        <v>6400</v>
      </c>
      <c r="P1633" t="s">
        <v>74</v>
      </c>
      <c r="Q1633" t="s">
        <v>51</v>
      </c>
      <c r="R1633" t="s">
        <v>36</v>
      </c>
      <c r="S1633" t="s">
        <v>52</v>
      </c>
      <c r="T1633" t="s">
        <v>235</v>
      </c>
      <c r="U1633" t="s">
        <v>39</v>
      </c>
      <c r="V1633" t="s">
        <v>315</v>
      </c>
      <c r="W1633">
        <v>4.5</v>
      </c>
      <c r="X1633" t="s">
        <v>106</v>
      </c>
      <c r="Y1633" t="s">
        <v>42</v>
      </c>
      <c r="Z1633">
        <v>4</v>
      </c>
    </row>
    <row r="1634" spans="1:26">
      <c r="A1634" t="s">
        <v>2720</v>
      </c>
      <c r="B1634" t="s">
        <v>1253</v>
      </c>
      <c r="C1634" t="s">
        <v>45</v>
      </c>
      <c r="D1634" t="s">
        <v>95</v>
      </c>
      <c r="E1634" s="1">
        <v>44838</v>
      </c>
      <c r="F1634" t="s">
        <v>86</v>
      </c>
      <c r="G1634" t="s">
        <v>312</v>
      </c>
      <c r="H1634" t="s">
        <v>59</v>
      </c>
      <c r="I1634">
        <v>7</v>
      </c>
      <c r="J1634" t="s">
        <v>150</v>
      </c>
      <c r="K1634">
        <v>1</v>
      </c>
      <c r="L1634" s="3">
        <v>7699</v>
      </c>
      <c r="M1634">
        <v>0</v>
      </c>
      <c r="N1634" s="3">
        <v>7700</v>
      </c>
      <c r="O1634" s="3">
        <v>7700</v>
      </c>
      <c r="P1634" t="s">
        <v>34</v>
      </c>
      <c r="Q1634" t="s">
        <v>35</v>
      </c>
      <c r="R1634" t="s">
        <v>36</v>
      </c>
      <c r="S1634" t="s">
        <v>297</v>
      </c>
      <c r="T1634" t="s">
        <v>566</v>
      </c>
      <c r="U1634" t="s">
        <v>61</v>
      </c>
      <c r="V1634" t="s">
        <v>315</v>
      </c>
      <c r="W1634">
        <v>4.2</v>
      </c>
      <c r="X1634" t="s">
        <v>41</v>
      </c>
      <c r="Y1634" t="s">
        <v>55</v>
      </c>
      <c r="Z1634">
        <v>2</v>
      </c>
    </row>
    <row r="1635" spans="1:26">
      <c r="A1635" t="s">
        <v>2721</v>
      </c>
      <c r="B1635" t="s">
        <v>753</v>
      </c>
      <c r="C1635" t="s">
        <v>94</v>
      </c>
      <c r="D1635" t="s">
        <v>29</v>
      </c>
      <c r="E1635" s="1">
        <v>44838</v>
      </c>
      <c r="F1635" t="s">
        <v>79</v>
      </c>
      <c r="G1635" t="s">
        <v>80</v>
      </c>
      <c r="H1635" t="s">
        <v>59</v>
      </c>
      <c r="I1635">
        <v>10</v>
      </c>
      <c r="J1635" t="s">
        <v>98</v>
      </c>
      <c r="K1635">
        <v>1</v>
      </c>
      <c r="L1635" s="3">
        <v>8199</v>
      </c>
      <c r="M1635">
        <v>20</v>
      </c>
      <c r="N1635" s="3">
        <v>6560</v>
      </c>
      <c r="O1635" s="3">
        <v>6560</v>
      </c>
      <c r="P1635" t="s">
        <v>74</v>
      </c>
      <c r="Q1635" t="s">
        <v>51</v>
      </c>
      <c r="R1635" t="s">
        <v>36</v>
      </c>
      <c r="S1635" t="s">
        <v>117</v>
      </c>
      <c r="T1635" t="s">
        <v>544</v>
      </c>
      <c r="U1635" t="s">
        <v>91</v>
      </c>
      <c r="V1635" t="s">
        <v>315</v>
      </c>
      <c r="W1635">
        <v>4.5</v>
      </c>
      <c r="X1635" t="s">
        <v>41</v>
      </c>
      <c r="Y1635" t="s">
        <v>55</v>
      </c>
      <c r="Z1635">
        <v>2</v>
      </c>
    </row>
    <row r="1636" spans="1:26">
      <c r="A1636" t="s">
        <v>2722</v>
      </c>
      <c r="B1636" t="s">
        <v>2723</v>
      </c>
      <c r="C1636" t="s">
        <v>94</v>
      </c>
      <c r="D1636" t="s">
        <v>103</v>
      </c>
      <c r="E1636" s="1">
        <v>44839</v>
      </c>
      <c r="F1636" t="s">
        <v>30</v>
      </c>
      <c r="G1636" t="s">
        <v>58</v>
      </c>
      <c r="H1636" t="s">
        <v>59</v>
      </c>
      <c r="I1636">
        <v>7</v>
      </c>
      <c r="J1636" t="s">
        <v>73</v>
      </c>
      <c r="K1636">
        <v>1</v>
      </c>
      <c r="L1636" s="3">
        <v>6999</v>
      </c>
      <c r="M1636">
        <v>20</v>
      </c>
      <c r="N1636" s="3">
        <v>5600</v>
      </c>
      <c r="O1636" s="3">
        <v>5600</v>
      </c>
      <c r="P1636" t="s">
        <v>74</v>
      </c>
      <c r="Q1636" t="s">
        <v>35</v>
      </c>
      <c r="R1636" t="s">
        <v>36</v>
      </c>
      <c r="S1636" t="s">
        <v>338</v>
      </c>
      <c r="T1636" t="s">
        <v>338</v>
      </c>
      <c r="U1636" t="s">
        <v>54</v>
      </c>
      <c r="V1636" t="s">
        <v>40</v>
      </c>
      <c r="W1636">
        <v>3.4</v>
      </c>
      <c r="X1636" t="s">
        <v>41</v>
      </c>
      <c r="Y1636" t="s">
        <v>42</v>
      </c>
      <c r="Z1636">
        <v>3</v>
      </c>
    </row>
    <row r="1637" spans="1:26">
      <c r="A1637" t="s">
        <v>2724</v>
      </c>
      <c r="B1637" t="s">
        <v>411</v>
      </c>
      <c r="C1637" t="s">
        <v>28</v>
      </c>
      <c r="D1637" t="s">
        <v>29</v>
      </c>
      <c r="E1637" s="1">
        <v>44839</v>
      </c>
      <c r="F1637" t="s">
        <v>96</v>
      </c>
      <c r="G1637" t="s">
        <v>155</v>
      </c>
      <c r="H1637" t="s">
        <v>111</v>
      </c>
      <c r="I1637">
        <v>10</v>
      </c>
      <c r="J1637" t="s">
        <v>150</v>
      </c>
      <c r="K1637">
        <v>3</v>
      </c>
      <c r="L1637" s="3">
        <v>4699</v>
      </c>
      <c r="M1637">
        <v>20</v>
      </c>
      <c r="N1637" s="3">
        <v>3760</v>
      </c>
      <c r="O1637" s="3">
        <v>11280</v>
      </c>
      <c r="P1637" t="s">
        <v>74</v>
      </c>
      <c r="Q1637" t="s">
        <v>51</v>
      </c>
      <c r="R1637" t="s">
        <v>36</v>
      </c>
      <c r="S1637" t="s">
        <v>175</v>
      </c>
      <c r="T1637" t="s">
        <v>437</v>
      </c>
      <c r="U1637" t="s">
        <v>124</v>
      </c>
      <c r="V1637" t="s">
        <v>969</v>
      </c>
      <c r="W1637">
        <v>4.0999999999999996</v>
      </c>
      <c r="X1637" t="s">
        <v>41</v>
      </c>
      <c r="Y1637" t="s">
        <v>42</v>
      </c>
      <c r="Z1637">
        <v>3</v>
      </c>
    </row>
    <row r="1638" spans="1:26">
      <c r="A1638" t="s">
        <v>2725</v>
      </c>
      <c r="B1638" t="s">
        <v>686</v>
      </c>
      <c r="C1638" t="s">
        <v>28</v>
      </c>
      <c r="D1638" t="s">
        <v>95</v>
      </c>
      <c r="E1638" s="1">
        <v>44839</v>
      </c>
      <c r="F1638" t="s">
        <v>30</v>
      </c>
      <c r="G1638" t="s">
        <v>214</v>
      </c>
      <c r="H1638" t="s">
        <v>128</v>
      </c>
      <c r="I1638">
        <v>11</v>
      </c>
      <c r="J1638" t="s">
        <v>73</v>
      </c>
      <c r="K1638">
        <v>1</v>
      </c>
      <c r="L1638" s="3">
        <v>9099</v>
      </c>
      <c r="M1638">
        <v>15</v>
      </c>
      <c r="N1638" s="3">
        <v>7730</v>
      </c>
      <c r="O1638" s="3">
        <v>7730</v>
      </c>
      <c r="P1638" t="s">
        <v>34</v>
      </c>
      <c r="Q1638" t="s">
        <v>35</v>
      </c>
      <c r="R1638" t="s">
        <v>36</v>
      </c>
      <c r="S1638" t="s">
        <v>160</v>
      </c>
      <c r="T1638" t="s">
        <v>161</v>
      </c>
      <c r="U1638" t="s">
        <v>91</v>
      </c>
      <c r="V1638" t="s">
        <v>969</v>
      </c>
      <c r="W1638">
        <v>4.5999999999999996</v>
      </c>
      <c r="X1638" t="s">
        <v>41</v>
      </c>
      <c r="Y1638" t="s">
        <v>55</v>
      </c>
      <c r="Z1638">
        <v>2</v>
      </c>
    </row>
    <row r="1639" spans="1:26">
      <c r="A1639" t="s">
        <v>2726</v>
      </c>
      <c r="B1639" t="s">
        <v>586</v>
      </c>
      <c r="C1639" t="s">
        <v>28</v>
      </c>
      <c r="D1639" t="s">
        <v>109</v>
      </c>
      <c r="E1639" s="1">
        <v>44841</v>
      </c>
      <c r="F1639" t="s">
        <v>47</v>
      </c>
      <c r="G1639" t="s">
        <v>121</v>
      </c>
      <c r="H1639" t="s">
        <v>111</v>
      </c>
      <c r="I1639">
        <v>9</v>
      </c>
      <c r="J1639" t="s">
        <v>67</v>
      </c>
      <c r="K1639">
        <v>1</v>
      </c>
      <c r="L1639" s="3">
        <v>5299</v>
      </c>
      <c r="M1639">
        <v>10</v>
      </c>
      <c r="N1639" s="3">
        <v>4770</v>
      </c>
      <c r="O1639" s="3">
        <v>4770</v>
      </c>
      <c r="P1639" t="s">
        <v>74</v>
      </c>
      <c r="Q1639" t="s">
        <v>35</v>
      </c>
      <c r="R1639" t="s">
        <v>36</v>
      </c>
      <c r="S1639" t="s">
        <v>104</v>
      </c>
      <c r="T1639" t="s">
        <v>105</v>
      </c>
      <c r="U1639" t="s">
        <v>61</v>
      </c>
      <c r="V1639" t="s">
        <v>315</v>
      </c>
      <c r="W1639">
        <v>3.9</v>
      </c>
      <c r="X1639" t="s">
        <v>106</v>
      </c>
      <c r="Y1639" t="s">
        <v>55</v>
      </c>
      <c r="Z1639">
        <v>2</v>
      </c>
    </row>
    <row r="1640" spans="1:26">
      <c r="A1640" t="s">
        <v>2727</v>
      </c>
      <c r="B1640" t="s">
        <v>1953</v>
      </c>
      <c r="C1640" t="s">
        <v>28</v>
      </c>
      <c r="D1640" t="s">
        <v>95</v>
      </c>
      <c r="E1640" s="1">
        <v>44842</v>
      </c>
      <c r="F1640" t="s">
        <v>79</v>
      </c>
      <c r="G1640" t="s">
        <v>127</v>
      </c>
      <c r="H1640" t="s">
        <v>128</v>
      </c>
      <c r="I1640">
        <v>7</v>
      </c>
      <c r="J1640" t="s">
        <v>88</v>
      </c>
      <c r="K1640">
        <v>2</v>
      </c>
      <c r="L1640" s="3">
        <v>6699</v>
      </c>
      <c r="M1640">
        <v>0</v>
      </c>
      <c r="N1640" s="3">
        <v>6700</v>
      </c>
      <c r="O1640" s="3">
        <v>13400</v>
      </c>
      <c r="P1640" t="s">
        <v>74</v>
      </c>
      <c r="Q1640" t="s">
        <v>82</v>
      </c>
      <c r="R1640" t="s">
        <v>36</v>
      </c>
      <c r="S1640" t="s">
        <v>175</v>
      </c>
      <c r="T1640" t="s">
        <v>865</v>
      </c>
      <c r="U1640" t="s">
        <v>61</v>
      </c>
      <c r="V1640" t="s">
        <v>315</v>
      </c>
      <c r="W1640">
        <v>4.3</v>
      </c>
      <c r="X1640" t="s">
        <v>41</v>
      </c>
      <c r="Y1640" t="s">
        <v>42</v>
      </c>
      <c r="Z1640">
        <v>2</v>
      </c>
    </row>
    <row r="1641" spans="1:26">
      <c r="A1641" t="s">
        <v>2728</v>
      </c>
      <c r="B1641" t="s">
        <v>139</v>
      </c>
      <c r="C1641" t="s">
        <v>45</v>
      </c>
      <c r="D1641" t="s">
        <v>46</v>
      </c>
      <c r="E1641" s="1">
        <v>44843</v>
      </c>
      <c r="F1641" t="s">
        <v>30</v>
      </c>
      <c r="G1641" t="s">
        <v>145</v>
      </c>
      <c r="H1641" t="s">
        <v>59</v>
      </c>
      <c r="I1641">
        <v>7</v>
      </c>
      <c r="J1641" t="s">
        <v>150</v>
      </c>
      <c r="K1641">
        <v>2</v>
      </c>
      <c r="L1641" s="3">
        <v>4199</v>
      </c>
      <c r="M1641">
        <v>15</v>
      </c>
      <c r="N1641" s="3">
        <v>3570</v>
      </c>
      <c r="O1641" s="3">
        <v>7140</v>
      </c>
      <c r="P1641" t="s">
        <v>81</v>
      </c>
      <c r="Q1641" t="s">
        <v>82</v>
      </c>
      <c r="R1641" t="s">
        <v>36</v>
      </c>
      <c r="S1641" t="s">
        <v>160</v>
      </c>
      <c r="T1641" t="s">
        <v>160</v>
      </c>
      <c r="U1641" t="s">
        <v>91</v>
      </c>
      <c r="V1641" t="s">
        <v>315</v>
      </c>
      <c r="W1641">
        <v>2.2000000000000002</v>
      </c>
      <c r="X1641" t="s">
        <v>41</v>
      </c>
      <c r="Y1641" t="s">
        <v>42</v>
      </c>
      <c r="Z1641">
        <v>2</v>
      </c>
    </row>
    <row r="1642" spans="1:26">
      <c r="A1642" t="s">
        <v>2729</v>
      </c>
      <c r="B1642" t="s">
        <v>628</v>
      </c>
      <c r="C1642" t="s">
        <v>28</v>
      </c>
      <c r="D1642" t="s">
        <v>46</v>
      </c>
      <c r="E1642" s="1">
        <v>44843</v>
      </c>
      <c r="F1642" t="s">
        <v>86</v>
      </c>
      <c r="G1642" t="s">
        <v>190</v>
      </c>
      <c r="H1642" t="s">
        <v>128</v>
      </c>
      <c r="I1642">
        <v>7</v>
      </c>
      <c r="J1642" t="s">
        <v>67</v>
      </c>
      <c r="K1642">
        <v>1</v>
      </c>
      <c r="L1642" s="3">
        <v>3799</v>
      </c>
      <c r="M1642">
        <v>10</v>
      </c>
      <c r="N1642" s="3">
        <v>3420</v>
      </c>
      <c r="O1642" s="3">
        <v>3420</v>
      </c>
      <c r="P1642" t="s">
        <v>74</v>
      </c>
      <c r="Q1642" t="s">
        <v>51</v>
      </c>
      <c r="R1642" t="s">
        <v>36</v>
      </c>
      <c r="S1642" t="s">
        <v>112</v>
      </c>
      <c r="T1642" t="s">
        <v>265</v>
      </c>
      <c r="U1642" t="s">
        <v>39</v>
      </c>
      <c r="V1642" t="s">
        <v>315</v>
      </c>
      <c r="W1642">
        <v>3.3</v>
      </c>
      <c r="X1642" t="s">
        <v>41</v>
      </c>
      <c r="Y1642" t="s">
        <v>55</v>
      </c>
      <c r="Z1642">
        <v>2</v>
      </c>
    </row>
    <row r="1643" spans="1:26">
      <c r="A1643" t="s">
        <v>2730</v>
      </c>
      <c r="B1643" t="s">
        <v>736</v>
      </c>
      <c r="C1643" t="s">
        <v>45</v>
      </c>
      <c r="D1643" t="s">
        <v>109</v>
      </c>
      <c r="E1643" s="1">
        <v>44845</v>
      </c>
      <c r="F1643" t="s">
        <v>86</v>
      </c>
      <c r="G1643" t="s">
        <v>285</v>
      </c>
      <c r="H1643" t="s">
        <v>111</v>
      </c>
      <c r="I1643">
        <v>11</v>
      </c>
      <c r="J1643" t="s">
        <v>98</v>
      </c>
      <c r="K1643">
        <v>1</v>
      </c>
      <c r="L1643" s="3">
        <v>5599</v>
      </c>
      <c r="M1643">
        <v>15</v>
      </c>
      <c r="N1643" s="3">
        <v>4760</v>
      </c>
      <c r="O1643" s="3">
        <v>4760</v>
      </c>
      <c r="P1643" t="s">
        <v>74</v>
      </c>
      <c r="Q1643" t="s">
        <v>82</v>
      </c>
      <c r="R1643" t="s">
        <v>36</v>
      </c>
      <c r="S1643" t="s">
        <v>354</v>
      </c>
      <c r="T1643" t="s">
        <v>355</v>
      </c>
      <c r="U1643" t="s">
        <v>39</v>
      </c>
      <c r="V1643" t="s">
        <v>315</v>
      </c>
      <c r="W1643">
        <v>4.9000000000000004</v>
      </c>
      <c r="X1643" t="s">
        <v>41</v>
      </c>
      <c r="Y1643" t="s">
        <v>55</v>
      </c>
      <c r="Z1643">
        <v>2</v>
      </c>
    </row>
    <row r="1644" spans="1:26">
      <c r="A1644" t="s">
        <v>2731</v>
      </c>
      <c r="B1644" t="s">
        <v>2732</v>
      </c>
      <c r="C1644" t="s">
        <v>45</v>
      </c>
      <c r="D1644" t="s">
        <v>29</v>
      </c>
      <c r="E1644" s="1">
        <v>44845</v>
      </c>
      <c r="F1644" t="s">
        <v>65</v>
      </c>
      <c r="G1644" t="s">
        <v>279</v>
      </c>
      <c r="H1644" t="s">
        <v>111</v>
      </c>
      <c r="I1644">
        <v>7</v>
      </c>
      <c r="J1644" t="s">
        <v>150</v>
      </c>
      <c r="K1644">
        <v>1</v>
      </c>
      <c r="L1644" s="3">
        <v>6299</v>
      </c>
      <c r="M1644">
        <v>0</v>
      </c>
      <c r="N1644" s="3">
        <v>6300</v>
      </c>
      <c r="O1644" s="3">
        <v>6300</v>
      </c>
      <c r="P1644" t="s">
        <v>34</v>
      </c>
      <c r="Q1644" t="s">
        <v>82</v>
      </c>
      <c r="R1644" t="s">
        <v>36</v>
      </c>
      <c r="S1644" t="s">
        <v>122</v>
      </c>
      <c r="T1644" t="s">
        <v>123</v>
      </c>
      <c r="U1644" t="s">
        <v>61</v>
      </c>
      <c r="V1644" t="s">
        <v>40</v>
      </c>
      <c r="W1644">
        <v>3.5</v>
      </c>
      <c r="X1644" t="s">
        <v>41</v>
      </c>
      <c r="Y1644" t="s">
        <v>42</v>
      </c>
      <c r="Z1644">
        <v>7</v>
      </c>
    </row>
    <row r="1645" spans="1:26">
      <c r="A1645" t="s">
        <v>2733</v>
      </c>
      <c r="B1645" t="s">
        <v>2017</v>
      </c>
      <c r="C1645" t="s">
        <v>28</v>
      </c>
      <c r="D1645" t="s">
        <v>46</v>
      </c>
      <c r="E1645" s="1">
        <v>44845</v>
      </c>
      <c r="F1645" t="s">
        <v>79</v>
      </c>
      <c r="G1645" t="s">
        <v>174</v>
      </c>
      <c r="H1645" t="s">
        <v>32</v>
      </c>
      <c r="I1645">
        <v>8</v>
      </c>
      <c r="J1645" t="s">
        <v>98</v>
      </c>
      <c r="K1645">
        <v>1</v>
      </c>
      <c r="L1645" s="3">
        <v>4399</v>
      </c>
      <c r="M1645">
        <v>10</v>
      </c>
      <c r="N1645" s="3">
        <v>3960</v>
      </c>
      <c r="O1645" s="3">
        <v>3960</v>
      </c>
      <c r="P1645" t="s">
        <v>81</v>
      </c>
      <c r="Q1645" t="s">
        <v>51</v>
      </c>
      <c r="R1645" t="s">
        <v>36</v>
      </c>
      <c r="S1645" t="s">
        <v>384</v>
      </c>
      <c r="T1645" t="s">
        <v>444</v>
      </c>
      <c r="U1645" t="s">
        <v>124</v>
      </c>
      <c r="V1645" t="s">
        <v>315</v>
      </c>
      <c r="W1645">
        <v>3.7</v>
      </c>
      <c r="X1645" t="s">
        <v>62</v>
      </c>
      <c r="Y1645" t="s">
        <v>42</v>
      </c>
      <c r="Z1645">
        <v>3</v>
      </c>
    </row>
    <row r="1646" spans="1:26">
      <c r="A1646" t="s">
        <v>2734</v>
      </c>
      <c r="B1646" t="s">
        <v>1134</v>
      </c>
      <c r="C1646" t="s">
        <v>28</v>
      </c>
      <c r="D1646" t="s">
        <v>109</v>
      </c>
      <c r="E1646" s="1">
        <v>44846</v>
      </c>
      <c r="F1646" t="s">
        <v>47</v>
      </c>
      <c r="G1646" t="s">
        <v>199</v>
      </c>
      <c r="H1646" t="s">
        <v>59</v>
      </c>
      <c r="I1646">
        <v>9</v>
      </c>
      <c r="J1646" t="s">
        <v>88</v>
      </c>
      <c r="K1646">
        <v>1</v>
      </c>
      <c r="L1646" s="3">
        <v>5899</v>
      </c>
      <c r="M1646">
        <v>15</v>
      </c>
      <c r="N1646" s="3">
        <v>5010</v>
      </c>
      <c r="O1646" s="3">
        <v>5010</v>
      </c>
      <c r="P1646" t="s">
        <v>74</v>
      </c>
      <c r="Q1646" t="s">
        <v>51</v>
      </c>
      <c r="R1646" t="s">
        <v>36</v>
      </c>
      <c r="S1646" t="s">
        <v>52</v>
      </c>
      <c r="T1646" t="s">
        <v>60</v>
      </c>
      <c r="U1646" t="s">
        <v>54</v>
      </c>
      <c r="V1646" t="s">
        <v>315</v>
      </c>
      <c r="W1646">
        <v>4.4000000000000004</v>
      </c>
      <c r="X1646" t="s">
        <v>41</v>
      </c>
      <c r="Y1646" t="s">
        <v>42</v>
      </c>
      <c r="Z1646">
        <v>4</v>
      </c>
    </row>
    <row r="1647" spans="1:26">
      <c r="A1647" t="s">
        <v>2735</v>
      </c>
      <c r="B1647" t="s">
        <v>1893</v>
      </c>
      <c r="C1647" t="s">
        <v>28</v>
      </c>
      <c r="D1647" t="s">
        <v>46</v>
      </c>
      <c r="E1647" s="1">
        <v>44847</v>
      </c>
      <c r="F1647" t="s">
        <v>86</v>
      </c>
      <c r="G1647" t="s">
        <v>116</v>
      </c>
      <c r="H1647" t="s">
        <v>49</v>
      </c>
      <c r="I1647">
        <v>7</v>
      </c>
      <c r="J1647" t="s">
        <v>150</v>
      </c>
      <c r="K1647">
        <v>1</v>
      </c>
      <c r="L1647" s="3">
        <v>8399</v>
      </c>
      <c r="M1647">
        <v>5</v>
      </c>
      <c r="N1647" s="3">
        <v>7980</v>
      </c>
      <c r="O1647" s="3">
        <v>7980</v>
      </c>
      <c r="P1647" t="s">
        <v>74</v>
      </c>
      <c r="Q1647" t="s">
        <v>35</v>
      </c>
      <c r="R1647" t="s">
        <v>36</v>
      </c>
      <c r="S1647" t="s">
        <v>168</v>
      </c>
      <c r="T1647" t="s">
        <v>532</v>
      </c>
      <c r="U1647" t="s">
        <v>39</v>
      </c>
      <c r="V1647" t="s">
        <v>315</v>
      </c>
      <c r="W1647">
        <v>4.0999999999999996</v>
      </c>
      <c r="X1647" t="s">
        <v>41</v>
      </c>
      <c r="Y1647" t="s">
        <v>55</v>
      </c>
      <c r="Z1647">
        <v>1</v>
      </c>
    </row>
    <row r="1648" spans="1:26">
      <c r="A1648" t="s">
        <v>2736</v>
      </c>
      <c r="B1648" t="s">
        <v>1576</v>
      </c>
      <c r="C1648" t="s">
        <v>28</v>
      </c>
      <c r="D1648" t="s">
        <v>29</v>
      </c>
      <c r="E1648" s="1">
        <v>44848</v>
      </c>
      <c r="F1648" t="s">
        <v>96</v>
      </c>
      <c r="G1648" t="s">
        <v>323</v>
      </c>
      <c r="H1648" t="s">
        <v>59</v>
      </c>
      <c r="I1648">
        <v>7</v>
      </c>
      <c r="J1648" t="s">
        <v>67</v>
      </c>
      <c r="K1648">
        <v>2</v>
      </c>
      <c r="L1648" s="3">
        <v>5599</v>
      </c>
      <c r="M1648">
        <v>5</v>
      </c>
      <c r="N1648" s="3">
        <v>5320</v>
      </c>
      <c r="O1648" s="3">
        <v>10640</v>
      </c>
      <c r="P1648" t="s">
        <v>34</v>
      </c>
      <c r="Q1648" t="s">
        <v>51</v>
      </c>
      <c r="R1648" t="s">
        <v>36</v>
      </c>
      <c r="S1648" t="s">
        <v>151</v>
      </c>
      <c r="T1648" t="s">
        <v>452</v>
      </c>
      <c r="U1648" t="s">
        <v>124</v>
      </c>
      <c r="V1648" t="s">
        <v>315</v>
      </c>
      <c r="W1648">
        <v>3.8</v>
      </c>
      <c r="X1648" t="s">
        <v>41</v>
      </c>
      <c r="Y1648" t="s">
        <v>42</v>
      </c>
      <c r="Z1648">
        <v>5</v>
      </c>
    </row>
    <row r="1649" spans="1:26">
      <c r="A1649" t="s">
        <v>2737</v>
      </c>
      <c r="B1649" t="s">
        <v>2738</v>
      </c>
      <c r="C1649" t="s">
        <v>94</v>
      </c>
      <c r="D1649" t="s">
        <v>29</v>
      </c>
      <c r="E1649" s="1">
        <v>44848</v>
      </c>
      <c r="F1649" t="s">
        <v>30</v>
      </c>
      <c r="G1649" t="s">
        <v>145</v>
      </c>
      <c r="H1649" t="s">
        <v>59</v>
      </c>
      <c r="I1649">
        <v>7</v>
      </c>
      <c r="J1649" t="s">
        <v>150</v>
      </c>
      <c r="K1649">
        <v>4</v>
      </c>
      <c r="L1649" s="3">
        <v>7199</v>
      </c>
      <c r="M1649">
        <v>15</v>
      </c>
      <c r="N1649" s="3">
        <v>6120</v>
      </c>
      <c r="O1649" s="3">
        <v>24480</v>
      </c>
      <c r="P1649" t="s">
        <v>74</v>
      </c>
      <c r="Q1649" t="s">
        <v>51</v>
      </c>
      <c r="R1649" t="s">
        <v>36</v>
      </c>
      <c r="S1649" t="s">
        <v>112</v>
      </c>
      <c r="T1649" t="s">
        <v>113</v>
      </c>
      <c r="U1649" t="s">
        <v>54</v>
      </c>
      <c r="V1649" t="s">
        <v>40</v>
      </c>
      <c r="W1649">
        <v>2.8</v>
      </c>
      <c r="X1649" t="s">
        <v>41</v>
      </c>
      <c r="Y1649" t="s">
        <v>55</v>
      </c>
      <c r="Z1649">
        <v>3</v>
      </c>
    </row>
    <row r="1650" spans="1:26">
      <c r="A1650" t="s">
        <v>2739</v>
      </c>
      <c r="B1650" t="s">
        <v>2407</v>
      </c>
      <c r="C1650" t="s">
        <v>28</v>
      </c>
      <c r="D1650" t="s">
        <v>46</v>
      </c>
      <c r="E1650" s="1">
        <v>44849</v>
      </c>
      <c r="F1650" t="s">
        <v>47</v>
      </c>
      <c r="G1650" t="s">
        <v>48</v>
      </c>
      <c r="H1650" t="s">
        <v>49</v>
      </c>
      <c r="I1650">
        <v>12</v>
      </c>
      <c r="J1650" t="s">
        <v>33</v>
      </c>
      <c r="K1650">
        <v>2</v>
      </c>
      <c r="L1650" s="3">
        <v>7699</v>
      </c>
      <c r="M1650">
        <v>15</v>
      </c>
      <c r="N1650" s="3">
        <v>6540</v>
      </c>
      <c r="O1650" s="3">
        <v>13080</v>
      </c>
      <c r="P1650" t="s">
        <v>74</v>
      </c>
      <c r="Q1650" t="s">
        <v>51</v>
      </c>
      <c r="R1650" t="s">
        <v>36</v>
      </c>
      <c r="S1650" t="s">
        <v>37</v>
      </c>
      <c r="T1650" t="s">
        <v>38</v>
      </c>
      <c r="U1650" t="s">
        <v>91</v>
      </c>
      <c r="V1650" t="s">
        <v>315</v>
      </c>
      <c r="W1650">
        <v>5</v>
      </c>
      <c r="X1650" t="s">
        <v>41</v>
      </c>
      <c r="Y1650" t="s">
        <v>42</v>
      </c>
      <c r="Z1650">
        <v>6</v>
      </c>
    </row>
    <row r="1651" spans="1:26">
      <c r="A1651" t="s">
        <v>2740</v>
      </c>
      <c r="B1651" t="s">
        <v>278</v>
      </c>
      <c r="C1651" t="s">
        <v>45</v>
      </c>
      <c r="D1651" t="s">
        <v>109</v>
      </c>
      <c r="E1651" s="1">
        <v>44850</v>
      </c>
      <c r="F1651" t="s">
        <v>86</v>
      </c>
      <c r="G1651" t="s">
        <v>312</v>
      </c>
      <c r="H1651" t="s">
        <v>59</v>
      </c>
      <c r="I1651">
        <v>9</v>
      </c>
      <c r="J1651" t="s">
        <v>33</v>
      </c>
      <c r="K1651">
        <v>1</v>
      </c>
      <c r="L1651" s="3">
        <v>5299</v>
      </c>
      <c r="M1651">
        <v>25</v>
      </c>
      <c r="N1651" s="3">
        <v>3970</v>
      </c>
      <c r="O1651" s="3">
        <v>3970</v>
      </c>
      <c r="P1651" t="s">
        <v>81</v>
      </c>
      <c r="Q1651" t="s">
        <v>51</v>
      </c>
      <c r="R1651" t="s">
        <v>36</v>
      </c>
      <c r="S1651" t="s">
        <v>210</v>
      </c>
      <c r="T1651" t="s">
        <v>412</v>
      </c>
      <c r="U1651" t="s">
        <v>91</v>
      </c>
      <c r="V1651" t="s">
        <v>315</v>
      </c>
      <c r="W1651">
        <v>3.8</v>
      </c>
      <c r="X1651" t="s">
        <v>41</v>
      </c>
      <c r="Y1651" t="s">
        <v>42</v>
      </c>
      <c r="Z1651">
        <v>3</v>
      </c>
    </row>
    <row r="1652" spans="1:26">
      <c r="A1652" t="s">
        <v>2741</v>
      </c>
      <c r="B1652" t="s">
        <v>1109</v>
      </c>
      <c r="C1652" t="s">
        <v>45</v>
      </c>
      <c r="D1652" t="s">
        <v>95</v>
      </c>
      <c r="E1652" s="1">
        <v>44851</v>
      </c>
      <c r="F1652" t="s">
        <v>86</v>
      </c>
      <c r="G1652" t="s">
        <v>285</v>
      </c>
      <c r="H1652" t="s">
        <v>111</v>
      </c>
      <c r="I1652">
        <v>7</v>
      </c>
      <c r="J1652" t="s">
        <v>98</v>
      </c>
      <c r="K1652">
        <v>2</v>
      </c>
      <c r="L1652" s="3">
        <v>6599</v>
      </c>
      <c r="M1652">
        <v>10</v>
      </c>
      <c r="N1652" s="3">
        <v>5940</v>
      </c>
      <c r="O1652" s="3">
        <v>11880</v>
      </c>
      <c r="P1652" t="s">
        <v>74</v>
      </c>
      <c r="Q1652" t="s">
        <v>51</v>
      </c>
      <c r="R1652" t="s">
        <v>36</v>
      </c>
      <c r="S1652" t="s">
        <v>104</v>
      </c>
      <c r="T1652" t="s">
        <v>1048</v>
      </c>
      <c r="U1652" t="s">
        <v>124</v>
      </c>
      <c r="V1652" t="s">
        <v>969</v>
      </c>
      <c r="W1652">
        <v>5</v>
      </c>
      <c r="X1652" t="s">
        <v>41</v>
      </c>
      <c r="Y1652" t="s">
        <v>42</v>
      </c>
      <c r="Z1652">
        <v>3</v>
      </c>
    </row>
    <row r="1653" spans="1:26">
      <c r="A1653" t="s">
        <v>2742</v>
      </c>
      <c r="B1653" t="s">
        <v>1842</v>
      </c>
      <c r="C1653" t="s">
        <v>45</v>
      </c>
      <c r="D1653" t="s">
        <v>29</v>
      </c>
      <c r="E1653" s="1">
        <v>44853</v>
      </c>
      <c r="F1653" t="s">
        <v>79</v>
      </c>
      <c r="G1653" t="s">
        <v>174</v>
      </c>
      <c r="H1653" t="s">
        <v>32</v>
      </c>
      <c r="I1653">
        <v>9</v>
      </c>
      <c r="J1653" t="s">
        <v>67</v>
      </c>
      <c r="K1653">
        <v>4</v>
      </c>
      <c r="L1653" s="3">
        <v>5599</v>
      </c>
      <c r="M1653">
        <v>5</v>
      </c>
      <c r="N1653" s="3">
        <v>5320</v>
      </c>
      <c r="O1653" s="3">
        <v>21280</v>
      </c>
      <c r="P1653" t="s">
        <v>74</v>
      </c>
      <c r="Q1653" t="s">
        <v>51</v>
      </c>
      <c r="R1653" t="s">
        <v>36</v>
      </c>
      <c r="S1653" t="s">
        <v>354</v>
      </c>
      <c r="T1653" t="s">
        <v>434</v>
      </c>
      <c r="U1653" t="s">
        <v>91</v>
      </c>
      <c r="V1653" t="s">
        <v>315</v>
      </c>
      <c r="W1653">
        <v>4.8</v>
      </c>
      <c r="X1653" t="s">
        <v>41</v>
      </c>
      <c r="Y1653" t="s">
        <v>42</v>
      </c>
      <c r="Z1653">
        <v>6</v>
      </c>
    </row>
    <row r="1654" spans="1:26">
      <c r="A1654" t="s">
        <v>2743</v>
      </c>
      <c r="B1654" t="s">
        <v>2744</v>
      </c>
      <c r="C1654" t="s">
        <v>28</v>
      </c>
      <c r="D1654" t="s">
        <v>103</v>
      </c>
      <c r="E1654" s="1">
        <v>44853</v>
      </c>
      <c r="F1654" t="s">
        <v>86</v>
      </c>
      <c r="G1654" t="s">
        <v>87</v>
      </c>
      <c r="H1654" t="s">
        <v>59</v>
      </c>
      <c r="I1654">
        <v>9</v>
      </c>
      <c r="J1654" t="s">
        <v>98</v>
      </c>
      <c r="K1654">
        <v>1</v>
      </c>
      <c r="L1654" s="3">
        <v>5399</v>
      </c>
      <c r="M1654">
        <v>20</v>
      </c>
      <c r="N1654" s="3">
        <v>4320</v>
      </c>
      <c r="O1654" s="3">
        <v>4320</v>
      </c>
      <c r="P1654" t="s">
        <v>74</v>
      </c>
      <c r="Q1654" t="s">
        <v>51</v>
      </c>
      <c r="R1654" t="s">
        <v>36</v>
      </c>
      <c r="S1654" t="s">
        <v>122</v>
      </c>
      <c r="T1654" t="s">
        <v>123</v>
      </c>
      <c r="U1654" t="s">
        <v>91</v>
      </c>
      <c r="V1654" t="s">
        <v>40</v>
      </c>
      <c r="W1654">
        <v>5</v>
      </c>
      <c r="X1654" t="s">
        <v>41</v>
      </c>
      <c r="Y1654" t="s">
        <v>55</v>
      </c>
      <c r="Z1654">
        <v>3</v>
      </c>
    </row>
    <row r="1655" spans="1:26">
      <c r="A1655" t="s">
        <v>2745</v>
      </c>
      <c r="B1655" t="s">
        <v>816</v>
      </c>
      <c r="C1655" t="s">
        <v>94</v>
      </c>
      <c r="D1655" t="s">
        <v>103</v>
      </c>
      <c r="E1655" s="1">
        <v>44853</v>
      </c>
      <c r="F1655" t="s">
        <v>86</v>
      </c>
      <c r="G1655" t="s">
        <v>285</v>
      </c>
      <c r="H1655" t="s">
        <v>111</v>
      </c>
      <c r="I1655">
        <v>10</v>
      </c>
      <c r="J1655" t="s">
        <v>73</v>
      </c>
      <c r="K1655">
        <v>2</v>
      </c>
      <c r="L1655" s="3">
        <v>4799</v>
      </c>
      <c r="M1655">
        <v>5</v>
      </c>
      <c r="N1655" s="3">
        <v>4560</v>
      </c>
      <c r="O1655" s="3">
        <v>9120</v>
      </c>
      <c r="P1655" t="s">
        <v>34</v>
      </c>
      <c r="Q1655" t="s">
        <v>82</v>
      </c>
      <c r="R1655" t="s">
        <v>36</v>
      </c>
      <c r="S1655" t="s">
        <v>200</v>
      </c>
      <c r="T1655" t="s">
        <v>204</v>
      </c>
      <c r="U1655" t="s">
        <v>61</v>
      </c>
      <c r="V1655" t="s">
        <v>315</v>
      </c>
      <c r="W1655">
        <v>4.9000000000000004</v>
      </c>
      <c r="X1655" t="s">
        <v>41</v>
      </c>
      <c r="Y1655" t="s">
        <v>42</v>
      </c>
      <c r="Z1655">
        <v>5</v>
      </c>
    </row>
    <row r="1656" spans="1:26">
      <c r="A1656" t="s">
        <v>2746</v>
      </c>
      <c r="B1656" t="s">
        <v>262</v>
      </c>
      <c r="C1656" t="s">
        <v>28</v>
      </c>
      <c r="D1656" t="s">
        <v>46</v>
      </c>
      <c r="E1656" s="1">
        <v>44855</v>
      </c>
      <c r="F1656" t="s">
        <v>65</v>
      </c>
      <c r="G1656" t="s">
        <v>365</v>
      </c>
      <c r="H1656" t="s">
        <v>49</v>
      </c>
      <c r="I1656">
        <v>8</v>
      </c>
      <c r="J1656" t="s">
        <v>33</v>
      </c>
      <c r="K1656">
        <v>1</v>
      </c>
      <c r="L1656" s="3">
        <v>5599</v>
      </c>
      <c r="M1656">
        <v>15</v>
      </c>
      <c r="N1656" s="3">
        <v>4760</v>
      </c>
      <c r="O1656" s="3">
        <v>4760</v>
      </c>
      <c r="P1656" t="s">
        <v>74</v>
      </c>
      <c r="Q1656" t="s">
        <v>82</v>
      </c>
      <c r="R1656" t="s">
        <v>36</v>
      </c>
      <c r="S1656" t="s">
        <v>297</v>
      </c>
      <c r="T1656" t="s">
        <v>351</v>
      </c>
      <c r="U1656" t="s">
        <v>39</v>
      </c>
      <c r="V1656" t="s">
        <v>315</v>
      </c>
      <c r="W1656">
        <v>3.7</v>
      </c>
      <c r="X1656" t="s">
        <v>41</v>
      </c>
      <c r="Y1656" t="s">
        <v>42</v>
      </c>
      <c r="Z1656">
        <v>1</v>
      </c>
    </row>
    <row r="1657" spans="1:26">
      <c r="A1657" t="s">
        <v>2747</v>
      </c>
      <c r="B1657" t="s">
        <v>353</v>
      </c>
      <c r="C1657" t="s">
        <v>94</v>
      </c>
      <c r="D1657" t="s">
        <v>103</v>
      </c>
      <c r="E1657" s="1">
        <v>44856</v>
      </c>
      <c r="F1657" t="s">
        <v>65</v>
      </c>
      <c r="G1657" t="s">
        <v>365</v>
      </c>
      <c r="H1657" t="s">
        <v>49</v>
      </c>
      <c r="I1657">
        <v>7</v>
      </c>
      <c r="J1657" t="s">
        <v>98</v>
      </c>
      <c r="K1657">
        <v>1</v>
      </c>
      <c r="L1657" s="3">
        <v>5999</v>
      </c>
      <c r="M1657">
        <v>15</v>
      </c>
      <c r="N1657" s="3">
        <v>5100</v>
      </c>
      <c r="O1657" s="3">
        <v>5100</v>
      </c>
      <c r="P1657" t="s">
        <v>81</v>
      </c>
      <c r="Q1657" t="s">
        <v>82</v>
      </c>
      <c r="R1657" t="s">
        <v>36</v>
      </c>
      <c r="S1657" t="s">
        <v>151</v>
      </c>
      <c r="T1657" t="s">
        <v>452</v>
      </c>
      <c r="U1657" t="s">
        <v>54</v>
      </c>
      <c r="V1657" t="s">
        <v>315</v>
      </c>
      <c r="W1657">
        <v>4.4000000000000004</v>
      </c>
      <c r="X1657" t="s">
        <v>41</v>
      </c>
      <c r="Y1657" t="s">
        <v>42</v>
      </c>
      <c r="Z1657">
        <v>4</v>
      </c>
    </row>
    <row r="1658" spans="1:26">
      <c r="A1658" t="s">
        <v>2748</v>
      </c>
      <c r="B1658" t="s">
        <v>2267</v>
      </c>
      <c r="C1658" t="s">
        <v>45</v>
      </c>
      <c r="D1658" t="s">
        <v>29</v>
      </c>
      <c r="E1658" s="1">
        <v>44856</v>
      </c>
      <c r="F1658" t="s">
        <v>86</v>
      </c>
      <c r="G1658" t="s">
        <v>190</v>
      </c>
      <c r="H1658" t="s">
        <v>128</v>
      </c>
      <c r="I1658">
        <v>9</v>
      </c>
      <c r="J1658" t="s">
        <v>98</v>
      </c>
      <c r="K1658">
        <v>1</v>
      </c>
      <c r="L1658" s="3">
        <v>6599</v>
      </c>
      <c r="M1658">
        <v>20</v>
      </c>
      <c r="N1658" s="3">
        <v>5280</v>
      </c>
      <c r="O1658" s="3">
        <v>5280</v>
      </c>
      <c r="P1658" t="s">
        <v>34</v>
      </c>
      <c r="Q1658" t="s">
        <v>82</v>
      </c>
      <c r="R1658" t="s">
        <v>36</v>
      </c>
      <c r="S1658" t="s">
        <v>269</v>
      </c>
      <c r="T1658" t="s">
        <v>270</v>
      </c>
      <c r="U1658" t="s">
        <v>54</v>
      </c>
      <c r="V1658" t="s">
        <v>315</v>
      </c>
      <c r="W1658">
        <v>3.4</v>
      </c>
      <c r="X1658" t="s">
        <v>41</v>
      </c>
      <c r="Y1658" t="s">
        <v>42</v>
      </c>
      <c r="Z1658">
        <v>5</v>
      </c>
    </row>
    <row r="1659" spans="1:26">
      <c r="A1659" t="s">
        <v>2749</v>
      </c>
      <c r="B1659" t="s">
        <v>756</v>
      </c>
      <c r="C1659" t="s">
        <v>28</v>
      </c>
      <c r="D1659" t="s">
        <v>103</v>
      </c>
      <c r="E1659" s="1">
        <v>44856</v>
      </c>
      <c r="F1659" t="s">
        <v>96</v>
      </c>
      <c r="G1659" t="s">
        <v>228</v>
      </c>
      <c r="H1659" t="s">
        <v>59</v>
      </c>
      <c r="I1659">
        <v>6</v>
      </c>
      <c r="J1659" t="s">
        <v>67</v>
      </c>
      <c r="K1659">
        <v>1</v>
      </c>
      <c r="L1659" s="3">
        <v>6799</v>
      </c>
      <c r="M1659">
        <v>0</v>
      </c>
      <c r="N1659" s="3">
        <v>6800</v>
      </c>
      <c r="O1659" s="3">
        <v>6800</v>
      </c>
      <c r="P1659" t="s">
        <v>74</v>
      </c>
      <c r="Q1659" t="s">
        <v>51</v>
      </c>
      <c r="R1659" t="s">
        <v>36</v>
      </c>
      <c r="S1659" t="s">
        <v>210</v>
      </c>
      <c r="T1659" t="s">
        <v>680</v>
      </c>
      <c r="U1659" t="s">
        <v>39</v>
      </c>
      <c r="V1659" t="s">
        <v>969</v>
      </c>
      <c r="W1659">
        <v>2.7</v>
      </c>
      <c r="X1659" t="s">
        <v>41</v>
      </c>
      <c r="Y1659" t="s">
        <v>55</v>
      </c>
      <c r="Z1659">
        <v>2</v>
      </c>
    </row>
    <row r="1660" spans="1:26">
      <c r="A1660" t="s">
        <v>2750</v>
      </c>
      <c r="B1660" t="s">
        <v>1904</v>
      </c>
      <c r="C1660" t="s">
        <v>94</v>
      </c>
      <c r="D1660" t="s">
        <v>46</v>
      </c>
      <c r="E1660" s="1">
        <v>44857</v>
      </c>
      <c r="F1660" t="s">
        <v>65</v>
      </c>
      <c r="G1660" t="s">
        <v>66</v>
      </c>
      <c r="H1660" t="s">
        <v>59</v>
      </c>
      <c r="I1660">
        <v>8</v>
      </c>
      <c r="J1660" t="s">
        <v>88</v>
      </c>
      <c r="K1660">
        <v>2</v>
      </c>
      <c r="L1660" s="3">
        <v>8599</v>
      </c>
      <c r="M1660">
        <v>20</v>
      </c>
      <c r="N1660" s="3">
        <v>6880</v>
      </c>
      <c r="O1660" s="3">
        <v>13760</v>
      </c>
      <c r="P1660" t="s">
        <v>74</v>
      </c>
      <c r="Q1660" t="s">
        <v>51</v>
      </c>
      <c r="R1660" t="s">
        <v>36</v>
      </c>
      <c r="S1660" t="s">
        <v>122</v>
      </c>
      <c r="T1660" t="s">
        <v>372</v>
      </c>
      <c r="U1660" t="s">
        <v>54</v>
      </c>
      <c r="V1660" t="s">
        <v>315</v>
      </c>
      <c r="W1660">
        <v>4.5999999999999996</v>
      </c>
      <c r="X1660" t="s">
        <v>41</v>
      </c>
      <c r="Y1660" t="s">
        <v>42</v>
      </c>
      <c r="Z1660">
        <v>7</v>
      </c>
    </row>
    <row r="1661" spans="1:26">
      <c r="A1661" t="s">
        <v>2751</v>
      </c>
      <c r="B1661" t="s">
        <v>2139</v>
      </c>
      <c r="C1661" t="s">
        <v>45</v>
      </c>
      <c r="D1661" t="s">
        <v>109</v>
      </c>
      <c r="E1661" s="1">
        <v>44858</v>
      </c>
      <c r="F1661" t="s">
        <v>30</v>
      </c>
      <c r="G1661" t="s">
        <v>214</v>
      </c>
      <c r="H1661" t="s">
        <v>128</v>
      </c>
      <c r="I1661">
        <v>6</v>
      </c>
      <c r="J1661" t="s">
        <v>73</v>
      </c>
      <c r="K1661">
        <v>1</v>
      </c>
      <c r="L1661" s="3">
        <v>8599</v>
      </c>
      <c r="M1661">
        <v>15</v>
      </c>
      <c r="N1661" s="3">
        <v>7310</v>
      </c>
      <c r="O1661" s="3">
        <v>7310</v>
      </c>
      <c r="P1661" t="s">
        <v>74</v>
      </c>
      <c r="Q1661" t="s">
        <v>51</v>
      </c>
      <c r="R1661" t="s">
        <v>36</v>
      </c>
      <c r="S1661" t="s">
        <v>286</v>
      </c>
      <c r="T1661" t="s">
        <v>737</v>
      </c>
      <c r="U1661" t="s">
        <v>61</v>
      </c>
      <c r="V1661" t="s">
        <v>315</v>
      </c>
      <c r="W1661">
        <v>3.5</v>
      </c>
      <c r="X1661" t="s">
        <v>41</v>
      </c>
      <c r="Y1661" t="s">
        <v>42</v>
      </c>
      <c r="Z1661">
        <v>4</v>
      </c>
    </row>
    <row r="1662" spans="1:26">
      <c r="A1662" t="s">
        <v>2752</v>
      </c>
      <c r="B1662" t="s">
        <v>2468</v>
      </c>
      <c r="C1662" t="s">
        <v>28</v>
      </c>
      <c r="D1662" t="s">
        <v>109</v>
      </c>
      <c r="E1662" s="1">
        <v>44861</v>
      </c>
      <c r="F1662" t="s">
        <v>65</v>
      </c>
      <c r="G1662" t="s">
        <v>66</v>
      </c>
      <c r="H1662" t="s">
        <v>59</v>
      </c>
      <c r="I1662">
        <v>6</v>
      </c>
      <c r="J1662" t="s">
        <v>98</v>
      </c>
      <c r="K1662">
        <v>1</v>
      </c>
      <c r="L1662" s="3">
        <v>4199</v>
      </c>
      <c r="M1662">
        <v>25</v>
      </c>
      <c r="N1662" s="3">
        <v>3150</v>
      </c>
      <c r="O1662" s="3">
        <v>3150</v>
      </c>
      <c r="P1662" t="s">
        <v>74</v>
      </c>
      <c r="Q1662" t="s">
        <v>51</v>
      </c>
      <c r="R1662" t="s">
        <v>36</v>
      </c>
      <c r="S1662" t="s">
        <v>418</v>
      </c>
      <c r="T1662" t="s">
        <v>549</v>
      </c>
      <c r="U1662" t="s">
        <v>91</v>
      </c>
      <c r="V1662" t="s">
        <v>315</v>
      </c>
      <c r="W1662">
        <v>3.7</v>
      </c>
      <c r="X1662" t="s">
        <v>41</v>
      </c>
      <c r="Y1662" t="s">
        <v>42</v>
      </c>
      <c r="Z1662">
        <v>5</v>
      </c>
    </row>
    <row r="1663" spans="1:26">
      <c r="A1663" t="s">
        <v>2753</v>
      </c>
      <c r="B1663" t="s">
        <v>1189</v>
      </c>
      <c r="C1663" t="s">
        <v>28</v>
      </c>
      <c r="D1663" t="s">
        <v>95</v>
      </c>
      <c r="E1663" s="1">
        <v>44861</v>
      </c>
      <c r="F1663" t="s">
        <v>96</v>
      </c>
      <c r="G1663" t="s">
        <v>228</v>
      </c>
      <c r="H1663" t="s">
        <v>59</v>
      </c>
      <c r="I1663">
        <v>6</v>
      </c>
      <c r="J1663" t="s">
        <v>33</v>
      </c>
      <c r="K1663">
        <v>1</v>
      </c>
      <c r="L1663" s="3">
        <v>5599</v>
      </c>
      <c r="M1663">
        <v>25</v>
      </c>
      <c r="N1663" s="3">
        <v>4200</v>
      </c>
      <c r="O1663" s="3">
        <v>4200</v>
      </c>
      <c r="P1663" t="s">
        <v>34</v>
      </c>
      <c r="Q1663" t="s">
        <v>51</v>
      </c>
      <c r="R1663" t="s">
        <v>36</v>
      </c>
      <c r="S1663" t="s">
        <v>354</v>
      </c>
      <c r="T1663" t="s">
        <v>355</v>
      </c>
      <c r="U1663" t="s">
        <v>39</v>
      </c>
      <c r="V1663" t="s">
        <v>315</v>
      </c>
      <c r="W1663">
        <v>4</v>
      </c>
      <c r="X1663" t="s">
        <v>41</v>
      </c>
      <c r="Y1663" t="s">
        <v>55</v>
      </c>
      <c r="Z1663">
        <v>4</v>
      </c>
    </row>
    <row r="1664" spans="1:26">
      <c r="A1664" t="s">
        <v>2754</v>
      </c>
      <c r="B1664" t="s">
        <v>2755</v>
      </c>
      <c r="C1664" t="s">
        <v>28</v>
      </c>
      <c r="D1664" t="s">
        <v>46</v>
      </c>
      <c r="E1664" s="1">
        <v>44861</v>
      </c>
      <c r="F1664" t="s">
        <v>30</v>
      </c>
      <c r="G1664" t="s">
        <v>58</v>
      </c>
      <c r="H1664" t="s">
        <v>59</v>
      </c>
      <c r="I1664">
        <v>8</v>
      </c>
      <c r="J1664" t="s">
        <v>33</v>
      </c>
      <c r="K1664">
        <v>1</v>
      </c>
      <c r="L1664" s="3">
        <v>6399</v>
      </c>
      <c r="M1664">
        <v>20</v>
      </c>
      <c r="N1664" s="3">
        <v>5120</v>
      </c>
      <c r="O1664" s="3">
        <v>5120</v>
      </c>
      <c r="P1664" t="s">
        <v>74</v>
      </c>
      <c r="Q1664" t="s">
        <v>51</v>
      </c>
      <c r="R1664" t="s">
        <v>36</v>
      </c>
      <c r="S1664" t="s">
        <v>182</v>
      </c>
      <c r="T1664" t="s">
        <v>183</v>
      </c>
      <c r="U1664" t="s">
        <v>54</v>
      </c>
      <c r="V1664" t="s">
        <v>40</v>
      </c>
      <c r="W1664">
        <v>3.9</v>
      </c>
      <c r="X1664" t="s">
        <v>41</v>
      </c>
      <c r="Y1664" t="s">
        <v>42</v>
      </c>
      <c r="Z1664">
        <v>2</v>
      </c>
    </row>
    <row r="1665" spans="1:26">
      <c r="A1665" t="s">
        <v>2756</v>
      </c>
      <c r="B1665" t="s">
        <v>951</v>
      </c>
      <c r="C1665" t="s">
        <v>94</v>
      </c>
      <c r="D1665" t="s">
        <v>46</v>
      </c>
      <c r="E1665" s="1">
        <v>44866</v>
      </c>
      <c r="F1665" t="s">
        <v>96</v>
      </c>
      <c r="G1665" t="s">
        <v>155</v>
      </c>
      <c r="H1665" t="s">
        <v>111</v>
      </c>
      <c r="I1665">
        <v>8</v>
      </c>
      <c r="J1665" t="s">
        <v>73</v>
      </c>
      <c r="K1665">
        <v>2</v>
      </c>
      <c r="L1665" s="3">
        <v>7799</v>
      </c>
      <c r="M1665">
        <v>15</v>
      </c>
      <c r="N1665" s="3">
        <v>6630</v>
      </c>
      <c r="O1665" s="3">
        <v>13260</v>
      </c>
      <c r="P1665" t="s">
        <v>74</v>
      </c>
      <c r="Q1665" t="s">
        <v>51</v>
      </c>
      <c r="R1665" t="s">
        <v>36</v>
      </c>
      <c r="S1665" t="s">
        <v>122</v>
      </c>
      <c r="T1665" t="s">
        <v>382</v>
      </c>
      <c r="U1665" t="s">
        <v>54</v>
      </c>
      <c r="V1665" t="s">
        <v>315</v>
      </c>
      <c r="W1665">
        <v>5</v>
      </c>
      <c r="X1665" t="s">
        <v>41</v>
      </c>
      <c r="Y1665" t="s">
        <v>147</v>
      </c>
      <c r="Z1665">
        <v>1</v>
      </c>
    </row>
    <row r="1666" spans="1:26">
      <c r="A1666" t="s">
        <v>2757</v>
      </c>
      <c r="B1666" t="s">
        <v>330</v>
      </c>
      <c r="C1666" t="s">
        <v>45</v>
      </c>
      <c r="D1666" t="s">
        <v>29</v>
      </c>
      <c r="E1666" s="1">
        <v>44867</v>
      </c>
      <c r="F1666" t="s">
        <v>47</v>
      </c>
      <c r="G1666" t="s">
        <v>48</v>
      </c>
      <c r="H1666" t="s">
        <v>49</v>
      </c>
      <c r="I1666">
        <v>8</v>
      </c>
      <c r="J1666" t="s">
        <v>88</v>
      </c>
      <c r="K1666">
        <v>2</v>
      </c>
      <c r="L1666" s="3">
        <v>4299</v>
      </c>
      <c r="M1666">
        <v>0</v>
      </c>
      <c r="N1666" s="3">
        <v>4300</v>
      </c>
      <c r="O1666" s="3">
        <v>8600</v>
      </c>
      <c r="P1666" t="s">
        <v>74</v>
      </c>
      <c r="Q1666" t="s">
        <v>82</v>
      </c>
      <c r="R1666" t="s">
        <v>36</v>
      </c>
      <c r="S1666" t="s">
        <v>186</v>
      </c>
      <c r="T1666" t="s">
        <v>397</v>
      </c>
      <c r="U1666" t="s">
        <v>124</v>
      </c>
      <c r="V1666" t="s">
        <v>969</v>
      </c>
      <c r="W1666">
        <v>4.5999999999999996</v>
      </c>
      <c r="X1666" t="s">
        <v>106</v>
      </c>
      <c r="Y1666" t="s">
        <v>55</v>
      </c>
      <c r="Z1666">
        <v>3</v>
      </c>
    </row>
    <row r="1667" spans="1:26">
      <c r="A1667" t="s">
        <v>2758</v>
      </c>
      <c r="B1667" t="s">
        <v>350</v>
      </c>
      <c r="C1667" t="s">
        <v>45</v>
      </c>
      <c r="D1667" t="s">
        <v>109</v>
      </c>
      <c r="E1667" s="1">
        <v>44869</v>
      </c>
      <c r="F1667" t="s">
        <v>86</v>
      </c>
      <c r="G1667" t="s">
        <v>285</v>
      </c>
      <c r="H1667" t="s">
        <v>111</v>
      </c>
      <c r="I1667">
        <v>9</v>
      </c>
      <c r="J1667" t="s">
        <v>98</v>
      </c>
      <c r="K1667">
        <v>1</v>
      </c>
      <c r="L1667" s="3">
        <v>5499</v>
      </c>
      <c r="M1667">
        <v>30</v>
      </c>
      <c r="N1667" s="3">
        <v>3850</v>
      </c>
      <c r="O1667" s="3">
        <v>3850</v>
      </c>
      <c r="P1667" t="s">
        <v>34</v>
      </c>
      <c r="Q1667" t="s">
        <v>82</v>
      </c>
      <c r="R1667" t="s">
        <v>36</v>
      </c>
      <c r="S1667" t="s">
        <v>156</v>
      </c>
      <c r="T1667" t="s">
        <v>369</v>
      </c>
      <c r="U1667" t="s">
        <v>124</v>
      </c>
      <c r="V1667" t="s">
        <v>315</v>
      </c>
      <c r="W1667">
        <v>4.4000000000000004</v>
      </c>
      <c r="X1667" t="s">
        <v>41</v>
      </c>
      <c r="Y1667" t="s">
        <v>55</v>
      </c>
      <c r="Z1667">
        <v>2</v>
      </c>
    </row>
    <row r="1668" spans="1:26">
      <c r="A1668" t="s">
        <v>2759</v>
      </c>
      <c r="B1668" t="s">
        <v>951</v>
      </c>
      <c r="C1668" t="s">
        <v>28</v>
      </c>
      <c r="D1668" t="s">
        <v>103</v>
      </c>
      <c r="E1668" s="1">
        <v>44870</v>
      </c>
      <c r="F1668" t="s">
        <v>47</v>
      </c>
      <c r="G1668" t="s">
        <v>402</v>
      </c>
      <c r="H1668" t="s">
        <v>32</v>
      </c>
      <c r="I1668">
        <v>8</v>
      </c>
      <c r="J1668" t="s">
        <v>67</v>
      </c>
      <c r="K1668">
        <v>1</v>
      </c>
      <c r="L1668" s="3">
        <v>6699</v>
      </c>
      <c r="M1668">
        <v>15</v>
      </c>
      <c r="N1668" s="3">
        <v>5690</v>
      </c>
      <c r="O1668" s="3">
        <v>5690</v>
      </c>
      <c r="P1668" t="s">
        <v>74</v>
      </c>
      <c r="Q1668" t="s">
        <v>35</v>
      </c>
      <c r="R1668" t="s">
        <v>36</v>
      </c>
      <c r="S1668" t="s">
        <v>141</v>
      </c>
      <c r="T1668" t="s">
        <v>142</v>
      </c>
      <c r="U1668" t="s">
        <v>54</v>
      </c>
      <c r="V1668" t="s">
        <v>315</v>
      </c>
      <c r="W1668">
        <v>3.9</v>
      </c>
      <c r="X1668" t="s">
        <v>41</v>
      </c>
      <c r="Y1668" t="s">
        <v>42</v>
      </c>
      <c r="Z1668">
        <v>4</v>
      </c>
    </row>
    <row r="1669" spans="1:26">
      <c r="A1669" t="s">
        <v>2760</v>
      </c>
      <c r="B1669" t="s">
        <v>633</v>
      </c>
      <c r="C1669" t="s">
        <v>94</v>
      </c>
      <c r="D1669" t="s">
        <v>95</v>
      </c>
      <c r="E1669" s="1">
        <v>44871</v>
      </c>
      <c r="F1669" t="s">
        <v>96</v>
      </c>
      <c r="G1669" t="s">
        <v>323</v>
      </c>
      <c r="H1669" t="s">
        <v>59</v>
      </c>
      <c r="I1669">
        <v>12</v>
      </c>
      <c r="J1669" t="s">
        <v>73</v>
      </c>
      <c r="K1669">
        <v>1</v>
      </c>
      <c r="L1669" s="3">
        <v>7499</v>
      </c>
      <c r="M1669">
        <v>10</v>
      </c>
      <c r="N1669" s="3">
        <v>6750</v>
      </c>
      <c r="O1669" s="3">
        <v>6750</v>
      </c>
      <c r="P1669" t="s">
        <v>34</v>
      </c>
      <c r="Q1669" t="s">
        <v>51</v>
      </c>
      <c r="R1669" t="s">
        <v>36</v>
      </c>
      <c r="S1669" t="s">
        <v>151</v>
      </c>
      <c r="T1669" t="s">
        <v>890</v>
      </c>
      <c r="U1669" t="s">
        <v>91</v>
      </c>
      <c r="V1669" t="s">
        <v>969</v>
      </c>
      <c r="W1669">
        <v>5</v>
      </c>
      <c r="X1669" t="s">
        <v>106</v>
      </c>
      <c r="Y1669" t="s">
        <v>55</v>
      </c>
      <c r="Z1669">
        <v>2</v>
      </c>
    </row>
    <row r="1670" spans="1:26">
      <c r="A1670" t="s">
        <v>2761</v>
      </c>
      <c r="B1670" t="s">
        <v>2762</v>
      </c>
      <c r="C1670" t="s">
        <v>28</v>
      </c>
      <c r="D1670" t="s">
        <v>95</v>
      </c>
      <c r="E1670" s="1">
        <v>44873</v>
      </c>
      <c r="F1670" t="s">
        <v>47</v>
      </c>
      <c r="G1670" t="s">
        <v>402</v>
      </c>
      <c r="H1670" t="s">
        <v>32</v>
      </c>
      <c r="I1670">
        <v>9</v>
      </c>
      <c r="J1670" t="s">
        <v>73</v>
      </c>
      <c r="K1670">
        <v>2</v>
      </c>
      <c r="L1670" s="3">
        <v>9099</v>
      </c>
      <c r="M1670">
        <v>0</v>
      </c>
      <c r="N1670" s="3">
        <v>9100</v>
      </c>
      <c r="O1670" s="3">
        <v>18200</v>
      </c>
      <c r="P1670" t="s">
        <v>74</v>
      </c>
      <c r="Q1670" t="s">
        <v>35</v>
      </c>
      <c r="R1670" t="s">
        <v>36</v>
      </c>
      <c r="S1670" t="s">
        <v>99</v>
      </c>
      <c r="T1670" t="s">
        <v>100</v>
      </c>
      <c r="U1670" t="s">
        <v>124</v>
      </c>
      <c r="V1670" t="s">
        <v>40</v>
      </c>
      <c r="W1670">
        <v>3.9</v>
      </c>
      <c r="X1670" t="s">
        <v>41</v>
      </c>
      <c r="Y1670" t="s">
        <v>42</v>
      </c>
      <c r="Z1670">
        <v>6</v>
      </c>
    </row>
    <row r="1671" spans="1:26">
      <c r="A1671" t="s">
        <v>2763</v>
      </c>
      <c r="B1671" t="s">
        <v>2764</v>
      </c>
      <c r="C1671" t="s">
        <v>45</v>
      </c>
      <c r="D1671" t="s">
        <v>103</v>
      </c>
      <c r="E1671" s="1">
        <v>44873</v>
      </c>
      <c r="F1671" t="s">
        <v>86</v>
      </c>
      <c r="G1671" t="s">
        <v>285</v>
      </c>
      <c r="H1671" t="s">
        <v>111</v>
      </c>
      <c r="I1671">
        <v>9</v>
      </c>
      <c r="J1671" t="s">
        <v>88</v>
      </c>
      <c r="K1671">
        <v>1</v>
      </c>
      <c r="L1671" s="3">
        <v>5899</v>
      </c>
      <c r="M1671">
        <v>20</v>
      </c>
      <c r="N1671" s="3">
        <v>4720</v>
      </c>
      <c r="O1671" s="3">
        <v>4720</v>
      </c>
      <c r="P1671" t="s">
        <v>74</v>
      </c>
      <c r="Q1671" t="s">
        <v>35</v>
      </c>
      <c r="R1671" t="s">
        <v>36</v>
      </c>
      <c r="S1671" t="s">
        <v>141</v>
      </c>
      <c r="T1671" t="s">
        <v>728</v>
      </c>
      <c r="U1671" t="s">
        <v>39</v>
      </c>
      <c r="V1671" t="s">
        <v>40</v>
      </c>
      <c r="W1671">
        <v>3.5</v>
      </c>
      <c r="X1671" t="s">
        <v>106</v>
      </c>
      <c r="Y1671" t="s">
        <v>42</v>
      </c>
      <c r="Z1671">
        <v>6</v>
      </c>
    </row>
    <row r="1672" spans="1:26">
      <c r="A1672" t="s">
        <v>2765</v>
      </c>
      <c r="B1672" t="s">
        <v>293</v>
      </c>
      <c r="C1672" t="s">
        <v>28</v>
      </c>
      <c r="D1672" t="s">
        <v>46</v>
      </c>
      <c r="E1672" s="1">
        <v>44874</v>
      </c>
      <c r="F1672" t="s">
        <v>47</v>
      </c>
      <c r="G1672" t="s">
        <v>140</v>
      </c>
      <c r="H1672" t="s">
        <v>128</v>
      </c>
      <c r="I1672">
        <v>8</v>
      </c>
      <c r="J1672" t="s">
        <v>98</v>
      </c>
      <c r="K1672">
        <v>1</v>
      </c>
      <c r="L1672" s="3">
        <v>6299</v>
      </c>
      <c r="M1672">
        <v>20</v>
      </c>
      <c r="N1672" s="3">
        <v>5040</v>
      </c>
      <c r="O1672" s="3">
        <v>5040</v>
      </c>
      <c r="P1672" t="s">
        <v>74</v>
      </c>
      <c r="Q1672" t="s">
        <v>35</v>
      </c>
      <c r="R1672" t="s">
        <v>36</v>
      </c>
      <c r="S1672" t="s">
        <v>164</v>
      </c>
      <c r="T1672" t="s">
        <v>314</v>
      </c>
      <c r="U1672" t="s">
        <v>54</v>
      </c>
      <c r="V1672" t="s">
        <v>969</v>
      </c>
      <c r="W1672">
        <v>5</v>
      </c>
      <c r="X1672" t="s">
        <v>41</v>
      </c>
      <c r="Y1672" t="s">
        <v>55</v>
      </c>
      <c r="Z1672">
        <v>2</v>
      </c>
    </row>
    <row r="1673" spans="1:26">
      <c r="A1673" t="s">
        <v>2766</v>
      </c>
      <c r="B1673" t="s">
        <v>2767</v>
      </c>
      <c r="C1673" t="s">
        <v>28</v>
      </c>
      <c r="D1673" t="s">
        <v>46</v>
      </c>
      <c r="E1673" s="1">
        <v>44874</v>
      </c>
      <c r="F1673" t="s">
        <v>30</v>
      </c>
      <c r="G1673" t="s">
        <v>110</v>
      </c>
      <c r="H1673" t="s">
        <v>111</v>
      </c>
      <c r="I1673">
        <v>10</v>
      </c>
      <c r="J1673" t="s">
        <v>150</v>
      </c>
      <c r="K1673">
        <v>1</v>
      </c>
      <c r="L1673" s="3">
        <v>8899</v>
      </c>
      <c r="M1673">
        <v>15</v>
      </c>
      <c r="N1673" s="3">
        <v>7560</v>
      </c>
      <c r="O1673" s="3">
        <v>7560</v>
      </c>
      <c r="P1673" t="s">
        <v>74</v>
      </c>
      <c r="Q1673" t="s">
        <v>82</v>
      </c>
      <c r="R1673" t="s">
        <v>36</v>
      </c>
      <c r="S1673" t="s">
        <v>269</v>
      </c>
      <c r="T1673" t="s">
        <v>270</v>
      </c>
      <c r="U1673" t="s">
        <v>54</v>
      </c>
      <c r="V1673" t="s">
        <v>40</v>
      </c>
      <c r="W1673">
        <v>4.9000000000000004</v>
      </c>
      <c r="X1673" t="s">
        <v>106</v>
      </c>
      <c r="Y1673" t="s">
        <v>55</v>
      </c>
      <c r="Z1673">
        <v>2</v>
      </c>
    </row>
    <row r="1674" spans="1:26">
      <c r="A1674" t="s">
        <v>2768</v>
      </c>
      <c r="B1674" t="s">
        <v>320</v>
      </c>
      <c r="C1674" t="s">
        <v>45</v>
      </c>
      <c r="D1674" t="s">
        <v>29</v>
      </c>
      <c r="E1674" s="1">
        <v>44875</v>
      </c>
      <c r="F1674" t="s">
        <v>96</v>
      </c>
      <c r="G1674" t="s">
        <v>290</v>
      </c>
      <c r="H1674" t="s">
        <v>32</v>
      </c>
      <c r="I1674">
        <v>6</v>
      </c>
      <c r="J1674" t="s">
        <v>33</v>
      </c>
      <c r="K1674">
        <v>1</v>
      </c>
      <c r="L1674" s="3">
        <v>8399</v>
      </c>
      <c r="M1674">
        <v>20</v>
      </c>
      <c r="N1674" s="3">
        <v>6720</v>
      </c>
      <c r="O1674" s="3">
        <v>6720</v>
      </c>
      <c r="P1674" t="s">
        <v>74</v>
      </c>
      <c r="Q1674" t="s">
        <v>82</v>
      </c>
      <c r="R1674" t="s">
        <v>36</v>
      </c>
      <c r="S1674" t="s">
        <v>151</v>
      </c>
      <c r="T1674" t="s">
        <v>152</v>
      </c>
      <c r="U1674" t="s">
        <v>91</v>
      </c>
      <c r="V1674" t="s">
        <v>315</v>
      </c>
      <c r="W1674">
        <v>4.2</v>
      </c>
      <c r="X1674" t="s">
        <v>62</v>
      </c>
      <c r="Y1674" t="s">
        <v>42</v>
      </c>
      <c r="Z1674">
        <v>4</v>
      </c>
    </row>
    <row r="1675" spans="1:26">
      <c r="A1675" t="s">
        <v>2769</v>
      </c>
      <c r="B1675" t="s">
        <v>649</v>
      </c>
      <c r="C1675" t="s">
        <v>45</v>
      </c>
      <c r="D1675" t="s">
        <v>103</v>
      </c>
      <c r="E1675" s="1">
        <v>44875</v>
      </c>
      <c r="F1675" t="s">
        <v>96</v>
      </c>
      <c r="G1675" t="s">
        <v>290</v>
      </c>
      <c r="H1675" t="s">
        <v>32</v>
      </c>
      <c r="I1675">
        <v>6</v>
      </c>
      <c r="J1675" t="s">
        <v>88</v>
      </c>
      <c r="K1675">
        <v>2</v>
      </c>
      <c r="L1675" s="3">
        <v>9899</v>
      </c>
      <c r="M1675">
        <v>25</v>
      </c>
      <c r="N1675" s="3">
        <v>7420</v>
      </c>
      <c r="O1675" s="3">
        <v>14840</v>
      </c>
      <c r="P1675" t="s">
        <v>34</v>
      </c>
      <c r="Q1675" t="s">
        <v>82</v>
      </c>
      <c r="R1675" t="s">
        <v>36</v>
      </c>
      <c r="S1675" t="s">
        <v>210</v>
      </c>
      <c r="T1675" t="s">
        <v>680</v>
      </c>
      <c r="U1675" t="s">
        <v>39</v>
      </c>
      <c r="V1675" t="s">
        <v>315</v>
      </c>
      <c r="W1675">
        <v>3.9</v>
      </c>
      <c r="X1675" t="s">
        <v>41</v>
      </c>
      <c r="Y1675" t="s">
        <v>42</v>
      </c>
      <c r="Z1675">
        <v>3</v>
      </c>
    </row>
    <row r="1676" spans="1:26">
      <c r="A1676" t="s">
        <v>2770</v>
      </c>
      <c r="B1676" t="s">
        <v>837</v>
      </c>
      <c r="C1676" t="s">
        <v>28</v>
      </c>
      <c r="D1676" t="s">
        <v>29</v>
      </c>
      <c r="E1676" s="1">
        <v>44875</v>
      </c>
      <c r="F1676" t="s">
        <v>86</v>
      </c>
      <c r="G1676" t="s">
        <v>242</v>
      </c>
      <c r="H1676" t="s">
        <v>32</v>
      </c>
      <c r="I1676">
        <v>7</v>
      </c>
      <c r="J1676" t="s">
        <v>150</v>
      </c>
      <c r="K1676">
        <v>1</v>
      </c>
      <c r="L1676" s="3">
        <v>6699</v>
      </c>
      <c r="M1676">
        <v>0</v>
      </c>
      <c r="N1676" s="3">
        <v>6700</v>
      </c>
      <c r="O1676" s="3">
        <v>6700</v>
      </c>
      <c r="P1676" t="s">
        <v>50</v>
      </c>
      <c r="Q1676" t="s">
        <v>51</v>
      </c>
      <c r="R1676" t="s">
        <v>36</v>
      </c>
      <c r="S1676" t="s">
        <v>112</v>
      </c>
      <c r="T1676" t="s">
        <v>133</v>
      </c>
      <c r="U1676" t="s">
        <v>124</v>
      </c>
      <c r="V1676" t="s">
        <v>315</v>
      </c>
      <c r="W1676">
        <v>5</v>
      </c>
      <c r="X1676" t="s">
        <v>62</v>
      </c>
      <c r="Y1676" t="s">
        <v>55</v>
      </c>
      <c r="Z1676">
        <v>2</v>
      </c>
    </row>
    <row r="1677" spans="1:26">
      <c r="A1677" t="s">
        <v>2771</v>
      </c>
      <c r="B1677" t="s">
        <v>1814</v>
      </c>
      <c r="C1677" t="s">
        <v>28</v>
      </c>
      <c r="D1677" t="s">
        <v>46</v>
      </c>
      <c r="E1677" s="1">
        <v>44876</v>
      </c>
      <c r="F1677" t="s">
        <v>30</v>
      </c>
      <c r="G1677" t="s">
        <v>145</v>
      </c>
      <c r="H1677" t="s">
        <v>59</v>
      </c>
      <c r="I1677">
        <v>6</v>
      </c>
      <c r="J1677" t="s">
        <v>73</v>
      </c>
      <c r="K1677">
        <v>1</v>
      </c>
      <c r="L1677" s="3">
        <v>5099</v>
      </c>
      <c r="M1677">
        <v>10</v>
      </c>
      <c r="N1677" s="3">
        <v>4590</v>
      </c>
      <c r="O1677" s="3">
        <v>4590</v>
      </c>
      <c r="P1677" t="s">
        <v>34</v>
      </c>
      <c r="Q1677" t="s">
        <v>51</v>
      </c>
      <c r="R1677" t="s">
        <v>36</v>
      </c>
      <c r="S1677" t="s">
        <v>358</v>
      </c>
      <c r="T1677" t="s">
        <v>597</v>
      </c>
      <c r="U1677" t="s">
        <v>39</v>
      </c>
      <c r="V1677" t="s">
        <v>315</v>
      </c>
      <c r="W1677">
        <v>3.4</v>
      </c>
      <c r="X1677" t="s">
        <v>41</v>
      </c>
      <c r="Y1677" t="s">
        <v>42</v>
      </c>
      <c r="Z1677">
        <v>4</v>
      </c>
    </row>
    <row r="1678" spans="1:26">
      <c r="A1678" t="s">
        <v>2772</v>
      </c>
      <c r="B1678" t="s">
        <v>2773</v>
      </c>
      <c r="C1678" t="s">
        <v>28</v>
      </c>
      <c r="D1678" t="s">
        <v>109</v>
      </c>
      <c r="E1678" s="1">
        <v>44877</v>
      </c>
      <c r="F1678" t="s">
        <v>30</v>
      </c>
      <c r="G1678" t="s">
        <v>31</v>
      </c>
      <c r="H1678" t="s">
        <v>32</v>
      </c>
      <c r="I1678">
        <v>10</v>
      </c>
      <c r="J1678" t="s">
        <v>33</v>
      </c>
      <c r="K1678">
        <v>2</v>
      </c>
      <c r="L1678" s="3">
        <v>6399</v>
      </c>
      <c r="M1678">
        <v>10</v>
      </c>
      <c r="N1678" s="3">
        <v>5760</v>
      </c>
      <c r="O1678" s="3">
        <v>11520</v>
      </c>
      <c r="P1678" t="s">
        <v>34</v>
      </c>
      <c r="Q1678" t="s">
        <v>51</v>
      </c>
      <c r="R1678" t="s">
        <v>36</v>
      </c>
      <c r="S1678" t="s">
        <v>156</v>
      </c>
      <c r="T1678" t="s">
        <v>324</v>
      </c>
      <c r="U1678" t="s">
        <v>124</v>
      </c>
      <c r="V1678" t="s">
        <v>40</v>
      </c>
      <c r="W1678">
        <v>3</v>
      </c>
      <c r="X1678" t="s">
        <v>41</v>
      </c>
      <c r="Y1678" t="s">
        <v>42</v>
      </c>
      <c r="Z1678">
        <v>5</v>
      </c>
    </row>
    <row r="1679" spans="1:26">
      <c r="A1679" t="s">
        <v>2774</v>
      </c>
      <c r="B1679" t="s">
        <v>829</v>
      </c>
      <c r="C1679" t="s">
        <v>28</v>
      </c>
      <c r="D1679" t="s">
        <v>103</v>
      </c>
      <c r="E1679" s="1">
        <v>44877</v>
      </c>
      <c r="F1679" t="s">
        <v>96</v>
      </c>
      <c r="G1679" t="s">
        <v>228</v>
      </c>
      <c r="H1679" t="s">
        <v>59</v>
      </c>
      <c r="I1679">
        <v>6</v>
      </c>
      <c r="J1679" t="s">
        <v>98</v>
      </c>
      <c r="K1679">
        <v>1</v>
      </c>
      <c r="L1679" s="3">
        <v>8099</v>
      </c>
      <c r="M1679">
        <v>30</v>
      </c>
      <c r="N1679" s="3">
        <v>5670</v>
      </c>
      <c r="O1679" s="3">
        <v>5670</v>
      </c>
      <c r="P1679" t="s">
        <v>74</v>
      </c>
      <c r="Q1679" t="s">
        <v>82</v>
      </c>
      <c r="R1679" t="s">
        <v>36</v>
      </c>
      <c r="S1679" t="s">
        <v>358</v>
      </c>
      <c r="T1679" t="s">
        <v>805</v>
      </c>
      <c r="U1679" t="s">
        <v>54</v>
      </c>
      <c r="V1679" t="s">
        <v>315</v>
      </c>
      <c r="W1679">
        <v>5</v>
      </c>
      <c r="X1679" t="s">
        <v>41</v>
      </c>
      <c r="Y1679" t="s">
        <v>147</v>
      </c>
      <c r="Z1679">
        <v>1</v>
      </c>
    </row>
    <row r="1680" spans="1:26">
      <c r="A1680" t="s">
        <v>2775</v>
      </c>
      <c r="B1680" t="s">
        <v>2776</v>
      </c>
      <c r="C1680" t="s">
        <v>94</v>
      </c>
      <c r="D1680" t="s">
        <v>29</v>
      </c>
      <c r="E1680" s="1">
        <v>44877</v>
      </c>
      <c r="F1680" t="s">
        <v>96</v>
      </c>
      <c r="G1680" t="s">
        <v>290</v>
      </c>
      <c r="H1680" t="s">
        <v>32</v>
      </c>
      <c r="I1680">
        <v>11</v>
      </c>
      <c r="J1680" t="s">
        <v>67</v>
      </c>
      <c r="K1680">
        <v>1</v>
      </c>
      <c r="L1680" s="3">
        <v>10199</v>
      </c>
      <c r="M1680">
        <v>35</v>
      </c>
      <c r="N1680" s="3">
        <v>6630</v>
      </c>
      <c r="O1680" s="3">
        <v>6630</v>
      </c>
      <c r="P1680" t="s">
        <v>34</v>
      </c>
      <c r="Q1680" t="s">
        <v>35</v>
      </c>
      <c r="R1680" t="s">
        <v>36</v>
      </c>
      <c r="S1680" t="s">
        <v>418</v>
      </c>
      <c r="T1680" t="s">
        <v>419</v>
      </c>
      <c r="U1680" t="s">
        <v>54</v>
      </c>
      <c r="V1680" t="s">
        <v>40</v>
      </c>
      <c r="W1680">
        <v>3.8</v>
      </c>
      <c r="X1680" t="s">
        <v>41</v>
      </c>
      <c r="Y1680" t="s">
        <v>42</v>
      </c>
      <c r="Z1680">
        <v>4</v>
      </c>
    </row>
    <row r="1681" spans="1:26">
      <c r="A1681" t="s">
        <v>2777</v>
      </c>
      <c r="B1681" t="s">
        <v>281</v>
      </c>
      <c r="C1681" t="s">
        <v>94</v>
      </c>
      <c r="D1681" t="s">
        <v>103</v>
      </c>
      <c r="E1681" s="1">
        <v>44878</v>
      </c>
      <c r="F1681" t="s">
        <v>47</v>
      </c>
      <c r="G1681" t="s">
        <v>199</v>
      </c>
      <c r="H1681" t="s">
        <v>59</v>
      </c>
      <c r="I1681">
        <v>8</v>
      </c>
      <c r="J1681" t="s">
        <v>33</v>
      </c>
      <c r="K1681">
        <v>1</v>
      </c>
      <c r="L1681" s="3">
        <v>9299</v>
      </c>
      <c r="M1681">
        <v>15</v>
      </c>
      <c r="N1681" s="3">
        <v>7900</v>
      </c>
      <c r="O1681" s="3">
        <v>7900</v>
      </c>
      <c r="P1681" t="s">
        <v>74</v>
      </c>
      <c r="Q1681" t="s">
        <v>35</v>
      </c>
      <c r="R1681" t="s">
        <v>36</v>
      </c>
      <c r="S1681" t="s">
        <v>136</v>
      </c>
      <c r="T1681" t="s">
        <v>638</v>
      </c>
      <c r="U1681" t="s">
        <v>54</v>
      </c>
      <c r="V1681" t="s">
        <v>969</v>
      </c>
      <c r="W1681">
        <v>3.7</v>
      </c>
      <c r="X1681" t="s">
        <v>62</v>
      </c>
      <c r="Y1681" t="s">
        <v>55</v>
      </c>
      <c r="Z1681">
        <v>2</v>
      </c>
    </row>
    <row r="1682" spans="1:26">
      <c r="A1682" t="s">
        <v>2778</v>
      </c>
      <c r="B1682" t="s">
        <v>213</v>
      </c>
      <c r="C1682" t="s">
        <v>45</v>
      </c>
      <c r="D1682" t="s">
        <v>46</v>
      </c>
      <c r="E1682" s="1">
        <v>44878</v>
      </c>
      <c r="F1682" t="s">
        <v>79</v>
      </c>
      <c r="G1682" t="s">
        <v>517</v>
      </c>
      <c r="H1682" t="s">
        <v>59</v>
      </c>
      <c r="I1682">
        <v>7</v>
      </c>
      <c r="J1682" t="s">
        <v>67</v>
      </c>
      <c r="K1682">
        <v>1</v>
      </c>
      <c r="L1682" s="3">
        <v>7699</v>
      </c>
      <c r="M1682">
        <v>10</v>
      </c>
      <c r="N1682" s="3">
        <v>6930</v>
      </c>
      <c r="O1682" s="3">
        <v>6930</v>
      </c>
      <c r="P1682" t="s">
        <v>81</v>
      </c>
      <c r="Q1682" t="s">
        <v>51</v>
      </c>
      <c r="R1682" t="s">
        <v>36</v>
      </c>
      <c r="S1682" t="s">
        <v>354</v>
      </c>
      <c r="T1682" t="s">
        <v>434</v>
      </c>
      <c r="U1682" t="s">
        <v>39</v>
      </c>
      <c r="V1682" t="s">
        <v>315</v>
      </c>
      <c r="W1682">
        <v>2.9</v>
      </c>
      <c r="X1682" t="s">
        <v>62</v>
      </c>
      <c r="Y1682" t="s">
        <v>42</v>
      </c>
      <c r="Z1682">
        <v>7</v>
      </c>
    </row>
    <row r="1683" spans="1:26">
      <c r="A1683" t="s">
        <v>2779</v>
      </c>
      <c r="B1683" t="s">
        <v>1024</v>
      </c>
      <c r="C1683" t="s">
        <v>45</v>
      </c>
      <c r="D1683" t="s">
        <v>29</v>
      </c>
      <c r="E1683" s="1">
        <v>44879</v>
      </c>
      <c r="F1683" t="s">
        <v>96</v>
      </c>
      <c r="G1683" t="s">
        <v>290</v>
      </c>
      <c r="H1683" t="s">
        <v>32</v>
      </c>
      <c r="I1683">
        <v>7</v>
      </c>
      <c r="J1683" t="s">
        <v>88</v>
      </c>
      <c r="K1683">
        <v>1</v>
      </c>
      <c r="L1683" s="3">
        <v>9599</v>
      </c>
      <c r="M1683">
        <v>15</v>
      </c>
      <c r="N1683" s="3">
        <v>8160</v>
      </c>
      <c r="O1683" s="3">
        <v>8160</v>
      </c>
      <c r="P1683" t="s">
        <v>74</v>
      </c>
      <c r="Q1683" t="s">
        <v>51</v>
      </c>
      <c r="R1683" t="s">
        <v>36</v>
      </c>
      <c r="S1683" t="s">
        <v>112</v>
      </c>
      <c r="T1683" t="s">
        <v>265</v>
      </c>
      <c r="U1683" t="s">
        <v>61</v>
      </c>
      <c r="V1683" t="s">
        <v>969</v>
      </c>
      <c r="W1683">
        <v>4.0999999999999996</v>
      </c>
      <c r="X1683" t="s">
        <v>41</v>
      </c>
      <c r="Y1683" t="s">
        <v>42</v>
      </c>
      <c r="Z1683">
        <v>4</v>
      </c>
    </row>
    <row r="1684" spans="1:26">
      <c r="A1684" t="s">
        <v>2780</v>
      </c>
      <c r="B1684" t="s">
        <v>2781</v>
      </c>
      <c r="C1684" t="s">
        <v>28</v>
      </c>
      <c r="D1684" t="s">
        <v>46</v>
      </c>
      <c r="E1684" s="1">
        <v>44879</v>
      </c>
      <c r="F1684" t="s">
        <v>30</v>
      </c>
      <c r="G1684" t="s">
        <v>214</v>
      </c>
      <c r="H1684" t="s">
        <v>128</v>
      </c>
      <c r="I1684">
        <v>10</v>
      </c>
      <c r="J1684" t="s">
        <v>67</v>
      </c>
      <c r="K1684">
        <v>4</v>
      </c>
      <c r="L1684" s="3">
        <v>6599</v>
      </c>
      <c r="M1684">
        <v>10</v>
      </c>
      <c r="N1684" s="3">
        <v>5940</v>
      </c>
      <c r="O1684" s="3">
        <v>23760</v>
      </c>
      <c r="P1684" t="s">
        <v>34</v>
      </c>
      <c r="Q1684" t="s">
        <v>35</v>
      </c>
      <c r="R1684" t="s">
        <v>36</v>
      </c>
      <c r="S1684" t="s">
        <v>191</v>
      </c>
      <c r="T1684" t="s">
        <v>521</v>
      </c>
      <c r="U1684" t="s">
        <v>91</v>
      </c>
      <c r="V1684" t="s">
        <v>40</v>
      </c>
      <c r="W1684">
        <v>4.2</v>
      </c>
      <c r="X1684" t="s">
        <v>41</v>
      </c>
      <c r="Y1684" t="s">
        <v>55</v>
      </c>
      <c r="Z1684">
        <v>3</v>
      </c>
    </row>
    <row r="1685" spans="1:26">
      <c r="A1685" t="s">
        <v>2782</v>
      </c>
      <c r="B1685" t="s">
        <v>724</v>
      </c>
      <c r="C1685" t="s">
        <v>45</v>
      </c>
      <c r="D1685" t="s">
        <v>46</v>
      </c>
      <c r="E1685" s="1">
        <v>44879</v>
      </c>
      <c r="F1685" t="s">
        <v>79</v>
      </c>
      <c r="G1685" t="s">
        <v>127</v>
      </c>
      <c r="H1685" t="s">
        <v>128</v>
      </c>
      <c r="I1685">
        <v>6</v>
      </c>
      <c r="J1685" t="s">
        <v>67</v>
      </c>
      <c r="K1685">
        <v>1</v>
      </c>
      <c r="L1685" s="3">
        <v>6399</v>
      </c>
      <c r="M1685">
        <v>5</v>
      </c>
      <c r="N1685" s="3">
        <v>6080</v>
      </c>
      <c r="O1685" s="3">
        <v>6080</v>
      </c>
      <c r="P1685" t="s">
        <v>74</v>
      </c>
      <c r="Q1685" t="s">
        <v>35</v>
      </c>
      <c r="R1685" t="s">
        <v>36</v>
      </c>
      <c r="S1685" t="s">
        <v>354</v>
      </c>
      <c r="T1685" t="s">
        <v>518</v>
      </c>
      <c r="U1685" t="s">
        <v>91</v>
      </c>
      <c r="V1685" t="s">
        <v>969</v>
      </c>
      <c r="W1685">
        <v>4.7</v>
      </c>
      <c r="X1685" t="s">
        <v>41</v>
      </c>
      <c r="Y1685" t="s">
        <v>42</v>
      </c>
      <c r="Z1685">
        <v>4</v>
      </c>
    </row>
    <row r="1686" spans="1:26">
      <c r="A1686" t="s">
        <v>2783</v>
      </c>
      <c r="B1686" t="s">
        <v>2784</v>
      </c>
      <c r="C1686" t="s">
        <v>45</v>
      </c>
      <c r="D1686" t="s">
        <v>103</v>
      </c>
      <c r="E1686" s="1">
        <v>44880</v>
      </c>
      <c r="F1686" t="s">
        <v>96</v>
      </c>
      <c r="G1686" t="s">
        <v>97</v>
      </c>
      <c r="H1686" t="s">
        <v>49</v>
      </c>
      <c r="I1686">
        <v>8</v>
      </c>
      <c r="J1686" t="s">
        <v>88</v>
      </c>
      <c r="K1686">
        <v>2</v>
      </c>
      <c r="L1686" s="3">
        <v>5499</v>
      </c>
      <c r="M1686">
        <v>20</v>
      </c>
      <c r="N1686" s="3">
        <v>4400</v>
      </c>
      <c r="O1686" s="3">
        <v>8800</v>
      </c>
      <c r="P1686" t="s">
        <v>74</v>
      </c>
      <c r="Q1686" t="s">
        <v>51</v>
      </c>
      <c r="R1686" t="s">
        <v>36</v>
      </c>
      <c r="S1686" t="s">
        <v>141</v>
      </c>
      <c r="T1686" t="s">
        <v>294</v>
      </c>
      <c r="U1686" t="s">
        <v>61</v>
      </c>
      <c r="V1686" t="s">
        <v>40</v>
      </c>
      <c r="W1686">
        <v>3.9</v>
      </c>
      <c r="X1686" t="s">
        <v>106</v>
      </c>
      <c r="Y1686" t="s">
        <v>55</v>
      </c>
      <c r="Z1686">
        <v>2</v>
      </c>
    </row>
    <row r="1687" spans="1:26">
      <c r="A1687" t="s">
        <v>2785</v>
      </c>
      <c r="B1687" t="s">
        <v>1189</v>
      </c>
      <c r="C1687" t="s">
        <v>28</v>
      </c>
      <c r="D1687" t="s">
        <v>46</v>
      </c>
      <c r="E1687" s="1">
        <v>44880</v>
      </c>
      <c r="F1687" t="s">
        <v>96</v>
      </c>
      <c r="G1687" t="s">
        <v>228</v>
      </c>
      <c r="H1687" t="s">
        <v>59</v>
      </c>
      <c r="I1687">
        <v>9</v>
      </c>
      <c r="J1687" t="s">
        <v>88</v>
      </c>
      <c r="K1687">
        <v>1</v>
      </c>
      <c r="L1687" s="3">
        <v>8999</v>
      </c>
      <c r="M1687">
        <v>20</v>
      </c>
      <c r="N1687" s="3">
        <v>7200</v>
      </c>
      <c r="O1687" s="3">
        <v>7200</v>
      </c>
      <c r="P1687" t="s">
        <v>34</v>
      </c>
      <c r="Q1687" t="s">
        <v>35</v>
      </c>
      <c r="R1687" t="s">
        <v>36</v>
      </c>
      <c r="S1687" t="s">
        <v>99</v>
      </c>
      <c r="T1687" t="s">
        <v>100</v>
      </c>
      <c r="U1687" t="s">
        <v>39</v>
      </c>
      <c r="V1687" t="s">
        <v>315</v>
      </c>
      <c r="W1687">
        <v>4.5999999999999996</v>
      </c>
      <c r="X1687" t="s">
        <v>41</v>
      </c>
      <c r="Y1687" t="s">
        <v>42</v>
      </c>
      <c r="Z1687">
        <v>2</v>
      </c>
    </row>
    <row r="1688" spans="1:26">
      <c r="A1688" t="s">
        <v>2786</v>
      </c>
      <c r="B1688" t="s">
        <v>843</v>
      </c>
      <c r="C1688" t="s">
        <v>45</v>
      </c>
      <c r="D1688" t="s">
        <v>95</v>
      </c>
      <c r="E1688" s="1">
        <v>44880</v>
      </c>
      <c r="F1688" t="s">
        <v>79</v>
      </c>
      <c r="G1688" t="s">
        <v>80</v>
      </c>
      <c r="H1688" t="s">
        <v>59</v>
      </c>
      <c r="I1688">
        <v>11</v>
      </c>
      <c r="J1688" t="s">
        <v>98</v>
      </c>
      <c r="K1688">
        <v>1</v>
      </c>
      <c r="L1688" s="3">
        <v>7799</v>
      </c>
      <c r="M1688">
        <v>10</v>
      </c>
      <c r="N1688" s="3">
        <v>7020</v>
      </c>
      <c r="O1688" s="3">
        <v>7020</v>
      </c>
      <c r="P1688" t="s">
        <v>34</v>
      </c>
      <c r="Q1688" t="s">
        <v>82</v>
      </c>
      <c r="R1688" t="s">
        <v>36</v>
      </c>
      <c r="S1688" t="s">
        <v>112</v>
      </c>
      <c r="T1688" t="s">
        <v>113</v>
      </c>
      <c r="U1688" t="s">
        <v>124</v>
      </c>
      <c r="V1688" t="s">
        <v>969</v>
      </c>
      <c r="W1688">
        <v>4.7</v>
      </c>
      <c r="X1688" t="s">
        <v>41</v>
      </c>
      <c r="Y1688" t="s">
        <v>42</v>
      </c>
      <c r="Z1688">
        <v>1</v>
      </c>
    </row>
    <row r="1689" spans="1:26">
      <c r="A1689" t="s">
        <v>2787</v>
      </c>
      <c r="B1689" t="s">
        <v>870</v>
      </c>
      <c r="C1689" t="s">
        <v>45</v>
      </c>
      <c r="D1689" t="s">
        <v>46</v>
      </c>
      <c r="E1689" s="1">
        <v>44881</v>
      </c>
      <c r="F1689" t="s">
        <v>47</v>
      </c>
      <c r="G1689" t="s">
        <v>121</v>
      </c>
      <c r="H1689" t="s">
        <v>111</v>
      </c>
      <c r="I1689">
        <v>7</v>
      </c>
      <c r="J1689" t="s">
        <v>88</v>
      </c>
      <c r="K1689">
        <v>2</v>
      </c>
      <c r="L1689" s="3">
        <v>6699</v>
      </c>
      <c r="M1689">
        <v>5</v>
      </c>
      <c r="N1689" s="3">
        <v>6360</v>
      </c>
      <c r="O1689" s="3">
        <v>12720</v>
      </c>
      <c r="P1689" t="s">
        <v>74</v>
      </c>
      <c r="Q1689" t="s">
        <v>51</v>
      </c>
      <c r="R1689" t="s">
        <v>36</v>
      </c>
      <c r="S1689" t="s">
        <v>117</v>
      </c>
      <c r="T1689" t="s">
        <v>253</v>
      </c>
      <c r="U1689" t="s">
        <v>54</v>
      </c>
      <c r="V1689" t="s">
        <v>969</v>
      </c>
      <c r="W1689">
        <v>3.4</v>
      </c>
      <c r="X1689" t="s">
        <v>41</v>
      </c>
      <c r="Y1689" t="s">
        <v>42</v>
      </c>
      <c r="Z1689">
        <v>4</v>
      </c>
    </row>
    <row r="1690" spans="1:26">
      <c r="A1690" t="s">
        <v>2788</v>
      </c>
      <c r="B1690" t="s">
        <v>2269</v>
      </c>
      <c r="C1690" t="s">
        <v>28</v>
      </c>
      <c r="D1690" t="s">
        <v>46</v>
      </c>
      <c r="E1690" s="1">
        <v>44881</v>
      </c>
      <c r="F1690" t="s">
        <v>96</v>
      </c>
      <c r="G1690" t="s">
        <v>228</v>
      </c>
      <c r="H1690" t="s">
        <v>59</v>
      </c>
      <c r="I1690">
        <v>11</v>
      </c>
      <c r="J1690" t="s">
        <v>98</v>
      </c>
      <c r="K1690">
        <v>1</v>
      </c>
      <c r="L1690" s="3">
        <v>6799</v>
      </c>
      <c r="M1690">
        <v>25</v>
      </c>
      <c r="N1690" s="3">
        <v>5100</v>
      </c>
      <c r="O1690" s="3">
        <v>5100</v>
      </c>
      <c r="P1690" t="s">
        <v>74</v>
      </c>
      <c r="Q1690" t="s">
        <v>82</v>
      </c>
      <c r="R1690" t="s">
        <v>36</v>
      </c>
      <c r="S1690" t="s">
        <v>297</v>
      </c>
      <c r="T1690" t="s">
        <v>351</v>
      </c>
      <c r="U1690" t="s">
        <v>91</v>
      </c>
      <c r="V1690" t="s">
        <v>315</v>
      </c>
      <c r="W1690">
        <v>4.9000000000000004</v>
      </c>
      <c r="X1690" t="s">
        <v>41</v>
      </c>
      <c r="Y1690" t="s">
        <v>42</v>
      </c>
      <c r="Z1690">
        <v>5</v>
      </c>
    </row>
    <row r="1691" spans="1:26">
      <c r="A1691" t="s">
        <v>2789</v>
      </c>
      <c r="B1691" t="s">
        <v>2790</v>
      </c>
      <c r="C1691" t="s">
        <v>94</v>
      </c>
      <c r="D1691" t="s">
        <v>103</v>
      </c>
      <c r="E1691" s="1">
        <v>44881</v>
      </c>
      <c r="F1691" t="s">
        <v>96</v>
      </c>
      <c r="G1691" t="s">
        <v>171</v>
      </c>
      <c r="H1691" t="s">
        <v>128</v>
      </c>
      <c r="I1691">
        <v>11</v>
      </c>
      <c r="J1691" t="s">
        <v>73</v>
      </c>
      <c r="K1691">
        <v>2</v>
      </c>
      <c r="L1691" s="3">
        <v>8599</v>
      </c>
      <c r="M1691">
        <v>5</v>
      </c>
      <c r="N1691" s="3">
        <v>8170</v>
      </c>
      <c r="O1691" s="3">
        <v>16340</v>
      </c>
      <c r="P1691" t="s">
        <v>74</v>
      </c>
      <c r="Q1691" t="s">
        <v>35</v>
      </c>
      <c r="R1691" t="s">
        <v>36</v>
      </c>
      <c r="S1691" t="s">
        <v>104</v>
      </c>
      <c r="T1691" t="s">
        <v>179</v>
      </c>
      <c r="U1691" t="s">
        <v>61</v>
      </c>
      <c r="V1691" t="s">
        <v>40</v>
      </c>
      <c r="W1691">
        <v>4.5</v>
      </c>
      <c r="X1691" t="s">
        <v>41</v>
      </c>
      <c r="Y1691" t="s">
        <v>55</v>
      </c>
      <c r="Z1691">
        <v>2</v>
      </c>
    </row>
    <row r="1692" spans="1:26">
      <c r="A1692" t="s">
        <v>2791</v>
      </c>
      <c r="B1692" t="s">
        <v>1844</v>
      </c>
      <c r="C1692" t="s">
        <v>28</v>
      </c>
      <c r="D1692" t="s">
        <v>29</v>
      </c>
      <c r="E1692" s="1">
        <v>44881</v>
      </c>
      <c r="F1692" t="s">
        <v>65</v>
      </c>
      <c r="G1692" t="s">
        <v>72</v>
      </c>
      <c r="H1692" t="s">
        <v>59</v>
      </c>
      <c r="I1692">
        <v>11</v>
      </c>
      <c r="J1692" t="s">
        <v>150</v>
      </c>
      <c r="K1692">
        <v>1</v>
      </c>
      <c r="L1692" s="3">
        <v>5699</v>
      </c>
      <c r="M1692">
        <v>30</v>
      </c>
      <c r="N1692" s="3">
        <v>3990</v>
      </c>
      <c r="O1692" s="3">
        <v>3990</v>
      </c>
      <c r="P1692" t="s">
        <v>34</v>
      </c>
      <c r="Q1692" t="s">
        <v>51</v>
      </c>
      <c r="R1692" t="s">
        <v>36</v>
      </c>
      <c r="S1692" t="s">
        <v>182</v>
      </c>
      <c r="T1692" t="s">
        <v>604</v>
      </c>
      <c r="U1692" t="s">
        <v>39</v>
      </c>
      <c r="V1692" t="s">
        <v>315</v>
      </c>
      <c r="W1692">
        <v>3.5</v>
      </c>
      <c r="X1692" t="s">
        <v>41</v>
      </c>
      <c r="Y1692" t="s">
        <v>42</v>
      </c>
      <c r="Z1692">
        <v>4</v>
      </c>
    </row>
    <row r="1693" spans="1:26">
      <c r="A1693" t="s">
        <v>2792</v>
      </c>
      <c r="B1693" t="s">
        <v>2793</v>
      </c>
      <c r="C1693" t="s">
        <v>28</v>
      </c>
      <c r="D1693" t="s">
        <v>46</v>
      </c>
      <c r="E1693" s="1">
        <v>44882</v>
      </c>
      <c r="F1693" t="s">
        <v>96</v>
      </c>
      <c r="G1693" t="s">
        <v>228</v>
      </c>
      <c r="H1693" t="s">
        <v>59</v>
      </c>
      <c r="I1693">
        <v>9</v>
      </c>
      <c r="J1693" t="s">
        <v>67</v>
      </c>
      <c r="K1693">
        <v>1</v>
      </c>
      <c r="L1693" s="3">
        <v>6199</v>
      </c>
      <c r="M1693">
        <v>5</v>
      </c>
      <c r="N1693" s="3">
        <v>5890</v>
      </c>
      <c r="O1693" s="3">
        <v>5890</v>
      </c>
      <c r="P1693" t="s">
        <v>34</v>
      </c>
      <c r="Q1693" t="s">
        <v>35</v>
      </c>
      <c r="R1693" t="s">
        <v>36</v>
      </c>
      <c r="S1693" t="s">
        <v>182</v>
      </c>
      <c r="T1693" t="s">
        <v>503</v>
      </c>
      <c r="U1693" t="s">
        <v>61</v>
      </c>
      <c r="V1693" t="s">
        <v>40</v>
      </c>
      <c r="W1693">
        <v>4.5999999999999996</v>
      </c>
      <c r="X1693" t="s">
        <v>41</v>
      </c>
      <c r="Y1693" t="s">
        <v>42</v>
      </c>
      <c r="Z1693">
        <v>5</v>
      </c>
    </row>
    <row r="1694" spans="1:26">
      <c r="A1694" t="s">
        <v>2794</v>
      </c>
      <c r="B1694" t="s">
        <v>2795</v>
      </c>
      <c r="C1694" t="s">
        <v>28</v>
      </c>
      <c r="D1694" t="s">
        <v>109</v>
      </c>
      <c r="E1694" s="1">
        <v>44882</v>
      </c>
      <c r="F1694" t="s">
        <v>65</v>
      </c>
      <c r="G1694" t="s">
        <v>268</v>
      </c>
      <c r="H1694" t="s">
        <v>128</v>
      </c>
      <c r="I1694">
        <v>12</v>
      </c>
      <c r="J1694" t="s">
        <v>73</v>
      </c>
      <c r="K1694">
        <v>1</v>
      </c>
      <c r="L1694" s="3">
        <v>6099</v>
      </c>
      <c r="M1694">
        <v>0</v>
      </c>
      <c r="N1694" s="3">
        <v>6100</v>
      </c>
      <c r="O1694" s="3">
        <v>6100</v>
      </c>
      <c r="P1694" t="s">
        <v>74</v>
      </c>
      <c r="Q1694" t="s">
        <v>82</v>
      </c>
      <c r="R1694" t="s">
        <v>36</v>
      </c>
      <c r="S1694" t="s">
        <v>75</v>
      </c>
      <c r="T1694" t="s">
        <v>76</v>
      </c>
      <c r="U1694" t="s">
        <v>124</v>
      </c>
      <c r="V1694" t="s">
        <v>40</v>
      </c>
      <c r="W1694">
        <v>5</v>
      </c>
      <c r="X1694" t="s">
        <v>106</v>
      </c>
      <c r="Y1694" t="s">
        <v>55</v>
      </c>
      <c r="Z1694">
        <v>2</v>
      </c>
    </row>
    <row r="1695" spans="1:26">
      <c r="A1695" t="s">
        <v>2796</v>
      </c>
      <c r="B1695" t="s">
        <v>1222</v>
      </c>
      <c r="C1695" t="s">
        <v>45</v>
      </c>
      <c r="D1695" t="s">
        <v>103</v>
      </c>
      <c r="E1695" s="1">
        <v>44882</v>
      </c>
      <c r="F1695" t="s">
        <v>30</v>
      </c>
      <c r="G1695" t="s">
        <v>31</v>
      </c>
      <c r="H1695" t="s">
        <v>32</v>
      </c>
      <c r="I1695">
        <v>6</v>
      </c>
      <c r="J1695" t="s">
        <v>73</v>
      </c>
      <c r="K1695">
        <v>1</v>
      </c>
      <c r="L1695" s="3">
        <v>7299</v>
      </c>
      <c r="M1695">
        <v>35</v>
      </c>
      <c r="N1695" s="3">
        <v>4740</v>
      </c>
      <c r="O1695" s="3">
        <v>4740</v>
      </c>
      <c r="P1695" t="s">
        <v>74</v>
      </c>
      <c r="Q1695" t="s">
        <v>82</v>
      </c>
      <c r="R1695" t="s">
        <v>36</v>
      </c>
      <c r="S1695" t="s">
        <v>89</v>
      </c>
      <c r="T1695" t="s">
        <v>1982</v>
      </c>
      <c r="U1695" t="s">
        <v>61</v>
      </c>
      <c r="V1695" t="s">
        <v>315</v>
      </c>
      <c r="W1695">
        <v>4.5</v>
      </c>
      <c r="X1695" t="s">
        <v>106</v>
      </c>
      <c r="Y1695" t="s">
        <v>147</v>
      </c>
      <c r="Z1695">
        <v>1</v>
      </c>
    </row>
    <row r="1696" spans="1:26">
      <c r="A1696" t="s">
        <v>2797</v>
      </c>
      <c r="B1696" t="s">
        <v>2798</v>
      </c>
      <c r="C1696" t="s">
        <v>28</v>
      </c>
      <c r="D1696" t="s">
        <v>46</v>
      </c>
      <c r="E1696" s="1">
        <v>44883</v>
      </c>
      <c r="F1696" t="s">
        <v>79</v>
      </c>
      <c r="G1696" t="s">
        <v>127</v>
      </c>
      <c r="H1696" t="s">
        <v>128</v>
      </c>
      <c r="I1696">
        <v>9</v>
      </c>
      <c r="J1696" t="s">
        <v>33</v>
      </c>
      <c r="K1696">
        <v>1</v>
      </c>
      <c r="L1696" s="3">
        <v>6099</v>
      </c>
      <c r="M1696">
        <v>5</v>
      </c>
      <c r="N1696" s="3">
        <v>5790</v>
      </c>
      <c r="O1696" s="3">
        <v>5790</v>
      </c>
      <c r="P1696" t="s">
        <v>50</v>
      </c>
      <c r="Q1696" t="s">
        <v>35</v>
      </c>
      <c r="R1696" t="s">
        <v>36</v>
      </c>
      <c r="S1696" t="s">
        <v>37</v>
      </c>
      <c r="T1696" t="s">
        <v>38</v>
      </c>
      <c r="U1696" t="s">
        <v>91</v>
      </c>
      <c r="V1696" t="s">
        <v>40</v>
      </c>
      <c r="W1696">
        <v>3.7</v>
      </c>
      <c r="X1696" t="s">
        <v>41</v>
      </c>
      <c r="Y1696" t="s">
        <v>42</v>
      </c>
      <c r="Z1696">
        <v>3</v>
      </c>
    </row>
    <row r="1697" spans="1:26">
      <c r="A1697" t="s">
        <v>2799</v>
      </c>
      <c r="B1697" t="s">
        <v>1814</v>
      </c>
      <c r="C1697" t="s">
        <v>28</v>
      </c>
      <c r="D1697" t="s">
        <v>46</v>
      </c>
      <c r="E1697" s="1">
        <v>44884</v>
      </c>
      <c r="F1697" t="s">
        <v>96</v>
      </c>
      <c r="G1697" t="s">
        <v>323</v>
      </c>
      <c r="H1697" t="s">
        <v>59</v>
      </c>
      <c r="I1697">
        <v>10</v>
      </c>
      <c r="J1697" t="s">
        <v>98</v>
      </c>
      <c r="K1697">
        <v>1</v>
      </c>
      <c r="L1697" s="3">
        <v>6899</v>
      </c>
      <c r="M1697">
        <v>20</v>
      </c>
      <c r="N1697" s="3">
        <v>5520</v>
      </c>
      <c r="O1697" s="3">
        <v>5520</v>
      </c>
      <c r="P1697" t="s">
        <v>81</v>
      </c>
      <c r="Q1697" t="s">
        <v>35</v>
      </c>
      <c r="R1697" t="s">
        <v>36</v>
      </c>
      <c r="S1697" t="s">
        <v>186</v>
      </c>
      <c r="T1697" t="s">
        <v>397</v>
      </c>
      <c r="U1697" t="s">
        <v>91</v>
      </c>
      <c r="V1697" t="s">
        <v>315</v>
      </c>
      <c r="W1697">
        <v>4.9000000000000004</v>
      </c>
      <c r="X1697" t="s">
        <v>62</v>
      </c>
      <c r="Y1697" t="s">
        <v>55</v>
      </c>
      <c r="Z1697">
        <v>4</v>
      </c>
    </row>
    <row r="1698" spans="1:26">
      <c r="A1698" t="s">
        <v>2800</v>
      </c>
      <c r="B1698" t="s">
        <v>237</v>
      </c>
      <c r="C1698" t="s">
        <v>94</v>
      </c>
      <c r="D1698" t="s">
        <v>29</v>
      </c>
      <c r="E1698" s="1">
        <v>44885</v>
      </c>
      <c r="F1698" t="s">
        <v>86</v>
      </c>
      <c r="G1698" t="s">
        <v>285</v>
      </c>
      <c r="H1698" t="s">
        <v>111</v>
      </c>
      <c r="I1698">
        <v>11</v>
      </c>
      <c r="J1698" t="s">
        <v>98</v>
      </c>
      <c r="K1698">
        <v>3</v>
      </c>
      <c r="L1698" s="3">
        <v>4999</v>
      </c>
      <c r="M1698">
        <v>10</v>
      </c>
      <c r="N1698" s="3">
        <v>4500</v>
      </c>
      <c r="O1698" s="3">
        <v>13500</v>
      </c>
      <c r="P1698" t="s">
        <v>74</v>
      </c>
      <c r="Q1698" t="s">
        <v>51</v>
      </c>
      <c r="R1698" t="s">
        <v>36</v>
      </c>
      <c r="S1698" t="s">
        <v>37</v>
      </c>
      <c r="T1698" t="s">
        <v>1122</v>
      </c>
      <c r="U1698" t="s">
        <v>54</v>
      </c>
      <c r="V1698" t="s">
        <v>315</v>
      </c>
      <c r="W1698">
        <v>5</v>
      </c>
      <c r="X1698" t="s">
        <v>41</v>
      </c>
      <c r="Y1698" t="s">
        <v>55</v>
      </c>
      <c r="Z1698">
        <v>3</v>
      </c>
    </row>
    <row r="1699" spans="1:26">
      <c r="A1699" t="s">
        <v>2801</v>
      </c>
      <c r="B1699" t="s">
        <v>2802</v>
      </c>
      <c r="C1699" t="s">
        <v>28</v>
      </c>
      <c r="D1699" t="s">
        <v>109</v>
      </c>
      <c r="E1699" s="1">
        <v>44886</v>
      </c>
      <c r="F1699" t="s">
        <v>65</v>
      </c>
      <c r="G1699" t="s">
        <v>268</v>
      </c>
      <c r="H1699" t="s">
        <v>128</v>
      </c>
      <c r="I1699">
        <v>11</v>
      </c>
      <c r="J1699" t="s">
        <v>33</v>
      </c>
      <c r="K1699">
        <v>2</v>
      </c>
      <c r="L1699" s="3">
        <v>7899</v>
      </c>
      <c r="M1699">
        <v>25</v>
      </c>
      <c r="N1699" s="3">
        <v>5920</v>
      </c>
      <c r="O1699" s="3">
        <v>11840</v>
      </c>
      <c r="P1699" t="s">
        <v>74</v>
      </c>
      <c r="Q1699" t="s">
        <v>51</v>
      </c>
      <c r="R1699" t="s">
        <v>36</v>
      </c>
      <c r="S1699" t="s">
        <v>175</v>
      </c>
      <c r="T1699" t="s">
        <v>176</v>
      </c>
      <c r="U1699" t="s">
        <v>54</v>
      </c>
      <c r="V1699" t="s">
        <v>40</v>
      </c>
      <c r="W1699">
        <v>4.3</v>
      </c>
      <c r="X1699" t="s">
        <v>41</v>
      </c>
      <c r="Y1699" t="s">
        <v>147</v>
      </c>
      <c r="Z1699">
        <v>1</v>
      </c>
    </row>
    <row r="1700" spans="1:26">
      <c r="A1700" t="s">
        <v>2803</v>
      </c>
      <c r="B1700" t="s">
        <v>2804</v>
      </c>
      <c r="C1700" t="s">
        <v>94</v>
      </c>
      <c r="D1700" t="s">
        <v>46</v>
      </c>
      <c r="E1700" s="1">
        <v>44887</v>
      </c>
      <c r="F1700" t="s">
        <v>30</v>
      </c>
      <c r="G1700" t="s">
        <v>145</v>
      </c>
      <c r="H1700" t="s">
        <v>59</v>
      </c>
      <c r="I1700">
        <v>8</v>
      </c>
      <c r="J1700" t="s">
        <v>73</v>
      </c>
      <c r="K1700">
        <v>1</v>
      </c>
      <c r="L1700" s="3">
        <v>8699</v>
      </c>
      <c r="M1700">
        <v>35</v>
      </c>
      <c r="N1700" s="3">
        <v>5650</v>
      </c>
      <c r="O1700" s="3">
        <v>5650</v>
      </c>
      <c r="P1700" t="s">
        <v>74</v>
      </c>
      <c r="Q1700" t="s">
        <v>82</v>
      </c>
      <c r="R1700" t="s">
        <v>36</v>
      </c>
      <c r="S1700" t="s">
        <v>384</v>
      </c>
      <c r="T1700" t="s">
        <v>481</v>
      </c>
      <c r="U1700" t="s">
        <v>39</v>
      </c>
      <c r="V1700" t="s">
        <v>40</v>
      </c>
      <c r="W1700">
        <v>4</v>
      </c>
      <c r="X1700" t="s">
        <v>41</v>
      </c>
      <c r="Y1700" t="s">
        <v>42</v>
      </c>
      <c r="Z1700">
        <v>3</v>
      </c>
    </row>
    <row r="1701" spans="1:26">
      <c r="A1701" t="s">
        <v>2805</v>
      </c>
      <c r="B1701" t="s">
        <v>2265</v>
      </c>
      <c r="C1701" t="s">
        <v>28</v>
      </c>
      <c r="D1701" t="s">
        <v>29</v>
      </c>
      <c r="E1701" s="1">
        <v>44887</v>
      </c>
      <c r="F1701" t="s">
        <v>96</v>
      </c>
      <c r="G1701" t="s">
        <v>171</v>
      </c>
      <c r="H1701" t="s">
        <v>128</v>
      </c>
      <c r="I1701">
        <v>8</v>
      </c>
      <c r="J1701" t="s">
        <v>67</v>
      </c>
      <c r="K1701">
        <v>1</v>
      </c>
      <c r="L1701" s="3">
        <v>6899</v>
      </c>
      <c r="M1701">
        <v>0</v>
      </c>
      <c r="N1701" s="3">
        <v>6900</v>
      </c>
      <c r="O1701" s="3">
        <v>6900</v>
      </c>
      <c r="P1701" t="s">
        <v>74</v>
      </c>
      <c r="Q1701" t="s">
        <v>51</v>
      </c>
      <c r="R1701" t="s">
        <v>36</v>
      </c>
      <c r="S1701" t="s">
        <v>354</v>
      </c>
      <c r="T1701" t="s">
        <v>355</v>
      </c>
      <c r="U1701" t="s">
        <v>39</v>
      </c>
      <c r="V1701" t="s">
        <v>969</v>
      </c>
      <c r="W1701">
        <v>5</v>
      </c>
      <c r="X1701" t="s">
        <v>41</v>
      </c>
      <c r="Y1701" t="s">
        <v>42</v>
      </c>
      <c r="Z1701">
        <v>2</v>
      </c>
    </row>
    <row r="1702" spans="1:26">
      <c r="A1702" t="s">
        <v>2806</v>
      </c>
      <c r="B1702" t="s">
        <v>1497</v>
      </c>
      <c r="C1702" t="s">
        <v>45</v>
      </c>
      <c r="D1702" t="s">
        <v>109</v>
      </c>
      <c r="E1702" s="1">
        <v>44888</v>
      </c>
      <c r="F1702" t="s">
        <v>47</v>
      </c>
      <c r="G1702" t="s">
        <v>402</v>
      </c>
      <c r="H1702" t="s">
        <v>32</v>
      </c>
      <c r="I1702">
        <v>8</v>
      </c>
      <c r="J1702" t="s">
        <v>98</v>
      </c>
      <c r="K1702">
        <v>1</v>
      </c>
      <c r="L1702" s="3">
        <v>5799</v>
      </c>
      <c r="M1702">
        <v>35</v>
      </c>
      <c r="N1702" s="3">
        <v>3770</v>
      </c>
      <c r="O1702" s="3">
        <v>3770</v>
      </c>
      <c r="P1702" t="s">
        <v>74</v>
      </c>
      <c r="Q1702" t="s">
        <v>35</v>
      </c>
      <c r="R1702" t="s">
        <v>36</v>
      </c>
      <c r="S1702" t="s">
        <v>384</v>
      </c>
      <c r="T1702" t="s">
        <v>1217</v>
      </c>
      <c r="U1702" t="s">
        <v>61</v>
      </c>
      <c r="V1702" t="s">
        <v>315</v>
      </c>
      <c r="W1702">
        <v>3.9</v>
      </c>
      <c r="X1702" t="s">
        <v>41</v>
      </c>
      <c r="Y1702" t="s">
        <v>42</v>
      </c>
      <c r="Z1702">
        <v>2</v>
      </c>
    </row>
    <row r="1703" spans="1:26">
      <c r="A1703" t="s">
        <v>2807</v>
      </c>
      <c r="B1703" t="s">
        <v>596</v>
      </c>
      <c r="C1703" t="s">
        <v>45</v>
      </c>
      <c r="D1703" t="s">
        <v>46</v>
      </c>
      <c r="E1703" s="1">
        <v>44888</v>
      </c>
      <c r="F1703" t="s">
        <v>47</v>
      </c>
      <c r="G1703" t="s">
        <v>121</v>
      </c>
      <c r="H1703" t="s">
        <v>111</v>
      </c>
      <c r="I1703">
        <v>12</v>
      </c>
      <c r="J1703" t="s">
        <v>67</v>
      </c>
      <c r="K1703">
        <v>1</v>
      </c>
      <c r="L1703" s="3">
        <v>4099</v>
      </c>
      <c r="M1703">
        <v>5</v>
      </c>
      <c r="N1703" s="3">
        <v>3890</v>
      </c>
      <c r="O1703" s="3">
        <v>3890</v>
      </c>
      <c r="P1703" t="s">
        <v>34</v>
      </c>
      <c r="Q1703" t="s">
        <v>51</v>
      </c>
      <c r="R1703" t="s">
        <v>36</v>
      </c>
      <c r="S1703" t="s">
        <v>52</v>
      </c>
      <c r="T1703" t="s">
        <v>60</v>
      </c>
      <c r="U1703" t="s">
        <v>39</v>
      </c>
      <c r="V1703" t="s">
        <v>969</v>
      </c>
      <c r="W1703">
        <v>3.8</v>
      </c>
      <c r="X1703" t="s">
        <v>41</v>
      </c>
      <c r="Y1703" t="s">
        <v>55</v>
      </c>
      <c r="Z1703">
        <v>2</v>
      </c>
    </row>
    <row r="1704" spans="1:26">
      <c r="A1704" t="s">
        <v>2808</v>
      </c>
      <c r="B1704" t="s">
        <v>1447</v>
      </c>
      <c r="C1704" t="s">
        <v>28</v>
      </c>
      <c r="D1704" t="s">
        <v>103</v>
      </c>
      <c r="E1704" s="1">
        <v>44889</v>
      </c>
      <c r="F1704" t="s">
        <v>47</v>
      </c>
      <c r="G1704" t="s">
        <v>121</v>
      </c>
      <c r="H1704" t="s">
        <v>111</v>
      </c>
      <c r="I1704">
        <v>6</v>
      </c>
      <c r="J1704" t="s">
        <v>67</v>
      </c>
      <c r="K1704">
        <v>3</v>
      </c>
      <c r="L1704" s="3">
        <v>7199</v>
      </c>
      <c r="M1704">
        <v>10</v>
      </c>
      <c r="N1704" s="3">
        <v>6480</v>
      </c>
      <c r="O1704" s="3">
        <v>19440</v>
      </c>
      <c r="P1704" t="s">
        <v>74</v>
      </c>
      <c r="Q1704" t="s">
        <v>82</v>
      </c>
      <c r="R1704" t="s">
        <v>36</v>
      </c>
      <c r="S1704" t="s">
        <v>160</v>
      </c>
      <c r="T1704" t="s">
        <v>160</v>
      </c>
      <c r="U1704" t="s">
        <v>91</v>
      </c>
      <c r="V1704" t="s">
        <v>969</v>
      </c>
      <c r="W1704">
        <v>4.3</v>
      </c>
      <c r="X1704" t="s">
        <v>41</v>
      </c>
      <c r="Y1704" t="s">
        <v>42</v>
      </c>
      <c r="Z1704">
        <v>5</v>
      </c>
    </row>
    <row r="1705" spans="1:26">
      <c r="A1705" t="s">
        <v>2809</v>
      </c>
      <c r="B1705" t="s">
        <v>1090</v>
      </c>
      <c r="C1705" t="s">
        <v>28</v>
      </c>
      <c r="D1705" t="s">
        <v>109</v>
      </c>
      <c r="E1705" s="1">
        <v>44889</v>
      </c>
      <c r="F1705" t="s">
        <v>96</v>
      </c>
      <c r="G1705" t="s">
        <v>228</v>
      </c>
      <c r="H1705" t="s">
        <v>59</v>
      </c>
      <c r="I1705">
        <v>10</v>
      </c>
      <c r="J1705" t="s">
        <v>88</v>
      </c>
      <c r="K1705">
        <v>2</v>
      </c>
      <c r="L1705" s="3">
        <v>8999</v>
      </c>
      <c r="M1705">
        <v>15</v>
      </c>
      <c r="N1705" s="3">
        <v>7650</v>
      </c>
      <c r="O1705" s="3">
        <v>15300</v>
      </c>
      <c r="P1705" t="s">
        <v>74</v>
      </c>
      <c r="Q1705" t="s">
        <v>35</v>
      </c>
      <c r="R1705" t="s">
        <v>36</v>
      </c>
      <c r="S1705" t="s">
        <v>354</v>
      </c>
      <c r="T1705" t="s">
        <v>518</v>
      </c>
      <c r="U1705" t="s">
        <v>39</v>
      </c>
      <c r="V1705" t="s">
        <v>315</v>
      </c>
      <c r="W1705">
        <v>4.0999999999999996</v>
      </c>
      <c r="X1705" t="s">
        <v>41</v>
      </c>
      <c r="Y1705" t="s">
        <v>42</v>
      </c>
      <c r="Z1705">
        <v>4</v>
      </c>
    </row>
    <row r="1706" spans="1:26">
      <c r="A1706" t="s">
        <v>2810</v>
      </c>
      <c r="B1706" t="s">
        <v>2609</v>
      </c>
      <c r="C1706" t="s">
        <v>28</v>
      </c>
      <c r="D1706" t="s">
        <v>46</v>
      </c>
      <c r="E1706" s="1">
        <v>44889</v>
      </c>
      <c r="F1706" t="s">
        <v>30</v>
      </c>
      <c r="G1706" t="s">
        <v>347</v>
      </c>
      <c r="H1706" t="s">
        <v>49</v>
      </c>
      <c r="I1706">
        <v>10</v>
      </c>
      <c r="J1706" t="s">
        <v>98</v>
      </c>
      <c r="K1706">
        <v>1</v>
      </c>
      <c r="L1706" s="3">
        <v>3599</v>
      </c>
      <c r="M1706">
        <v>15</v>
      </c>
      <c r="N1706" s="3">
        <v>3060</v>
      </c>
      <c r="O1706" s="3">
        <v>3060</v>
      </c>
      <c r="P1706" t="s">
        <v>74</v>
      </c>
      <c r="Q1706" t="s">
        <v>35</v>
      </c>
      <c r="R1706" t="s">
        <v>36</v>
      </c>
      <c r="S1706" t="s">
        <v>354</v>
      </c>
      <c r="T1706" t="s">
        <v>518</v>
      </c>
      <c r="U1706" t="s">
        <v>61</v>
      </c>
      <c r="V1706" t="s">
        <v>315</v>
      </c>
      <c r="W1706">
        <v>3.1</v>
      </c>
      <c r="X1706" t="s">
        <v>41</v>
      </c>
      <c r="Y1706" t="s">
        <v>55</v>
      </c>
      <c r="Z1706">
        <v>2</v>
      </c>
    </row>
    <row r="1707" spans="1:26">
      <c r="A1707" t="s">
        <v>2811</v>
      </c>
      <c r="B1707" t="s">
        <v>2812</v>
      </c>
      <c r="C1707" t="s">
        <v>45</v>
      </c>
      <c r="D1707" t="s">
        <v>46</v>
      </c>
      <c r="E1707" s="1">
        <v>44890</v>
      </c>
      <c r="F1707" t="s">
        <v>65</v>
      </c>
      <c r="G1707" t="s">
        <v>72</v>
      </c>
      <c r="H1707" t="s">
        <v>59</v>
      </c>
      <c r="I1707">
        <v>11</v>
      </c>
      <c r="J1707" t="s">
        <v>73</v>
      </c>
      <c r="K1707">
        <v>1</v>
      </c>
      <c r="L1707" s="3">
        <v>5099</v>
      </c>
      <c r="M1707">
        <v>15</v>
      </c>
      <c r="N1707" s="3">
        <v>4330</v>
      </c>
      <c r="O1707" s="3">
        <v>4330</v>
      </c>
      <c r="P1707" t="s">
        <v>34</v>
      </c>
      <c r="Q1707" t="s">
        <v>51</v>
      </c>
      <c r="R1707" t="s">
        <v>36</v>
      </c>
      <c r="S1707" t="s">
        <v>168</v>
      </c>
      <c r="T1707" t="s">
        <v>532</v>
      </c>
      <c r="U1707" t="s">
        <v>124</v>
      </c>
      <c r="V1707" t="s">
        <v>40</v>
      </c>
      <c r="W1707">
        <v>4.7</v>
      </c>
      <c r="X1707" t="s">
        <v>41</v>
      </c>
      <c r="Y1707" t="s">
        <v>42</v>
      </c>
      <c r="Z1707">
        <v>6</v>
      </c>
    </row>
    <row r="1708" spans="1:26">
      <c r="A1708" t="s">
        <v>2813</v>
      </c>
      <c r="B1708" t="s">
        <v>1300</v>
      </c>
      <c r="C1708" t="s">
        <v>45</v>
      </c>
      <c r="D1708" t="s">
        <v>103</v>
      </c>
      <c r="E1708" s="1">
        <v>44891</v>
      </c>
      <c r="F1708" t="s">
        <v>47</v>
      </c>
      <c r="G1708" t="s">
        <v>121</v>
      </c>
      <c r="H1708" t="s">
        <v>111</v>
      </c>
      <c r="I1708">
        <v>7</v>
      </c>
      <c r="J1708" t="s">
        <v>67</v>
      </c>
      <c r="K1708">
        <v>2</v>
      </c>
      <c r="L1708" s="3">
        <v>5999</v>
      </c>
      <c r="M1708">
        <v>10</v>
      </c>
      <c r="N1708" s="3">
        <v>5400</v>
      </c>
      <c r="O1708" s="3">
        <v>10800</v>
      </c>
      <c r="P1708" t="s">
        <v>74</v>
      </c>
      <c r="Q1708" t="s">
        <v>35</v>
      </c>
      <c r="R1708" t="s">
        <v>36</v>
      </c>
      <c r="S1708" t="s">
        <v>195</v>
      </c>
      <c r="T1708" t="s">
        <v>665</v>
      </c>
      <c r="U1708" t="s">
        <v>39</v>
      </c>
      <c r="V1708" t="s">
        <v>315</v>
      </c>
      <c r="W1708">
        <v>4.4000000000000004</v>
      </c>
      <c r="X1708" t="s">
        <v>41</v>
      </c>
      <c r="Y1708" t="s">
        <v>42</v>
      </c>
      <c r="Z1708">
        <v>2</v>
      </c>
    </row>
    <row r="1709" spans="1:26">
      <c r="A1709" t="s">
        <v>2814</v>
      </c>
      <c r="B1709" t="s">
        <v>477</v>
      </c>
      <c r="C1709" t="s">
        <v>28</v>
      </c>
      <c r="D1709" t="s">
        <v>29</v>
      </c>
      <c r="E1709" s="1">
        <v>44891</v>
      </c>
      <c r="F1709" t="s">
        <v>65</v>
      </c>
      <c r="G1709" t="s">
        <v>256</v>
      </c>
      <c r="H1709" t="s">
        <v>32</v>
      </c>
      <c r="I1709">
        <v>10</v>
      </c>
      <c r="J1709" t="s">
        <v>88</v>
      </c>
      <c r="K1709">
        <v>1</v>
      </c>
      <c r="L1709" s="3">
        <v>8199</v>
      </c>
      <c r="M1709">
        <v>10</v>
      </c>
      <c r="N1709" s="3">
        <v>7380</v>
      </c>
      <c r="O1709" s="3">
        <v>7380</v>
      </c>
      <c r="P1709" t="s">
        <v>74</v>
      </c>
      <c r="Q1709" t="s">
        <v>82</v>
      </c>
      <c r="R1709" t="s">
        <v>36</v>
      </c>
      <c r="S1709" t="s">
        <v>297</v>
      </c>
      <c r="T1709" t="s">
        <v>351</v>
      </c>
      <c r="U1709" t="s">
        <v>91</v>
      </c>
      <c r="V1709" t="s">
        <v>969</v>
      </c>
      <c r="W1709">
        <v>3.6</v>
      </c>
      <c r="X1709" t="s">
        <v>41</v>
      </c>
      <c r="Y1709" t="s">
        <v>42</v>
      </c>
      <c r="Z1709">
        <v>2</v>
      </c>
    </row>
    <row r="1710" spans="1:26">
      <c r="A1710" t="s">
        <v>2815</v>
      </c>
      <c r="B1710" t="s">
        <v>2342</v>
      </c>
      <c r="C1710" t="s">
        <v>28</v>
      </c>
      <c r="D1710" t="s">
        <v>46</v>
      </c>
      <c r="E1710" s="1">
        <v>44892</v>
      </c>
      <c r="F1710" t="s">
        <v>65</v>
      </c>
      <c r="G1710" t="s">
        <v>365</v>
      </c>
      <c r="H1710" t="s">
        <v>49</v>
      </c>
      <c r="I1710">
        <v>10</v>
      </c>
      <c r="J1710" t="s">
        <v>33</v>
      </c>
      <c r="K1710">
        <v>1</v>
      </c>
      <c r="L1710" s="3">
        <v>5299</v>
      </c>
      <c r="M1710">
        <v>5</v>
      </c>
      <c r="N1710" s="3">
        <v>5030</v>
      </c>
      <c r="O1710" s="3">
        <v>5030</v>
      </c>
      <c r="P1710" t="s">
        <v>74</v>
      </c>
      <c r="Q1710" t="s">
        <v>35</v>
      </c>
      <c r="R1710" t="s">
        <v>36</v>
      </c>
      <c r="S1710" t="s">
        <v>37</v>
      </c>
      <c r="T1710" t="s">
        <v>38</v>
      </c>
      <c r="U1710" t="s">
        <v>39</v>
      </c>
      <c r="V1710" t="s">
        <v>315</v>
      </c>
      <c r="W1710">
        <v>4.3</v>
      </c>
      <c r="X1710" t="s">
        <v>41</v>
      </c>
      <c r="Y1710" t="s">
        <v>42</v>
      </c>
      <c r="Z1710">
        <v>5</v>
      </c>
    </row>
    <row r="1711" spans="1:26">
      <c r="A1711" t="s">
        <v>2816</v>
      </c>
      <c r="B1711" t="s">
        <v>827</v>
      </c>
      <c r="C1711" t="s">
        <v>28</v>
      </c>
      <c r="D1711" t="s">
        <v>103</v>
      </c>
      <c r="E1711" s="1">
        <v>44892</v>
      </c>
      <c r="F1711" t="s">
        <v>47</v>
      </c>
      <c r="G1711" t="s">
        <v>140</v>
      </c>
      <c r="H1711" t="s">
        <v>128</v>
      </c>
      <c r="I1711">
        <v>9</v>
      </c>
      <c r="J1711" t="s">
        <v>67</v>
      </c>
      <c r="K1711">
        <v>2</v>
      </c>
      <c r="L1711" s="3">
        <v>8899</v>
      </c>
      <c r="M1711">
        <v>10</v>
      </c>
      <c r="N1711" s="3">
        <v>8010</v>
      </c>
      <c r="O1711" s="3">
        <v>16020</v>
      </c>
      <c r="P1711" t="s">
        <v>74</v>
      </c>
      <c r="Q1711" t="s">
        <v>82</v>
      </c>
      <c r="R1711" t="s">
        <v>36</v>
      </c>
      <c r="S1711" t="s">
        <v>160</v>
      </c>
      <c r="T1711" t="s">
        <v>344</v>
      </c>
      <c r="U1711" t="s">
        <v>39</v>
      </c>
      <c r="V1711" t="s">
        <v>315</v>
      </c>
      <c r="W1711">
        <v>3.6</v>
      </c>
      <c r="X1711" t="s">
        <v>106</v>
      </c>
      <c r="Y1711" t="s">
        <v>42</v>
      </c>
      <c r="Z1711">
        <v>3</v>
      </c>
    </row>
    <row r="1712" spans="1:26">
      <c r="A1712" t="s">
        <v>2817</v>
      </c>
      <c r="B1712" t="s">
        <v>2818</v>
      </c>
      <c r="C1712" t="s">
        <v>28</v>
      </c>
      <c r="D1712" t="s">
        <v>95</v>
      </c>
      <c r="E1712" s="1">
        <v>44893</v>
      </c>
      <c r="F1712" t="s">
        <v>96</v>
      </c>
      <c r="G1712" t="s">
        <v>228</v>
      </c>
      <c r="H1712" t="s">
        <v>59</v>
      </c>
      <c r="I1712">
        <v>8</v>
      </c>
      <c r="J1712" t="s">
        <v>98</v>
      </c>
      <c r="K1712">
        <v>1</v>
      </c>
      <c r="L1712" s="3">
        <v>4599</v>
      </c>
      <c r="M1712">
        <v>10</v>
      </c>
      <c r="N1712" s="3">
        <v>4140</v>
      </c>
      <c r="O1712" s="3">
        <v>4140</v>
      </c>
      <c r="P1712" t="s">
        <v>74</v>
      </c>
      <c r="Q1712" t="s">
        <v>35</v>
      </c>
      <c r="R1712" t="s">
        <v>36</v>
      </c>
      <c r="S1712" t="s">
        <v>338</v>
      </c>
      <c r="T1712" t="s">
        <v>338</v>
      </c>
      <c r="U1712" t="s">
        <v>91</v>
      </c>
      <c r="V1712" t="s">
        <v>40</v>
      </c>
      <c r="W1712">
        <v>4.0999999999999996</v>
      </c>
      <c r="X1712" t="s">
        <v>41</v>
      </c>
      <c r="Y1712" t="s">
        <v>42</v>
      </c>
      <c r="Z1712">
        <v>4</v>
      </c>
    </row>
    <row r="1713" spans="1:26">
      <c r="A1713" t="s">
        <v>2819</v>
      </c>
      <c r="B1713" t="s">
        <v>1132</v>
      </c>
      <c r="C1713" t="s">
        <v>28</v>
      </c>
      <c r="D1713" t="s">
        <v>46</v>
      </c>
      <c r="E1713" s="1">
        <v>44896</v>
      </c>
      <c r="F1713" t="s">
        <v>79</v>
      </c>
      <c r="G1713" t="s">
        <v>517</v>
      </c>
      <c r="H1713" t="s">
        <v>59</v>
      </c>
      <c r="I1713">
        <v>6</v>
      </c>
      <c r="J1713" t="s">
        <v>150</v>
      </c>
      <c r="K1713">
        <v>2</v>
      </c>
      <c r="L1713" s="3">
        <v>4299</v>
      </c>
      <c r="M1713">
        <v>5</v>
      </c>
      <c r="N1713" s="3">
        <v>4080</v>
      </c>
      <c r="O1713" s="3">
        <v>8160</v>
      </c>
      <c r="P1713" t="s">
        <v>34</v>
      </c>
      <c r="Q1713" t="s">
        <v>82</v>
      </c>
      <c r="R1713" t="s">
        <v>36</v>
      </c>
      <c r="S1713" t="s">
        <v>354</v>
      </c>
      <c r="T1713" t="s">
        <v>518</v>
      </c>
      <c r="U1713" t="s">
        <v>54</v>
      </c>
      <c r="V1713" t="s">
        <v>969</v>
      </c>
      <c r="W1713">
        <v>4.3</v>
      </c>
      <c r="X1713" t="s">
        <v>41</v>
      </c>
      <c r="Y1713" t="s">
        <v>55</v>
      </c>
      <c r="Z1713">
        <v>2</v>
      </c>
    </row>
    <row r="1714" spans="1:26">
      <c r="A1714" t="s">
        <v>2820</v>
      </c>
      <c r="B1714" t="s">
        <v>346</v>
      </c>
      <c r="C1714" t="s">
        <v>45</v>
      </c>
      <c r="D1714" t="s">
        <v>103</v>
      </c>
      <c r="E1714" s="1">
        <v>44896</v>
      </c>
      <c r="F1714" t="s">
        <v>47</v>
      </c>
      <c r="G1714" t="s">
        <v>199</v>
      </c>
      <c r="H1714" t="s">
        <v>59</v>
      </c>
      <c r="I1714">
        <v>10</v>
      </c>
      <c r="J1714" t="s">
        <v>98</v>
      </c>
      <c r="K1714">
        <v>2</v>
      </c>
      <c r="L1714" s="3">
        <v>8499</v>
      </c>
      <c r="M1714">
        <v>5</v>
      </c>
      <c r="N1714" s="3">
        <v>8070</v>
      </c>
      <c r="O1714" s="3">
        <v>16140</v>
      </c>
      <c r="P1714" t="s">
        <v>74</v>
      </c>
      <c r="Q1714" t="s">
        <v>35</v>
      </c>
      <c r="R1714" t="s">
        <v>36</v>
      </c>
      <c r="S1714" t="s">
        <v>191</v>
      </c>
      <c r="T1714" t="s">
        <v>332</v>
      </c>
      <c r="U1714" t="s">
        <v>124</v>
      </c>
      <c r="V1714" t="s">
        <v>315</v>
      </c>
      <c r="W1714">
        <v>4.9000000000000004</v>
      </c>
      <c r="X1714" t="s">
        <v>41</v>
      </c>
      <c r="Y1714" t="s">
        <v>55</v>
      </c>
      <c r="Z1714">
        <v>3</v>
      </c>
    </row>
    <row r="1715" spans="1:26">
      <c r="A1715" t="s">
        <v>2821</v>
      </c>
      <c r="B1715" t="s">
        <v>2798</v>
      </c>
      <c r="C1715" t="s">
        <v>94</v>
      </c>
      <c r="D1715" t="s">
        <v>46</v>
      </c>
      <c r="E1715" s="1">
        <v>44896</v>
      </c>
      <c r="F1715" t="s">
        <v>30</v>
      </c>
      <c r="G1715" t="s">
        <v>145</v>
      </c>
      <c r="H1715" t="s">
        <v>59</v>
      </c>
      <c r="I1715">
        <v>7</v>
      </c>
      <c r="J1715" t="s">
        <v>98</v>
      </c>
      <c r="K1715">
        <v>1</v>
      </c>
      <c r="L1715" s="3">
        <v>6099</v>
      </c>
      <c r="M1715">
        <v>20</v>
      </c>
      <c r="N1715" s="3">
        <v>4880</v>
      </c>
      <c r="O1715" s="3">
        <v>4880</v>
      </c>
      <c r="P1715" t="s">
        <v>74</v>
      </c>
      <c r="Q1715" t="s">
        <v>51</v>
      </c>
      <c r="R1715" t="s">
        <v>36</v>
      </c>
      <c r="S1715" t="s">
        <v>238</v>
      </c>
      <c r="T1715" t="s">
        <v>377</v>
      </c>
      <c r="U1715" t="s">
        <v>124</v>
      </c>
      <c r="V1715" t="s">
        <v>315</v>
      </c>
      <c r="W1715">
        <v>4.2</v>
      </c>
      <c r="X1715" t="s">
        <v>41</v>
      </c>
      <c r="Y1715" t="s">
        <v>42</v>
      </c>
      <c r="Z1715">
        <v>5</v>
      </c>
    </row>
    <row r="1716" spans="1:26">
      <c r="A1716" t="s">
        <v>2822</v>
      </c>
      <c r="B1716" t="s">
        <v>2823</v>
      </c>
      <c r="C1716" t="s">
        <v>94</v>
      </c>
      <c r="D1716" t="s">
        <v>46</v>
      </c>
      <c r="E1716" s="1">
        <v>44897</v>
      </c>
      <c r="F1716" t="s">
        <v>96</v>
      </c>
      <c r="G1716" t="s">
        <v>228</v>
      </c>
      <c r="H1716" t="s">
        <v>59</v>
      </c>
      <c r="I1716">
        <v>8</v>
      </c>
      <c r="J1716" t="s">
        <v>33</v>
      </c>
      <c r="K1716">
        <v>1</v>
      </c>
      <c r="L1716" s="3">
        <v>7999</v>
      </c>
      <c r="M1716">
        <v>15</v>
      </c>
      <c r="N1716" s="3">
        <v>6800</v>
      </c>
      <c r="O1716" s="3">
        <v>6800</v>
      </c>
      <c r="P1716" t="s">
        <v>34</v>
      </c>
      <c r="Q1716" t="s">
        <v>51</v>
      </c>
      <c r="R1716" t="s">
        <v>36</v>
      </c>
      <c r="S1716" t="s">
        <v>175</v>
      </c>
      <c r="T1716" t="s">
        <v>437</v>
      </c>
      <c r="U1716" t="s">
        <v>54</v>
      </c>
      <c r="V1716" t="s">
        <v>40</v>
      </c>
      <c r="W1716">
        <v>3.8</v>
      </c>
      <c r="X1716" t="s">
        <v>41</v>
      </c>
      <c r="Y1716" t="s">
        <v>55</v>
      </c>
      <c r="Z1716">
        <v>3</v>
      </c>
    </row>
    <row r="1717" spans="1:26">
      <c r="A1717" t="s">
        <v>2824</v>
      </c>
      <c r="B1717" t="s">
        <v>1558</v>
      </c>
      <c r="C1717" t="s">
        <v>28</v>
      </c>
      <c r="D1717" t="s">
        <v>29</v>
      </c>
      <c r="E1717" s="1">
        <v>44897</v>
      </c>
      <c r="F1717" t="s">
        <v>47</v>
      </c>
      <c r="G1717" t="s">
        <v>140</v>
      </c>
      <c r="H1717" t="s">
        <v>128</v>
      </c>
      <c r="I1717">
        <v>7</v>
      </c>
      <c r="J1717" t="s">
        <v>67</v>
      </c>
      <c r="K1717">
        <v>1</v>
      </c>
      <c r="L1717" s="3">
        <v>3699</v>
      </c>
      <c r="M1717">
        <v>20</v>
      </c>
      <c r="N1717" s="3">
        <v>2960</v>
      </c>
      <c r="O1717" s="3">
        <v>2960</v>
      </c>
      <c r="P1717" t="s">
        <v>81</v>
      </c>
      <c r="Q1717" t="s">
        <v>51</v>
      </c>
      <c r="R1717" t="s">
        <v>36</v>
      </c>
      <c r="S1717" t="s">
        <v>338</v>
      </c>
      <c r="T1717" t="s">
        <v>338</v>
      </c>
      <c r="U1717" t="s">
        <v>124</v>
      </c>
      <c r="V1717" t="s">
        <v>315</v>
      </c>
      <c r="W1717">
        <v>4.4000000000000004</v>
      </c>
      <c r="X1717" t="s">
        <v>41</v>
      </c>
      <c r="Y1717" t="s">
        <v>42</v>
      </c>
      <c r="Z1717">
        <v>2</v>
      </c>
    </row>
    <row r="1718" spans="1:26">
      <c r="A1718" t="s">
        <v>2825</v>
      </c>
      <c r="B1718" t="s">
        <v>1684</v>
      </c>
      <c r="C1718" t="s">
        <v>28</v>
      </c>
      <c r="D1718" t="s">
        <v>29</v>
      </c>
      <c r="E1718" s="1">
        <v>44897</v>
      </c>
      <c r="F1718" t="s">
        <v>30</v>
      </c>
      <c r="G1718" t="s">
        <v>145</v>
      </c>
      <c r="H1718" t="s">
        <v>59</v>
      </c>
      <c r="I1718">
        <v>10</v>
      </c>
      <c r="J1718" t="s">
        <v>73</v>
      </c>
      <c r="K1718">
        <v>2</v>
      </c>
      <c r="L1718" s="3">
        <v>9699</v>
      </c>
      <c r="M1718">
        <v>5</v>
      </c>
      <c r="N1718" s="3">
        <v>9210</v>
      </c>
      <c r="O1718" s="3">
        <v>18420</v>
      </c>
      <c r="P1718" t="s">
        <v>74</v>
      </c>
      <c r="Q1718" t="s">
        <v>51</v>
      </c>
      <c r="R1718" t="s">
        <v>36</v>
      </c>
      <c r="S1718" t="s">
        <v>354</v>
      </c>
      <c r="T1718" t="s">
        <v>434</v>
      </c>
      <c r="U1718" t="s">
        <v>124</v>
      </c>
      <c r="V1718" t="s">
        <v>315</v>
      </c>
      <c r="W1718">
        <v>3.2</v>
      </c>
      <c r="X1718" t="s">
        <v>106</v>
      </c>
      <c r="Y1718" t="s">
        <v>147</v>
      </c>
      <c r="Z1718">
        <v>1</v>
      </c>
    </row>
    <row r="1719" spans="1:26">
      <c r="A1719" t="s">
        <v>2826</v>
      </c>
      <c r="B1719" t="s">
        <v>361</v>
      </c>
      <c r="C1719" t="s">
        <v>94</v>
      </c>
      <c r="D1719" t="s">
        <v>109</v>
      </c>
      <c r="E1719" s="1">
        <v>44897</v>
      </c>
      <c r="F1719" t="s">
        <v>65</v>
      </c>
      <c r="G1719" t="s">
        <v>279</v>
      </c>
      <c r="H1719" t="s">
        <v>111</v>
      </c>
      <c r="I1719">
        <v>9</v>
      </c>
      <c r="J1719" t="s">
        <v>67</v>
      </c>
      <c r="K1719">
        <v>1</v>
      </c>
      <c r="L1719" s="3">
        <v>6199</v>
      </c>
      <c r="M1719">
        <v>15</v>
      </c>
      <c r="N1719" s="3">
        <v>5270</v>
      </c>
      <c r="O1719" s="3">
        <v>5270</v>
      </c>
      <c r="P1719" t="s">
        <v>74</v>
      </c>
      <c r="Q1719" t="s">
        <v>51</v>
      </c>
      <c r="R1719" t="s">
        <v>36</v>
      </c>
      <c r="S1719" t="s">
        <v>168</v>
      </c>
      <c r="T1719" t="s">
        <v>168</v>
      </c>
      <c r="U1719" t="s">
        <v>124</v>
      </c>
      <c r="V1719" t="s">
        <v>315</v>
      </c>
      <c r="W1719">
        <v>4.2</v>
      </c>
      <c r="X1719" t="s">
        <v>62</v>
      </c>
      <c r="Y1719" t="s">
        <v>42</v>
      </c>
      <c r="Z1719">
        <v>5</v>
      </c>
    </row>
    <row r="1720" spans="1:26">
      <c r="A1720" t="s">
        <v>2827</v>
      </c>
      <c r="B1720" t="s">
        <v>2828</v>
      </c>
      <c r="C1720" t="s">
        <v>45</v>
      </c>
      <c r="D1720" t="s">
        <v>46</v>
      </c>
      <c r="E1720" s="1">
        <v>44898</v>
      </c>
      <c r="F1720" t="s">
        <v>79</v>
      </c>
      <c r="G1720" t="s">
        <v>174</v>
      </c>
      <c r="H1720" t="s">
        <v>32</v>
      </c>
      <c r="I1720">
        <v>7</v>
      </c>
      <c r="J1720" t="s">
        <v>33</v>
      </c>
      <c r="K1720">
        <v>1</v>
      </c>
      <c r="L1720" s="3">
        <v>6299</v>
      </c>
      <c r="M1720">
        <v>20</v>
      </c>
      <c r="N1720" s="3">
        <v>5040</v>
      </c>
      <c r="O1720" s="3">
        <v>5040</v>
      </c>
      <c r="P1720" t="s">
        <v>74</v>
      </c>
      <c r="Q1720" t="s">
        <v>51</v>
      </c>
      <c r="R1720" t="s">
        <v>36</v>
      </c>
      <c r="S1720" t="s">
        <v>52</v>
      </c>
      <c r="T1720" t="s">
        <v>60</v>
      </c>
      <c r="U1720" t="s">
        <v>39</v>
      </c>
      <c r="V1720" t="s">
        <v>40</v>
      </c>
      <c r="W1720">
        <v>3.8</v>
      </c>
      <c r="X1720" t="s">
        <v>41</v>
      </c>
      <c r="Y1720" t="s">
        <v>42</v>
      </c>
      <c r="Z1720">
        <v>4</v>
      </c>
    </row>
    <row r="1721" spans="1:26">
      <c r="A1721" t="s">
        <v>2829</v>
      </c>
      <c r="B1721" t="s">
        <v>293</v>
      </c>
      <c r="C1721" t="s">
        <v>45</v>
      </c>
      <c r="D1721" t="s">
        <v>46</v>
      </c>
      <c r="E1721" s="1">
        <v>44898</v>
      </c>
      <c r="F1721" t="s">
        <v>30</v>
      </c>
      <c r="G1721" t="s">
        <v>347</v>
      </c>
      <c r="H1721" t="s">
        <v>49</v>
      </c>
      <c r="I1721">
        <v>6</v>
      </c>
      <c r="J1721" t="s">
        <v>98</v>
      </c>
      <c r="K1721">
        <v>1</v>
      </c>
      <c r="L1721" s="3">
        <v>6899</v>
      </c>
      <c r="M1721">
        <v>30</v>
      </c>
      <c r="N1721" s="3">
        <v>4830</v>
      </c>
      <c r="O1721" s="3">
        <v>4830</v>
      </c>
      <c r="P1721" t="s">
        <v>74</v>
      </c>
      <c r="Q1721" t="s">
        <v>51</v>
      </c>
      <c r="R1721" t="s">
        <v>36</v>
      </c>
      <c r="S1721" t="s">
        <v>418</v>
      </c>
      <c r="T1721" t="s">
        <v>419</v>
      </c>
      <c r="U1721" t="s">
        <v>61</v>
      </c>
      <c r="V1721" t="s">
        <v>969</v>
      </c>
      <c r="W1721">
        <v>3.7</v>
      </c>
      <c r="X1721" t="s">
        <v>41</v>
      </c>
      <c r="Y1721" t="s">
        <v>42</v>
      </c>
      <c r="Z1721">
        <v>4</v>
      </c>
    </row>
    <row r="1722" spans="1:26">
      <c r="A1722" t="s">
        <v>2830</v>
      </c>
      <c r="B1722" t="s">
        <v>1585</v>
      </c>
      <c r="C1722" t="s">
        <v>45</v>
      </c>
      <c r="D1722" t="s">
        <v>29</v>
      </c>
      <c r="E1722" s="1">
        <v>44898</v>
      </c>
      <c r="F1722" t="s">
        <v>47</v>
      </c>
      <c r="G1722" t="s">
        <v>121</v>
      </c>
      <c r="H1722" t="s">
        <v>111</v>
      </c>
      <c r="I1722">
        <v>12</v>
      </c>
      <c r="J1722" t="s">
        <v>33</v>
      </c>
      <c r="K1722">
        <v>1</v>
      </c>
      <c r="L1722" s="3">
        <v>6199</v>
      </c>
      <c r="M1722">
        <v>15</v>
      </c>
      <c r="N1722" s="3">
        <v>5270</v>
      </c>
      <c r="O1722" s="3">
        <v>5270</v>
      </c>
      <c r="P1722" t="s">
        <v>74</v>
      </c>
      <c r="Q1722" t="s">
        <v>35</v>
      </c>
      <c r="R1722" t="s">
        <v>36</v>
      </c>
      <c r="S1722" t="s">
        <v>112</v>
      </c>
      <c r="T1722" t="s">
        <v>113</v>
      </c>
      <c r="U1722" t="s">
        <v>91</v>
      </c>
      <c r="V1722" t="s">
        <v>315</v>
      </c>
      <c r="W1722">
        <v>5</v>
      </c>
      <c r="X1722" t="s">
        <v>62</v>
      </c>
      <c r="Y1722" t="s">
        <v>55</v>
      </c>
      <c r="Z1722">
        <v>3</v>
      </c>
    </row>
    <row r="1723" spans="1:26">
      <c r="A1723" t="s">
        <v>2831</v>
      </c>
      <c r="B1723" t="s">
        <v>1419</v>
      </c>
      <c r="C1723" t="s">
        <v>94</v>
      </c>
      <c r="D1723" t="s">
        <v>46</v>
      </c>
      <c r="E1723" s="1">
        <v>44899</v>
      </c>
      <c r="F1723" t="s">
        <v>30</v>
      </c>
      <c r="G1723" t="s">
        <v>347</v>
      </c>
      <c r="H1723" t="s">
        <v>49</v>
      </c>
      <c r="I1723">
        <v>10</v>
      </c>
      <c r="J1723" t="s">
        <v>67</v>
      </c>
      <c r="K1723">
        <v>1</v>
      </c>
      <c r="L1723" s="3">
        <v>8799</v>
      </c>
      <c r="M1723">
        <v>15</v>
      </c>
      <c r="N1723" s="3">
        <v>7480</v>
      </c>
      <c r="O1723" s="3">
        <v>7480</v>
      </c>
      <c r="P1723" t="s">
        <v>74</v>
      </c>
      <c r="Q1723" t="s">
        <v>51</v>
      </c>
      <c r="R1723" t="s">
        <v>36</v>
      </c>
      <c r="S1723" t="s">
        <v>52</v>
      </c>
      <c r="T1723" t="s">
        <v>60</v>
      </c>
      <c r="U1723" t="s">
        <v>39</v>
      </c>
      <c r="V1723" t="s">
        <v>315</v>
      </c>
      <c r="W1723">
        <v>4.9000000000000004</v>
      </c>
      <c r="X1723" t="s">
        <v>41</v>
      </c>
      <c r="Y1723" t="s">
        <v>55</v>
      </c>
      <c r="Z1723">
        <v>3</v>
      </c>
    </row>
    <row r="1724" spans="1:26">
      <c r="A1724" t="s">
        <v>2832</v>
      </c>
      <c r="B1724" t="s">
        <v>1545</v>
      </c>
      <c r="C1724" t="s">
        <v>45</v>
      </c>
      <c r="D1724" t="s">
        <v>95</v>
      </c>
      <c r="E1724" s="1">
        <v>44900</v>
      </c>
      <c r="F1724" t="s">
        <v>79</v>
      </c>
      <c r="G1724" t="s">
        <v>517</v>
      </c>
      <c r="H1724" t="s">
        <v>59</v>
      </c>
      <c r="I1724">
        <v>10</v>
      </c>
      <c r="J1724" t="s">
        <v>88</v>
      </c>
      <c r="K1724">
        <v>1</v>
      </c>
      <c r="L1724" s="3">
        <v>6199</v>
      </c>
      <c r="M1724">
        <v>15</v>
      </c>
      <c r="N1724" s="3">
        <v>5270</v>
      </c>
      <c r="O1724" s="3">
        <v>5270</v>
      </c>
      <c r="P1724" t="s">
        <v>34</v>
      </c>
      <c r="Q1724" t="s">
        <v>35</v>
      </c>
      <c r="R1724" t="s">
        <v>36</v>
      </c>
      <c r="S1724" t="s">
        <v>122</v>
      </c>
      <c r="T1724" t="s">
        <v>304</v>
      </c>
      <c r="U1724" t="s">
        <v>124</v>
      </c>
      <c r="V1724" t="s">
        <v>315</v>
      </c>
      <c r="W1724">
        <v>4</v>
      </c>
      <c r="X1724" t="s">
        <v>41</v>
      </c>
      <c r="Y1724" t="s">
        <v>42</v>
      </c>
      <c r="Z1724">
        <v>4</v>
      </c>
    </row>
    <row r="1725" spans="1:26">
      <c r="A1725" t="s">
        <v>2833</v>
      </c>
      <c r="B1725" t="s">
        <v>2834</v>
      </c>
      <c r="C1725" t="s">
        <v>28</v>
      </c>
      <c r="D1725" t="s">
        <v>29</v>
      </c>
      <c r="E1725" s="1">
        <v>44900</v>
      </c>
      <c r="F1725" t="s">
        <v>79</v>
      </c>
      <c r="G1725" t="s">
        <v>480</v>
      </c>
      <c r="H1725" t="s">
        <v>111</v>
      </c>
      <c r="I1725">
        <v>7</v>
      </c>
      <c r="J1725" t="s">
        <v>98</v>
      </c>
      <c r="K1725">
        <v>1</v>
      </c>
      <c r="L1725" s="3">
        <v>6399</v>
      </c>
      <c r="M1725">
        <v>15</v>
      </c>
      <c r="N1725" s="3">
        <v>5440</v>
      </c>
      <c r="O1725" s="3">
        <v>5440</v>
      </c>
      <c r="P1725" t="s">
        <v>34</v>
      </c>
      <c r="Q1725" t="s">
        <v>51</v>
      </c>
      <c r="R1725" t="s">
        <v>36</v>
      </c>
      <c r="S1725" t="s">
        <v>68</v>
      </c>
      <c r="T1725" t="s">
        <v>69</v>
      </c>
      <c r="U1725" t="s">
        <v>39</v>
      </c>
      <c r="V1725" t="s">
        <v>40</v>
      </c>
      <c r="W1725">
        <v>4.5999999999999996</v>
      </c>
      <c r="X1725" t="s">
        <v>41</v>
      </c>
      <c r="Y1725" t="s">
        <v>42</v>
      </c>
      <c r="Z1725">
        <v>7</v>
      </c>
    </row>
    <row r="1726" spans="1:26">
      <c r="A1726" t="s">
        <v>2835</v>
      </c>
      <c r="B1726" t="s">
        <v>2690</v>
      </c>
      <c r="C1726" t="s">
        <v>45</v>
      </c>
      <c r="D1726" t="s">
        <v>29</v>
      </c>
      <c r="E1726" s="1">
        <v>44900</v>
      </c>
      <c r="F1726" t="s">
        <v>47</v>
      </c>
      <c r="G1726" t="s">
        <v>402</v>
      </c>
      <c r="H1726" t="s">
        <v>32</v>
      </c>
      <c r="I1726">
        <v>8</v>
      </c>
      <c r="J1726" t="s">
        <v>150</v>
      </c>
      <c r="K1726">
        <v>1</v>
      </c>
      <c r="L1726" s="3">
        <v>9699</v>
      </c>
      <c r="M1726">
        <v>20</v>
      </c>
      <c r="N1726" s="3">
        <v>7760</v>
      </c>
      <c r="O1726" s="3">
        <v>7760</v>
      </c>
      <c r="P1726" t="s">
        <v>34</v>
      </c>
      <c r="Q1726" t="s">
        <v>82</v>
      </c>
      <c r="R1726" t="s">
        <v>36</v>
      </c>
      <c r="S1726" t="s">
        <v>168</v>
      </c>
      <c r="T1726" t="s">
        <v>557</v>
      </c>
      <c r="U1726" t="s">
        <v>54</v>
      </c>
      <c r="V1726" t="s">
        <v>315</v>
      </c>
      <c r="W1726">
        <v>3.7</v>
      </c>
      <c r="X1726" t="s">
        <v>41</v>
      </c>
      <c r="Y1726" t="s">
        <v>55</v>
      </c>
      <c r="Z1726">
        <v>2</v>
      </c>
    </row>
    <row r="1727" spans="1:26">
      <c r="A1727" t="s">
        <v>2836</v>
      </c>
      <c r="B1727" t="s">
        <v>586</v>
      </c>
      <c r="C1727" t="s">
        <v>28</v>
      </c>
      <c r="D1727" t="s">
        <v>46</v>
      </c>
      <c r="E1727" s="1">
        <v>44900</v>
      </c>
      <c r="F1727" t="s">
        <v>47</v>
      </c>
      <c r="G1727" t="s">
        <v>140</v>
      </c>
      <c r="H1727" t="s">
        <v>128</v>
      </c>
      <c r="I1727">
        <v>9</v>
      </c>
      <c r="J1727" t="s">
        <v>67</v>
      </c>
      <c r="K1727">
        <v>1</v>
      </c>
      <c r="L1727" s="3">
        <v>7999</v>
      </c>
      <c r="M1727">
        <v>15</v>
      </c>
      <c r="N1727" s="3">
        <v>6800</v>
      </c>
      <c r="O1727" s="3">
        <v>6800</v>
      </c>
      <c r="P1727" t="s">
        <v>81</v>
      </c>
      <c r="Q1727" t="s">
        <v>35</v>
      </c>
      <c r="R1727" t="s">
        <v>36</v>
      </c>
      <c r="S1727" t="s">
        <v>243</v>
      </c>
      <c r="T1727" t="s">
        <v>244</v>
      </c>
      <c r="U1727" t="s">
        <v>61</v>
      </c>
      <c r="V1727" t="s">
        <v>969</v>
      </c>
      <c r="W1727">
        <v>3.9</v>
      </c>
      <c r="X1727" t="s">
        <v>106</v>
      </c>
      <c r="Y1727" t="s">
        <v>42</v>
      </c>
      <c r="Z1727">
        <v>2</v>
      </c>
    </row>
    <row r="1728" spans="1:26">
      <c r="A1728" t="s">
        <v>2837</v>
      </c>
      <c r="B1728" t="s">
        <v>556</v>
      </c>
      <c r="C1728" t="s">
        <v>94</v>
      </c>
      <c r="D1728" t="s">
        <v>29</v>
      </c>
      <c r="E1728" s="1">
        <v>44901</v>
      </c>
      <c r="F1728" t="s">
        <v>96</v>
      </c>
      <c r="G1728" t="s">
        <v>171</v>
      </c>
      <c r="H1728" t="s">
        <v>128</v>
      </c>
      <c r="I1728">
        <v>11</v>
      </c>
      <c r="J1728" t="s">
        <v>98</v>
      </c>
      <c r="K1728">
        <v>1</v>
      </c>
      <c r="L1728" s="3">
        <v>8799</v>
      </c>
      <c r="M1728">
        <v>10</v>
      </c>
      <c r="N1728" s="3">
        <v>7920</v>
      </c>
      <c r="O1728" s="3">
        <v>7920</v>
      </c>
      <c r="P1728" t="s">
        <v>81</v>
      </c>
      <c r="Q1728" t="s">
        <v>82</v>
      </c>
      <c r="R1728" t="s">
        <v>36</v>
      </c>
      <c r="S1728" t="s">
        <v>269</v>
      </c>
      <c r="T1728" t="s">
        <v>575</v>
      </c>
      <c r="U1728" t="s">
        <v>91</v>
      </c>
      <c r="V1728" t="s">
        <v>315</v>
      </c>
      <c r="W1728">
        <v>3</v>
      </c>
      <c r="X1728" t="s">
        <v>41</v>
      </c>
      <c r="Y1728" t="s">
        <v>42</v>
      </c>
      <c r="Z1728">
        <v>4</v>
      </c>
    </row>
    <row r="1729" spans="1:26">
      <c r="A1729" t="s">
        <v>2838</v>
      </c>
      <c r="B1729" t="s">
        <v>330</v>
      </c>
      <c r="C1729" t="s">
        <v>28</v>
      </c>
      <c r="D1729" t="s">
        <v>109</v>
      </c>
      <c r="E1729" s="1">
        <v>44901</v>
      </c>
      <c r="F1729" t="s">
        <v>86</v>
      </c>
      <c r="G1729" t="s">
        <v>242</v>
      </c>
      <c r="H1729" t="s">
        <v>32</v>
      </c>
      <c r="I1729">
        <v>10</v>
      </c>
      <c r="J1729" t="s">
        <v>98</v>
      </c>
      <c r="K1729">
        <v>1</v>
      </c>
      <c r="L1729" s="3">
        <v>7699</v>
      </c>
      <c r="M1729">
        <v>5</v>
      </c>
      <c r="N1729" s="3">
        <v>7310</v>
      </c>
      <c r="O1729" s="3">
        <v>7310</v>
      </c>
      <c r="P1729" t="s">
        <v>50</v>
      </c>
      <c r="Q1729" t="s">
        <v>35</v>
      </c>
      <c r="R1729" t="s">
        <v>36</v>
      </c>
      <c r="S1729" t="s">
        <v>210</v>
      </c>
      <c r="T1729" t="s">
        <v>412</v>
      </c>
      <c r="U1729" t="s">
        <v>61</v>
      </c>
      <c r="V1729" t="s">
        <v>969</v>
      </c>
      <c r="W1729">
        <v>4.2</v>
      </c>
      <c r="X1729" t="s">
        <v>41</v>
      </c>
      <c r="Y1729" t="s">
        <v>42</v>
      </c>
      <c r="Z1729">
        <v>2</v>
      </c>
    </row>
    <row r="1730" spans="1:26">
      <c r="A1730" t="s">
        <v>2839</v>
      </c>
      <c r="B1730" t="s">
        <v>1276</v>
      </c>
      <c r="C1730" t="s">
        <v>28</v>
      </c>
      <c r="D1730" t="s">
        <v>46</v>
      </c>
      <c r="E1730" s="1">
        <v>44902</v>
      </c>
      <c r="F1730" t="s">
        <v>30</v>
      </c>
      <c r="G1730" t="s">
        <v>347</v>
      </c>
      <c r="H1730" t="s">
        <v>49</v>
      </c>
      <c r="I1730">
        <v>8</v>
      </c>
      <c r="J1730" t="s">
        <v>73</v>
      </c>
      <c r="K1730">
        <v>1</v>
      </c>
      <c r="L1730" s="3">
        <v>4299</v>
      </c>
      <c r="M1730">
        <v>15</v>
      </c>
      <c r="N1730" s="3">
        <v>3650</v>
      </c>
      <c r="O1730" s="3">
        <v>3650</v>
      </c>
      <c r="P1730" t="s">
        <v>74</v>
      </c>
      <c r="Q1730" t="s">
        <v>51</v>
      </c>
      <c r="R1730" t="s">
        <v>36</v>
      </c>
      <c r="S1730" t="s">
        <v>156</v>
      </c>
      <c r="T1730" t="s">
        <v>157</v>
      </c>
      <c r="U1730" t="s">
        <v>54</v>
      </c>
      <c r="V1730" t="s">
        <v>969</v>
      </c>
      <c r="W1730">
        <v>3.6</v>
      </c>
      <c r="X1730" t="s">
        <v>41</v>
      </c>
      <c r="Y1730" t="s">
        <v>42</v>
      </c>
      <c r="Z1730">
        <v>2</v>
      </c>
    </row>
    <row r="1731" spans="1:26">
      <c r="A1731" t="s">
        <v>2840</v>
      </c>
      <c r="B1731" t="s">
        <v>2103</v>
      </c>
      <c r="C1731" t="s">
        <v>28</v>
      </c>
      <c r="D1731" t="s">
        <v>95</v>
      </c>
      <c r="E1731" s="1">
        <v>44902</v>
      </c>
      <c r="F1731" t="s">
        <v>47</v>
      </c>
      <c r="G1731" t="s">
        <v>48</v>
      </c>
      <c r="H1731" t="s">
        <v>49</v>
      </c>
      <c r="I1731">
        <v>9</v>
      </c>
      <c r="J1731" t="s">
        <v>73</v>
      </c>
      <c r="K1731">
        <v>4</v>
      </c>
      <c r="L1731" s="3">
        <v>6499</v>
      </c>
      <c r="M1731">
        <v>10</v>
      </c>
      <c r="N1731" s="3">
        <v>5850</v>
      </c>
      <c r="O1731" s="3">
        <v>23400</v>
      </c>
      <c r="P1731" t="s">
        <v>34</v>
      </c>
      <c r="Q1731" t="s">
        <v>51</v>
      </c>
      <c r="R1731" t="s">
        <v>36</v>
      </c>
      <c r="S1731" t="s">
        <v>129</v>
      </c>
      <c r="T1731" t="s">
        <v>130</v>
      </c>
      <c r="U1731" t="s">
        <v>54</v>
      </c>
      <c r="V1731" t="s">
        <v>315</v>
      </c>
      <c r="W1731">
        <v>3.7</v>
      </c>
      <c r="X1731" t="s">
        <v>41</v>
      </c>
      <c r="Y1731" t="s">
        <v>42</v>
      </c>
      <c r="Z1731">
        <v>3</v>
      </c>
    </row>
    <row r="1732" spans="1:26">
      <c r="A1732" t="s">
        <v>2841</v>
      </c>
      <c r="B1732" t="s">
        <v>741</v>
      </c>
      <c r="C1732" t="s">
        <v>28</v>
      </c>
      <c r="D1732" t="s">
        <v>46</v>
      </c>
      <c r="E1732" s="1">
        <v>44902</v>
      </c>
      <c r="F1732" t="s">
        <v>86</v>
      </c>
      <c r="G1732" t="s">
        <v>312</v>
      </c>
      <c r="H1732" t="s">
        <v>59</v>
      </c>
      <c r="I1732">
        <v>10</v>
      </c>
      <c r="J1732" t="s">
        <v>98</v>
      </c>
      <c r="K1732">
        <v>1</v>
      </c>
      <c r="L1732" s="3">
        <v>8299</v>
      </c>
      <c r="M1732">
        <v>20</v>
      </c>
      <c r="N1732" s="3">
        <v>6640</v>
      </c>
      <c r="O1732" s="3">
        <v>6640</v>
      </c>
      <c r="P1732" t="s">
        <v>34</v>
      </c>
      <c r="Q1732" t="s">
        <v>35</v>
      </c>
      <c r="R1732" t="s">
        <v>36</v>
      </c>
      <c r="S1732" t="s">
        <v>75</v>
      </c>
      <c r="T1732" t="s">
        <v>796</v>
      </c>
      <c r="U1732" t="s">
        <v>91</v>
      </c>
      <c r="V1732" t="s">
        <v>969</v>
      </c>
      <c r="W1732">
        <v>4.9000000000000004</v>
      </c>
      <c r="X1732" t="s">
        <v>41</v>
      </c>
      <c r="Y1732" t="s">
        <v>42</v>
      </c>
      <c r="Z1732">
        <v>3</v>
      </c>
    </row>
    <row r="1733" spans="1:26">
      <c r="A1733" t="s">
        <v>2842</v>
      </c>
      <c r="B1733" t="s">
        <v>466</v>
      </c>
      <c r="C1733" t="s">
        <v>28</v>
      </c>
      <c r="D1733" t="s">
        <v>95</v>
      </c>
      <c r="E1733" s="1">
        <v>44902</v>
      </c>
      <c r="F1733" t="s">
        <v>96</v>
      </c>
      <c r="G1733" t="s">
        <v>323</v>
      </c>
      <c r="H1733" t="s">
        <v>59</v>
      </c>
      <c r="I1733">
        <v>8</v>
      </c>
      <c r="J1733" t="s">
        <v>67</v>
      </c>
      <c r="K1733">
        <v>1</v>
      </c>
      <c r="L1733" s="3">
        <v>6299</v>
      </c>
      <c r="M1733">
        <v>20</v>
      </c>
      <c r="N1733" s="3">
        <v>5040</v>
      </c>
      <c r="O1733" s="3">
        <v>5040</v>
      </c>
      <c r="P1733" t="s">
        <v>81</v>
      </c>
      <c r="Q1733" t="s">
        <v>51</v>
      </c>
      <c r="R1733" t="s">
        <v>36</v>
      </c>
      <c r="S1733" t="s">
        <v>354</v>
      </c>
      <c r="T1733" t="s">
        <v>355</v>
      </c>
      <c r="U1733" t="s">
        <v>124</v>
      </c>
      <c r="V1733" t="s">
        <v>969</v>
      </c>
      <c r="W1733">
        <v>4.3</v>
      </c>
      <c r="X1733" t="s">
        <v>41</v>
      </c>
      <c r="Y1733" t="s">
        <v>147</v>
      </c>
      <c r="Z1733">
        <v>2</v>
      </c>
    </row>
    <row r="1734" spans="1:26">
      <c r="A1734" t="s">
        <v>2843</v>
      </c>
      <c r="B1734" t="s">
        <v>2032</v>
      </c>
      <c r="C1734" t="s">
        <v>28</v>
      </c>
      <c r="D1734" t="s">
        <v>29</v>
      </c>
      <c r="E1734" s="1">
        <v>44903</v>
      </c>
      <c r="F1734" t="s">
        <v>30</v>
      </c>
      <c r="G1734" t="s">
        <v>31</v>
      </c>
      <c r="H1734" t="s">
        <v>32</v>
      </c>
      <c r="I1734">
        <v>9</v>
      </c>
      <c r="J1734" t="s">
        <v>33</v>
      </c>
      <c r="K1734">
        <v>2</v>
      </c>
      <c r="L1734" s="3">
        <v>7999</v>
      </c>
      <c r="M1734">
        <v>20</v>
      </c>
      <c r="N1734" s="3">
        <v>6400</v>
      </c>
      <c r="O1734" s="3">
        <v>12800</v>
      </c>
      <c r="P1734" t="s">
        <v>74</v>
      </c>
      <c r="Q1734" t="s">
        <v>51</v>
      </c>
      <c r="R1734" t="s">
        <v>36</v>
      </c>
      <c r="S1734" t="s">
        <v>338</v>
      </c>
      <c r="T1734" t="s">
        <v>394</v>
      </c>
      <c r="U1734" t="s">
        <v>124</v>
      </c>
      <c r="V1734" t="s">
        <v>315</v>
      </c>
      <c r="W1734">
        <v>4.8</v>
      </c>
      <c r="X1734" t="s">
        <v>62</v>
      </c>
      <c r="Y1734" t="s">
        <v>42</v>
      </c>
      <c r="Z1734">
        <v>4</v>
      </c>
    </row>
    <row r="1735" spans="1:26">
      <c r="A1735" t="s">
        <v>2844</v>
      </c>
      <c r="B1735" t="s">
        <v>1347</v>
      </c>
      <c r="C1735" t="s">
        <v>45</v>
      </c>
      <c r="D1735" t="s">
        <v>95</v>
      </c>
      <c r="E1735" s="1">
        <v>44903</v>
      </c>
      <c r="F1735" t="s">
        <v>30</v>
      </c>
      <c r="G1735" t="s">
        <v>110</v>
      </c>
      <c r="H1735" t="s">
        <v>111</v>
      </c>
      <c r="I1735">
        <v>6</v>
      </c>
      <c r="J1735" t="s">
        <v>150</v>
      </c>
      <c r="K1735">
        <v>1</v>
      </c>
      <c r="L1735" s="3">
        <v>3999</v>
      </c>
      <c r="M1735">
        <v>10</v>
      </c>
      <c r="N1735" s="3">
        <v>3600</v>
      </c>
      <c r="O1735" s="3">
        <v>3600</v>
      </c>
      <c r="P1735" t="s">
        <v>34</v>
      </c>
      <c r="Q1735" t="s">
        <v>51</v>
      </c>
      <c r="R1735" t="s">
        <v>36</v>
      </c>
      <c r="S1735" t="s">
        <v>117</v>
      </c>
      <c r="T1735" t="s">
        <v>544</v>
      </c>
      <c r="U1735" t="s">
        <v>61</v>
      </c>
      <c r="V1735" t="s">
        <v>969</v>
      </c>
      <c r="W1735">
        <v>3.4</v>
      </c>
      <c r="X1735" t="s">
        <v>41</v>
      </c>
      <c r="Y1735" t="s">
        <v>42</v>
      </c>
      <c r="Z1735">
        <v>4</v>
      </c>
    </row>
    <row r="1736" spans="1:26">
      <c r="A1736" t="s">
        <v>2845</v>
      </c>
      <c r="B1736" t="s">
        <v>2846</v>
      </c>
      <c r="C1736" t="s">
        <v>28</v>
      </c>
      <c r="D1736" t="s">
        <v>46</v>
      </c>
      <c r="E1736" s="1">
        <v>44903</v>
      </c>
      <c r="F1736" t="s">
        <v>47</v>
      </c>
      <c r="G1736" t="s">
        <v>121</v>
      </c>
      <c r="H1736" t="s">
        <v>111</v>
      </c>
      <c r="I1736">
        <v>9</v>
      </c>
      <c r="J1736" t="s">
        <v>67</v>
      </c>
      <c r="K1736">
        <v>2</v>
      </c>
      <c r="L1736" s="3">
        <v>5799</v>
      </c>
      <c r="M1736">
        <v>30</v>
      </c>
      <c r="N1736" s="3">
        <v>4060</v>
      </c>
      <c r="O1736" s="3">
        <v>8120</v>
      </c>
      <c r="P1736" t="s">
        <v>34</v>
      </c>
      <c r="Q1736" t="s">
        <v>82</v>
      </c>
      <c r="R1736" t="s">
        <v>36</v>
      </c>
      <c r="S1736" t="s">
        <v>160</v>
      </c>
      <c r="T1736" t="s">
        <v>161</v>
      </c>
      <c r="U1736" t="s">
        <v>124</v>
      </c>
      <c r="V1736" t="s">
        <v>40</v>
      </c>
      <c r="W1736">
        <v>4.0999999999999996</v>
      </c>
      <c r="X1736" t="s">
        <v>41</v>
      </c>
      <c r="Y1736" t="s">
        <v>147</v>
      </c>
      <c r="Z1736">
        <v>2</v>
      </c>
    </row>
    <row r="1737" spans="1:26">
      <c r="A1737" t="s">
        <v>2847</v>
      </c>
      <c r="B1737" t="s">
        <v>531</v>
      </c>
      <c r="C1737" t="s">
        <v>28</v>
      </c>
      <c r="D1737" t="s">
        <v>103</v>
      </c>
      <c r="E1737" s="1">
        <v>44903</v>
      </c>
      <c r="F1737" t="s">
        <v>79</v>
      </c>
      <c r="G1737" t="s">
        <v>80</v>
      </c>
      <c r="H1737" t="s">
        <v>59</v>
      </c>
      <c r="I1737">
        <v>8</v>
      </c>
      <c r="J1737" t="s">
        <v>88</v>
      </c>
      <c r="K1737">
        <v>1</v>
      </c>
      <c r="L1737" s="3">
        <v>8199</v>
      </c>
      <c r="M1737">
        <v>0</v>
      </c>
      <c r="N1737" s="3">
        <v>8200</v>
      </c>
      <c r="O1737" s="3">
        <v>8200</v>
      </c>
      <c r="P1737" t="s">
        <v>74</v>
      </c>
      <c r="Q1737" t="s">
        <v>51</v>
      </c>
      <c r="R1737" t="s">
        <v>36</v>
      </c>
      <c r="S1737" t="s">
        <v>129</v>
      </c>
      <c r="T1737" t="s">
        <v>146</v>
      </c>
      <c r="U1737" t="s">
        <v>54</v>
      </c>
      <c r="V1737" t="s">
        <v>315</v>
      </c>
      <c r="W1737">
        <v>4.5999999999999996</v>
      </c>
      <c r="X1737" t="s">
        <v>41</v>
      </c>
      <c r="Y1737" t="s">
        <v>42</v>
      </c>
      <c r="Z1737">
        <v>2</v>
      </c>
    </row>
    <row r="1738" spans="1:26">
      <c r="A1738" t="s">
        <v>2848</v>
      </c>
      <c r="B1738" t="s">
        <v>1963</v>
      </c>
      <c r="C1738" t="s">
        <v>28</v>
      </c>
      <c r="D1738" t="s">
        <v>103</v>
      </c>
      <c r="E1738" s="1">
        <v>44903</v>
      </c>
      <c r="F1738" t="s">
        <v>86</v>
      </c>
      <c r="G1738" t="s">
        <v>312</v>
      </c>
      <c r="H1738" t="s">
        <v>59</v>
      </c>
      <c r="I1738">
        <v>8</v>
      </c>
      <c r="J1738" t="s">
        <v>73</v>
      </c>
      <c r="K1738">
        <v>2</v>
      </c>
      <c r="L1738" s="3">
        <v>7999</v>
      </c>
      <c r="M1738">
        <v>10</v>
      </c>
      <c r="N1738" s="3">
        <v>7200</v>
      </c>
      <c r="O1738" s="3">
        <v>14400</v>
      </c>
      <c r="P1738" t="s">
        <v>74</v>
      </c>
      <c r="Q1738" t="s">
        <v>51</v>
      </c>
      <c r="R1738" t="s">
        <v>36</v>
      </c>
      <c r="S1738" t="s">
        <v>168</v>
      </c>
      <c r="T1738" t="s">
        <v>714</v>
      </c>
      <c r="U1738" t="s">
        <v>91</v>
      </c>
      <c r="V1738" t="s">
        <v>315</v>
      </c>
      <c r="W1738">
        <v>4.2</v>
      </c>
      <c r="X1738" t="s">
        <v>41</v>
      </c>
      <c r="Y1738" t="s">
        <v>42</v>
      </c>
      <c r="Z1738">
        <v>4</v>
      </c>
    </row>
    <row r="1739" spans="1:26">
      <c r="A1739" t="s">
        <v>2849</v>
      </c>
      <c r="B1739" t="s">
        <v>2850</v>
      </c>
      <c r="C1739" t="s">
        <v>28</v>
      </c>
      <c r="D1739" t="s">
        <v>29</v>
      </c>
      <c r="E1739" s="1">
        <v>44904</v>
      </c>
      <c r="F1739" t="s">
        <v>86</v>
      </c>
      <c r="G1739" t="s">
        <v>190</v>
      </c>
      <c r="H1739" t="s">
        <v>128</v>
      </c>
      <c r="I1739">
        <v>7</v>
      </c>
      <c r="J1739" t="s">
        <v>88</v>
      </c>
      <c r="K1739">
        <v>1</v>
      </c>
      <c r="L1739" s="3">
        <v>4599</v>
      </c>
      <c r="M1739">
        <v>5</v>
      </c>
      <c r="N1739" s="3">
        <v>4370</v>
      </c>
      <c r="O1739" s="3">
        <v>4370</v>
      </c>
      <c r="P1739" t="s">
        <v>74</v>
      </c>
      <c r="Q1739" t="s">
        <v>35</v>
      </c>
      <c r="R1739" t="s">
        <v>36</v>
      </c>
      <c r="S1739" t="s">
        <v>418</v>
      </c>
      <c r="T1739" t="s">
        <v>419</v>
      </c>
      <c r="U1739" t="s">
        <v>124</v>
      </c>
      <c r="V1739" t="s">
        <v>40</v>
      </c>
      <c r="W1739">
        <v>4.5</v>
      </c>
      <c r="X1739" t="s">
        <v>62</v>
      </c>
      <c r="Y1739" t="s">
        <v>42</v>
      </c>
      <c r="Z1739">
        <v>6</v>
      </c>
    </row>
    <row r="1740" spans="1:26">
      <c r="A1740" t="s">
        <v>2851</v>
      </c>
      <c r="B1740" t="s">
        <v>1336</v>
      </c>
      <c r="C1740" t="s">
        <v>28</v>
      </c>
      <c r="D1740" t="s">
        <v>29</v>
      </c>
      <c r="E1740" s="1">
        <v>44904</v>
      </c>
      <c r="F1740" t="s">
        <v>30</v>
      </c>
      <c r="G1740" t="s">
        <v>58</v>
      </c>
      <c r="H1740" t="s">
        <v>59</v>
      </c>
      <c r="I1740">
        <v>6</v>
      </c>
      <c r="J1740" t="s">
        <v>73</v>
      </c>
      <c r="K1740">
        <v>3</v>
      </c>
      <c r="L1740" s="3">
        <v>4799</v>
      </c>
      <c r="M1740">
        <v>15</v>
      </c>
      <c r="N1740" s="3">
        <v>4080</v>
      </c>
      <c r="O1740" s="3">
        <v>12240</v>
      </c>
      <c r="P1740" t="s">
        <v>74</v>
      </c>
      <c r="Q1740" t="s">
        <v>51</v>
      </c>
      <c r="R1740" t="s">
        <v>36</v>
      </c>
      <c r="S1740" t="s">
        <v>136</v>
      </c>
      <c r="T1740" t="s">
        <v>638</v>
      </c>
      <c r="U1740" t="s">
        <v>91</v>
      </c>
      <c r="V1740" t="s">
        <v>969</v>
      </c>
      <c r="W1740">
        <v>4.5</v>
      </c>
      <c r="X1740" t="s">
        <v>41</v>
      </c>
      <c r="Y1740" t="s">
        <v>55</v>
      </c>
      <c r="Z1740">
        <v>2</v>
      </c>
    </row>
    <row r="1741" spans="1:26">
      <c r="A1741" t="s">
        <v>2852</v>
      </c>
      <c r="B1741" t="s">
        <v>1961</v>
      </c>
      <c r="C1741" t="s">
        <v>45</v>
      </c>
      <c r="D1741" t="s">
        <v>103</v>
      </c>
      <c r="E1741" s="1">
        <v>44904</v>
      </c>
      <c r="F1741" t="s">
        <v>30</v>
      </c>
      <c r="G1741" t="s">
        <v>145</v>
      </c>
      <c r="H1741" t="s">
        <v>59</v>
      </c>
      <c r="I1741">
        <v>9</v>
      </c>
      <c r="J1741" t="s">
        <v>33</v>
      </c>
      <c r="K1741">
        <v>1</v>
      </c>
      <c r="L1741" s="3">
        <v>6099</v>
      </c>
      <c r="M1741">
        <v>10</v>
      </c>
      <c r="N1741" s="3">
        <v>5490</v>
      </c>
      <c r="O1741" s="3">
        <v>5490</v>
      </c>
      <c r="P1741" t="s">
        <v>74</v>
      </c>
      <c r="Q1741" t="s">
        <v>51</v>
      </c>
      <c r="R1741" t="s">
        <v>36</v>
      </c>
      <c r="S1741" t="s">
        <v>200</v>
      </c>
      <c r="T1741" t="s">
        <v>204</v>
      </c>
      <c r="U1741" t="s">
        <v>54</v>
      </c>
      <c r="V1741" t="s">
        <v>315</v>
      </c>
      <c r="W1741">
        <v>3.2</v>
      </c>
      <c r="X1741" t="s">
        <v>106</v>
      </c>
      <c r="Y1741" t="s">
        <v>55</v>
      </c>
      <c r="Z1741">
        <v>2</v>
      </c>
    </row>
    <row r="1742" spans="1:26">
      <c r="A1742" t="s">
        <v>2853</v>
      </c>
      <c r="B1742" t="s">
        <v>2269</v>
      </c>
      <c r="C1742" t="s">
        <v>28</v>
      </c>
      <c r="D1742" t="s">
        <v>103</v>
      </c>
      <c r="E1742" s="1">
        <v>44904</v>
      </c>
      <c r="F1742" t="s">
        <v>30</v>
      </c>
      <c r="G1742" t="s">
        <v>58</v>
      </c>
      <c r="H1742" t="s">
        <v>59</v>
      </c>
      <c r="I1742">
        <v>7</v>
      </c>
      <c r="J1742" t="s">
        <v>88</v>
      </c>
      <c r="K1742">
        <v>1</v>
      </c>
      <c r="L1742" s="3">
        <v>8099</v>
      </c>
      <c r="M1742">
        <v>10</v>
      </c>
      <c r="N1742" s="3">
        <v>7290</v>
      </c>
      <c r="O1742" s="3">
        <v>7290</v>
      </c>
      <c r="P1742" t="s">
        <v>74</v>
      </c>
      <c r="Q1742" t="s">
        <v>51</v>
      </c>
      <c r="R1742" t="s">
        <v>36</v>
      </c>
      <c r="S1742" t="s">
        <v>136</v>
      </c>
      <c r="T1742" t="s">
        <v>137</v>
      </c>
      <c r="U1742" t="s">
        <v>54</v>
      </c>
      <c r="V1742" t="s">
        <v>969</v>
      </c>
      <c r="W1742">
        <v>4.2</v>
      </c>
      <c r="X1742" t="s">
        <v>62</v>
      </c>
      <c r="Y1742" t="s">
        <v>42</v>
      </c>
      <c r="Z1742">
        <v>3</v>
      </c>
    </row>
    <row r="1743" spans="1:26">
      <c r="A1743" t="s">
        <v>2854</v>
      </c>
      <c r="B1743" t="s">
        <v>1027</v>
      </c>
      <c r="C1743" t="s">
        <v>28</v>
      </c>
      <c r="D1743" t="s">
        <v>109</v>
      </c>
      <c r="E1743" s="1">
        <v>44906</v>
      </c>
      <c r="F1743" t="s">
        <v>79</v>
      </c>
      <c r="G1743" t="s">
        <v>174</v>
      </c>
      <c r="H1743" t="s">
        <v>32</v>
      </c>
      <c r="I1743">
        <v>9</v>
      </c>
      <c r="J1743" t="s">
        <v>98</v>
      </c>
      <c r="K1743">
        <v>1</v>
      </c>
      <c r="L1743" s="3">
        <v>7699</v>
      </c>
      <c r="M1743">
        <v>10</v>
      </c>
      <c r="N1743" s="3">
        <v>6930</v>
      </c>
      <c r="O1743" s="3">
        <v>6930</v>
      </c>
      <c r="P1743" t="s">
        <v>34</v>
      </c>
      <c r="Q1743" t="s">
        <v>51</v>
      </c>
      <c r="R1743" t="s">
        <v>36</v>
      </c>
      <c r="S1743" t="s">
        <v>117</v>
      </c>
      <c r="T1743" t="s">
        <v>751</v>
      </c>
      <c r="U1743" t="s">
        <v>39</v>
      </c>
      <c r="V1743" t="s">
        <v>969</v>
      </c>
      <c r="W1743">
        <v>4.8</v>
      </c>
      <c r="X1743" t="s">
        <v>41</v>
      </c>
      <c r="Y1743" t="s">
        <v>42</v>
      </c>
      <c r="Z1743">
        <v>4</v>
      </c>
    </row>
    <row r="1744" spans="1:26">
      <c r="A1744" t="s">
        <v>2855</v>
      </c>
      <c r="B1744" t="s">
        <v>2012</v>
      </c>
      <c r="C1744" t="s">
        <v>28</v>
      </c>
      <c r="D1744" t="s">
        <v>46</v>
      </c>
      <c r="E1744" s="1">
        <v>44906</v>
      </c>
      <c r="F1744" t="s">
        <v>30</v>
      </c>
      <c r="G1744" t="s">
        <v>145</v>
      </c>
      <c r="H1744" t="s">
        <v>59</v>
      </c>
      <c r="I1744">
        <v>8</v>
      </c>
      <c r="J1744" t="s">
        <v>98</v>
      </c>
      <c r="K1744">
        <v>1</v>
      </c>
      <c r="L1744" s="3">
        <v>7899</v>
      </c>
      <c r="M1744">
        <v>30</v>
      </c>
      <c r="N1744" s="3">
        <v>5530</v>
      </c>
      <c r="O1744" s="3">
        <v>5530</v>
      </c>
      <c r="P1744" t="s">
        <v>74</v>
      </c>
      <c r="Q1744" t="s">
        <v>51</v>
      </c>
      <c r="R1744" t="s">
        <v>36</v>
      </c>
      <c r="S1744" t="s">
        <v>122</v>
      </c>
      <c r="T1744" t="s">
        <v>304</v>
      </c>
      <c r="U1744" t="s">
        <v>54</v>
      </c>
      <c r="V1744" t="s">
        <v>315</v>
      </c>
      <c r="W1744">
        <v>4.5999999999999996</v>
      </c>
      <c r="X1744" t="s">
        <v>41</v>
      </c>
      <c r="Y1744" t="s">
        <v>42</v>
      </c>
      <c r="Z1744">
        <v>3</v>
      </c>
    </row>
    <row r="1745" spans="1:26">
      <c r="A1745" t="s">
        <v>2856</v>
      </c>
      <c r="B1745" t="s">
        <v>2767</v>
      </c>
      <c r="C1745" t="s">
        <v>45</v>
      </c>
      <c r="D1745" t="s">
        <v>103</v>
      </c>
      <c r="E1745" s="1">
        <v>44907</v>
      </c>
      <c r="F1745" t="s">
        <v>47</v>
      </c>
      <c r="G1745" t="s">
        <v>218</v>
      </c>
      <c r="H1745" t="s">
        <v>59</v>
      </c>
      <c r="I1745">
        <v>8</v>
      </c>
      <c r="J1745" t="s">
        <v>150</v>
      </c>
      <c r="K1745">
        <v>1</v>
      </c>
      <c r="L1745" s="3">
        <v>8899</v>
      </c>
      <c r="M1745">
        <v>5</v>
      </c>
      <c r="N1745" s="3">
        <v>8450</v>
      </c>
      <c r="O1745" s="3">
        <v>8450</v>
      </c>
      <c r="P1745" t="s">
        <v>74</v>
      </c>
      <c r="Q1745" t="s">
        <v>51</v>
      </c>
      <c r="R1745" t="s">
        <v>36</v>
      </c>
      <c r="S1745" t="s">
        <v>99</v>
      </c>
      <c r="T1745" t="s">
        <v>100</v>
      </c>
      <c r="U1745" t="s">
        <v>124</v>
      </c>
      <c r="V1745" t="s">
        <v>315</v>
      </c>
      <c r="W1745">
        <v>3.3</v>
      </c>
      <c r="X1745" t="s">
        <v>41</v>
      </c>
      <c r="Y1745" t="s">
        <v>42</v>
      </c>
      <c r="Z1745">
        <v>5</v>
      </c>
    </row>
    <row r="1746" spans="1:26">
      <c r="A1746" t="s">
        <v>2857</v>
      </c>
      <c r="B1746" t="s">
        <v>1005</v>
      </c>
      <c r="C1746" t="s">
        <v>45</v>
      </c>
      <c r="D1746" t="s">
        <v>29</v>
      </c>
      <c r="E1746" s="1">
        <v>44907</v>
      </c>
      <c r="F1746" t="s">
        <v>86</v>
      </c>
      <c r="G1746" t="s">
        <v>190</v>
      </c>
      <c r="H1746" t="s">
        <v>128</v>
      </c>
      <c r="I1746">
        <v>7</v>
      </c>
      <c r="J1746" t="s">
        <v>33</v>
      </c>
      <c r="K1746">
        <v>1</v>
      </c>
      <c r="L1746" s="3">
        <v>8999</v>
      </c>
      <c r="M1746">
        <v>10</v>
      </c>
      <c r="N1746" s="3">
        <v>8100</v>
      </c>
      <c r="O1746" s="3">
        <v>8100</v>
      </c>
      <c r="P1746" t="s">
        <v>74</v>
      </c>
      <c r="Q1746" t="s">
        <v>51</v>
      </c>
      <c r="R1746" t="s">
        <v>36</v>
      </c>
      <c r="S1746" t="s">
        <v>354</v>
      </c>
      <c r="T1746" t="s">
        <v>355</v>
      </c>
      <c r="U1746" t="s">
        <v>61</v>
      </c>
      <c r="V1746" t="s">
        <v>969</v>
      </c>
      <c r="W1746">
        <v>4.4000000000000004</v>
      </c>
      <c r="X1746" t="s">
        <v>41</v>
      </c>
      <c r="Y1746" t="s">
        <v>55</v>
      </c>
      <c r="Z1746">
        <v>2</v>
      </c>
    </row>
    <row r="1747" spans="1:26">
      <c r="A1747" t="s">
        <v>2858</v>
      </c>
      <c r="B1747" t="s">
        <v>2859</v>
      </c>
      <c r="C1747" t="s">
        <v>45</v>
      </c>
      <c r="D1747" t="s">
        <v>29</v>
      </c>
      <c r="E1747" s="1">
        <v>44907</v>
      </c>
      <c r="F1747" t="s">
        <v>86</v>
      </c>
      <c r="G1747" t="s">
        <v>116</v>
      </c>
      <c r="H1747" t="s">
        <v>49</v>
      </c>
      <c r="I1747">
        <v>7</v>
      </c>
      <c r="J1747" t="s">
        <v>67</v>
      </c>
      <c r="K1747">
        <v>1</v>
      </c>
      <c r="L1747" s="3">
        <v>5999</v>
      </c>
      <c r="M1747">
        <v>15</v>
      </c>
      <c r="N1747" s="3">
        <v>5100</v>
      </c>
      <c r="O1747" s="3">
        <v>5100</v>
      </c>
      <c r="P1747" t="s">
        <v>34</v>
      </c>
      <c r="Q1747" t="s">
        <v>51</v>
      </c>
      <c r="R1747" t="s">
        <v>36</v>
      </c>
      <c r="S1747" t="s">
        <v>358</v>
      </c>
      <c r="T1747" t="s">
        <v>464</v>
      </c>
      <c r="U1747" t="s">
        <v>91</v>
      </c>
      <c r="V1747" t="s">
        <v>40</v>
      </c>
      <c r="W1747">
        <v>3.8</v>
      </c>
      <c r="X1747" t="s">
        <v>106</v>
      </c>
      <c r="Y1747" t="s">
        <v>55</v>
      </c>
      <c r="Z1747">
        <v>4</v>
      </c>
    </row>
    <row r="1748" spans="1:26">
      <c r="A1748" t="s">
        <v>2860</v>
      </c>
      <c r="B1748" t="s">
        <v>765</v>
      </c>
      <c r="C1748" t="s">
        <v>45</v>
      </c>
      <c r="D1748" t="s">
        <v>103</v>
      </c>
      <c r="E1748" s="1">
        <v>44907</v>
      </c>
      <c r="F1748" t="s">
        <v>79</v>
      </c>
      <c r="G1748" t="s">
        <v>174</v>
      </c>
      <c r="H1748" t="s">
        <v>32</v>
      </c>
      <c r="I1748">
        <v>7</v>
      </c>
      <c r="J1748" t="s">
        <v>73</v>
      </c>
      <c r="K1748">
        <v>1</v>
      </c>
      <c r="L1748" s="3">
        <v>6799</v>
      </c>
      <c r="M1748">
        <v>20</v>
      </c>
      <c r="N1748" s="3">
        <v>5440</v>
      </c>
      <c r="O1748" s="3">
        <v>5440</v>
      </c>
      <c r="P1748" t="s">
        <v>74</v>
      </c>
      <c r="Q1748" t="s">
        <v>51</v>
      </c>
      <c r="R1748" t="s">
        <v>36</v>
      </c>
      <c r="S1748" t="s">
        <v>89</v>
      </c>
      <c r="T1748" t="s">
        <v>425</v>
      </c>
      <c r="U1748" t="s">
        <v>39</v>
      </c>
      <c r="V1748" t="s">
        <v>969</v>
      </c>
      <c r="W1748">
        <v>4.3</v>
      </c>
      <c r="X1748" t="s">
        <v>41</v>
      </c>
      <c r="Y1748" t="s">
        <v>42</v>
      </c>
      <c r="Z1748">
        <v>3</v>
      </c>
    </row>
    <row r="1749" spans="1:26">
      <c r="A1749" t="s">
        <v>2861</v>
      </c>
      <c r="B1749" t="s">
        <v>2862</v>
      </c>
      <c r="C1749" t="s">
        <v>45</v>
      </c>
      <c r="D1749" t="s">
        <v>46</v>
      </c>
      <c r="E1749" s="1">
        <v>44907</v>
      </c>
      <c r="F1749" t="s">
        <v>86</v>
      </c>
      <c r="G1749" t="s">
        <v>190</v>
      </c>
      <c r="H1749" t="s">
        <v>128</v>
      </c>
      <c r="I1749">
        <v>9</v>
      </c>
      <c r="J1749" t="s">
        <v>33</v>
      </c>
      <c r="K1749">
        <v>1</v>
      </c>
      <c r="L1749" s="3">
        <v>7099</v>
      </c>
      <c r="M1749">
        <v>15</v>
      </c>
      <c r="N1749" s="3">
        <v>6030</v>
      </c>
      <c r="O1749" s="3">
        <v>6030</v>
      </c>
      <c r="P1749" t="s">
        <v>34</v>
      </c>
      <c r="Q1749" t="s">
        <v>51</v>
      </c>
      <c r="R1749" t="s">
        <v>36</v>
      </c>
      <c r="S1749" t="s">
        <v>52</v>
      </c>
      <c r="T1749" t="s">
        <v>60</v>
      </c>
      <c r="U1749" t="s">
        <v>124</v>
      </c>
      <c r="V1749" t="s">
        <v>40</v>
      </c>
      <c r="W1749">
        <v>2.5</v>
      </c>
      <c r="X1749" t="s">
        <v>41</v>
      </c>
      <c r="Y1749" t="s">
        <v>42</v>
      </c>
      <c r="Z1749">
        <v>3</v>
      </c>
    </row>
    <row r="1750" spans="1:26">
      <c r="A1750" t="s">
        <v>2863</v>
      </c>
      <c r="B1750" t="s">
        <v>2416</v>
      </c>
      <c r="C1750" t="s">
        <v>45</v>
      </c>
      <c r="D1750" t="s">
        <v>95</v>
      </c>
      <c r="E1750" s="1">
        <v>44907</v>
      </c>
      <c r="F1750" t="s">
        <v>79</v>
      </c>
      <c r="G1750" t="s">
        <v>174</v>
      </c>
      <c r="H1750" t="s">
        <v>32</v>
      </c>
      <c r="I1750">
        <v>11</v>
      </c>
      <c r="J1750" t="s">
        <v>33</v>
      </c>
      <c r="K1750">
        <v>1</v>
      </c>
      <c r="L1750" s="3">
        <v>4499</v>
      </c>
      <c r="M1750">
        <v>20</v>
      </c>
      <c r="N1750" s="3">
        <v>3600</v>
      </c>
      <c r="O1750" s="3">
        <v>3600</v>
      </c>
      <c r="P1750" t="s">
        <v>74</v>
      </c>
      <c r="Q1750" t="s">
        <v>51</v>
      </c>
      <c r="R1750" t="s">
        <v>36</v>
      </c>
      <c r="S1750" t="s">
        <v>297</v>
      </c>
      <c r="T1750" t="s">
        <v>351</v>
      </c>
      <c r="U1750" t="s">
        <v>54</v>
      </c>
      <c r="V1750" t="s">
        <v>315</v>
      </c>
      <c r="W1750">
        <v>4.5999999999999996</v>
      </c>
      <c r="X1750" t="s">
        <v>41</v>
      </c>
      <c r="Y1750" t="s">
        <v>55</v>
      </c>
      <c r="Z1750">
        <v>3</v>
      </c>
    </row>
    <row r="1751" spans="1:26">
      <c r="A1751" t="s">
        <v>2864</v>
      </c>
      <c r="B1751" t="s">
        <v>2135</v>
      </c>
      <c r="C1751" t="s">
        <v>28</v>
      </c>
      <c r="D1751" t="s">
        <v>46</v>
      </c>
      <c r="E1751" s="1">
        <v>44908</v>
      </c>
      <c r="F1751" t="s">
        <v>47</v>
      </c>
      <c r="G1751" t="s">
        <v>402</v>
      </c>
      <c r="H1751" t="s">
        <v>32</v>
      </c>
      <c r="I1751">
        <v>10</v>
      </c>
      <c r="J1751" t="s">
        <v>98</v>
      </c>
      <c r="K1751">
        <v>1</v>
      </c>
      <c r="L1751" s="3">
        <v>4199</v>
      </c>
      <c r="M1751">
        <v>20</v>
      </c>
      <c r="N1751" s="3">
        <v>3360</v>
      </c>
      <c r="O1751" s="3">
        <v>3360</v>
      </c>
      <c r="P1751" t="s">
        <v>74</v>
      </c>
      <c r="Q1751" t="s">
        <v>51</v>
      </c>
      <c r="R1751" t="s">
        <v>36</v>
      </c>
      <c r="S1751" t="s">
        <v>200</v>
      </c>
      <c r="T1751" t="s">
        <v>219</v>
      </c>
      <c r="U1751" t="s">
        <v>39</v>
      </c>
      <c r="V1751" t="s">
        <v>315</v>
      </c>
      <c r="W1751">
        <v>4.9000000000000004</v>
      </c>
      <c r="X1751" t="s">
        <v>62</v>
      </c>
      <c r="Y1751" t="s">
        <v>42</v>
      </c>
      <c r="Z1751">
        <v>5</v>
      </c>
    </row>
    <row r="1752" spans="1:26">
      <c r="A1752" t="s">
        <v>2865</v>
      </c>
      <c r="B1752" t="s">
        <v>819</v>
      </c>
      <c r="C1752" t="s">
        <v>28</v>
      </c>
      <c r="D1752" t="s">
        <v>95</v>
      </c>
      <c r="E1752" s="1">
        <v>44908</v>
      </c>
      <c r="F1752" t="s">
        <v>47</v>
      </c>
      <c r="G1752" t="s">
        <v>121</v>
      </c>
      <c r="H1752" t="s">
        <v>111</v>
      </c>
      <c r="I1752">
        <v>10</v>
      </c>
      <c r="J1752" t="s">
        <v>88</v>
      </c>
      <c r="K1752">
        <v>1</v>
      </c>
      <c r="L1752" s="3">
        <v>6599</v>
      </c>
      <c r="M1752">
        <v>20</v>
      </c>
      <c r="N1752" s="3">
        <v>5280</v>
      </c>
      <c r="O1752" s="3">
        <v>5280</v>
      </c>
      <c r="P1752" t="s">
        <v>34</v>
      </c>
      <c r="Q1752" t="s">
        <v>51</v>
      </c>
      <c r="R1752" t="s">
        <v>36</v>
      </c>
      <c r="S1752" t="s">
        <v>354</v>
      </c>
      <c r="T1752" t="s">
        <v>355</v>
      </c>
      <c r="U1752" t="s">
        <v>91</v>
      </c>
      <c r="V1752" t="s">
        <v>315</v>
      </c>
      <c r="W1752">
        <v>4.9000000000000004</v>
      </c>
      <c r="X1752" t="s">
        <v>62</v>
      </c>
      <c r="Y1752" t="s">
        <v>55</v>
      </c>
      <c r="Z1752">
        <v>1</v>
      </c>
    </row>
    <row r="1753" spans="1:26">
      <c r="A1753" t="s">
        <v>2866</v>
      </c>
      <c r="B1753" t="s">
        <v>1356</v>
      </c>
      <c r="C1753" t="s">
        <v>28</v>
      </c>
      <c r="D1753" t="s">
        <v>46</v>
      </c>
      <c r="E1753" s="1">
        <v>44908</v>
      </c>
      <c r="F1753" t="s">
        <v>47</v>
      </c>
      <c r="G1753" t="s">
        <v>48</v>
      </c>
      <c r="H1753" t="s">
        <v>49</v>
      </c>
      <c r="I1753">
        <v>10</v>
      </c>
      <c r="J1753" t="s">
        <v>33</v>
      </c>
      <c r="K1753">
        <v>1</v>
      </c>
      <c r="L1753" s="3">
        <v>7699</v>
      </c>
      <c r="M1753">
        <v>10</v>
      </c>
      <c r="N1753" s="3">
        <v>6930</v>
      </c>
      <c r="O1753" s="3">
        <v>6930</v>
      </c>
      <c r="P1753" t="s">
        <v>74</v>
      </c>
      <c r="Q1753" t="s">
        <v>51</v>
      </c>
      <c r="R1753" t="s">
        <v>36</v>
      </c>
      <c r="S1753" t="s">
        <v>297</v>
      </c>
      <c r="T1753" t="s">
        <v>298</v>
      </c>
      <c r="U1753" t="s">
        <v>54</v>
      </c>
      <c r="V1753" t="s">
        <v>969</v>
      </c>
      <c r="W1753">
        <v>3.9</v>
      </c>
      <c r="X1753" t="s">
        <v>41</v>
      </c>
      <c r="Y1753" t="s">
        <v>42</v>
      </c>
      <c r="Z1753">
        <v>3</v>
      </c>
    </row>
    <row r="1754" spans="1:26">
      <c r="A1754" t="s">
        <v>2867</v>
      </c>
      <c r="B1754" t="s">
        <v>527</v>
      </c>
      <c r="C1754" t="s">
        <v>28</v>
      </c>
      <c r="D1754" t="s">
        <v>103</v>
      </c>
      <c r="E1754" s="1">
        <v>44909</v>
      </c>
      <c r="F1754" t="s">
        <v>30</v>
      </c>
      <c r="G1754" t="s">
        <v>214</v>
      </c>
      <c r="H1754" t="s">
        <v>128</v>
      </c>
      <c r="I1754">
        <v>9</v>
      </c>
      <c r="J1754" t="s">
        <v>67</v>
      </c>
      <c r="K1754">
        <v>1</v>
      </c>
      <c r="L1754" s="3">
        <v>4999</v>
      </c>
      <c r="M1754">
        <v>10</v>
      </c>
      <c r="N1754" s="3">
        <v>4500</v>
      </c>
      <c r="O1754" s="3">
        <v>4500</v>
      </c>
      <c r="P1754" t="s">
        <v>74</v>
      </c>
      <c r="Q1754" t="s">
        <v>82</v>
      </c>
      <c r="R1754" t="s">
        <v>36</v>
      </c>
      <c r="S1754" t="s">
        <v>200</v>
      </c>
      <c r="T1754" t="s">
        <v>204</v>
      </c>
      <c r="U1754" t="s">
        <v>39</v>
      </c>
      <c r="V1754" t="s">
        <v>969</v>
      </c>
      <c r="W1754">
        <v>4.0999999999999996</v>
      </c>
      <c r="X1754" t="s">
        <v>41</v>
      </c>
      <c r="Y1754" t="s">
        <v>42</v>
      </c>
      <c r="Z1754">
        <v>2</v>
      </c>
    </row>
    <row r="1755" spans="1:26">
      <c r="A1755" t="s">
        <v>2868</v>
      </c>
      <c r="B1755" t="s">
        <v>2309</v>
      </c>
      <c r="C1755" t="s">
        <v>28</v>
      </c>
      <c r="D1755" t="s">
        <v>95</v>
      </c>
      <c r="E1755" s="1">
        <v>44910</v>
      </c>
      <c r="F1755" t="s">
        <v>79</v>
      </c>
      <c r="G1755" t="s">
        <v>517</v>
      </c>
      <c r="H1755" t="s">
        <v>59</v>
      </c>
      <c r="I1755">
        <v>8</v>
      </c>
      <c r="J1755" t="s">
        <v>150</v>
      </c>
      <c r="K1755">
        <v>1</v>
      </c>
      <c r="L1755" s="3">
        <v>7499</v>
      </c>
      <c r="M1755">
        <v>10</v>
      </c>
      <c r="N1755" s="3">
        <v>6750</v>
      </c>
      <c r="O1755" s="3">
        <v>6750</v>
      </c>
      <c r="P1755" t="s">
        <v>74</v>
      </c>
      <c r="Q1755" t="s">
        <v>82</v>
      </c>
      <c r="R1755" t="s">
        <v>36</v>
      </c>
      <c r="S1755" t="s">
        <v>52</v>
      </c>
      <c r="T1755" t="s">
        <v>235</v>
      </c>
      <c r="U1755" t="s">
        <v>91</v>
      </c>
      <c r="V1755" t="s">
        <v>315</v>
      </c>
      <c r="W1755">
        <v>4.5</v>
      </c>
      <c r="X1755" t="s">
        <v>62</v>
      </c>
      <c r="Y1755" t="s">
        <v>42</v>
      </c>
      <c r="Z1755">
        <v>5</v>
      </c>
    </row>
    <row r="1756" spans="1:26">
      <c r="A1756" t="s">
        <v>2869</v>
      </c>
      <c r="B1756" t="s">
        <v>1589</v>
      </c>
      <c r="C1756" t="s">
        <v>28</v>
      </c>
      <c r="D1756" t="s">
        <v>46</v>
      </c>
      <c r="E1756" s="1">
        <v>44910</v>
      </c>
      <c r="F1756" t="s">
        <v>65</v>
      </c>
      <c r="G1756" t="s">
        <v>279</v>
      </c>
      <c r="H1756" t="s">
        <v>111</v>
      </c>
      <c r="I1756">
        <v>10</v>
      </c>
      <c r="J1756" t="s">
        <v>73</v>
      </c>
      <c r="K1756">
        <v>1</v>
      </c>
      <c r="L1756" s="3">
        <v>4099</v>
      </c>
      <c r="M1756">
        <v>15</v>
      </c>
      <c r="N1756" s="3">
        <v>3480</v>
      </c>
      <c r="O1756" s="3">
        <v>3480</v>
      </c>
      <c r="P1756" t="s">
        <v>74</v>
      </c>
      <c r="Q1756" t="s">
        <v>35</v>
      </c>
      <c r="R1756" t="s">
        <v>36</v>
      </c>
      <c r="S1756" t="s">
        <v>243</v>
      </c>
      <c r="T1756" t="s">
        <v>328</v>
      </c>
      <c r="U1756" t="s">
        <v>39</v>
      </c>
      <c r="V1756" t="s">
        <v>315</v>
      </c>
      <c r="W1756">
        <v>4.9000000000000004</v>
      </c>
      <c r="X1756" t="s">
        <v>41</v>
      </c>
      <c r="Y1756" t="s">
        <v>42</v>
      </c>
      <c r="Z1756">
        <v>3</v>
      </c>
    </row>
    <row r="1757" spans="1:26">
      <c r="A1757" t="s">
        <v>2870</v>
      </c>
      <c r="B1757" t="s">
        <v>603</v>
      </c>
      <c r="C1757" t="s">
        <v>45</v>
      </c>
      <c r="D1757" t="s">
        <v>46</v>
      </c>
      <c r="E1757" s="1">
        <v>44910</v>
      </c>
      <c r="F1757" t="s">
        <v>65</v>
      </c>
      <c r="G1757" t="s">
        <v>66</v>
      </c>
      <c r="H1757" t="s">
        <v>59</v>
      </c>
      <c r="I1757">
        <v>7</v>
      </c>
      <c r="J1757" t="s">
        <v>73</v>
      </c>
      <c r="K1757">
        <v>1</v>
      </c>
      <c r="L1757" s="3">
        <v>6399</v>
      </c>
      <c r="M1757">
        <v>25</v>
      </c>
      <c r="N1757" s="3">
        <v>4800</v>
      </c>
      <c r="O1757" s="3">
        <v>4800</v>
      </c>
      <c r="P1757" t="s">
        <v>74</v>
      </c>
      <c r="Q1757" t="s">
        <v>35</v>
      </c>
      <c r="R1757" t="s">
        <v>36</v>
      </c>
      <c r="S1757" t="s">
        <v>156</v>
      </c>
      <c r="T1757" t="s">
        <v>257</v>
      </c>
      <c r="U1757" t="s">
        <v>61</v>
      </c>
      <c r="V1757" t="s">
        <v>315</v>
      </c>
      <c r="W1757">
        <v>3.8</v>
      </c>
      <c r="X1757" t="s">
        <v>62</v>
      </c>
      <c r="Y1757" t="s">
        <v>42</v>
      </c>
      <c r="Z1757">
        <v>3</v>
      </c>
    </row>
    <row r="1758" spans="1:26">
      <c r="A1758" t="s">
        <v>2871</v>
      </c>
      <c r="B1758" t="s">
        <v>1836</v>
      </c>
      <c r="C1758" t="s">
        <v>45</v>
      </c>
      <c r="D1758" t="s">
        <v>29</v>
      </c>
      <c r="E1758" s="1">
        <v>44911</v>
      </c>
      <c r="F1758" t="s">
        <v>86</v>
      </c>
      <c r="G1758" t="s">
        <v>312</v>
      </c>
      <c r="H1758" t="s">
        <v>59</v>
      </c>
      <c r="I1758">
        <v>8</v>
      </c>
      <c r="J1758" t="s">
        <v>98</v>
      </c>
      <c r="K1758">
        <v>1</v>
      </c>
      <c r="L1758" s="3">
        <v>6899</v>
      </c>
      <c r="M1758">
        <v>15</v>
      </c>
      <c r="N1758" s="3">
        <v>5860</v>
      </c>
      <c r="O1758" s="3">
        <v>5860</v>
      </c>
      <c r="P1758" t="s">
        <v>34</v>
      </c>
      <c r="Q1758" t="s">
        <v>82</v>
      </c>
      <c r="R1758" t="s">
        <v>36</v>
      </c>
      <c r="S1758" t="s">
        <v>286</v>
      </c>
      <c r="T1758" t="s">
        <v>287</v>
      </c>
      <c r="U1758" t="s">
        <v>61</v>
      </c>
      <c r="V1758" t="s">
        <v>315</v>
      </c>
      <c r="W1758">
        <v>3.3</v>
      </c>
      <c r="X1758" t="s">
        <v>62</v>
      </c>
      <c r="Y1758" t="s">
        <v>42</v>
      </c>
      <c r="Z1758">
        <v>4</v>
      </c>
    </row>
    <row r="1759" spans="1:26">
      <c r="A1759" t="s">
        <v>2872</v>
      </c>
      <c r="B1759" t="s">
        <v>494</v>
      </c>
      <c r="C1759" t="s">
        <v>94</v>
      </c>
      <c r="D1759" t="s">
        <v>29</v>
      </c>
      <c r="E1759" s="1">
        <v>44912</v>
      </c>
      <c r="F1759" t="s">
        <v>30</v>
      </c>
      <c r="G1759" t="s">
        <v>110</v>
      </c>
      <c r="H1759" t="s">
        <v>111</v>
      </c>
      <c r="I1759">
        <v>11</v>
      </c>
      <c r="J1759" t="s">
        <v>73</v>
      </c>
      <c r="K1759">
        <v>1</v>
      </c>
      <c r="L1759" s="3">
        <v>5199</v>
      </c>
      <c r="M1759">
        <v>5</v>
      </c>
      <c r="N1759" s="3">
        <v>4940</v>
      </c>
      <c r="O1759" s="3">
        <v>4940</v>
      </c>
      <c r="P1759" t="s">
        <v>74</v>
      </c>
      <c r="Q1759" t="s">
        <v>51</v>
      </c>
      <c r="R1759" t="s">
        <v>36</v>
      </c>
      <c r="S1759" t="s">
        <v>168</v>
      </c>
      <c r="T1759" t="s">
        <v>557</v>
      </c>
      <c r="U1759" t="s">
        <v>54</v>
      </c>
      <c r="V1759" t="s">
        <v>315</v>
      </c>
      <c r="W1759">
        <v>4.5999999999999996</v>
      </c>
      <c r="X1759" t="s">
        <v>41</v>
      </c>
      <c r="Y1759" t="s">
        <v>55</v>
      </c>
      <c r="Z1759">
        <v>1</v>
      </c>
    </row>
    <row r="1760" spans="1:26">
      <c r="A1760" t="s">
        <v>2873</v>
      </c>
      <c r="B1760" t="s">
        <v>2874</v>
      </c>
      <c r="C1760" t="s">
        <v>45</v>
      </c>
      <c r="D1760" t="s">
        <v>46</v>
      </c>
      <c r="E1760" s="1">
        <v>44912</v>
      </c>
      <c r="F1760" t="s">
        <v>47</v>
      </c>
      <c r="G1760" t="s">
        <v>218</v>
      </c>
      <c r="H1760" t="s">
        <v>59</v>
      </c>
      <c r="I1760">
        <v>7</v>
      </c>
      <c r="J1760" t="s">
        <v>98</v>
      </c>
      <c r="K1760">
        <v>1</v>
      </c>
      <c r="L1760" s="3">
        <v>5399</v>
      </c>
      <c r="M1760">
        <v>15</v>
      </c>
      <c r="N1760" s="3">
        <v>4590</v>
      </c>
      <c r="O1760" s="3">
        <v>4590</v>
      </c>
      <c r="P1760" t="s">
        <v>74</v>
      </c>
      <c r="Q1760" t="s">
        <v>82</v>
      </c>
      <c r="R1760" t="s">
        <v>36</v>
      </c>
      <c r="S1760" t="s">
        <v>243</v>
      </c>
      <c r="T1760" t="s">
        <v>328</v>
      </c>
      <c r="U1760" t="s">
        <v>54</v>
      </c>
      <c r="V1760" t="s">
        <v>40</v>
      </c>
      <c r="W1760">
        <v>4.5999999999999996</v>
      </c>
      <c r="X1760" t="s">
        <v>41</v>
      </c>
      <c r="Y1760" t="s">
        <v>42</v>
      </c>
      <c r="Z1760">
        <v>6</v>
      </c>
    </row>
    <row r="1761" spans="1:26">
      <c r="A1761" t="s">
        <v>2875</v>
      </c>
      <c r="B1761" t="s">
        <v>2876</v>
      </c>
      <c r="C1761" t="s">
        <v>45</v>
      </c>
      <c r="D1761" t="s">
        <v>46</v>
      </c>
      <c r="E1761" s="1">
        <v>44913</v>
      </c>
      <c r="F1761" t="s">
        <v>86</v>
      </c>
      <c r="G1761" t="s">
        <v>285</v>
      </c>
      <c r="H1761" t="s">
        <v>111</v>
      </c>
      <c r="I1761">
        <v>7</v>
      </c>
      <c r="J1761" t="s">
        <v>98</v>
      </c>
      <c r="K1761">
        <v>1</v>
      </c>
      <c r="L1761" s="3">
        <v>7999</v>
      </c>
      <c r="M1761">
        <v>15</v>
      </c>
      <c r="N1761" s="3">
        <v>6800</v>
      </c>
      <c r="O1761" s="3">
        <v>6800</v>
      </c>
      <c r="P1761" t="s">
        <v>74</v>
      </c>
      <c r="Q1761" t="s">
        <v>82</v>
      </c>
      <c r="R1761" t="s">
        <v>36</v>
      </c>
      <c r="S1761" t="s">
        <v>182</v>
      </c>
      <c r="T1761" t="s">
        <v>183</v>
      </c>
      <c r="U1761" t="s">
        <v>39</v>
      </c>
      <c r="V1761" t="s">
        <v>40</v>
      </c>
      <c r="W1761">
        <v>4.2</v>
      </c>
      <c r="X1761" t="s">
        <v>62</v>
      </c>
      <c r="Y1761" t="s">
        <v>147</v>
      </c>
      <c r="Z1761">
        <v>2</v>
      </c>
    </row>
    <row r="1762" spans="1:26">
      <c r="A1762" t="s">
        <v>2877</v>
      </c>
      <c r="B1762" t="s">
        <v>1201</v>
      </c>
      <c r="C1762" t="s">
        <v>28</v>
      </c>
      <c r="D1762" t="s">
        <v>46</v>
      </c>
      <c r="E1762" s="1">
        <v>44913</v>
      </c>
      <c r="F1762" t="s">
        <v>30</v>
      </c>
      <c r="G1762" t="s">
        <v>31</v>
      </c>
      <c r="H1762" t="s">
        <v>32</v>
      </c>
      <c r="I1762">
        <v>8</v>
      </c>
      <c r="J1762" t="s">
        <v>150</v>
      </c>
      <c r="K1762">
        <v>1</v>
      </c>
      <c r="L1762" s="3">
        <v>8699</v>
      </c>
      <c r="M1762">
        <v>0</v>
      </c>
      <c r="N1762" s="3">
        <v>8700</v>
      </c>
      <c r="O1762" s="3">
        <v>8700</v>
      </c>
      <c r="P1762" t="s">
        <v>74</v>
      </c>
      <c r="Q1762" t="s">
        <v>82</v>
      </c>
      <c r="R1762" t="s">
        <v>36</v>
      </c>
      <c r="S1762" t="s">
        <v>112</v>
      </c>
      <c r="T1762" t="s">
        <v>113</v>
      </c>
      <c r="U1762" t="s">
        <v>39</v>
      </c>
      <c r="V1762" t="s">
        <v>969</v>
      </c>
      <c r="W1762">
        <v>4.0999999999999996</v>
      </c>
      <c r="X1762" t="s">
        <v>41</v>
      </c>
      <c r="Y1762" t="s">
        <v>42</v>
      </c>
      <c r="Z1762">
        <v>5</v>
      </c>
    </row>
    <row r="1763" spans="1:26">
      <c r="A1763" t="s">
        <v>2878</v>
      </c>
      <c r="B1763" t="s">
        <v>1715</v>
      </c>
      <c r="C1763" t="s">
        <v>94</v>
      </c>
      <c r="D1763" t="s">
        <v>103</v>
      </c>
      <c r="E1763" s="1">
        <v>44914</v>
      </c>
      <c r="F1763" t="s">
        <v>47</v>
      </c>
      <c r="G1763" t="s">
        <v>199</v>
      </c>
      <c r="H1763" t="s">
        <v>59</v>
      </c>
      <c r="I1763">
        <v>11</v>
      </c>
      <c r="J1763" t="s">
        <v>33</v>
      </c>
      <c r="K1763">
        <v>2</v>
      </c>
      <c r="L1763" s="3">
        <v>7699</v>
      </c>
      <c r="M1763">
        <v>10</v>
      </c>
      <c r="N1763" s="3">
        <v>6930</v>
      </c>
      <c r="O1763" s="3">
        <v>13860</v>
      </c>
      <c r="P1763" t="s">
        <v>34</v>
      </c>
      <c r="Q1763" t="s">
        <v>82</v>
      </c>
      <c r="R1763" t="s">
        <v>36</v>
      </c>
      <c r="S1763" t="s">
        <v>195</v>
      </c>
      <c r="T1763" t="s">
        <v>215</v>
      </c>
      <c r="U1763" t="s">
        <v>124</v>
      </c>
      <c r="V1763" t="s">
        <v>969</v>
      </c>
      <c r="W1763">
        <v>4.2</v>
      </c>
      <c r="X1763" t="s">
        <v>41</v>
      </c>
      <c r="Y1763" t="s">
        <v>55</v>
      </c>
      <c r="Z1763">
        <v>3</v>
      </c>
    </row>
    <row r="1764" spans="1:26">
      <c r="A1764" t="s">
        <v>2879</v>
      </c>
      <c r="B1764" t="s">
        <v>903</v>
      </c>
      <c r="C1764" t="s">
        <v>45</v>
      </c>
      <c r="D1764" t="s">
        <v>29</v>
      </c>
      <c r="E1764" s="1">
        <v>44914</v>
      </c>
      <c r="F1764" t="s">
        <v>65</v>
      </c>
      <c r="G1764" t="s">
        <v>268</v>
      </c>
      <c r="H1764" t="s">
        <v>128</v>
      </c>
      <c r="I1764">
        <v>7</v>
      </c>
      <c r="J1764" t="s">
        <v>73</v>
      </c>
      <c r="K1764">
        <v>3</v>
      </c>
      <c r="L1764" s="3">
        <v>4299</v>
      </c>
      <c r="M1764">
        <v>10</v>
      </c>
      <c r="N1764" s="3">
        <v>3870</v>
      </c>
      <c r="O1764" s="3">
        <v>11610</v>
      </c>
      <c r="P1764" t="s">
        <v>74</v>
      </c>
      <c r="Q1764" t="s">
        <v>51</v>
      </c>
      <c r="R1764" t="s">
        <v>36</v>
      </c>
      <c r="S1764" t="s">
        <v>384</v>
      </c>
      <c r="T1764" t="s">
        <v>481</v>
      </c>
      <c r="U1764" t="s">
        <v>91</v>
      </c>
      <c r="V1764" t="s">
        <v>969</v>
      </c>
      <c r="W1764">
        <v>4.2</v>
      </c>
      <c r="X1764" t="s">
        <v>41</v>
      </c>
      <c r="Y1764" t="s">
        <v>55</v>
      </c>
      <c r="Z1764">
        <v>2</v>
      </c>
    </row>
    <row r="1765" spans="1:26">
      <c r="A1765" t="s">
        <v>2880</v>
      </c>
      <c r="B1765" t="s">
        <v>649</v>
      </c>
      <c r="C1765" t="s">
        <v>94</v>
      </c>
      <c r="D1765" t="s">
        <v>46</v>
      </c>
      <c r="E1765" s="1">
        <v>44914</v>
      </c>
      <c r="F1765" t="s">
        <v>65</v>
      </c>
      <c r="G1765" t="s">
        <v>72</v>
      </c>
      <c r="H1765" t="s">
        <v>59</v>
      </c>
      <c r="I1765">
        <v>8</v>
      </c>
      <c r="J1765" t="s">
        <v>73</v>
      </c>
      <c r="K1765">
        <v>1</v>
      </c>
      <c r="L1765" s="3">
        <v>5099</v>
      </c>
      <c r="M1765">
        <v>30</v>
      </c>
      <c r="N1765" s="3">
        <v>3570</v>
      </c>
      <c r="O1765" s="3">
        <v>3570</v>
      </c>
      <c r="P1765" t="s">
        <v>74</v>
      </c>
      <c r="Q1765" t="s">
        <v>51</v>
      </c>
      <c r="R1765" t="s">
        <v>36</v>
      </c>
      <c r="S1765" t="s">
        <v>52</v>
      </c>
      <c r="T1765" t="s">
        <v>235</v>
      </c>
      <c r="U1765" t="s">
        <v>61</v>
      </c>
      <c r="V1765" t="s">
        <v>315</v>
      </c>
      <c r="W1765">
        <v>4.0999999999999996</v>
      </c>
      <c r="X1765" t="s">
        <v>41</v>
      </c>
      <c r="Y1765" t="s">
        <v>55</v>
      </c>
      <c r="Z1765">
        <v>1</v>
      </c>
    </row>
    <row r="1766" spans="1:26">
      <c r="A1766" t="s">
        <v>2881</v>
      </c>
      <c r="B1766" t="s">
        <v>2664</v>
      </c>
      <c r="C1766" t="s">
        <v>28</v>
      </c>
      <c r="D1766" t="s">
        <v>46</v>
      </c>
      <c r="E1766" s="1">
        <v>44915</v>
      </c>
      <c r="F1766" t="s">
        <v>79</v>
      </c>
      <c r="G1766" t="s">
        <v>301</v>
      </c>
      <c r="H1766" t="s">
        <v>49</v>
      </c>
      <c r="I1766">
        <v>11</v>
      </c>
      <c r="J1766" t="s">
        <v>150</v>
      </c>
      <c r="K1766">
        <v>1</v>
      </c>
      <c r="L1766" s="3">
        <v>4899</v>
      </c>
      <c r="M1766">
        <v>15</v>
      </c>
      <c r="N1766" s="3">
        <v>4160</v>
      </c>
      <c r="O1766" s="3">
        <v>4160</v>
      </c>
      <c r="P1766" t="s">
        <v>74</v>
      </c>
      <c r="Q1766" t="s">
        <v>51</v>
      </c>
      <c r="R1766" t="s">
        <v>36</v>
      </c>
      <c r="S1766" t="s">
        <v>122</v>
      </c>
      <c r="T1766" t="s">
        <v>123</v>
      </c>
      <c r="U1766" t="s">
        <v>91</v>
      </c>
      <c r="V1766" t="s">
        <v>315</v>
      </c>
      <c r="W1766">
        <v>3.7</v>
      </c>
      <c r="X1766" t="s">
        <v>41</v>
      </c>
      <c r="Y1766" t="s">
        <v>42</v>
      </c>
      <c r="Z1766">
        <v>3</v>
      </c>
    </row>
    <row r="1767" spans="1:26">
      <c r="A1767" t="s">
        <v>2882</v>
      </c>
      <c r="B1767" t="s">
        <v>606</v>
      </c>
      <c r="C1767" t="s">
        <v>28</v>
      </c>
      <c r="D1767" t="s">
        <v>103</v>
      </c>
      <c r="E1767" s="1">
        <v>44916</v>
      </c>
      <c r="F1767" t="s">
        <v>47</v>
      </c>
      <c r="G1767" t="s">
        <v>218</v>
      </c>
      <c r="H1767" t="s">
        <v>59</v>
      </c>
      <c r="I1767">
        <v>10</v>
      </c>
      <c r="J1767" t="s">
        <v>98</v>
      </c>
      <c r="K1767">
        <v>2</v>
      </c>
      <c r="L1767" s="3">
        <v>5999</v>
      </c>
      <c r="M1767">
        <v>10</v>
      </c>
      <c r="N1767" s="3">
        <v>5400</v>
      </c>
      <c r="O1767" s="3">
        <v>10800</v>
      </c>
      <c r="P1767" t="s">
        <v>50</v>
      </c>
      <c r="Q1767" t="s">
        <v>51</v>
      </c>
      <c r="R1767" t="s">
        <v>36</v>
      </c>
      <c r="S1767" t="s">
        <v>186</v>
      </c>
      <c r="T1767" t="s">
        <v>222</v>
      </c>
      <c r="U1767" t="s">
        <v>124</v>
      </c>
      <c r="V1767" t="s">
        <v>315</v>
      </c>
      <c r="W1767">
        <v>2.2000000000000002</v>
      </c>
      <c r="X1767" t="s">
        <v>41</v>
      </c>
      <c r="Y1767" t="s">
        <v>147</v>
      </c>
      <c r="Z1767">
        <v>1</v>
      </c>
    </row>
    <row r="1768" spans="1:26">
      <c r="A1768" t="s">
        <v>2883</v>
      </c>
      <c r="B1768" t="s">
        <v>2884</v>
      </c>
      <c r="C1768" t="s">
        <v>45</v>
      </c>
      <c r="D1768" t="s">
        <v>103</v>
      </c>
      <c r="E1768" s="1">
        <v>44916</v>
      </c>
      <c r="F1768" t="s">
        <v>47</v>
      </c>
      <c r="G1768" t="s">
        <v>402</v>
      </c>
      <c r="H1768" t="s">
        <v>32</v>
      </c>
      <c r="I1768">
        <v>8</v>
      </c>
      <c r="J1768" t="s">
        <v>33</v>
      </c>
      <c r="K1768">
        <v>1</v>
      </c>
      <c r="L1768" s="3">
        <v>7799</v>
      </c>
      <c r="M1768">
        <v>20</v>
      </c>
      <c r="N1768" s="3">
        <v>6240</v>
      </c>
      <c r="O1768" s="3">
        <v>6240</v>
      </c>
      <c r="P1768" t="s">
        <v>74</v>
      </c>
      <c r="Q1768" t="s">
        <v>51</v>
      </c>
      <c r="R1768" t="s">
        <v>36</v>
      </c>
      <c r="S1768" t="s">
        <v>460</v>
      </c>
      <c r="T1768" t="s">
        <v>461</v>
      </c>
      <c r="U1768" t="s">
        <v>54</v>
      </c>
      <c r="V1768" t="s">
        <v>40</v>
      </c>
      <c r="W1768">
        <v>3.3</v>
      </c>
      <c r="X1768" t="s">
        <v>41</v>
      </c>
      <c r="Y1768" t="s">
        <v>42</v>
      </c>
      <c r="Z1768">
        <v>5</v>
      </c>
    </row>
    <row r="1769" spans="1:26">
      <c r="A1769" t="s">
        <v>2885</v>
      </c>
      <c r="B1769" t="s">
        <v>895</v>
      </c>
      <c r="C1769" t="s">
        <v>28</v>
      </c>
      <c r="D1769" t="s">
        <v>29</v>
      </c>
      <c r="E1769" s="1">
        <v>44916</v>
      </c>
      <c r="F1769" t="s">
        <v>65</v>
      </c>
      <c r="G1769" t="s">
        <v>256</v>
      </c>
      <c r="H1769" t="s">
        <v>32</v>
      </c>
      <c r="I1769">
        <v>7</v>
      </c>
      <c r="J1769" t="s">
        <v>150</v>
      </c>
      <c r="K1769">
        <v>1</v>
      </c>
      <c r="L1769" s="3">
        <v>4999</v>
      </c>
      <c r="M1769">
        <v>25</v>
      </c>
      <c r="N1769" s="3">
        <v>3750</v>
      </c>
      <c r="O1769" s="3">
        <v>3750</v>
      </c>
      <c r="P1769" t="s">
        <v>34</v>
      </c>
      <c r="Q1769" t="s">
        <v>51</v>
      </c>
      <c r="R1769" t="s">
        <v>36</v>
      </c>
      <c r="S1769" t="s">
        <v>210</v>
      </c>
      <c r="T1769" t="s">
        <v>211</v>
      </c>
      <c r="U1769" t="s">
        <v>124</v>
      </c>
      <c r="V1769" t="s">
        <v>315</v>
      </c>
      <c r="W1769">
        <v>4.8</v>
      </c>
      <c r="X1769" t="s">
        <v>41</v>
      </c>
      <c r="Y1769" t="s">
        <v>55</v>
      </c>
      <c r="Z1769">
        <v>2</v>
      </c>
    </row>
    <row r="1770" spans="1:26">
      <c r="A1770" t="s">
        <v>2886</v>
      </c>
      <c r="B1770" t="s">
        <v>646</v>
      </c>
      <c r="C1770" t="s">
        <v>28</v>
      </c>
      <c r="D1770" t="s">
        <v>95</v>
      </c>
      <c r="E1770" s="1">
        <v>44917</v>
      </c>
      <c r="F1770" t="s">
        <v>47</v>
      </c>
      <c r="G1770" t="s">
        <v>218</v>
      </c>
      <c r="H1770" t="s">
        <v>59</v>
      </c>
      <c r="I1770">
        <v>9</v>
      </c>
      <c r="J1770" t="s">
        <v>67</v>
      </c>
      <c r="K1770">
        <v>1</v>
      </c>
      <c r="L1770" s="3">
        <v>7899</v>
      </c>
      <c r="M1770">
        <v>5</v>
      </c>
      <c r="N1770" s="3">
        <v>7500</v>
      </c>
      <c r="O1770" s="3">
        <v>7500</v>
      </c>
      <c r="P1770" t="s">
        <v>74</v>
      </c>
      <c r="Q1770" t="s">
        <v>35</v>
      </c>
      <c r="R1770" t="s">
        <v>36</v>
      </c>
      <c r="S1770" t="s">
        <v>160</v>
      </c>
      <c r="T1770" t="s">
        <v>161</v>
      </c>
      <c r="U1770" t="s">
        <v>39</v>
      </c>
      <c r="V1770" t="s">
        <v>969</v>
      </c>
      <c r="W1770">
        <v>4.8</v>
      </c>
      <c r="X1770" t="s">
        <v>62</v>
      </c>
      <c r="Y1770" t="s">
        <v>42</v>
      </c>
      <c r="Z1770">
        <v>2</v>
      </c>
    </row>
    <row r="1771" spans="1:26">
      <c r="A1771" t="s">
        <v>2887</v>
      </c>
      <c r="B1771" t="s">
        <v>2888</v>
      </c>
      <c r="C1771" t="s">
        <v>28</v>
      </c>
      <c r="D1771" t="s">
        <v>29</v>
      </c>
      <c r="E1771" s="1">
        <v>44917</v>
      </c>
      <c r="F1771" t="s">
        <v>86</v>
      </c>
      <c r="G1771" t="s">
        <v>116</v>
      </c>
      <c r="H1771" t="s">
        <v>49</v>
      </c>
      <c r="I1771">
        <v>8</v>
      </c>
      <c r="J1771" t="s">
        <v>73</v>
      </c>
      <c r="K1771">
        <v>1</v>
      </c>
      <c r="L1771" s="3">
        <v>8599</v>
      </c>
      <c r="M1771">
        <v>15</v>
      </c>
      <c r="N1771" s="3">
        <v>7310</v>
      </c>
      <c r="O1771" s="3">
        <v>7310</v>
      </c>
      <c r="P1771" t="s">
        <v>74</v>
      </c>
      <c r="Q1771" t="s">
        <v>35</v>
      </c>
      <c r="R1771" t="s">
        <v>36</v>
      </c>
      <c r="S1771" t="s">
        <v>384</v>
      </c>
      <c r="T1771" t="s">
        <v>444</v>
      </c>
      <c r="U1771" t="s">
        <v>124</v>
      </c>
      <c r="V1771" t="s">
        <v>40</v>
      </c>
      <c r="W1771">
        <v>4.5</v>
      </c>
      <c r="X1771" t="s">
        <v>62</v>
      </c>
      <c r="Y1771" t="s">
        <v>42</v>
      </c>
      <c r="Z1771">
        <v>5</v>
      </c>
    </row>
    <row r="1772" spans="1:26">
      <c r="A1772" t="s">
        <v>2889</v>
      </c>
      <c r="B1772" t="s">
        <v>1440</v>
      </c>
      <c r="C1772" t="s">
        <v>28</v>
      </c>
      <c r="D1772" t="s">
        <v>29</v>
      </c>
      <c r="E1772" s="1">
        <v>44917</v>
      </c>
      <c r="F1772" t="s">
        <v>96</v>
      </c>
      <c r="G1772" t="s">
        <v>171</v>
      </c>
      <c r="H1772" t="s">
        <v>128</v>
      </c>
      <c r="I1772">
        <v>8</v>
      </c>
      <c r="J1772" t="s">
        <v>33</v>
      </c>
      <c r="K1772">
        <v>2</v>
      </c>
      <c r="L1772" s="3">
        <v>9299</v>
      </c>
      <c r="M1772">
        <v>0</v>
      </c>
      <c r="N1772" s="3">
        <v>9300</v>
      </c>
      <c r="O1772" s="3">
        <v>18600</v>
      </c>
      <c r="P1772" t="s">
        <v>74</v>
      </c>
      <c r="Q1772" t="s">
        <v>51</v>
      </c>
      <c r="R1772" t="s">
        <v>36</v>
      </c>
      <c r="S1772" t="s">
        <v>182</v>
      </c>
      <c r="T1772" t="s">
        <v>604</v>
      </c>
      <c r="U1772" t="s">
        <v>91</v>
      </c>
      <c r="V1772" t="s">
        <v>315</v>
      </c>
      <c r="W1772">
        <v>3.6</v>
      </c>
      <c r="X1772" t="s">
        <v>41</v>
      </c>
      <c r="Y1772" t="s">
        <v>147</v>
      </c>
      <c r="Z1772">
        <v>1</v>
      </c>
    </row>
    <row r="1773" spans="1:26">
      <c r="A1773" t="s">
        <v>2890</v>
      </c>
      <c r="B1773" t="s">
        <v>584</v>
      </c>
      <c r="C1773" t="s">
        <v>94</v>
      </c>
      <c r="D1773" t="s">
        <v>103</v>
      </c>
      <c r="E1773" s="1">
        <v>44917</v>
      </c>
      <c r="F1773" t="s">
        <v>30</v>
      </c>
      <c r="G1773" t="s">
        <v>31</v>
      </c>
      <c r="H1773" t="s">
        <v>32</v>
      </c>
      <c r="I1773">
        <v>12</v>
      </c>
      <c r="J1773" t="s">
        <v>33</v>
      </c>
      <c r="K1773">
        <v>2</v>
      </c>
      <c r="L1773" s="3">
        <v>6999</v>
      </c>
      <c r="M1773">
        <v>5</v>
      </c>
      <c r="N1773" s="3">
        <v>6650</v>
      </c>
      <c r="O1773" s="3">
        <v>13300</v>
      </c>
      <c r="P1773" t="s">
        <v>34</v>
      </c>
      <c r="Q1773" t="s">
        <v>51</v>
      </c>
      <c r="R1773" t="s">
        <v>36</v>
      </c>
      <c r="S1773" t="s">
        <v>191</v>
      </c>
      <c r="T1773" t="s">
        <v>192</v>
      </c>
      <c r="U1773" t="s">
        <v>54</v>
      </c>
      <c r="V1773" t="s">
        <v>969</v>
      </c>
      <c r="W1773">
        <v>4.5</v>
      </c>
      <c r="X1773" t="s">
        <v>41</v>
      </c>
      <c r="Y1773" t="s">
        <v>147</v>
      </c>
      <c r="Z1773">
        <v>2</v>
      </c>
    </row>
    <row r="1774" spans="1:26">
      <c r="A1774" t="s">
        <v>2891</v>
      </c>
      <c r="B1774" t="s">
        <v>1107</v>
      </c>
      <c r="C1774" t="s">
        <v>28</v>
      </c>
      <c r="D1774" t="s">
        <v>103</v>
      </c>
      <c r="E1774" s="1">
        <v>44918</v>
      </c>
      <c r="F1774" t="s">
        <v>30</v>
      </c>
      <c r="G1774" t="s">
        <v>110</v>
      </c>
      <c r="H1774" t="s">
        <v>111</v>
      </c>
      <c r="I1774">
        <v>12</v>
      </c>
      <c r="J1774" t="s">
        <v>150</v>
      </c>
      <c r="K1774">
        <v>1</v>
      </c>
      <c r="L1774" s="3">
        <v>7999</v>
      </c>
      <c r="M1774">
        <v>30</v>
      </c>
      <c r="N1774" s="3">
        <v>5600</v>
      </c>
      <c r="O1774" s="3">
        <v>5600</v>
      </c>
      <c r="P1774" t="s">
        <v>74</v>
      </c>
      <c r="Q1774" t="s">
        <v>35</v>
      </c>
      <c r="R1774" t="s">
        <v>36</v>
      </c>
      <c r="S1774" t="s">
        <v>75</v>
      </c>
      <c r="T1774" t="s">
        <v>76</v>
      </c>
      <c r="U1774" t="s">
        <v>54</v>
      </c>
      <c r="V1774" t="s">
        <v>969</v>
      </c>
      <c r="W1774">
        <v>3</v>
      </c>
      <c r="X1774" t="s">
        <v>41</v>
      </c>
      <c r="Y1774" t="s">
        <v>55</v>
      </c>
      <c r="Z1774">
        <v>3</v>
      </c>
    </row>
    <row r="1775" spans="1:26">
      <c r="A1775" t="s">
        <v>2892</v>
      </c>
      <c r="B1775" t="s">
        <v>1895</v>
      </c>
      <c r="C1775" t="s">
        <v>28</v>
      </c>
      <c r="D1775" t="s">
        <v>46</v>
      </c>
      <c r="E1775" s="1">
        <v>44918</v>
      </c>
      <c r="F1775" t="s">
        <v>86</v>
      </c>
      <c r="G1775" t="s">
        <v>87</v>
      </c>
      <c r="H1775" t="s">
        <v>59</v>
      </c>
      <c r="I1775">
        <v>8</v>
      </c>
      <c r="J1775" t="s">
        <v>67</v>
      </c>
      <c r="K1775">
        <v>2</v>
      </c>
      <c r="L1775" s="3">
        <v>8699</v>
      </c>
      <c r="M1775">
        <v>10</v>
      </c>
      <c r="N1775" s="3">
        <v>7830</v>
      </c>
      <c r="O1775" s="3">
        <v>15660</v>
      </c>
      <c r="P1775" t="s">
        <v>74</v>
      </c>
      <c r="Q1775" t="s">
        <v>51</v>
      </c>
      <c r="R1775" t="s">
        <v>36</v>
      </c>
      <c r="S1775" t="s">
        <v>338</v>
      </c>
      <c r="T1775" t="s">
        <v>449</v>
      </c>
      <c r="U1775" t="s">
        <v>54</v>
      </c>
      <c r="V1775" t="s">
        <v>315</v>
      </c>
      <c r="W1775">
        <v>4.7</v>
      </c>
      <c r="X1775" t="s">
        <v>62</v>
      </c>
      <c r="Y1775" t="s">
        <v>147</v>
      </c>
      <c r="Z1775">
        <v>1</v>
      </c>
    </row>
    <row r="1776" spans="1:26">
      <c r="A1776" t="s">
        <v>2893</v>
      </c>
      <c r="B1776" t="s">
        <v>2468</v>
      </c>
      <c r="C1776" t="s">
        <v>94</v>
      </c>
      <c r="D1776" t="s">
        <v>95</v>
      </c>
      <c r="E1776" s="1">
        <v>44918</v>
      </c>
      <c r="F1776" t="s">
        <v>96</v>
      </c>
      <c r="G1776" t="s">
        <v>290</v>
      </c>
      <c r="H1776" t="s">
        <v>32</v>
      </c>
      <c r="I1776">
        <v>8</v>
      </c>
      <c r="J1776" t="s">
        <v>98</v>
      </c>
      <c r="K1776">
        <v>1</v>
      </c>
      <c r="L1776" s="3">
        <v>6299</v>
      </c>
      <c r="M1776">
        <v>25</v>
      </c>
      <c r="N1776" s="3">
        <v>4720</v>
      </c>
      <c r="O1776" s="3">
        <v>4720</v>
      </c>
      <c r="P1776" t="s">
        <v>74</v>
      </c>
      <c r="Q1776" t="s">
        <v>51</v>
      </c>
      <c r="R1776" t="s">
        <v>36</v>
      </c>
      <c r="S1776" t="s">
        <v>286</v>
      </c>
      <c r="T1776" t="s">
        <v>737</v>
      </c>
      <c r="U1776" t="s">
        <v>54</v>
      </c>
      <c r="V1776" t="s">
        <v>315</v>
      </c>
      <c r="W1776">
        <v>4.7</v>
      </c>
      <c r="X1776" t="s">
        <v>62</v>
      </c>
      <c r="Y1776" t="s">
        <v>42</v>
      </c>
      <c r="Z1776">
        <v>4</v>
      </c>
    </row>
    <row r="1777" spans="1:26">
      <c r="A1777" t="s">
        <v>2894</v>
      </c>
      <c r="B1777" t="s">
        <v>2213</v>
      </c>
      <c r="C1777" t="s">
        <v>28</v>
      </c>
      <c r="D1777" t="s">
        <v>29</v>
      </c>
      <c r="E1777" s="1">
        <v>44919</v>
      </c>
      <c r="F1777" t="s">
        <v>86</v>
      </c>
      <c r="G1777" t="s">
        <v>285</v>
      </c>
      <c r="H1777" t="s">
        <v>111</v>
      </c>
      <c r="I1777">
        <v>7</v>
      </c>
      <c r="J1777" t="s">
        <v>73</v>
      </c>
      <c r="K1777">
        <v>1</v>
      </c>
      <c r="L1777" s="3">
        <v>6299</v>
      </c>
      <c r="M1777">
        <v>10</v>
      </c>
      <c r="N1777" s="3">
        <v>5670</v>
      </c>
      <c r="O1777" s="3">
        <v>5670</v>
      </c>
      <c r="P1777" t="s">
        <v>74</v>
      </c>
      <c r="Q1777" t="s">
        <v>51</v>
      </c>
      <c r="R1777" t="s">
        <v>36</v>
      </c>
      <c r="S1777" t="s">
        <v>141</v>
      </c>
      <c r="T1777" t="s">
        <v>362</v>
      </c>
      <c r="U1777" t="s">
        <v>39</v>
      </c>
      <c r="V1777" t="s">
        <v>315</v>
      </c>
      <c r="W1777">
        <v>4</v>
      </c>
      <c r="X1777" t="s">
        <v>41</v>
      </c>
      <c r="Y1777" t="s">
        <v>55</v>
      </c>
      <c r="Z1777">
        <v>1</v>
      </c>
    </row>
    <row r="1778" spans="1:26">
      <c r="A1778" t="s">
        <v>2895</v>
      </c>
      <c r="B1778" t="s">
        <v>2398</v>
      </c>
      <c r="C1778" t="s">
        <v>45</v>
      </c>
      <c r="D1778" t="s">
        <v>46</v>
      </c>
      <c r="E1778" s="1">
        <v>44920</v>
      </c>
      <c r="F1778" t="s">
        <v>30</v>
      </c>
      <c r="G1778" t="s">
        <v>110</v>
      </c>
      <c r="H1778" t="s">
        <v>111</v>
      </c>
      <c r="I1778">
        <v>9</v>
      </c>
      <c r="J1778" t="s">
        <v>67</v>
      </c>
      <c r="K1778">
        <v>1</v>
      </c>
      <c r="L1778" s="3">
        <v>7299</v>
      </c>
      <c r="M1778">
        <v>35</v>
      </c>
      <c r="N1778" s="3">
        <v>4740</v>
      </c>
      <c r="O1778" s="3">
        <v>4740</v>
      </c>
      <c r="P1778" t="s">
        <v>34</v>
      </c>
      <c r="Q1778" t="s">
        <v>82</v>
      </c>
      <c r="R1778" t="s">
        <v>36</v>
      </c>
      <c r="S1778" t="s">
        <v>354</v>
      </c>
      <c r="T1778" t="s">
        <v>434</v>
      </c>
      <c r="U1778" t="s">
        <v>54</v>
      </c>
      <c r="V1778" t="s">
        <v>969</v>
      </c>
      <c r="W1778">
        <v>5</v>
      </c>
      <c r="X1778" t="s">
        <v>41</v>
      </c>
      <c r="Y1778" t="s">
        <v>42</v>
      </c>
      <c r="Z1778">
        <v>4</v>
      </c>
    </row>
    <row r="1779" spans="1:26">
      <c r="A1779" t="s">
        <v>2896</v>
      </c>
      <c r="B1779" t="s">
        <v>860</v>
      </c>
      <c r="C1779" t="s">
        <v>28</v>
      </c>
      <c r="D1779" t="s">
        <v>109</v>
      </c>
      <c r="E1779" s="1">
        <v>44920</v>
      </c>
      <c r="F1779" t="s">
        <v>96</v>
      </c>
      <c r="G1779" t="s">
        <v>155</v>
      </c>
      <c r="H1779" t="s">
        <v>111</v>
      </c>
      <c r="I1779">
        <v>8</v>
      </c>
      <c r="J1779" t="s">
        <v>98</v>
      </c>
      <c r="K1779">
        <v>1</v>
      </c>
      <c r="L1779" s="3">
        <v>7299</v>
      </c>
      <c r="M1779">
        <v>0</v>
      </c>
      <c r="N1779" s="3">
        <v>7300</v>
      </c>
      <c r="O1779" s="3">
        <v>7300</v>
      </c>
      <c r="P1779" t="s">
        <v>74</v>
      </c>
      <c r="Q1779" t="s">
        <v>51</v>
      </c>
      <c r="R1779" t="s">
        <v>36</v>
      </c>
      <c r="S1779" t="s">
        <v>418</v>
      </c>
      <c r="T1779" t="s">
        <v>549</v>
      </c>
      <c r="U1779" t="s">
        <v>91</v>
      </c>
      <c r="V1779" t="s">
        <v>969</v>
      </c>
      <c r="W1779">
        <v>3.8</v>
      </c>
      <c r="X1779" t="s">
        <v>41</v>
      </c>
      <c r="Y1779" t="s">
        <v>42</v>
      </c>
      <c r="Z1779">
        <v>3</v>
      </c>
    </row>
    <row r="1780" spans="1:26">
      <c r="A1780" t="s">
        <v>2897</v>
      </c>
      <c r="B1780" t="s">
        <v>2898</v>
      </c>
      <c r="C1780" t="s">
        <v>28</v>
      </c>
      <c r="D1780" t="s">
        <v>46</v>
      </c>
      <c r="E1780" s="1">
        <v>44920</v>
      </c>
      <c r="F1780" t="s">
        <v>96</v>
      </c>
      <c r="G1780" t="s">
        <v>155</v>
      </c>
      <c r="H1780" t="s">
        <v>111</v>
      </c>
      <c r="I1780">
        <v>7</v>
      </c>
      <c r="J1780" t="s">
        <v>73</v>
      </c>
      <c r="K1780">
        <v>1</v>
      </c>
      <c r="L1780" s="3">
        <v>9099</v>
      </c>
      <c r="M1780">
        <v>20</v>
      </c>
      <c r="N1780" s="3">
        <v>7280</v>
      </c>
      <c r="O1780" s="3">
        <v>7280</v>
      </c>
      <c r="P1780" t="s">
        <v>34</v>
      </c>
      <c r="Q1780" t="s">
        <v>35</v>
      </c>
      <c r="R1780" t="s">
        <v>36</v>
      </c>
      <c r="S1780" t="s">
        <v>210</v>
      </c>
      <c r="T1780" t="s">
        <v>415</v>
      </c>
      <c r="U1780" t="s">
        <v>54</v>
      </c>
      <c r="V1780" t="s">
        <v>40</v>
      </c>
      <c r="W1780">
        <v>3.3</v>
      </c>
      <c r="X1780" t="s">
        <v>41</v>
      </c>
      <c r="Y1780" t="s">
        <v>42</v>
      </c>
      <c r="Z1780">
        <v>3</v>
      </c>
    </row>
    <row r="1781" spans="1:26">
      <c r="A1781" t="s">
        <v>2899</v>
      </c>
      <c r="B1781" t="s">
        <v>1459</v>
      </c>
      <c r="C1781" t="s">
        <v>45</v>
      </c>
      <c r="D1781" t="s">
        <v>103</v>
      </c>
      <c r="E1781" s="1">
        <v>44921</v>
      </c>
      <c r="F1781" t="s">
        <v>30</v>
      </c>
      <c r="G1781" t="s">
        <v>214</v>
      </c>
      <c r="H1781" t="s">
        <v>128</v>
      </c>
      <c r="I1781">
        <v>8</v>
      </c>
      <c r="J1781" t="s">
        <v>98</v>
      </c>
      <c r="K1781">
        <v>1</v>
      </c>
      <c r="L1781" s="3">
        <v>4999</v>
      </c>
      <c r="M1781">
        <v>20</v>
      </c>
      <c r="N1781" s="3">
        <v>4000</v>
      </c>
      <c r="O1781" s="3">
        <v>4000</v>
      </c>
      <c r="P1781" t="s">
        <v>74</v>
      </c>
      <c r="Q1781" t="s">
        <v>51</v>
      </c>
      <c r="R1781" t="s">
        <v>36</v>
      </c>
      <c r="S1781" t="s">
        <v>338</v>
      </c>
      <c r="T1781" t="s">
        <v>449</v>
      </c>
      <c r="U1781" t="s">
        <v>39</v>
      </c>
      <c r="V1781" t="s">
        <v>315</v>
      </c>
      <c r="W1781">
        <v>3.7</v>
      </c>
      <c r="X1781" t="s">
        <v>41</v>
      </c>
      <c r="Y1781" t="s">
        <v>42</v>
      </c>
      <c r="Z1781">
        <v>2</v>
      </c>
    </row>
    <row r="1782" spans="1:26">
      <c r="A1782" t="s">
        <v>2900</v>
      </c>
      <c r="B1782" t="s">
        <v>1281</v>
      </c>
      <c r="C1782" t="s">
        <v>28</v>
      </c>
      <c r="D1782" t="s">
        <v>46</v>
      </c>
      <c r="E1782" s="1">
        <v>44921</v>
      </c>
      <c r="F1782" t="s">
        <v>47</v>
      </c>
      <c r="G1782" t="s">
        <v>48</v>
      </c>
      <c r="H1782" t="s">
        <v>49</v>
      </c>
      <c r="I1782">
        <v>9</v>
      </c>
      <c r="J1782" t="s">
        <v>33</v>
      </c>
      <c r="K1782">
        <v>1</v>
      </c>
      <c r="L1782" s="3">
        <v>4499</v>
      </c>
      <c r="M1782">
        <v>15</v>
      </c>
      <c r="N1782" s="3">
        <v>3820</v>
      </c>
      <c r="O1782" s="3">
        <v>3820</v>
      </c>
      <c r="P1782" t="s">
        <v>34</v>
      </c>
      <c r="Q1782" t="s">
        <v>51</v>
      </c>
      <c r="R1782" t="s">
        <v>36</v>
      </c>
      <c r="S1782" t="s">
        <v>286</v>
      </c>
      <c r="T1782" t="s">
        <v>768</v>
      </c>
      <c r="U1782" t="s">
        <v>124</v>
      </c>
      <c r="V1782" t="s">
        <v>315</v>
      </c>
      <c r="W1782">
        <v>3.2</v>
      </c>
      <c r="X1782" t="s">
        <v>41</v>
      </c>
      <c r="Y1782" t="s">
        <v>55</v>
      </c>
      <c r="Z1782">
        <v>1</v>
      </c>
    </row>
    <row r="1783" spans="1:26">
      <c r="A1783" t="s">
        <v>2901</v>
      </c>
      <c r="B1783" t="s">
        <v>376</v>
      </c>
      <c r="C1783" t="s">
        <v>28</v>
      </c>
      <c r="D1783" t="s">
        <v>103</v>
      </c>
      <c r="E1783" s="1">
        <v>44921</v>
      </c>
      <c r="F1783" t="s">
        <v>30</v>
      </c>
      <c r="G1783" t="s">
        <v>31</v>
      </c>
      <c r="H1783" t="s">
        <v>32</v>
      </c>
      <c r="I1783">
        <v>8</v>
      </c>
      <c r="J1783" t="s">
        <v>67</v>
      </c>
      <c r="K1783">
        <v>1</v>
      </c>
      <c r="L1783" s="3">
        <v>7499</v>
      </c>
      <c r="M1783">
        <v>0</v>
      </c>
      <c r="N1783" s="3">
        <v>7500</v>
      </c>
      <c r="O1783" s="3">
        <v>7500</v>
      </c>
      <c r="P1783" t="s">
        <v>50</v>
      </c>
      <c r="Q1783" t="s">
        <v>51</v>
      </c>
      <c r="R1783" t="s">
        <v>36</v>
      </c>
      <c r="S1783" t="s">
        <v>52</v>
      </c>
      <c r="T1783" t="s">
        <v>60</v>
      </c>
      <c r="U1783" t="s">
        <v>39</v>
      </c>
      <c r="V1783" t="s">
        <v>969</v>
      </c>
      <c r="W1783">
        <v>3.6</v>
      </c>
      <c r="X1783" t="s">
        <v>41</v>
      </c>
      <c r="Y1783" t="s">
        <v>55</v>
      </c>
      <c r="Z1783">
        <v>2</v>
      </c>
    </row>
    <row r="1784" spans="1:26">
      <c r="A1784" t="s">
        <v>2902</v>
      </c>
      <c r="B1784" t="s">
        <v>1279</v>
      </c>
      <c r="C1784" t="s">
        <v>28</v>
      </c>
      <c r="D1784" t="s">
        <v>95</v>
      </c>
      <c r="E1784" s="1">
        <v>44922</v>
      </c>
      <c r="F1784" t="s">
        <v>30</v>
      </c>
      <c r="G1784" t="s">
        <v>214</v>
      </c>
      <c r="H1784" t="s">
        <v>128</v>
      </c>
      <c r="I1784">
        <v>9</v>
      </c>
      <c r="J1784" t="s">
        <v>150</v>
      </c>
      <c r="K1784">
        <v>1</v>
      </c>
      <c r="L1784" s="3">
        <v>3899</v>
      </c>
      <c r="M1784">
        <v>15</v>
      </c>
      <c r="N1784" s="3">
        <v>3310</v>
      </c>
      <c r="O1784" s="3">
        <v>3310</v>
      </c>
      <c r="P1784" t="s">
        <v>74</v>
      </c>
      <c r="Q1784" t="s">
        <v>51</v>
      </c>
      <c r="R1784" t="s">
        <v>36</v>
      </c>
      <c r="S1784" t="s">
        <v>418</v>
      </c>
      <c r="T1784" t="s">
        <v>924</v>
      </c>
      <c r="U1784" t="s">
        <v>91</v>
      </c>
      <c r="V1784" t="s">
        <v>969</v>
      </c>
      <c r="W1784">
        <v>3.2</v>
      </c>
      <c r="X1784" t="s">
        <v>41</v>
      </c>
      <c r="Y1784" t="s">
        <v>42</v>
      </c>
      <c r="Z1784">
        <v>3</v>
      </c>
    </row>
    <row r="1785" spans="1:26">
      <c r="A1785" t="s">
        <v>2903</v>
      </c>
      <c r="B1785" t="s">
        <v>1279</v>
      </c>
      <c r="C1785" t="s">
        <v>28</v>
      </c>
      <c r="D1785" t="s">
        <v>46</v>
      </c>
      <c r="E1785" s="1">
        <v>44922</v>
      </c>
      <c r="F1785" t="s">
        <v>86</v>
      </c>
      <c r="G1785" t="s">
        <v>312</v>
      </c>
      <c r="H1785" t="s">
        <v>59</v>
      </c>
      <c r="I1785">
        <v>9</v>
      </c>
      <c r="J1785" t="s">
        <v>73</v>
      </c>
      <c r="K1785">
        <v>1</v>
      </c>
      <c r="L1785" s="3">
        <v>7499</v>
      </c>
      <c r="M1785">
        <v>20</v>
      </c>
      <c r="N1785" s="3">
        <v>6000</v>
      </c>
      <c r="O1785" s="3">
        <v>6000</v>
      </c>
      <c r="P1785" t="s">
        <v>74</v>
      </c>
      <c r="Q1785" t="s">
        <v>51</v>
      </c>
      <c r="R1785" t="s">
        <v>36</v>
      </c>
      <c r="S1785" t="s">
        <v>210</v>
      </c>
      <c r="T1785" t="s">
        <v>211</v>
      </c>
      <c r="U1785" t="s">
        <v>54</v>
      </c>
      <c r="V1785" t="s">
        <v>969</v>
      </c>
      <c r="W1785">
        <v>4.5999999999999996</v>
      </c>
      <c r="X1785" t="s">
        <v>41</v>
      </c>
      <c r="Y1785" t="s">
        <v>147</v>
      </c>
      <c r="Z1785">
        <v>1</v>
      </c>
    </row>
    <row r="1786" spans="1:26">
      <c r="A1786" t="s">
        <v>2904</v>
      </c>
      <c r="B1786" t="s">
        <v>1668</v>
      </c>
      <c r="C1786" t="s">
        <v>94</v>
      </c>
      <c r="D1786" t="s">
        <v>103</v>
      </c>
      <c r="E1786" s="1">
        <v>44923</v>
      </c>
      <c r="F1786" t="s">
        <v>96</v>
      </c>
      <c r="G1786" t="s">
        <v>323</v>
      </c>
      <c r="H1786" t="s">
        <v>59</v>
      </c>
      <c r="I1786">
        <v>8</v>
      </c>
      <c r="J1786" t="s">
        <v>150</v>
      </c>
      <c r="K1786">
        <v>2</v>
      </c>
      <c r="L1786" s="3">
        <v>8899</v>
      </c>
      <c r="M1786">
        <v>0</v>
      </c>
      <c r="N1786" s="3">
        <v>8900</v>
      </c>
      <c r="O1786" s="3">
        <v>17800</v>
      </c>
      <c r="P1786" t="s">
        <v>74</v>
      </c>
      <c r="Q1786" t="s">
        <v>35</v>
      </c>
      <c r="R1786" t="s">
        <v>36</v>
      </c>
      <c r="S1786" t="s">
        <v>156</v>
      </c>
      <c r="T1786" t="s">
        <v>157</v>
      </c>
      <c r="U1786" t="s">
        <v>39</v>
      </c>
      <c r="V1786" t="s">
        <v>315</v>
      </c>
      <c r="W1786">
        <v>3.3</v>
      </c>
      <c r="X1786" t="s">
        <v>41</v>
      </c>
      <c r="Y1786" t="s">
        <v>55</v>
      </c>
      <c r="Z1786">
        <v>2</v>
      </c>
    </row>
    <row r="1787" spans="1:26">
      <c r="A1787" t="s">
        <v>2905</v>
      </c>
      <c r="B1787" t="s">
        <v>490</v>
      </c>
      <c r="C1787" t="s">
        <v>94</v>
      </c>
      <c r="D1787" t="s">
        <v>29</v>
      </c>
      <c r="E1787" s="1">
        <v>44923</v>
      </c>
      <c r="F1787" t="s">
        <v>47</v>
      </c>
      <c r="G1787" t="s">
        <v>402</v>
      </c>
      <c r="H1787" t="s">
        <v>32</v>
      </c>
      <c r="I1787">
        <v>9</v>
      </c>
      <c r="J1787" t="s">
        <v>98</v>
      </c>
      <c r="K1787">
        <v>1</v>
      </c>
      <c r="L1787" s="3">
        <v>5499</v>
      </c>
      <c r="M1787">
        <v>15</v>
      </c>
      <c r="N1787" s="3">
        <v>4670</v>
      </c>
      <c r="O1787" s="3">
        <v>4670</v>
      </c>
      <c r="P1787" t="s">
        <v>34</v>
      </c>
      <c r="Q1787" t="s">
        <v>82</v>
      </c>
      <c r="R1787" t="s">
        <v>36</v>
      </c>
      <c r="S1787" t="s">
        <v>191</v>
      </c>
      <c r="T1787" t="s">
        <v>572</v>
      </c>
      <c r="U1787" t="s">
        <v>91</v>
      </c>
      <c r="V1787" t="s">
        <v>315</v>
      </c>
      <c r="W1787">
        <v>5</v>
      </c>
      <c r="X1787" t="s">
        <v>41</v>
      </c>
      <c r="Y1787" t="s">
        <v>42</v>
      </c>
      <c r="Z1787">
        <v>6</v>
      </c>
    </row>
    <row r="1788" spans="1:26">
      <c r="A1788" t="s">
        <v>2906</v>
      </c>
      <c r="B1788" t="s">
        <v>1132</v>
      </c>
      <c r="C1788" t="s">
        <v>28</v>
      </c>
      <c r="D1788" t="s">
        <v>29</v>
      </c>
      <c r="E1788" s="1">
        <v>44923</v>
      </c>
      <c r="F1788" t="s">
        <v>96</v>
      </c>
      <c r="G1788" t="s">
        <v>323</v>
      </c>
      <c r="H1788" t="s">
        <v>59</v>
      </c>
      <c r="I1788">
        <v>8</v>
      </c>
      <c r="J1788" t="s">
        <v>73</v>
      </c>
      <c r="K1788">
        <v>2</v>
      </c>
      <c r="L1788" s="3">
        <v>9399</v>
      </c>
      <c r="M1788">
        <v>15</v>
      </c>
      <c r="N1788" s="3">
        <v>7990</v>
      </c>
      <c r="O1788" s="3">
        <v>15980</v>
      </c>
      <c r="P1788" t="s">
        <v>34</v>
      </c>
      <c r="Q1788" t="s">
        <v>51</v>
      </c>
      <c r="R1788" t="s">
        <v>36</v>
      </c>
      <c r="S1788" t="s">
        <v>238</v>
      </c>
      <c r="T1788" t="s">
        <v>498</v>
      </c>
      <c r="U1788" t="s">
        <v>54</v>
      </c>
      <c r="V1788" t="s">
        <v>969</v>
      </c>
      <c r="W1788">
        <v>3.9</v>
      </c>
      <c r="X1788" t="s">
        <v>41</v>
      </c>
      <c r="Y1788" t="s">
        <v>42</v>
      </c>
      <c r="Z1788">
        <v>3</v>
      </c>
    </row>
    <row r="1789" spans="1:26">
      <c r="A1789" t="s">
        <v>2907</v>
      </c>
      <c r="B1789" t="s">
        <v>1399</v>
      </c>
      <c r="C1789" t="s">
        <v>45</v>
      </c>
      <c r="D1789" t="s">
        <v>46</v>
      </c>
      <c r="E1789" s="1">
        <v>44923</v>
      </c>
      <c r="F1789" t="s">
        <v>86</v>
      </c>
      <c r="G1789" t="s">
        <v>116</v>
      </c>
      <c r="H1789" t="s">
        <v>49</v>
      </c>
      <c r="I1789">
        <v>8</v>
      </c>
      <c r="J1789" t="s">
        <v>67</v>
      </c>
      <c r="K1789">
        <v>1</v>
      </c>
      <c r="L1789" s="3">
        <v>8399</v>
      </c>
      <c r="M1789">
        <v>10</v>
      </c>
      <c r="N1789" s="3">
        <v>7560</v>
      </c>
      <c r="O1789" s="3">
        <v>7560</v>
      </c>
      <c r="P1789" t="s">
        <v>74</v>
      </c>
      <c r="Q1789" t="s">
        <v>82</v>
      </c>
      <c r="R1789" t="s">
        <v>36</v>
      </c>
      <c r="S1789" t="s">
        <v>182</v>
      </c>
      <c r="T1789" t="s">
        <v>183</v>
      </c>
      <c r="U1789" t="s">
        <v>39</v>
      </c>
      <c r="V1789" t="s">
        <v>315</v>
      </c>
      <c r="W1789">
        <v>4.5</v>
      </c>
      <c r="X1789" t="s">
        <v>41</v>
      </c>
      <c r="Y1789" t="s">
        <v>42</v>
      </c>
      <c r="Z1789">
        <v>5</v>
      </c>
    </row>
    <row r="1790" spans="1:26">
      <c r="A1790" t="s">
        <v>2908</v>
      </c>
      <c r="B1790" t="s">
        <v>2909</v>
      </c>
      <c r="C1790" t="s">
        <v>28</v>
      </c>
      <c r="D1790" t="s">
        <v>46</v>
      </c>
      <c r="E1790" s="1">
        <v>44927</v>
      </c>
      <c r="F1790" t="s">
        <v>86</v>
      </c>
      <c r="G1790" t="s">
        <v>87</v>
      </c>
      <c r="H1790" t="s">
        <v>59</v>
      </c>
      <c r="I1790">
        <v>8</v>
      </c>
      <c r="J1790" t="s">
        <v>73</v>
      </c>
      <c r="K1790">
        <v>1</v>
      </c>
      <c r="L1790" s="3">
        <v>6699</v>
      </c>
      <c r="M1790">
        <v>10</v>
      </c>
      <c r="N1790" s="3">
        <v>6030</v>
      </c>
      <c r="O1790" s="3">
        <v>6030</v>
      </c>
      <c r="P1790" t="s">
        <v>34</v>
      </c>
      <c r="Q1790" t="s">
        <v>82</v>
      </c>
      <c r="R1790" t="s">
        <v>36</v>
      </c>
      <c r="S1790" t="s">
        <v>136</v>
      </c>
      <c r="T1790" t="s">
        <v>638</v>
      </c>
      <c r="U1790" t="s">
        <v>124</v>
      </c>
      <c r="V1790" t="s">
        <v>40</v>
      </c>
      <c r="W1790">
        <v>4.0999999999999996</v>
      </c>
      <c r="X1790" t="s">
        <v>62</v>
      </c>
      <c r="Y1790" t="s">
        <v>42</v>
      </c>
      <c r="Z1790">
        <v>5</v>
      </c>
    </row>
    <row r="1791" spans="1:26">
      <c r="A1791" t="s">
        <v>2910</v>
      </c>
      <c r="B1791" t="s">
        <v>2690</v>
      </c>
      <c r="C1791" t="s">
        <v>45</v>
      </c>
      <c r="D1791" t="s">
        <v>46</v>
      </c>
      <c r="E1791" s="1">
        <v>44927</v>
      </c>
      <c r="F1791" t="s">
        <v>65</v>
      </c>
      <c r="G1791" t="s">
        <v>268</v>
      </c>
      <c r="H1791" t="s">
        <v>128</v>
      </c>
      <c r="I1791">
        <v>7</v>
      </c>
      <c r="J1791" t="s">
        <v>33</v>
      </c>
      <c r="K1791">
        <v>4</v>
      </c>
      <c r="L1791" s="3">
        <v>6999</v>
      </c>
      <c r="M1791">
        <v>5</v>
      </c>
      <c r="N1791" s="3">
        <v>6650</v>
      </c>
      <c r="O1791" s="3">
        <v>26600</v>
      </c>
      <c r="P1791" t="s">
        <v>74</v>
      </c>
      <c r="Q1791" t="s">
        <v>51</v>
      </c>
      <c r="R1791" t="s">
        <v>36</v>
      </c>
      <c r="S1791" t="s">
        <v>418</v>
      </c>
      <c r="T1791" t="s">
        <v>549</v>
      </c>
      <c r="U1791" t="s">
        <v>91</v>
      </c>
      <c r="V1791" t="s">
        <v>315</v>
      </c>
      <c r="W1791">
        <v>4.5</v>
      </c>
      <c r="X1791" t="s">
        <v>41</v>
      </c>
      <c r="Y1791" t="s">
        <v>42</v>
      </c>
      <c r="Z1791">
        <v>5</v>
      </c>
    </row>
    <row r="1792" spans="1:26">
      <c r="A1792" t="s">
        <v>2911</v>
      </c>
      <c r="B1792" t="s">
        <v>1417</v>
      </c>
      <c r="C1792" t="s">
        <v>45</v>
      </c>
      <c r="D1792" t="s">
        <v>103</v>
      </c>
      <c r="E1792" s="1">
        <v>44928</v>
      </c>
      <c r="F1792" t="s">
        <v>86</v>
      </c>
      <c r="G1792" t="s">
        <v>312</v>
      </c>
      <c r="H1792" t="s">
        <v>59</v>
      </c>
      <c r="I1792">
        <v>9</v>
      </c>
      <c r="J1792" t="s">
        <v>33</v>
      </c>
      <c r="K1792">
        <v>1</v>
      </c>
      <c r="L1792" s="3">
        <v>9399</v>
      </c>
      <c r="M1792">
        <v>40</v>
      </c>
      <c r="N1792" s="3">
        <v>5640</v>
      </c>
      <c r="O1792" s="3">
        <v>5640</v>
      </c>
      <c r="P1792" t="s">
        <v>74</v>
      </c>
      <c r="Q1792" t="s">
        <v>82</v>
      </c>
      <c r="R1792" t="s">
        <v>36</v>
      </c>
      <c r="S1792" t="s">
        <v>104</v>
      </c>
      <c r="T1792" t="s">
        <v>1048</v>
      </c>
      <c r="U1792" t="s">
        <v>91</v>
      </c>
      <c r="V1792" t="s">
        <v>315</v>
      </c>
      <c r="W1792">
        <v>3.4</v>
      </c>
      <c r="X1792" t="s">
        <v>41</v>
      </c>
      <c r="Y1792" t="s">
        <v>42</v>
      </c>
      <c r="Z1792">
        <v>7</v>
      </c>
    </row>
    <row r="1793" spans="1:26">
      <c r="A1793" t="s">
        <v>2912</v>
      </c>
      <c r="B1793" t="s">
        <v>2416</v>
      </c>
      <c r="C1793" t="s">
        <v>94</v>
      </c>
      <c r="D1793" t="s">
        <v>46</v>
      </c>
      <c r="E1793" s="1">
        <v>44928</v>
      </c>
      <c r="F1793" t="s">
        <v>79</v>
      </c>
      <c r="G1793" t="s">
        <v>174</v>
      </c>
      <c r="H1793" t="s">
        <v>32</v>
      </c>
      <c r="I1793">
        <v>9</v>
      </c>
      <c r="J1793" t="s">
        <v>150</v>
      </c>
      <c r="K1793">
        <v>1</v>
      </c>
      <c r="L1793" s="3">
        <v>7299</v>
      </c>
      <c r="M1793">
        <v>0</v>
      </c>
      <c r="N1793" s="3">
        <v>7300</v>
      </c>
      <c r="O1793" s="3">
        <v>7300</v>
      </c>
      <c r="P1793" t="s">
        <v>74</v>
      </c>
      <c r="Q1793" t="s">
        <v>82</v>
      </c>
      <c r="R1793" t="s">
        <v>36</v>
      </c>
      <c r="S1793" t="s">
        <v>269</v>
      </c>
      <c r="T1793" t="s">
        <v>270</v>
      </c>
      <c r="U1793" t="s">
        <v>91</v>
      </c>
      <c r="V1793" t="s">
        <v>969</v>
      </c>
      <c r="W1793">
        <v>4.9000000000000004</v>
      </c>
      <c r="X1793" t="s">
        <v>41</v>
      </c>
      <c r="Y1793" t="s">
        <v>55</v>
      </c>
      <c r="Z1793">
        <v>4</v>
      </c>
    </row>
    <row r="1794" spans="1:26">
      <c r="A1794" t="s">
        <v>2913</v>
      </c>
      <c r="B1794" t="s">
        <v>1238</v>
      </c>
      <c r="C1794" t="s">
        <v>28</v>
      </c>
      <c r="D1794" t="s">
        <v>46</v>
      </c>
      <c r="E1794" s="1">
        <v>44929</v>
      </c>
      <c r="F1794" t="s">
        <v>30</v>
      </c>
      <c r="G1794" t="s">
        <v>214</v>
      </c>
      <c r="H1794" t="s">
        <v>128</v>
      </c>
      <c r="I1794">
        <v>8</v>
      </c>
      <c r="J1794" t="s">
        <v>73</v>
      </c>
      <c r="K1794">
        <v>1</v>
      </c>
      <c r="L1794" s="3">
        <v>7199</v>
      </c>
      <c r="M1794">
        <v>15</v>
      </c>
      <c r="N1794" s="3">
        <v>6120</v>
      </c>
      <c r="O1794" s="3">
        <v>6120</v>
      </c>
      <c r="P1794" t="s">
        <v>34</v>
      </c>
      <c r="Q1794" t="s">
        <v>35</v>
      </c>
      <c r="R1794" t="s">
        <v>36</v>
      </c>
      <c r="S1794" t="s">
        <v>286</v>
      </c>
      <c r="T1794" t="s">
        <v>287</v>
      </c>
      <c r="U1794" t="s">
        <v>61</v>
      </c>
      <c r="V1794" t="s">
        <v>315</v>
      </c>
      <c r="W1794">
        <v>3.6</v>
      </c>
      <c r="X1794" t="s">
        <v>106</v>
      </c>
      <c r="Y1794" t="s">
        <v>55</v>
      </c>
      <c r="Z1794">
        <v>2</v>
      </c>
    </row>
    <row r="1795" spans="1:26">
      <c r="A1795" t="s">
        <v>2914</v>
      </c>
      <c r="B1795" t="s">
        <v>2915</v>
      </c>
      <c r="C1795" t="s">
        <v>45</v>
      </c>
      <c r="D1795" t="s">
        <v>103</v>
      </c>
      <c r="E1795" s="1">
        <v>44930</v>
      </c>
      <c r="F1795" t="s">
        <v>86</v>
      </c>
      <c r="G1795" t="s">
        <v>190</v>
      </c>
      <c r="H1795" t="s">
        <v>128</v>
      </c>
      <c r="I1795">
        <v>10</v>
      </c>
      <c r="J1795" t="s">
        <v>150</v>
      </c>
      <c r="K1795">
        <v>1</v>
      </c>
      <c r="L1795" s="3">
        <v>6799</v>
      </c>
      <c r="M1795">
        <v>5</v>
      </c>
      <c r="N1795" s="3">
        <v>6460</v>
      </c>
      <c r="O1795" s="3">
        <v>6460</v>
      </c>
      <c r="P1795" t="s">
        <v>74</v>
      </c>
      <c r="Q1795" t="s">
        <v>51</v>
      </c>
      <c r="R1795" t="s">
        <v>36</v>
      </c>
      <c r="S1795" t="s">
        <v>37</v>
      </c>
      <c r="T1795" t="s">
        <v>484</v>
      </c>
      <c r="U1795" t="s">
        <v>54</v>
      </c>
      <c r="V1795" t="s">
        <v>40</v>
      </c>
      <c r="W1795">
        <v>3.7</v>
      </c>
      <c r="X1795" t="s">
        <v>41</v>
      </c>
      <c r="Y1795" t="s">
        <v>42</v>
      </c>
      <c r="Z1795">
        <v>3</v>
      </c>
    </row>
    <row r="1796" spans="1:26">
      <c r="A1796" t="s">
        <v>2916</v>
      </c>
      <c r="B1796" t="s">
        <v>2917</v>
      </c>
      <c r="C1796" t="s">
        <v>45</v>
      </c>
      <c r="D1796" t="s">
        <v>46</v>
      </c>
      <c r="E1796" s="1">
        <v>44930</v>
      </c>
      <c r="F1796" t="s">
        <v>30</v>
      </c>
      <c r="G1796" t="s">
        <v>347</v>
      </c>
      <c r="H1796" t="s">
        <v>49</v>
      </c>
      <c r="I1796">
        <v>9</v>
      </c>
      <c r="J1796" t="s">
        <v>67</v>
      </c>
      <c r="K1796">
        <v>1</v>
      </c>
      <c r="L1796" s="3">
        <v>4799</v>
      </c>
      <c r="M1796">
        <v>20</v>
      </c>
      <c r="N1796" s="3">
        <v>3840</v>
      </c>
      <c r="O1796" s="3">
        <v>3840</v>
      </c>
      <c r="P1796" t="s">
        <v>74</v>
      </c>
      <c r="Q1796" t="s">
        <v>51</v>
      </c>
      <c r="R1796" t="s">
        <v>36</v>
      </c>
      <c r="S1796" t="s">
        <v>238</v>
      </c>
      <c r="T1796" t="s">
        <v>377</v>
      </c>
      <c r="U1796" t="s">
        <v>54</v>
      </c>
      <c r="V1796" t="s">
        <v>40</v>
      </c>
      <c r="W1796">
        <v>3.6</v>
      </c>
      <c r="X1796" t="s">
        <v>41</v>
      </c>
      <c r="Y1796" t="s">
        <v>55</v>
      </c>
      <c r="Z1796">
        <v>1</v>
      </c>
    </row>
    <row r="1797" spans="1:26">
      <c r="A1797" t="s">
        <v>2918</v>
      </c>
      <c r="B1797" t="s">
        <v>2562</v>
      </c>
      <c r="C1797" t="s">
        <v>28</v>
      </c>
      <c r="D1797" t="s">
        <v>103</v>
      </c>
      <c r="E1797" s="1">
        <v>44932</v>
      </c>
      <c r="F1797" t="s">
        <v>79</v>
      </c>
      <c r="G1797" t="s">
        <v>517</v>
      </c>
      <c r="H1797" t="s">
        <v>59</v>
      </c>
      <c r="I1797">
        <v>6</v>
      </c>
      <c r="J1797" t="s">
        <v>73</v>
      </c>
      <c r="K1797">
        <v>1</v>
      </c>
      <c r="L1797" s="3">
        <v>3399</v>
      </c>
      <c r="M1797">
        <v>10</v>
      </c>
      <c r="N1797" s="3">
        <v>3060</v>
      </c>
      <c r="O1797" s="3">
        <v>3060</v>
      </c>
      <c r="P1797" t="s">
        <v>34</v>
      </c>
      <c r="Q1797" t="s">
        <v>82</v>
      </c>
      <c r="R1797" t="s">
        <v>36</v>
      </c>
      <c r="S1797" t="s">
        <v>175</v>
      </c>
      <c r="T1797" t="s">
        <v>495</v>
      </c>
      <c r="U1797" t="s">
        <v>54</v>
      </c>
      <c r="V1797" t="s">
        <v>315</v>
      </c>
      <c r="W1797">
        <v>5</v>
      </c>
      <c r="X1797" t="s">
        <v>41</v>
      </c>
      <c r="Y1797" t="s">
        <v>55</v>
      </c>
      <c r="Z1797">
        <v>3</v>
      </c>
    </row>
    <row r="1798" spans="1:26">
      <c r="A1798" t="s">
        <v>2919</v>
      </c>
      <c r="B1798" t="s">
        <v>1213</v>
      </c>
      <c r="C1798" t="s">
        <v>28</v>
      </c>
      <c r="D1798" t="s">
        <v>95</v>
      </c>
      <c r="E1798" s="1">
        <v>44933</v>
      </c>
      <c r="F1798" t="s">
        <v>96</v>
      </c>
      <c r="G1798" t="s">
        <v>290</v>
      </c>
      <c r="H1798" t="s">
        <v>32</v>
      </c>
      <c r="I1798">
        <v>8</v>
      </c>
      <c r="J1798" t="s">
        <v>98</v>
      </c>
      <c r="K1798">
        <v>1</v>
      </c>
      <c r="L1798" s="3">
        <v>6899</v>
      </c>
      <c r="M1798">
        <v>10</v>
      </c>
      <c r="N1798" s="3">
        <v>6210</v>
      </c>
      <c r="O1798" s="3">
        <v>6210</v>
      </c>
      <c r="P1798" t="s">
        <v>34</v>
      </c>
      <c r="Q1798" t="s">
        <v>51</v>
      </c>
      <c r="R1798" t="s">
        <v>36</v>
      </c>
      <c r="S1798" t="s">
        <v>122</v>
      </c>
      <c r="T1798" t="s">
        <v>372</v>
      </c>
      <c r="U1798" t="s">
        <v>124</v>
      </c>
      <c r="V1798" t="s">
        <v>969</v>
      </c>
      <c r="W1798">
        <v>4.5</v>
      </c>
      <c r="X1798" t="s">
        <v>106</v>
      </c>
      <c r="Y1798" t="s">
        <v>42</v>
      </c>
      <c r="Z1798">
        <v>3</v>
      </c>
    </row>
    <row r="1799" spans="1:26">
      <c r="A1799" t="s">
        <v>2920</v>
      </c>
      <c r="B1799" t="s">
        <v>311</v>
      </c>
      <c r="C1799" t="s">
        <v>45</v>
      </c>
      <c r="D1799" t="s">
        <v>95</v>
      </c>
      <c r="E1799" s="1">
        <v>44935</v>
      </c>
      <c r="F1799" t="s">
        <v>96</v>
      </c>
      <c r="G1799" t="s">
        <v>228</v>
      </c>
      <c r="H1799" t="s">
        <v>59</v>
      </c>
      <c r="I1799">
        <v>9</v>
      </c>
      <c r="J1799" t="s">
        <v>33</v>
      </c>
      <c r="K1799">
        <v>1</v>
      </c>
      <c r="L1799" s="3">
        <v>5299</v>
      </c>
      <c r="M1799">
        <v>30</v>
      </c>
      <c r="N1799" s="3">
        <v>3710</v>
      </c>
      <c r="O1799" s="3">
        <v>3710</v>
      </c>
      <c r="P1799" t="s">
        <v>34</v>
      </c>
      <c r="Q1799" t="s">
        <v>82</v>
      </c>
      <c r="R1799" t="s">
        <v>36</v>
      </c>
      <c r="S1799" t="s">
        <v>104</v>
      </c>
      <c r="T1799" t="s">
        <v>179</v>
      </c>
      <c r="U1799" t="s">
        <v>54</v>
      </c>
      <c r="V1799" t="s">
        <v>969</v>
      </c>
      <c r="W1799">
        <v>4.0999999999999996</v>
      </c>
      <c r="X1799" t="s">
        <v>41</v>
      </c>
      <c r="Y1799" t="s">
        <v>42</v>
      </c>
      <c r="Z1799">
        <v>3</v>
      </c>
    </row>
    <row r="1800" spans="1:26">
      <c r="A1800" t="s">
        <v>2921</v>
      </c>
      <c r="B1800" t="s">
        <v>2922</v>
      </c>
      <c r="C1800" t="s">
        <v>28</v>
      </c>
      <c r="D1800" t="s">
        <v>103</v>
      </c>
      <c r="E1800" s="1">
        <v>44936</v>
      </c>
      <c r="F1800" t="s">
        <v>96</v>
      </c>
      <c r="G1800" t="s">
        <v>323</v>
      </c>
      <c r="H1800" t="s">
        <v>59</v>
      </c>
      <c r="I1800">
        <v>6</v>
      </c>
      <c r="J1800" t="s">
        <v>33</v>
      </c>
      <c r="K1800">
        <v>1</v>
      </c>
      <c r="L1800" s="3">
        <v>5899</v>
      </c>
      <c r="M1800">
        <v>25</v>
      </c>
      <c r="N1800" s="3">
        <v>4420</v>
      </c>
      <c r="O1800" s="3">
        <v>4420</v>
      </c>
      <c r="P1800" t="s">
        <v>74</v>
      </c>
      <c r="Q1800" t="s">
        <v>51</v>
      </c>
      <c r="R1800" t="s">
        <v>36</v>
      </c>
      <c r="S1800" t="s">
        <v>358</v>
      </c>
      <c r="T1800" t="s">
        <v>805</v>
      </c>
      <c r="U1800" t="s">
        <v>61</v>
      </c>
      <c r="V1800" t="s">
        <v>40</v>
      </c>
      <c r="W1800">
        <v>3.6</v>
      </c>
      <c r="X1800" t="s">
        <v>41</v>
      </c>
      <c r="Y1800" t="s">
        <v>42</v>
      </c>
      <c r="Z1800">
        <v>4</v>
      </c>
    </row>
    <row r="1801" spans="1:26">
      <c r="A1801" t="s">
        <v>2923</v>
      </c>
      <c r="B1801" t="s">
        <v>1741</v>
      </c>
      <c r="C1801" t="s">
        <v>45</v>
      </c>
      <c r="D1801" t="s">
        <v>95</v>
      </c>
      <c r="E1801" s="1">
        <v>44939</v>
      </c>
      <c r="F1801" t="s">
        <v>79</v>
      </c>
      <c r="G1801" t="s">
        <v>517</v>
      </c>
      <c r="H1801" t="s">
        <v>59</v>
      </c>
      <c r="I1801">
        <v>9</v>
      </c>
      <c r="J1801" t="s">
        <v>98</v>
      </c>
      <c r="K1801">
        <v>1</v>
      </c>
      <c r="L1801" s="3">
        <v>6199</v>
      </c>
      <c r="M1801">
        <v>15</v>
      </c>
      <c r="N1801" s="3">
        <v>5270</v>
      </c>
      <c r="O1801" s="3">
        <v>5270</v>
      </c>
      <c r="P1801" t="s">
        <v>34</v>
      </c>
      <c r="Q1801" t="s">
        <v>51</v>
      </c>
      <c r="R1801" t="s">
        <v>36</v>
      </c>
      <c r="S1801" t="s">
        <v>52</v>
      </c>
      <c r="T1801" t="s">
        <v>235</v>
      </c>
      <c r="U1801" t="s">
        <v>124</v>
      </c>
      <c r="V1801" t="s">
        <v>315</v>
      </c>
      <c r="W1801">
        <v>3.2</v>
      </c>
      <c r="X1801" t="s">
        <v>106</v>
      </c>
      <c r="Y1801" t="s">
        <v>55</v>
      </c>
      <c r="Z1801">
        <v>2</v>
      </c>
    </row>
    <row r="1802" spans="1:26">
      <c r="A1802" t="s">
        <v>2924</v>
      </c>
      <c r="B1802" t="s">
        <v>2078</v>
      </c>
      <c r="C1802" t="s">
        <v>45</v>
      </c>
      <c r="D1802" t="s">
        <v>29</v>
      </c>
      <c r="E1802" s="1">
        <v>44940</v>
      </c>
      <c r="F1802" t="s">
        <v>65</v>
      </c>
      <c r="G1802" t="s">
        <v>279</v>
      </c>
      <c r="H1802" t="s">
        <v>111</v>
      </c>
      <c r="I1802">
        <v>9</v>
      </c>
      <c r="J1802" t="s">
        <v>150</v>
      </c>
      <c r="K1802">
        <v>1</v>
      </c>
      <c r="L1802" s="3">
        <v>8399</v>
      </c>
      <c r="M1802">
        <v>15</v>
      </c>
      <c r="N1802" s="3">
        <v>7140</v>
      </c>
      <c r="O1802" s="3">
        <v>7140</v>
      </c>
      <c r="P1802" t="s">
        <v>34</v>
      </c>
      <c r="Q1802" t="s">
        <v>51</v>
      </c>
      <c r="R1802" t="s">
        <v>36</v>
      </c>
      <c r="S1802" t="s">
        <v>384</v>
      </c>
      <c r="T1802" t="s">
        <v>444</v>
      </c>
      <c r="U1802" t="s">
        <v>124</v>
      </c>
      <c r="V1802" t="s">
        <v>315</v>
      </c>
      <c r="W1802">
        <v>3.3</v>
      </c>
      <c r="X1802" t="s">
        <v>41</v>
      </c>
      <c r="Y1802" t="s">
        <v>42</v>
      </c>
      <c r="Z1802">
        <v>1</v>
      </c>
    </row>
    <row r="1803" spans="1:26">
      <c r="A1803" t="s">
        <v>2925</v>
      </c>
      <c r="B1803" t="s">
        <v>953</v>
      </c>
      <c r="C1803" t="s">
        <v>45</v>
      </c>
      <c r="D1803" t="s">
        <v>29</v>
      </c>
      <c r="E1803" s="1">
        <v>44941</v>
      </c>
      <c r="F1803" t="s">
        <v>79</v>
      </c>
      <c r="G1803" t="s">
        <v>127</v>
      </c>
      <c r="H1803" t="s">
        <v>128</v>
      </c>
      <c r="I1803">
        <v>12</v>
      </c>
      <c r="J1803" t="s">
        <v>98</v>
      </c>
      <c r="K1803">
        <v>1</v>
      </c>
      <c r="L1803" s="3">
        <v>5399</v>
      </c>
      <c r="M1803">
        <v>25</v>
      </c>
      <c r="N1803" s="3">
        <v>4050</v>
      </c>
      <c r="O1803" s="3">
        <v>4050</v>
      </c>
      <c r="P1803" t="s">
        <v>74</v>
      </c>
      <c r="Q1803" t="s">
        <v>35</v>
      </c>
      <c r="R1803" t="s">
        <v>36</v>
      </c>
      <c r="S1803" t="s">
        <v>358</v>
      </c>
      <c r="T1803" t="s">
        <v>805</v>
      </c>
      <c r="U1803" t="s">
        <v>54</v>
      </c>
      <c r="V1803" t="s">
        <v>315</v>
      </c>
      <c r="W1803">
        <v>4.3</v>
      </c>
      <c r="X1803" t="s">
        <v>41</v>
      </c>
      <c r="Y1803" t="s">
        <v>42</v>
      </c>
      <c r="Z1803">
        <v>6</v>
      </c>
    </row>
    <row r="1804" spans="1:26">
      <c r="A1804" t="s">
        <v>2926</v>
      </c>
      <c r="B1804" t="s">
        <v>2927</v>
      </c>
      <c r="C1804" t="s">
        <v>28</v>
      </c>
      <c r="D1804" t="s">
        <v>103</v>
      </c>
      <c r="E1804" s="1">
        <v>44946</v>
      </c>
      <c r="F1804" t="s">
        <v>30</v>
      </c>
      <c r="G1804" t="s">
        <v>31</v>
      </c>
      <c r="H1804" t="s">
        <v>32</v>
      </c>
      <c r="I1804">
        <v>10</v>
      </c>
      <c r="J1804" t="s">
        <v>150</v>
      </c>
      <c r="K1804">
        <v>1</v>
      </c>
      <c r="L1804" s="3">
        <v>8199</v>
      </c>
      <c r="M1804">
        <v>15</v>
      </c>
      <c r="N1804" s="3">
        <v>6970</v>
      </c>
      <c r="O1804" s="3">
        <v>6970</v>
      </c>
      <c r="P1804" t="s">
        <v>50</v>
      </c>
      <c r="Q1804" t="s">
        <v>51</v>
      </c>
      <c r="R1804" t="s">
        <v>36</v>
      </c>
      <c r="S1804" t="s">
        <v>129</v>
      </c>
      <c r="T1804" t="s">
        <v>146</v>
      </c>
      <c r="U1804" t="s">
        <v>39</v>
      </c>
      <c r="V1804" t="s">
        <v>40</v>
      </c>
      <c r="W1804">
        <v>3.8</v>
      </c>
      <c r="X1804" t="s">
        <v>41</v>
      </c>
      <c r="Y1804" t="s">
        <v>147</v>
      </c>
      <c r="Z1804">
        <v>1</v>
      </c>
    </row>
    <row r="1805" spans="1:26">
      <c r="A1805" t="s">
        <v>2928</v>
      </c>
      <c r="B1805" t="s">
        <v>1315</v>
      </c>
      <c r="C1805" t="s">
        <v>45</v>
      </c>
      <c r="D1805" t="s">
        <v>46</v>
      </c>
      <c r="E1805" s="1">
        <v>44947</v>
      </c>
      <c r="F1805" t="s">
        <v>86</v>
      </c>
      <c r="G1805" t="s">
        <v>87</v>
      </c>
      <c r="H1805" t="s">
        <v>59</v>
      </c>
      <c r="I1805">
        <v>9</v>
      </c>
      <c r="J1805" t="s">
        <v>73</v>
      </c>
      <c r="K1805">
        <v>2</v>
      </c>
      <c r="L1805" s="3">
        <v>7299</v>
      </c>
      <c r="M1805">
        <v>15</v>
      </c>
      <c r="N1805" s="3">
        <v>6200</v>
      </c>
      <c r="O1805" s="3">
        <v>12400</v>
      </c>
      <c r="P1805" t="s">
        <v>74</v>
      </c>
      <c r="Q1805" t="s">
        <v>35</v>
      </c>
      <c r="R1805" t="s">
        <v>36</v>
      </c>
      <c r="S1805" t="s">
        <v>112</v>
      </c>
      <c r="T1805" t="s">
        <v>265</v>
      </c>
      <c r="U1805" t="s">
        <v>124</v>
      </c>
      <c r="V1805" t="s">
        <v>315</v>
      </c>
      <c r="W1805">
        <v>4.4000000000000004</v>
      </c>
      <c r="X1805" t="s">
        <v>41</v>
      </c>
      <c r="Y1805" t="s">
        <v>147</v>
      </c>
      <c r="Z1805">
        <v>1</v>
      </c>
    </row>
    <row r="1806" spans="1:26">
      <c r="A1806" t="s">
        <v>2929</v>
      </c>
      <c r="B1806" t="s">
        <v>2884</v>
      </c>
      <c r="C1806" t="s">
        <v>45</v>
      </c>
      <c r="D1806" t="s">
        <v>95</v>
      </c>
      <c r="E1806" s="1">
        <v>44948</v>
      </c>
      <c r="F1806" t="s">
        <v>65</v>
      </c>
      <c r="G1806" t="s">
        <v>279</v>
      </c>
      <c r="H1806" t="s">
        <v>111</v>
      </c>
      <c r="I1806">
        <v>10</v>
      </c>
      <c r="J1806" t="s">
        <v>150</v>
      </c>
      <c r="K1806">
        <v>1</v>
      </c>
      <c r="L1806" s="3">
        <v>4999</v>
      </c>
      <c r="M1806">
        <v>15</v>
      </c>
      <c r="N1806" s="3">
        <v>4250</v>
      </c>
      <c r="O1806" s="3">
        <v>4250</v>
      </c>
      <c r="P1806" t="s">
        <v>74</v>
      </c>
      <c r="Q1806" t="s">
        <v>51</v>
      </c>
      <c r="R1806" t="s">
        <v>36</v>
      </c>
      <c r="S1806" t="s">
        <v>354</v>
      </c>
      <c r="T1806" t="s">
        <v>431</v>
      </c>
      <c r="U1806" t="s">
        <v>61</v>
      </c>
      <c r="V1806" t="s">
        <v>315</v>
      </c>
      <c r="W1806">
        <v>4.3</v>
      </c>
      <c r="X1806" t="s">
        <v>41</v>
      </c>
      <c r="Y1806" t="s">
        <v>55</v>
      </c>
      <c r="Z1806">
        <v>3</v>
      </c>
    </row>
    <row r="1807" spans="1:26">
      <c r="A1807" t="s">
        <v>2930</v>
      </c>
      <c r="B1807" t="s">
        <v>623</v>
      </c>
      <c r="C1807" t="s">
        <v>94</v>
      </c>
      <c r="D1807" t="s">
        <v>103</v>
      </c>
      <c r="E1807" s="1">
        <v>44949</v>
      </c>
      <c r="F1807" t="s">
        <v>30</v>
      </c>
      <c r="G1807" t="s">
        <v>214</v>
      </c>
      <c r="H1807" t="s">
        <v>128</v>
      </c>
      <c r="I1807">
        <v>9</v>
      </c>
      <c r="J1807" t="s">
        <v>150</v>
      </c>
      <c r="K1807">
        <v>2</v>
      </c>
      <c r="L1807" s="3">
        <v>4099</v>
      </c>
      <c r="M1807">
        <v>5</v>
      </c>
      <c r="N1807" s="3">
        <v>3890</v>
      </c>
      <c r="O1807" s="3">
        <v>7780</v>
      </c>
      <c r="P1807" t="s">
        <v>74</v>
      </c>
      <c r="Q1807" t="s">
        <v>82</v>
      </c>
      <c r="R1807" t="s">
        <v>36</v>
      </c>
      <c r="S1807" t="s">
        <v>168</v>
      </c>
      <c r="T1807" t="s">
        <v>714</v>
      </c>
      <c r="U1807" t="s">
        <v>91</v>
      </c>
      <c r="V1807" t="s">
        <v>969</v>
      </c>
      <c r="W1807">
        <v>4.3</v>
      </c>
      <c r="X1807" t="s">
        <v>106</v>
      </c>
      <c r="Y1807" t="s">
        <v>147</v>
      </c>
      <c r="Z1807">
        <v>1</v>
      </c>
    </row>
    <row r="1808" spans="1:26">
      <c r="A1808" t="s">
        <v>2931</v>
      </c>
      <c r="B1808" t="s">
        <v>1582</v>
      </c>
      <c r="C1808" t="s">
        <v>28</v>
      </c>
      <c r="D1808" t="s">
        <v>95</v>
      </c>
      <c r="E1808" s="1">
        <v>44949</v>
      </c>
      <c r="F1808" t="s">
        <v>47</v>
      </c>
      <c r="G1808" t="s">
        <v>218</v>
      </c>
      <c r="H1808" t="s">
        <v>59</v>
      </c>
      <c r="I1808">
        <v>7</v>
      </c>
      <c r="J1808" t="s">
        <v>88</v>
      </c>
      <c r="K1808">
        <v>2</v>
      </c>
      <c r="L1808" s="3">
        <v>9199</v>
      </c>
      <c r="M1808">
        <v>0</v>
      </c>
      <c r="N1808" s="3">
        <v>9200</v>
      </c>
      <c r="O1808" s="3">
        <v>18400</v>
      </c>
      <c r="P1808" t="s">
        <v>34</v>
      </c>
      <c r="Q1808" t="s">
        <v>82</v>
      </c>
      <c r="R1808" t="s">
        <v>36</v>
      </c>
      <c r="S1808" t="s">
        <v>52</v>
      </c>
      <c r="T1808" t="s">
        <v>83</v>
      </c>
      <c r="U1808" t="s">
        <v>54</v>
      </c>
      <c r="V1808" t="s">
        <v>969</v>
      </c>
      <c r="W1808">
        <v>3.7</v>
      </c>
      <c r="X1808" t="s">
        <v>41</v>
      </c>
      <c r="Y1808" t="s">
        <v>42</v>
      </c>
      <c r="Z1808">
        <v>4</v>
      </c>
    </row>
    <row r="1809" spans="1:26">
      <c r="A1809" t="s">
        <v>2932</v>
      </c>
      <c r="B1809" t="s">
        <v>267</v>
      </c>
      <c r="C1809" t="s">
        <v>45</v>
      </c>
      <c r="D1809" t="s">
        <v>46</v>
      </c>
      <c r="E1809" s="1">
        <v>44949</v>
      </c>
      <c r="F1809" t="s">
        <v>79</v>
      </c>
      <c r="G1809" t="s">
        <v>174</v>
      </c>
      <c r="H1809" t="s">
        <v>32</v>
      </c>
      <c r="I1809">
        <v>9</v>
      </c>
      <c r="J1809" t="s">
        <v>88</v>
      </c>
      <c r="K1809">
        <v>1</v>
      </c>
      <c r="L1809" s="3">
        <v>4599</v>
      </c>
      <c r="M1809">
        <v>15</v>
      </c>
      <c r="N1809" s="3">
        <v>3910</v>
      </c>
      <c r="O1809" s="3">
        <v>3910</v>
      </c>
      <c r="P1809" t="s">
        <v>74</v>
      </c>
      <c r="Q1809" t="s">
        <v>82</v>
      </c>
      <c r="R1809" t="s">
        <v>36</v>
      </c>
      <c r="S1809" t="s">
        <v>338</v>
      </c>
      <c r="T1809" t="s">
        <v>779</v>
      </c>
      <c r="U1809" t="s">
        <v>39</v>
      </c>
      <c r="V1809" t="s">
        <v>969</v>
      </c>
      <c r="W1809">
        <v>4.2</v>
      </c>
      <c r="X1809" t="s">
        <v>41</v>
      </c>
      <c r="Y1809" t="s">
        <v>42</v>
      </c>
      <c r="Z1809">
        <v>4</v>
      </c>
    </row>
    <row r="1810" spans="1:26">
      <c r="A1810" t="s">
        <v>2933</v>
      </c>
      <c r="B1810" t="s">
        <v>2198</v>
      </c>
      <c r="C1810" t="s">
        <v>28</v>
      </c>
      <c r="D1810" t="s">
        <v>103</v>
      </c>
      <c r="E1810" s="1">
        <v>44950</v>
      </c>
      <c r="F1810" t="s">
        <v>47</v>
      </c>
      <c r="G1810" t="s">
        <v>48</v>
      </c>
      <c r="H1810" t="s">
        <v>49</v>
      </c>
      <c r="I1810">
        <v>11</v>
      </c>
      <c r="J1810" t="s">
        <v>73</v>
      </c>
      <c r="K1810">
        <v>1</v>
      </c>
      <c r="L1810" s="3">
        <v>8499</v>
      </c>
      <c r="M1810">
        <v>20</v>
      </c>
      <c r="N1810" s="3">
        <v>6800</v>
      </c>
      <c r="O1810" s="3">
        <v>6800</v>
      </c>
      <c r="P1810" t="s">
        <v>74</v>
      </c>
      <c r="Q1810" t="s">
        <v>35</v>
      </c>
      <c r="R1810" t="s">
        <v>36</v>
      </c>
      <c r="S1810" t="s">
        <v>112</v>
      </c>
      <c r="T1810" t="s">
        <v>250</v>
      </c>
      <c r="U1810" t="s">
        <v>54</v>
      </c>
      <c r="V1810" t="s">
        <v>315</v>
      </c>
      <c r="W1810">
        <v>4.3</v>
      </c>
      <c r="X1810" t="s">
        <v>41</v>
      </c>
      <c r="Y1810" t="s">
        <v>42</v>
      </c>
      <c r="Z1810">
        <v>5</v>
      </c>
    </row>
    <row r="1811" spans="1:26">
      <c r="A1811" t="s">
        <v>2934</v>
      </c>
      <c r="B1811" t="s">
        <v>2017</v>
      </c>
      <c r="C1811" t="s">
        <v>94</v>
      </c>
      <c r="D1811" t="s">
        <v>29</v>
      </c>
      <c r="E1811" s="1">
        <v>44950</v>
      </c>
      <c r="F1811" t="s">
        <v>79</v>
      </c>
      <c r="G1811" t="s">
        <v>301</v>
      </c>
      <c r="H1811" t="s">
        <v>49</v>
      </c>
      <c r="I1811">
        <v>10</v>
      </c>
      <c r="J1811" t="s">
        <v>150</v>
      </c>
      <c r="K1811">
        <v>1</v>
      </c>
      <c r="L1811" s="3">
        <v>4199</v>
      </c>
      <c r="M1811">
        <v>25</v>
      </c>
      <c r="N1811" s="3">
        <v>3150</v>
      </c>
      <c r="O1811" s="3">
        <v>3150</v>
      </c>
      <c r="P1811" t="s">
        <v>74</v>
      </c>
      <c r="Q1811" t="s">
        <v>82</v>
      </c>
      <c r="R1811" t="s">
        <v>36</v>
      </c>
      <c r="S1811" t="s">
        <v>297</v>
      </c>
      <c r="T1811" t="s">
        <v>298</v>
      </c>
      <c r="U1811" t="s">
        <v>91</v>
      </c>
      <c r="V1811" t="s">
        <v>315</v>
      </c>
      <c r="W1811">
        <v>3.8</v>
      </c>
      <c r="X1811" t="s">
        <v>41</v>
      </c>
      <c r="Y1811" t="s">
        <v>42</v>
      </c>
      <c r="Z1811">
        <v>3</v>
      </c>
    </row>
    <row r="1812" spans="1:26">
      <c r="A1812" t="s">
        <v>2935</v>
      </c>
      <c r="B1812" t="s">
        <v>1186</v>
      </c>
      <c r="C1812" t="s">
        <v>28</v>
      </c>
      <c r="D1812" t="s">
        <v>103</v>
      </c>
      <c r="E1812" s="1">
        <v>44951</v>
      </c>
      <c r="F1812" t="s">
        <v>96</v>
      </c>
      <c r="G1812" t="s">
        <v>323</v>
      </c>
      <c r="H1812" t="s">
        <v>59</v>
      </c>
      <c r="I1812">
        <v>10</v>
      </c>
      <c r="J1812" t="s">
        <v>98</v>
      </c>
      <c r="K1812">
        <v>1</v>
      </c>
      <c r="L1812" s="3">
        <v>5999</v>
      </c>
      <c r="M1812">
        <v>15</v>
      </c>
      <c r="N1812" s="3">
        <v>5100</v>
      </c>
      <c r="O1812" s="3">
        <v>5100</v>
      </c>
      <c r="P1812" t="s">
        <v>74</v>
      </c>
      <c r="Q1812" t="s">
        <v>82</v>
      </c>
      <c r="R1812" t="s">
        <v>36</v>
      </c>
      <c r="S1812" t="s">
        <v>141</v>
      </c>
      <c r="T1812" t="s">
        <v>362</v>
      </c>
      <c r="U1812" t="s">
        <v>39</v>
      </c>
      <c r="V1812" t="s">
        <v>315</v>
      </c>
      <c r="W1812">
        <v>4.0999999999999996</v>
      </c>
      <c r="X1812" t="s">
        <v>62</v>
      </c>
      <c r="Y1812" t="s">
        <v>55</v>
      </c>
      <c r="Z1812">
        <v>3</v>
      </c>
    </row>
    <row r="1813" spans="1:26">
      <c r="A1813" t="s">
        <v>2936</v>
      </c>
      <c r="B1813" t="s">
        <v>2937</v>
      </c>
      <c r="C1813" t="s">
        <v>45</v>
      </c>
      <c r="D1813" t="s">
        <v>95</v>
      </c>
      <c r="E1813" s="1">
        <v>44952</v>
      </c>
      <c r="F1813" t="s">
        <v>65</v>
      </c>
      <c r="G1813" t="s">
        <v>279</v>
      </c>
      <c r="H1813" t="s">
        <v>111</v>
      </c>
      <c r="I1813">
        <v>6</v>
      </c>
      <c r="J1813" t="s">
        <v>150</v>
      </c>
      <c r="K1813">
        <v>1</v>
      </c>
      <c r="L1813" s="3">
        <v>6699</v>
      </c>
      <c r="M1813">
        <v>35</v>
      </c>
      <c r="N1813" s="3">
        <v>4350</v>
      </c>
      <c r="O1813" s="3">
        <v>4350</v>
      </c>
      <c r="P1813" t="s">
        <v>81</v>
      </c>
      <c r="Q1813" t="s">
        <v>82</v>
      </c>
      <c r="R1813" t="s">
        <v>36</v>
      </c>
      <c r="S1813" t="s">
        <v>210</v>
      </c>
      <c r="T1813" t="s">
        <v>211</v>
      </c>
      <c r="U1813" t="s">
        <v>39</v>
      </c>
      <c r="V1813" t="s">
        <v>40</v>
      </c>
      <c r="W1813">
        <v>5</v>
      </c>
      <c r="X1813" t="s">
        <v>41</v>
      </c>
      <c r="Y1813" t="s">
        <v>42</v>
      </c>
      <c r="Z1813">
        <v>3</v>
      </c>
    </row>
    <row r="1814" spans="1:26">
      <c r="A1814" t="s">
        <v>2938</v>
      </c>
      <c r="B1814" t="s">
        <v>1425</v>
      </c>
      <c r="C1814" t="s">
        <v>94</v>
      </c>
      <c r="D1814" t="s">
        <v>46</v>
      </c>
      <c r="E1814" s="1">
        <v>44953</v>
      </c>
      <c r="F1814" t="s">
        <v>65</v>
      </c>
      <c r="G1814" t="s">
        <v>256</v>
      </c>
      <c r="H1814" t="s">
        <v>32</v>
      </c>
      <c r="I1814">
        <v>7</v>
      </c>
      <c r="J1814" t="s">
        <v>33</v>
      </c>
      <c r="K1814">
        <v>1</v>
      </c>
      <c r="L1814" s="3">
        <v>6799</v>
      </c>
      <c r="M1814">
        <v>0</v>
      </c>
      <c r="N1814" s="3">
        <v>6800</v>
      </c>
      <c r="O1814" s="3">
        <v>6800</v>
      </c>
      <c r="P1814" t="s">
        <v>34</v>
      </c>
      <c r="Q1814" t="s">
        <v>35</v>
      </c>
      <c r="R1814" t="s">
        <v>36</v>
      </c>
      <c r="S1814" t="s">
        <v>238</v>
      </c>
      <c r="T1814" t="s">
        <v>239</v>
      </c>
      <c r="U1814" t="s">
        <v>54</v>
      </c>
      <c r="V1814" t="s">
        <v>969</v>
      </c>
      <c r="W1814">
        <v>3.4</v>
      </c>
      <c r="X1814" t="s">
        <v>41</v>
      </c>
      <c r="Y1814" t="s">
        <v>55</v>
      </c>
      <c r="Z1814">
        <v>2</v>
      </c>
    </row>
    <row r="1815" spans="1:26">
      <c r="A1815" t="s">
        <v>2939</v>
      </c>
      <c r="B1815" t="s">
        <v>998</v>
      </c>
      <c r="C1815" t="s">
        <v>28</v>
      </c>
      <c r="D1815" t="s">
        <v>109</v>
      </c>
      <c r="E1815" s="1">
        <v>44953</v>
      </c>
      <c r="F1815" t="s">
        <v>96</v>
      </c>
      <c r="G1815" t="s">
        <v>155</v>
      </c>
      <c r="H1815" t="s">
        <v>111</v>
      </c>
      <c r="I1815">
        <v>10</v>
      </c>
      <c r="J1815" t="s">
        <v>33</v>
      </c>
      <c r="K1815">
        <v>1</v>
      </c>
      <c r="L1815" s="3">
        <v>9599</v>
      </c>
      <c r="M1815">
        <v>20</v>
      </c>
      <c r="N1815" s="3">
        <v>7680</v>
      </c>
      <c r="O1815" s="3">
        <v>7680</v>
      </c>
      <c r="P1815" t="s">
        <v>74</v>
      </c>
      <c r="Q1815" t="s">
        <v>82</v>
      </c>
      <c r="R1815" t="s">
        <v>36</v>
      </c>
      <c r="S1815" t="s">
        <v>104</v>
      </c>
      <c r="T1815" t="s">
        <v>179</v>
      </c>
      <c r="U1815" t="s">
        <v>124</v>
      </c>
      <c r="V1815" t="s">
        <v>315</v>
      </c>
      <c r="W1815">
        <v>3.4</v>
      </c>
      <c r="X1815" t="s">
        <v>41</v>
      </c>
      <c r="Y1815" t="s">
        <v>42</v>
      </c>
      <c r="Z1815">
        <v>2</v>
      </c>
    </row>
    <row r="1816" spans="1:26">
      <c r="A1816" t="s">
        <v>2940</v>
      </c>
      <c r="B1816" t="s">
        <v>1405</v>
      </c>
      <c r="C1816" t="s">
        <v>45</v>
      </c>
      <c r="D1816" t="s">
        <v>103</v>
      </c>
      <c r="E1816" s="1">
        <v>44954</v>
      </c>
      <c r="F1816" t="s">
        <v>65</v>
      </c>
      <c r="G1816" t="s">
        <v>279</v>
      </c>
      <c r="H1816" t="s">
        <v>111</v>
      </c>
      <c r="I1816">
        <v>6</v>
      </c>
      <c r="J1816" t="s">
        <v>150</v>
      </c>
      <c r="K1816">
        <v>1</v>
      </c>
      <c r="L1816" s="3">
        <v>6599</v>
      </c>
      <c r="M1816">
        <v>5</v>
      </c>
      <c r="N1816" s="3">
        <v>6270</v>
      </c>
      <c r="O1816" s="3">
        <v>6270</v>
      </c>
      <c r="P1816" t="s">
        <v>34</v>
      </c>
      <c r="Q1816" t="s">
        <v>35</v>
      </c>
      <c r="R1816" t="s">
        <v>36</v>
      </c>
      <c r="S1816" t="s">
        <v>384</v>
      </c>
      <c r="T1816" t="s">
        <v>385</v>
      </c>
      <c r="U1816" t="s">
        <v>61</v>
      </c>
      <c r="V1816" t="s">
        <v>315</v>
      </c>
      <c r="W1816">
        <v>4</v>
      </c>
      <c r="X1816" t="s">
        <v>41</v>
      </c>
      <c r="Y1816" t="s">
        <v>42</v>
      </c>
      <c r="Z1816">
        <v>4</v>
      </c>
    </row>
    <row r="1817" spans="1:26">
      <c r="A1817" t="s">
        <v>2941</v>
      </c>
      <c r="B1817" t="s">
        <v>1686</v>
      </c>
      <c r="C1817" t="s">
        <v>28</v>
      </c>
      <c r="D1817" t="s">
        <v>95</v>
      </c>
      <c r="E1817" s="1">
        <v>44954</v>
      </c>
      <c r="F1817" t="s">
        <v>47</v>
      </c>
      <c r="G1817" t="s">
        <v>140</v>
      </c>
      <c r="H1817" t="s">
        <v>128</v>
      </c>
      <c r="I1817">
        <v>9</v>
      </c>
      <c r="J1817" t="s">
        <v>67</v>
      </c>
      <c r="K1817">
        <v>1</v>
      </c>
      <c r="L1817" s="3">
        <v>4099</v>
      </c>
      <c r="M1817">
        <v>15</v>
      </c>
      <c r="N1817" s="3">
        <v>3480</v>
      </c>
      <c r="O1817" s="3">
        <v>3480</v>
      </c>
      <c r="P1817" t="s">
        <v>74</v>
      </c>
      <c r="Q1817" t="s">
        <v>82</v>
      </c>
      <c r="R1817" t="s">
        <v>36</v>
      </c>
      <c r="S1817" t="s">
        <v>238</v>
      </c>
      <c r="T1817" t="s">
        <v>239</v>
      </c>
      <c r="U1817" t="s">
        <v>91</v>
      </c>
      <c r="V1817" t="s">
        <v>315</v>
      </c>
      <c r="W1817">
        <v>3.8</v>
      </c>
      <c r="X1817" t="s">
        <v>62</v>
      </c>
      <c r="Y1817" t="s">
        <v>42</v>
      </c>
      <c r="Z1817">
        <v>5</v>
      </c>
    </row>
    <row r="1818" spans="1:26">
      <c r="A1818" t="s">
        <v>2942</v>
      </c>
      <c r="B1818" t="s">
        <v>2943</v>
      </c>
      <c r="C1818" t="s">
        <v>28</v>
      </c>
      <c r="D1818" t="s">
        <v>103</v>
      </c>
      <c r="E1818" s="1">
        <v>44958</v>
      </c>
      <c r="F1818" t="s">
        <v>47</v>
      </c>
      <c r="G1818" t="s">
        <v>48</v>
      </c>
      <c r="H1818" t="s">
        <v>49</v>
      </c>
      <c r="I1818">
        <v>6</v>
      </c>
      <c r="J1818" t="s">
        <v>73</v>
      </c>
      <c r="K1818">
        <v>2</v>
      </c>
      <c r="L1818" s="3">
        <v>3599</v>
      </c>
      <c r="M1818">
        <v>25</v>
      </c>
      <c r="N1818" s="3">
        <v>2700</v>
      </c>
      <c r="O1818" s="3">
        <v>5400</v>
      </c>
      <c r="P1818" t="s">
        <v>74</v>
      </c>
      <c r="Q1818" t="s">
        <v>82</v>
      </c>
      <c r="R1818" t="s">
        <v>36</v>
      </c>
      <c r="S1818" t="s">
        <v>297</v>
      </c>
      <c r="T1818" t="s">
        <v>351</v>
      </c>
      <c r="U1818" t="s">
        <v>91</v>
      </c>
      <c r="V1818" t="s">
        <v>40</v>
      </c>
      <c r="W1818">
        <v>3.6</v>
      </c>
      <c r="X1818" t="s">
        <v>62</v>
      </c>
      <c r="Y1818" t="s">
        <v>42</v>
      </c>
      <c r="Z1818">
        <v>3</v>
      </c>
    </row>
    <row r="1819" spans="1:26">
      <c r="A1819" t="s">
        <v>2944</v>
      </c>
      <c r="B1819" t="s">
        <v>1124</v>
      </c>
      <c r="C1819" t="s">
        <v>45</v>
      </c>
      <c r="D1819" t="s">
        <v>29</v>
      </c>
      <c r="E1819" s="1">
        <v>44964</v>
      </c>
      <c r="F1819" t="s">
        <v>96</v>
      </c>
      <c r="G1819" t="s">
        <v>290</v>
      </c>
      <c r="H1819" t="s">
        <v>32</v>
      </c>
      <c r="I1819">
        <v>6</v>
      </c>
      <c r="J1819" t="s">
        <v>67</v>
      </c>
      <c r="K1819">
        <v>2</v>
      </c>
      <c r="L1819" s="3">
        <v>9499</v>
      </c>
      <c r="M1819">
        <v>15</v>
      </c>
      <c r="N1819" s="3">
        <v>8070</v>
      </c>
      <c r="O1819" s="3">
        <v>16140</v>
      </c>
      <c r="P1819" t="s">
        <v>34</v>
      </c>
      <c r="Q1819" t="s">
        <v>51</v>
      </c>
      <c r="R1819" t="s">
        <v>36</v>
      </c>
      <c r="S1819" t="s">
        <v>141</v>
      </c>
      <c r="T1819" t="s">
        <v>142</v>
      </c>
      <c r="U1819" t="s">
        <v>39</v>
      </c>
      <c r="V1819" t="s">
        <v>315</v>
      </c>
      <c r="W1819">
        <v>3.4</v>
      </c>
      <c r="X1819" t="s">
        <v>62</v>
      </c>
      <c r="Y1819" t="s">
        <v>55</v>
      </c>
      <c r="Z1819">
        <v>3</v>
      </c>
    </row>
    <row r="1820" spans="1:26">
      <c r="A1820" t="s">
        <v>2945</v>
      </c>
      <c r="B1820" t="s">
        <v>561</v>
      </c>
      <c r="C1820" t="s">
        <v>45</v>
      </c>
      <c r="D1820" t="s">
        <v>29</v>
      </c>
      <c r="E1820" s="1">
        <v>44964</v>
      </c>
      <c r="F1820" t="s">
        <v>86</v>
      </c>
      <c r="G1820" t="s">
        <v>242</v>
      </c>
      <c r="H1820" t="s">
        <v>32</v>
      </c>
      <c r="I1820">
        <v>10</v>
      </c>
      <c r="J1820" t="s">
        <v>98</v>
      </c>
      <c r="K1820">
        <v>2</v>
      </c>
      <c r="L1820" s="3">
        <v>8599</v>
      </c>
      <c r="M1820">
        <v>10</v>
      </c>
      <c r="N1820" s="3">
        <v>7740</v>
      </c>
      <c r="O1820" s="3">
        <v>15480</v>
      </c>
      <c r="P1820" t="s">
        <v>74</v>
      </c>
      <c r="Q1820" t="s">
        <v>35</v>
      </c>
      <c r="R1820" t="s">
        <v>36</v>
      </c>
      <c r="S1820" t="s">
        <v>384</v>
      </c>
      <c r="T1820" t="s">
        <v>385</v>
      </c>
      <c r="U1820" t="s">
        <v>124</v>
      </c>
      <c r="V1820" t="s">
        <v>969</v>
      </c>
      <c r="W1820">
        <v>4.9000000000000004</v>
      </c>
      <c r="X1820" t="s">
        <v>41</v>
      </c>
      <c r="Y1820" t="s">
        <v>55</v>
      </c>
      <c r="Z1820">
        <v>2</v>
      </c>
    </row>
    <row r="1821" spans="1:26">
      <c r="A1821" t="s">
        <v>2946</v>
      </c>
      <c r="B1821" t="s">
        <v>2144</v>
      </c>
      <c r="C1821" t="s">
        <v>28</v>
      </c>
      <c r="D1821" t="s">
        <v>103</v>
      </c>
      <c r="E1821" s="1">
        <v>44965</v>
      </c>
      <c r="F1821" t="s">
        <v>79</v>
      </c>
      <c r="G1821" t="s">
        <v>301</v>
      </c>
      <c r="H1821" t="s">
        <v>49</v>
      </c>
      <c r="I1821">
        <v>10</v>
      </c>
      <c r="J1821" t="s">
        <v>98</v>
      </c>
      <c r="K1821">
        <v>1</v>
      </c>
      <c r="L1821" s="3">
        <v>8199</v>
      </c>
      <c r="M1821">
        <v>15</v>
      </c>
      <c r="N1821" s="3">
        <v>6970</v>
      </c>
      <c r="O1821" s="3">
        <v>6970</v>
      </c>
      <c r="P1821" t="s">
        <v>74</v>
      </c>
      <c r="Q1821" t="s">
        <v>51</v>
      </c>
      <c r="R1821" t="s">
        <v>36</v>
      </c>
      <c r="S1821" t="s">
        <v>338</v>
      </c>
      <c r="T1821" t="s">
        <v>779</v>
      </c>
      <c r="U1821" t="s">
        <v>124</v>
      </c>
      <c r="V1821" t="s">
        <v>315</v>
      </c>
      <c r="W1821">
        <v>3.7</v>
      </c>
      <c r="X1821" t="s">
        <v>41</v>
      </c>
      <c r="Y1821" t="s">
        <v>55</v>
      </c>
      <c r="Z1821">
        <v>2</v>
      </c>
    </row>
    <row r="1822" spans="1:26">
      <c r="A1822" t="s">
        <v>2947</v>
      </c>
      <c r="B1822" t="s">
        <v>536</v>
      </c>
      <c r="C1822" t="s">
        <v>28</v>
      </c>
      <c r="D1822" t="s">
        <v>29</v>
      </c>
      <c r="E1822" s="1">
        <v>44965</v>
      </c>
      <c r="F1822" t="s">
        <v>96</v>
      </c>
      <c r="G1822" t="s">
        <v>97</v>
      </c>
      <c r="H1822" t="s">
        <v>49</v>
      </c>
      <c r="I1822">
        <v>7</v>
      </c>
      <c r="J1822" t="s">
        <v>33</v>
      </c>
      <c r="K1822">
        <v>1</v>
      </c>
      <c r="L1822" s="3">
        <v>8399</v>
      </c>
      <c r="M1822">
        <v>30</v>
      </c>
      <c r="N1822" s="3">
        <v>5880</v>
      </c>
      <c r="O1822" s="3">
        <v>5880</v>
      </c>
      <c r="P1822" t="s">
        <v>74</v>
      </c>
      <c r="Q1822" t="s">
        <v>51</v>
      </c>
      <c r="R1822" t="s">
        <v>36</v>
      </c>
      <c r="S1822" t="s">
        <v>52</v>
      </c>
      <c r="T1822" t="s">
        <v>235</v>
      </c>
      <c r="U1822" t="s">
        <v>39</v>
      </c>
      <c r="V1822" t="s">
        <v>315</v>
      </c>
      <c r="W1822">
        <v>4.7</v>
      </c>
      <c r="X1822" t="s">
        <v>41</v>
      </c>
      <c r="Y1822" t="s">
        <v>147</v>
      </c>
      <c r="Z1822">
        <v>1</v>
      </c>
    </row>
    <row r="1823" spans="1:26">
      <c r="A1823" t="s">
        <v>2948</v>
      </c>
      <c r="B1823" t="s">
        <v>2949</v>
      </c>
      <c r="C1823" t="s">
        <v>28</v>
      </c>
      <c r="D1823" t="s">
        <v>29</v>
      </c>
      <c r="E1823" s="1">
        <v>44967</v>
      </c>
      <c r="F1823" t="s">
        <v>79</v>
      </c>
      <c r="G1823" t="s">
        <v>80</v>
      </c>
      <c r="H1823" t="s">
        <v>59</v>
      </c>
      <c r="I1823">
        <v>11</v>
      </c>
      <c r="J1823" t="s">
        <v>88</v>
      </c>
      <c r="K1823">
        <v>2</v>
      </c>
      <c r="L1823" s="3">
        <v>7599</v>
      </c>
      <c r="M1823">
        <v>15</v>
      </c>
      <c r="N1823" s="3">
        <v>6460</v>
      </c>
      <c r="O1823" s="3">
        <v>12920</v>
      </c>
      <c r="P1823" t="s">
        <v>34</v>
      </c>
      <c r="Q1823" t="s">
        <v>51</v>
      </c>
      <c r="R1823" t="s">
        <v>36</v>
      </c>
      <c r="S1823" t="s">
        <v>338</v>
      </c>
      <c r="T1823" t="s">
        <v>338</v>
      </c>
      <c r="U1823" t="s">
        <v>124</v>
      </c>
      <c r="V1823" t="s">
        <v>40</v>
      </c>
      <c r="W1823">
        <v>3.2</v>
      </c>
      <c r="X1823" t="s">
        <v>62</v>
      </c>
      <c r="Y1823" t="s">
        <v>55</v>
      </c>
      <c r="Z1823">
        <v>1</v>
      </c>
    </row>
    <row r="1824" spans="1:26">
      <c r="A1824" t="s">
        <v>2950</v>
      </c>
      <c r="B1824" t="s">
        <v>2951</v>
      </c>
      <c r="C1824" t="s">
        <v>94</v>
      </c>
      <c r="D1824" t="s">
        <v>46</v>
      </c>
      <c r="E1824" s="1">
        <v>44967</v>
      </c>
      <c r="F1824" t="s">
        <v>79</v>
      </c>
      <c r="G1824" t="s">
        <v>517</v>
      </c>
      <c r="H1824" t="s">
        <v>59</v>
      </c>
      <c r="I1824">
        <v>11</v>
      </c>
      <c r="J1824" t="s">
        <v>67</v>
      </c>
      <c r="K1824">
        <v>3</v>
      </c>
      <c r="L1824" s="3">
        <v>5499</v>
      </c>
      <c r="M1824">
        <v>20</v>
      </c>
      <c r="N1824" s="3">
        <v>4400</v>
      </c>
      <c r="O1824" s="3">
        <v>13200</v>
      </c>
      <c r="P1824" t="s">
        <v>74</v>
      </c>
      <c r="Q1824" t="s">
        <v>82</v>
      </c>
      <c r="R1824" t="s">
        <v>36</v>
      </c>
      <c r="S1824" t="s">
        <v>112</v>
      </c>
      <c r="T1824" t="s">
        <v>133</v>
      </c>
      <c r="U1824" t="s">
        <v>39</v>
      </c>
      <c r="V1824" t="s">
        <v>40</v>
      </c>
      <c r="W1824">
        <v>4.2</v>
      </c>
      <c r="X1824" t="s">
        <v>41</v>
      </c>
      <c r="Y1824" t="s">
        <v>42</v>
      </c>
      <c r="Z1824">
        <v>5</v>
      </c>
    </row>
    <row r="1825" spans="1:26">
      <c r="A1825" t="s">
        <v>2952</v>
      </c>
      <c r="B1825" t="s">
        <v>588</v>
      </c>
      <c r="C1825" t="s">
        <v>45</v>
      </c>
      <c r="D1825" t="s">
        <v>29</v>
      </c>
      <c r="E1825" s="1">
        <v>44968</v>
      </c>
      <c r="F1825" t="s">
        <v>96</v>
      </c>
      <c r="G1825" t="s">
        <v>171</v>
      </c>
      <c r="H1825" t="s">
        <v>128</v>
      </c>
      <c r="I1825">
        <v>7</v>
      </c>
      <c r="J1825" t="s">
        <v>73</v>
      </c>
      <c r="K1825">
        <v>1</v>
      </c>
      <c r="L1825" s="3">
        <v>4999</v>
      </c>
      <c r="M1825">
        <v>30</v>
      </c>
      <c r="N1825" s="3">
        <v>3500</v>
      </c>
      <c r="O1825" s="3">
        <v>3500</v>
      </c>
      <c r="P1825" t="s">
        <v>74</v>
      </c>
      <c r="Q1825" t="s">
        <v>51</v>
      </c>
      <c r="R1825" t="s">
        <v>36</v>
      </c>
      <c r="S1825" t="s">
        <v>112</v>
      </c>
      <c r="T1825" t="s">
        <v>113</v>
      </c>
      <c r="U1825" t="s">
        <v>91</v>
      </c>
      <c r="V1825" t="s">
        <v>315</v>
      </c>
      <c r="W1825">
        <v>3.5</v>
      </c>
      <c r="X1825" t="s">
        <v>41</v>
      </c>
      <c r="Y1825" t="s">
        <v>42</v>
      </c>
      <c r="Z1825">
        <v>2</v>
      </c>
    </row>
    <row r="1826" spans="1:26">
      <c r="A1826" t="s">
        <v>2953</v>
      </c>
      <c r="B1826" t="s">
        <v>882</v>
      </c>
      <c r="C1826" t="s">
        <v>28</v>
      </c>
      <c r="D1826" t="s">
        <v>103</v>
      </c>
      <c r="E1826" s="1">
        <v>44968</v>
      </c>
      <c r="F1826" t="s">
        <v>86</v>
      </c>
      <c r="G1826" t="s">
        <v>87</v>
      </c>
      <c r="H1826" t="s">
        <v>59</v>
      </c>
      <c r="I1826">
        <v>11</v>
      </c>
      <c r="J1826" t="s">
        <v>73</v>
      </c>
      <c r="K1826">
        <v>1</v>
      </c>
      <c r="L1826" s="3">
        <v>6399</v>
      </c>
      <c r="M1826">
        <v>5</v>
      </c>
      <c r="N1826" s="3">
        <v>6080</v>
      </c>
      <c r="O1826" s="3">
        <v>6080</v>
      </c>
      <c r="P1826" t="s">
        <v>74</v>
      </c>
      <c r="Q1826" t="s">
        <v>51</v>
      </c>
      <c r="R1826" t="s">
        <v>36</v>
      </c>
      <c r="S1826" t="s">
        <v>156</v>
      </c>
      <c r="T1826" t="s">
        <v>324</v>
      </c>
      <c r="U1826" t="s">
        <v>61</v>
      </c>
      <c r="V1826" t="s">
        <v>969</v>
      </c>
      <c r="W1826">
        <v>3.6</v>
      </c>
      <c r="X1826" t="s">
        <v>41</v>
      </c>
      <c r="Y1826" t="s">
        <v>55</v>
      </c>
      <c r="Z1826">
        <v>2</v>
      </c>
    </row>
    <row r="1827" spans="1:26">
      <c r="A1827" t="s">
        <v>2954</v>
      </c>
      <c r="B1827" t="s">
        <v>2955</v>
      </c>
      <c r="C1827" t="s">
        <v>94</v>
      </c>
      <c r="D1827" t="s">
        <v>29</v>
      </c>
      <c r="E1827" s="1">
        <v>44969</v>
      </c>
      <c r="F1827" t="s">
        <v>86</v>
      </c>
      <c r="G1827" t="s">
        <v>242</v>
      </c>
      <c r="H1827" t="s">
        <v>32</v>
      </c>
      <c r="I1827">
        <v>9</v>
      </c>
      <c r="J1827" t="s">
        <v>98</v>
      </c>
      <c r="K1827">
        <v>1</v>
      </c>
      <c r="L1827" s="3">
        <v>5099</v>
      </c>
      <c r="M1827">
        <v>35</v>
      </c>
      <c r="N1827" s="3">
        <v>3310</v>
      </c>
      <c r="O1827" s="3">
        <v>3310</v>
      </c>
      <c r="P1827" t="s">
        <v>34</v>
      </c>
      <c r="Q1827" t="s">
        <v>51</v>
      </c>
      <c r="R1827" t="s">
        <v>36</v>
      </c>
      <c r="S1827" t="s">
        <v>99</v>
      </c>
      <c r="T1827" t="s">
        <v>229</v>
      </c>
      <c r="U1827" t="s">
        <v>124</v>
      </c>
      <c r="V1827" t="s">
        <v>40</v>
      </c>
      <c r="W1827">
        <v>3.8</v>
      </c>
      <c r="X1827" t="s">
        <v>106</v>
      </c>
      <c r="Y1827" t="s">
        <v>42</v>
      </c>
      <c r="Z1827">
        <v>2</v>
      </c>
    </row>
    <row r="1828" spans="1:26">
      <c r="A1828" t="s">
        <v>2956</v>
      </c>
      <c r="B1828" t="s">
        <v>1465</v>
      </c>
      <c r="C1828" t="s">
        <v>28</v>
      </c>
      <c r="D1828" t="s">
        <v>29</v>
      </c>
      <c r="E1828" s="1">
        <v>44971</v>
      </c>
      <c r="F1828" t="s">
        <v>86</v>
      </c>
      <c r="G1828" t="s">
        <v>242</v>
      </c>
      <c r="H1828" t="s">
        <v>32</v>
      </c>
      <c r="I1828">
        <v>7</v>
      </c>
      <c r="J1828" t="s">
        <v>98</v>
      </c>
      <c r="K1828">
        <v>2</v>
      </c>
      <c r="L1828" s="3">
        <v>7199</v>
      </c>
      <c r="M1828">
        <v>15</v>
      </c>
      <c r="N1828" s="3">
        <v>6120</v>
      </c>
      <c r="O1828" s="3">
        <v>12240</v>
      </c>
      <c r="P1828" t="s">
        <v>74</v>
      </c>
      <c r="Q1828" t="s">
        <v>35</v>
      </c>
      <c r="R1828" t="s">
        <v>36</v>
      </c>
      <c r="S1828" t="s">
        <v>195</v>
      </c>
      <c r="T1828" t="s">
        <v>215</v>
      </c>
      <c r="U1828" t="s">
        <v>54</v>
      </c>
      <c r="V1828" t="s">
        <v>315</v>
      </c>
      <c r="W1828">
        <v>3.6</v>
      </c>
      <c r="X1828" t="s">
        <v>41</v>
      </c>
      <c r="Y1828" t="s">
        <v>42</v>
      </c>
      <c r="Z1828">
        <v>6</v>
      </c>
    </row>
    <row r="1829" spans="1:26">
      <c r="A1829" t="s">
        <v>2957</v>
      </c>
      <c r="B1829" t="s">
        <v>2795</v>
      </c>
      <c r="C1829" t="s">
        <v>45</v>
      </c>
      <c r="D1829" t="s">
        <v>95</v>
      </c>
      <c r="E1829" s="1">
        <v>44972</v>
      </c>
      <c r="F1829" t="s">
        <v>96</v>
      </c>
      <c r="G1829" t="s">
        <v>290</v>
      </c>
      <c r="H1829" t="s">
        <v>32</v>
      </c>
      <c r="I1829">
        <v>9</v>
      </c>
      <c r="J1829" t="s">
        <v>150</v>
      </c>
      <c r="K1829">
        <v>1</v>
      </c>
      <c r="L1829" s="3">
        <v>9699</v>
      </c>
      <c r="M1829">
        <v>20</v>
      </c>
      <c r="N1829" s="3">
        <v>7760</v>
      </c>
      <c r="O1829" s="3">
        <v>7760</v>
      </c>
      <c r="P1829" t="s">
        <v>34</v>
      </c>
      <c r="Q1829" t="s">
        <v>82</v>
      </c>
      <c r="R1829" t="s">
        <v>36</v>
      </c>
      <c r="S1829" t="s">
        <v>164</v>
      </c>
      <c r="T1829" t="s">
        <v>409</v>
      </c>
      <c r="U1829" t="s">
        <v>54</v>
      </c>
      <c r="V1829" t="s">
        <v>315</v>
      </c>
      <c r="W1829">
        <v>4</v>
      </c>
      <c r="X1829" t="s">
        <v>41</v>
      </c>
      <c r="Y1829" t="s">
        <v>42</v>
      </c>
      <c r="Z1829">
        <v>3</v>
      </c>
    </row>
    <row r="1830" spans="1:26">
      <c r="A1830" t="s">
        <v>2958</v>
      </c>
      <c r="B1830" t="s">
        <v>1308</v>
      </c>
      <c r="C1830" t="s">
        <v>28</v>
      </c>
      <c r="D1830" t="s">
        <v>95</v>
      </c>
      <c r="E1830" s="1">
        <v>44975</v>
      </c>
      <c r="F1830" t="s">
        <v>79</v>
      </c>
      <c r="G1830" t="s">
        <v>480</v>
      </c>
      <c r="H1830" t="s">
        <v>111</v>
      </c>
      <c r="I1830">
        <v>9</v>
      </c>
      <c r="J1830" t="s">
        <v>98</v>
      </c>
      <c r="K1830">
        <v>2</v>
      </c>
      <c r="L1830" s="3">
        <v>5999</v>
      </c>
      <c r="M1830">
        <v>30</v>
      </c>
      <c r="N1830" s="3">
        <v>4200</v>
      </c>
      <c r="O1830" s="3">
        <v>8400</v>
      </c>
      <c r="P1830" t="s">
        <v>34</v>
      </c>
      <c r="Q1830" t="s">
        <v>35</v>
      </c>
      <c r="R1830" t="s">
        <v>36</v>
      </c>
      <c r="S1830" t="s">
        <v>99</v>
      </c>
      <c r="T1830" t="s">
        <v>759</v>
      </c>
      <c r="U1830" t="s">
        <v>124</v>
      </c>
      <c r="V1830" t="s">
        <v>969</v>
      </c>
      <c r="W1830">
        <v>4.7</v>
      </c>
      <c r="X1830" t="s">
        <v>41</v>
      </c>
      <c r="Y1830" t="s">
        <v>55</v>
      </c>
      <c r="Z1830">
        <v>2</v>
      </c>
    </row>
    <row r="1831" spans="1:26">
      <c r="A1831" t="s">
        <v>2959</v>
      </c>
      <c r="B1831" t="s">
        <v>448</v>
      </c>
      <c r="C1831" t="s">
        <v>28</v>
      </c>
      <c r="D1831" t="s">
        <v>29</v>
      </c>
      <c r="E1831" s="1">
        <v>44975</v>
      </c>
      <c r="F1831" t="s">
        <v>30</v>
      </c>
      <c r="G1831" t="s">
        <v>110</v>
      </c>
      <c r="H1831" t="s">
        <v>111</v>
      </c>
      <c r="I1831">
        <v>8</v>
      </c>
      <c r="J1831" t="s">
        <v>98</v>
      </c>
      <c r="K1831">
        <v>4</v>
      </c>
      <c r="L1831" s="3">
        <v>7599</v>
      </c>
      <c r="M1831">
        <v>10</v>
      </c>
      <c r="N1831" s="3">
        <v>6840</v>
      </c>
      <c r="O1831" s="3">
        <v>27360</v>
      </c>
      <c r="P1831" t="s">
        <v>74</v>
      </c>
      <c r="Q1831" t="s">
        <v>35</v>
      </c>
      <c r="R1831" t="s">
        <v>36</v>
      </c>
      <c r="S1831" t="s">
        <v>358</v>
      </c>
      <c r="T1831" t="s">
        <v>464</v>
      </c>
      <c r="U1831" t="s">
        <v>61</v>
      </c>
      <c r="V1831" t="s">
        <v>315</v>
      </c>
      <c r="W1831">
        <v>3.6</v>
      </c>
      <c r="X1831" t="s">
        <v>106</v>
      </c>
      <c r="Y1831" t="s">
        <v>55</v>
      </c>
      <c r="Z1831">
        <v>3</v>
      </c>
    </row>
    <row r="1832" spans="1:26">
      <c r="A1832" t="s">
        <v>2960</v>
      </c>
      <c r="B1832" t="s">
        <v>1995</v>
      </c>
      <c r="C1832" t="s">
        <v>28</v>
      </c>
      <c r="D1832" t="s">
        <v>103</v>
      </c>
      <c r="E1832" s="1">
        <v>44976</v>
      </c>
      <c r="F1832" t="s">
        <v>47</v>
      </c>
      <c r="G1832" t="s">
        <v>121</v>
      </c>
      <c r="H1832" t="s">
        <v>111</v>
      </c>
      <c r="I1832">
        <v>10</v>
      </c>
      <c r="J1832" t="s">
        <v>98</v>
      </c>
      <c r="K1832">
        <v>1</v>
      </c>
      <c r="L1832" s="3">
        <v>9499</v>
      </c>
      <c r="M1832">
        <v>35</v>
      </c>
      <c r="N1832" s="3">
        <v>6170</v>
      </c>
      <c r="O1832" s="3">
        <v>6170</v>
      </c>
      <c r="P1832" t="s">
        <v>74</v>
      </c>
      <c r="Q1832" t="s">
        <v>51</v>
      </c>
      <c r="R1832" t="s">
        <v>36</v>
      </c>
      <c r="S1832" t="s">
        <v>37</v>
      </c>
      <c r="T1832" t="s">
        <v>38</v>
      </c>
      <c r="U1832" t="s">
        <v>39</v>
      </c>
      <c r="V1832" t="s">
        <v>315</v>
      </c>
      <c r="W1832">
        <v>5</v>
      </c>
      <c r="X1832" t="s">
        <v>41</v>
      </c>
      <c r="Y1832" t="s">
        <v>42</v>
      </c>
      <c r="Z1832">
        <v>5</v>
      </c>
    </row>
    <row r="1833" spans="1:26">
      <c r="A1833" t="s">
        <v>2961</v>
      </c>
      <c r="B1833" t="s">
        <v>872</v>
      </c>
      <c r="C1833" t="s">
        <v>28</v>
      </c>
      <c r="D1833" t="s">
        <v>46</v>
      </c>
      <c r="E1833" s="1">
        <v>44976</v>
      </c>
      <c r="F1833" t="s">
        <v>79</v>
      </c>
      <c r="G1833" t="s">
        <v>127</v>
      </c>
      <c r="H1833" t="s">
        <v>128</v>
      </c>
      <c r="I1833">
        <v>10</v>
      </c>
      <c r="J1833" t="s">
        <v>33</v>
      </c>
      <c r="K1833">
        <v>1</v>
      </c>
      <c r="L1833" s="3">
        <v>7099</v>
      </c>
      <c r="M1833">
        <v>20</v>
      </c>
      <c r="N1833" s="3">
        <v>5680</v>
      </c>
      <c r="O1833" s="3">
        <v>5680</v>
      </c>
      <c r="P1833" t="s">
        <v>74</v>
      </c>
      <c r="Q1833" t="s">
        <v>51</v>
      </c>
      <c r="R1833" t="s">
        <v>36</v>
      </c>
      <c r="S1833" t="s">
        <v>68</v>
      </c>
      <c r="T1833" t="s">
        <v>811</v>
      </c>
      <c r="U1833" t="s">
        <v>39</v>
      </c>
      <c r="V1833" t="s">
        <v>315</v>
      </c>
      <c r="W1833">
        <v>4.3</v>
      </c>
      <c r="X1833" t="s">
        <v>106</v>
      </c>
      <c r="Y1833" t="s">
        <v>55</v>
      </c>
      <c r="Z1833">
        <v>2</v>
      </c>
    </row>
    <row r="1834" spans="1:26">
      <c r="A1834" t="s">
        <v>2962</v>
      </c>
      <c r="B1834" t="s">
        <v>539</v>
      </c>
      <c r="C1834" t="s">
        <v>45</v>
      </c>
      <c r="D1834" t="s">
        <v>46</v>
      </c>
      <c r="E1834" s="1">
        <v>44978</v>
      </c>
      <c r="F1834" t="s">
        <v>30</v>
      </c>
      <c r="G1834" t="s">
        <v>110</v>
      </c>
      <c r="H1834" t="s">
        <v>111</v>
      </c>
      <c r="I1834">
        <v>9</v>
      </c>
      <c r="J1834" t="s">
        <v>88</v>
      </c>
      <c r="K1834">
        <v>1</v>
      </c>
      <c r="L1834" s="3">
        <v>6399</v>
      </c>
      <c r="M1834">
        <v>15</v>
      </c>
      <c r="N1834" s="3">
        <v>5440</v>
      </c>
      <c r="O1834" s="3">
        <v>5440</v>
      </c>
      <c r="P1834" t="s">
        <v>34</v>
      </c>
      <c r="Q1834" t="s">
        <v>35</v>
      </c>
      <c r="R1834" t="s">
        <v>36</v>
      </c>
      <c r="S1834" t="s">
        <v>52</v>
      </c>
      <c r="T1834" t="s">
        <v>83</v>
      </c>
      <c r="U1834" t="s">
        <v>124</v>
      </c>
      <c r="V1834" t="s">
        <v>315</v>
      </c>
      <c r="W1834">
        <v>3.9</v>
      </c>
      <c r="X1834" t="s">
        <v>41</v>
      </c>
      <c r="Y1834" t="s">
        <v>42</v>
      </c>
      <c r="Z1834">
        <v>3</v>
      </c>
    </row>
    <row r="1835" spans="1:26">
      <c r="A1835" t="s">
        <v>2963</v>
      </c>
      <c r="B1835" t="s">
        <v>2964</v>
      </c>
      <c r="C1835" t="s">
        <v>28</v>
      </c>
      <c r="D1835" t="s">
        <v>95</v>
      </c>
      <c r="E1835" s="1">
        <v>44978</v>
      </c>
      <c r="F1835" t="s">
        <v>65</v>
      </c>
      <c r="G1835" t="s">
        <v>72</v>
      </c>
      <c r="H1835" t="s">
        <v>59</v>
      </c>
      <c r="I1835">
        <v>9</v>
      </c>
      <c r="J1835" t="s">
        <v>67</v>
      </c>
      <c r="K1835">
        <v>1</v>
      </c>
      <c r="L1835" s="3">
        <v>5199</v>
      </c>
      <c r="M1835">
        <v>15</v>
      </c>
      <c r="N1835" s="3">
        <v>4420</v>
      </c>
      <c r="O1835" s="3">
        <v>4420</v>
      </c>
      <c r="P1835" t="s">
        <v>74</v>
      </c>
      <c r="Q1835" t="s">
        <v>51</v>
      </c>
      <c r="R1835" t="s">
        <v>36</v>
      </c>
      <c r="S1835" t="s">
        <v>200</v>
      </c>
      <c r="T1835" t="s">
        <v>201</v>
      </c>
      <c r="U1835" t="s">
        <v>91</v>
      </c>
      <c r="V1835" t="s">
        <v>40</v>
      </c>
      <c r="W1835">
        <v>4</v>
      </c>
      <c r="X1835" t="s">
        <v>41</v>
      </c>
      <c r="Y1835" t="s">
        <v>42</v>
      </c>
      <c r="Z1835">
        <v>5</v>
      </c>
    </row>
    <row r="1836" spans="1:26">
      <c r="A1836" t="s">
        <v>2965</v>
      </c>
      <c r="B1836" t="s">
        <v>2078</v>
      </c>
      <c r="C1836" t="s">
        <v>28</v>
      </c>
      <c r="D1836" t="s">
        <v>29</v>
      </c>
      <c r="E1836" s="1">
        <v>44979</v>
      </c>
      <c r="F1836" t="s">
        <v>96</v>
      </c>
      <c r="G1836" t="s">
        <v>290</v>
      </c>
      <c r="H1836" t="s">
        <v>32</v>
      </c>
      <c r="I1836">
        <v>11</v>
      </c>
      <c r="J1836" t="s">
        <v>88</v>
      </c>
      <c r="K1836">
        <v>2</v>
      </c>
      <c r="L1836" s="3">
        <v>9299</v>
      </c>
      <c r="M1836">
        <v>20</v>
      </c>
      <c r="N1836" s="3">
        <v>7440</v>
      </c>
      <c r="O1836" s="3">
        <v>14880</v>
      </c>
      <c r="P1836" t="s">
        <v>74</v>
      </c>
      <c r="Q1836" t="s">
        <v>82</v>
      </c>
      <c r="R1836" t="s">
        <v>36</v>
      </c>
      <c r="S1836" t="s">
        <v>354</v>
      </c>
      <c r="T1836" t="s">
        <v>434</v>
      </c>
      <c r="U1836" t="s">
        <v>124</v>
      </c>
      <c r="V1836" t="s">
        <v>969</v>
      </c>
      <c r="W1836">
        <v>4.0999999999999996</v>
      </c>
      <c r="X1836" t="s">
        <v>41</v>
      </c>
      <c r="Y1836" t="s">
        <v>55</v>
      </c>
      <c r="Z1836">
        <v>3</v>
      </c>
    </row>
    <row r="1837" spans="1:26">
      <c r="A1837" t="s">
        <v>2966</v>
      </c>
      <c r="B1837" t="s">
        <v>1603</v>
      </c>
      <c r="C1837" t="s">
        <v>28</v>
      </c>
      <c r="D1837" t="s">
        <v>103</v>
      </c>
      <c r="E1837" s="1">
        <v>44979</v>
      </c>
      <c r="F1837" t="s">
        <v>86</v>
      </c>
      <c r="G1837" t="s">
        <v>242</v>
      </c>
      <c r="H1837" t="s">
        <v>32</v>
      </c>
      <c r="I1837">
        <v>8</v>
      </c>
      <c r="J1837" t="s">
        <v>88</v>
      </c>
      <c r="K1837">
        <v>2</v>
      </c>
      <c r="L1837" s="3">
        <v>9999</v>
      </c>
      <c r="M1837">
        <v>30</v>
      </c>
      <c r="N1837" s="3">
        <v>7000</v>
      </c>
      <c r="O1837" s="3">
        <v>14000</v>
      </c>
      <c r="P1837" t="s">
        <v>74</v>
      </c>
      <c r="Q1837" t="s">
        <v>82</v>
      </c>
      <c r="R1837" t="s">
        <v>36</v>
      </c>
      <c r="S1837" t="s">
        <v>418</v>
      </c>
      <c r="T1837" t="s">
        <v>924</v>
      </c>
      <c r="U1837" t="s">
        <v>124</v>
      </c>
      <c r="V1837" t="s">
        <v>315</v>
      </c>
      <c r="W1837">
        <v>4.5999999999999996</v>
      </c>
      <c r="X1837" t="s">
        <v>106</v>
      </c>
      <c r="Y1837" t="s">
        <v>55</v>
      </c>
      <c r="Z1837">
        <v>4</v>
      </c>
    </row>
    <row r="1838" spans="1:26">
      <c r="A1838" t="s">
        <v>2967</v>
      </c>
      <c r="B1838" t="s">
        <v>1988</v>
      </c>
      <c r="C1838" t="s">
        <v>45</v>
      </c>
      <c r="D1838" t="s">
        <v>46</v>
      </c>
      <c r="E1838" s="1">
        <v>44981</v>
      </c>
      <c r="F1838" t="s">
        <v>79</v>
      </c>
      <c r="G1838" t="s">
        <v>174</v>
      </c>
      <c r="H1838" t="s">
        <v>32</v>
      </c>
      <c r="I1838">
        <v>6</v>
      </c>
      <c r="J1838" t="s">
        <v>67</v>
      </c>
      <c r="K1838">
        <v>2</v>
      </c>
      <c r="L1838" s="3">
        <v>5699</v>
      </c>
      <c r="M1838">
        <v>25</v>
      </c>
      <c r="N1838" s="3">
        <v>4270</v>
      </c>
      <c r="O1838" s="3">
        <v>8540</v>
      </c>
      <c r="P1838" t="s">
        <v>34</v>
      </c>
      <c r="Q1838" t="s">
        <v>51</v>
      </c>
      <c r="R1838" t="s">
        <v>36</v>
      </c>
      <c r="S1838" t="s">
        <v>151</v>
      </c>
      <c r="T1838" t="s">
        <v>890</v>
      </c>
      <c r="U1838" t="s">
        <v>54</v>
      </c>
      <c r="V1838" t="s">
        <v>315</v>
      </c>
      <c r="W1838">
        <v>5</v>
      </c>
      <c r="X1838" t="s">
        <v>41</v>
      </c>
      <c r="Y1838" t="s">
        <v>42</v>
      </c>
      <c r="Z1838">
        <v>3</v>
      </c>
    </row>
    <row r="1839" spans="1:26">
      <c r="A1839" t="s">
        <v>2968</v>
      </c>
      <c r="B1839" t="s">
        <v>2709</v>
      </c>
      <c r="C1839" t="s">
        <v>94</v>
      </c>
      <c r="D1839" t="s">
        <v>29</v>
      </c>
      <c r="E1839" s="1">
        <v>44981</v>
      </c>
      <c r="F1839" t="s">
        <v>47</v>
      </c>
      <c r="G1839" t="s">
        <v>140</v>
      </c>
      <c r="H1839" t="s">
        <v>128</v>
      </c>
      <c r="I1839">
        <v>9</v>
      </c>
      <c r="J1839" t="s">
        <v>98</v>
      </c>
      <c r="K1839">
        <v>2</v>
      </c>
      <c r="L1839" s="3">
        <v>4899</v>
      </c>
      <c r="M1839">
        <v>15</v>
      </c>
      <c r="N1839" s="3">
        <v>4160</v>
      </c>
      <c r="O1839" s="3">
        <v>8320</v>
      </c>
      <c r="P1839" t="s">
        <v>74</v>
      </c>
      <c r="Q1839" t="s">
        <v>82</v>
      </c>
      <c r="R1839" t="s">
        <v>36</v>
      </c>
      <c r="S1839" t="s">
        <v>68</v>
      </c>
      <c r="T1839" t="s">
        <v>69</v>
      </c>
      <c r="U1839" t="s">
        <v>61</v>
      </c>
      <c r="V1839" t="s">
        <v>315</v>
      </c>
      <c r="W1839">
        <v>4.7</v>
      </c>
      <c r="X1839" t="s">
        <v>41</v>
      </c>
      <c r="Y1839" t="s">
        <v>55</v>
      </c>
      <c r="Z1839">
        <v>2</v>
      </c>
    </row>
    <row r="1840" spans="1:26">
      <c r="A1840" t="s">
        <v>2969</v>
      </c>
      <c r="B1840" t="s">
        <v>2970</v>
      </c>
      <c r="C1840" t="s">
        <v>28</v>
      </c>
      <c r="D1840" t="s">
        <v>29</v>
      </c>
      <c r="E1840" s="1">
        <v>44982</v>
      </c>
      <c r="F1840" t="s">
        <v>96</v>
      </c>
      <c r="G1840" t="s">
        <v>155</v>
      </c>
      <c r="H1840" t="s">
        <v>111</v>
      </c>
      <c r="I1840">
        <v>8</v>
      </c>
      <c r="J1840" t="s">
        <v>98</v>
      </c>
      <c r="K1840">
        <v>1</v>
      </c>
      <c r="L1840" s="3">
        <v>5399</v>
      </c>
      <c r="M1840">
        <v>15</v>
      </c>
      <c r="N1840" s="3">
        <v>4590</v>
      </c>
      <c r="O1840" s="3">
        <v>4590</v>
      </c>
      <c r="P1840" t="s">
        <v>74</v>
      </c>
      <c r="Q1840" t="s">
        <v>35</v>
      </c>
      <c r="R1840" t="s">
        <v>36</v>
      </c>
      <c r="S1840" t="s">
        <v>136</v>
      </c>
      <c r="T1840" t="s">
        <v>225</v>
      </c>
      <c r="U1840" t="s">
        <v>54</v>
      </c>
      <c r="V1840" t="s">
        <v>40</v>
      </c>
      <c r="W1840">
        <v>4.5999999999999996</v>
      </c>
      <c r="X1840" t="s">
        <v>41</v>
      </c>
      <c r="Y1840" t="s">
        <v>55</v>
      </c>
      <c r="Z1840">
        <v>2</v>
      </c>
    </row>
    <row r="1841" spans="1:26">
      <c r="A1841" t="s">
        <v>2971</v>
      </c>
      <c r="B1841" t="s">
        <v>296</v>
      </c>
      <c r="C1841" t="s">
        <v>28</v>
      </c>
      <c r="D1841" t="s">
        <v>46</v>
      </c>
      <c r="E1841" s="1">
        <v>44982</v>
      </c>
      <c r="F1841" t="s">
        <v>30</v>
      </c>
      <c r="G1841" t="s">
        <v>58</v>
      </c>
      <c r="H1841" t="s">
        <v>59</v>
      </c>
      <c r="I1841">
        <v>9</v>
      </c>
      <c r="J1841" t="s">
        <v>67</v>
      </c>
      <c r="K1841">
        <v>3</v>
      </c>
      <c r="L1841" s="3">
        <v>6599</v>
      </c>
      <c r="M1841">
        <v>15</v>
      </c>
      <c r="N1841" s="3">
        <v>5610</v>
      </c>
      <c r="O1841" s="3">
        <v>16830</v>
      </c>
      <c r="P1841" t="s">
        <v>34</v>
      </c>
      <c r="Q1841" t="s">
        <v>51</v>
      </c>
      <c r="R1841" t="s">
        <v>36</v>
      </c>
      <c r="S1841" t="s">
        <v>129</v>
      </c>
      <c r="T1841" t="s">
        <v>655</v>
      </c>
      <c r="U1841" t="s">
        <v>91</v>
      </c>
      <c r="V1841" t="s">
        <v>315</v>
      </c>
      <c r="W1841">
        <v>4.7</v>
      </c>
      <c r="X1841" t="s">
        <v>106</v>
      </c>
      <c r="Y1841" t="s">
        <v>147</v>
      </c>
      <c r="Z1841">
        <v>1</v>
      </c>
    </row>
    <row r="1842" spans="1:26">
      <c r="A1842" t="s">
        <v>2972</v>
      </c>
      <c r="B1842" t="s">
        <v>1528</v>
      </c>
      <c r="C1842" t="s">
        <v>28</v>
      </c>
      <c r="D1842" t="s">
        <v>109</v>
      </c>
      <c r="E1842" s="1">
        <v>44982</v>
      </c>
      <c r="F1842" t="s">
        <v>86</v>
      </c>
      <c r="G1842" t="s">
        <v>87</v>
      </c>
      <c r="H1842" t="s">
        <v>59</v>
      </c>
      <c r="I1842">
        <v>7</v>
      </c>
      <c r="J1842" t="s">
        <v>98</v>
      </c>
      <c r="K1842">
        <v>1</v>
      </c>
      <c r="L1842" s="3">
        <v>8699</v>
      </c>
      <c r="M1842">
        <v>10</v>
      </c>
      <c r="N1842" s="3">
        <v>7830</v>
      </c>
      <c r="O1842" s="3">
        <v>7830</v>
      </c>
      <c r="P1842" t="s">
        <v>74</v>
      </c>
      <c r="Q1842" t="s">
        <v>35</v>
      </c>
      <c r="R1842" t="s">
        <v>36</v>
      </c>
      <c r="S1842" t="s">
        <v>269</v>
      </c>
      <c r="T1842" t="s">
        <v>961</v>
      </c>
      <c r="U1842" t="s">
        <v>61</v>
      </c>
      <c r="V1842" t="s">
        <v>315</v>
      </c>
      <c r="W1842">
        <v>3.9</v>
      </c>
      <c r="X1842" t="s">
        <v>41</v>
      </c>
      <c r="Y1842" t="s">
        <v>42</v>
      </c>
      <c r="Z1842">
        <v>5</v>
      </c>
    </row>
    <row r="1843" spans="1:26">
      <c r="A1843" t="s">
        <v>2973</v>
      </c>
      <c r="B1843" t="s">
        <v>927</v>
      </c>
      <c r="C1843" t="s">
        <v>28</v>
      </c>
      <c r="D1843" t="s">
        <v>46</v>
      </c>
      <c r="E1843" s="1">
        <v>44983</v>
      </c>
      <c r="F1843" t="s">
        <v>96</v>
      </c>
      <c r="G1843" t="s">
        <v>171</v>
      </c>
      <c r="H1843" t="s">
        <v>128</v>
      </c>
      <c r="I1843">
        <v>8</v>
      </c>
      <c r="J1843" t="s">
        <v>67</v>
      </c>
      <c r="K1843">
        <v>1</v>
      </c>
      <c r="L1843" s="3">
        <v>4799</v>
      </c>
      <c r="M1843">
        <v>10</v>
      </c>
      <c r="N1843" s="3">
        <v>4320</v>
      </c>
      <c r="O1843" s="3">
        <v>4320</v>
      </c>
      <c r="P1843" t="s">
        <v>74</v>
      </c>
      <c r="Q1843" t="s">
        <v>82</v>
      </c>
      <c r="R1843" t="s">
        <v>36</v>
      </c>
      <c r="S1843" t="s">
        <v>117</v>
      </c>
      <c r="T1843" t="s">
        <v>751</v>
      </c>
      <c r="U1843" t="s">
        <v>54</v>
      </c>
      <c r="V1843" t="s">
        <v>969</v>
      </c>
      <c r="W1843">
        <v>4.5999999999999996</v>
      </c>
      <c r="X1843" t="s">
        <v>41</v>
      </c>
      <c r="Y1843" t="s">
        <v>42</v>
      </c>
      <c r="Z1843">
        <v>3</v>
      </c>
    </row>
    <row r="1844" spans="1:26">
      <c r="A1844" t="s">
        <v>2974</v>
      </c>
      <c r="B1844" t="s">
        <v>1374</v>
      </c>
      <c r="C1844" t="s">
        <v>45</v>
      </c>
      <c r="D1844" t="s">
        <v>103</v>
      </c>
      <c r="E1844" s="1">
        <v>44985</v>
      </c>
      <c r="F1844" t="s">
        <v>96</v>
      </c>
      <c r="G1844" t="s">
        <v>155</v>
      </c>
      <c r="H1844" t="s">
        <v>111</v>
      </c>
      <c r="I1844">
        <v>8</v>
      </c>
      <c r="J1844" t="s">
        <v>67</v>
      </c>
      <c r="K1844">
        <v>1</v>
      </c>
      <c r="L1844" s="3">
        <v>4499</v>
      </c>
      <c r="M1844">
        <v>15</v>
      </c>
      <c r="N1844" s="3">
        <v>3820</v>
      </c>
      <c r="O1844" s="3">
        <v>3820</v>
      </c>
      <c r="P1844" t="s">
        <v>74</v>
      </c>
      <c r="Q1844" t="s">
        <v>82</v>
      </c>
      <c r="R1844" t="s">
        <v>36</v>
      </c>
      <c r="S1844" t="s">
        <v>175</v>
      </c>
      <c r="T1844" t="s">
        <v>495</v>
      </c>
      <c r="U1844" t="s">
        <v>61</v>
      </c>
      <c r="V1844" t="s">
        <v>315</v>
      </c>
      <c r="W1844">
        <v>3.7</v>
      </c>
      <c r="X1844" t="s">
        <v>62</v>
      </c>
      <c r="Y1844" t="s">
        <v>42</v>
      </c>
      <c r="Z1844">
        <v>4</v>
      </c>
    </row>
    <row r="1845" spans="1:26">
      <c r="A1845" t="s">
        <v>2975</v>
      </c>
      <c r="B1845" t="s">
        <v>1741</v>
      </c>
      <c r="C1845" t="s">
        <v>45</v>
      </c>
      <c r="D1845" t="s">
        <v>29</v>
      </c>
      <c r="E1845" s="1">
        <v>44986</v>
      </c>
      <c r="F1845" t="s">
        <v>47</v>
      </c>
      <c r="G1845" t="s">
        <v>218</v>
      </c>
      <c r="H1845" t="s">
        <v>59</v>
      </c>
      <c r="I1845">
        <v>9</v>
      </c>
      <c r="J1845" t="s">
        <v>73</v>
      </c>
      <c r="K1845">
        <v>1</v>
      </c>
      <c r="L1845" s="3">
        <v>5699</v>
      </c>
      <c r="M1845">
        <v>25</v>
      </c>
      <c r="N1845" s="3">
        <v>4270</v>
      </c>
      <c r="O1845" s="3">
        <v>4270</v>
      </c>
      <c r="P1845" t="s">
        <v>74</v>
      </c>
      <c r="Q1845" t="s">
        <v>82</v>
      </c>
      <c r="R1845" t="s">
        <v>36</v>
      </c>
      <c r="S1845" t="s">
        <v>68</v>
      </c>
      <c r="T1845" t="s">
        <v>69</v>
      </c>
      <c r="U1845" t="s">
        <v>124</v>
      </c>
      <c r="V1845" t="s">
        <v>969</v>
      </c>
      <c r="W1845">
        <v>3.8</v>
      </c>
      <c r="X1845" t="s">
        <v>62</v>
      </c>
      <c r="Y1845" t="s">
        <v>42</v>
      </c>
      <c r="Z1845">
        <v>6</v>
      </c>
    </row>
    <row r="1846" spans="1:26">
      <c r="A1846" t="s">
        <v>2976</v>
      </c>
      <c r="B1846" t="s">
        <v>2132</v>
      </c>
      <c r="C1846" t="s">
        <v>45</v>
      </c>
      <c r="D1846" t="s">
        <v>103</v>
      </c>
      <c r="E1846" s="1">
        <v>44986</v>
      </c>
      <c r="F1846" t="s">
        <v>65</v>
      </c>
      <c r="G1846" t="s">
        <v>268</v>
      </c>
      <c r="H1846" t="s">
        <v>128</v>
      </c>
      <c r="I1846">
        <v>8</v>
      </c>
      <c r="J1846" t="s">
        <v>98</v>
      </c>
      <c r="K1846">
        <v>1</v>
      </c>
      <c r="L1846" s="3">
        <v>2899</v>
      </c>
      <c r="M1846">
        <v>20</v>
      </c>
      <c r="N1846" s="3">
        <v>2320</v>
      </c>
      <c r="O1846" s="3">
        <v>2320</v>
      </c>
      <c r="P1846" t="s">
        <v>74</v>
      </c>
      <c r="Q1846" t="s">
        <v>51</v>
      </c>
      <c r="R1846" t="s">
        <v>36</v>
      </c>
      <c r="S1846" t="s">
        <v>164</v>
      </c>
      <c r="T1846" t="s">
        <v>348</v>
      </c>
      <c r="U1846" t="s">
        <v>54</v>
      </c>
      <c r="V1846" t="s">
        <v>315</v>
      </c>
      <c r="W1846">
        <v>4.8</v>
      </c>
      <c r="X1846" t="s">
        <v>62</v>
      </c>
      <c r="Y1846" t="s">
        <v>42</v>
      </c>
      <c r="Z1846">
        <v>2</v>
      </c>
    </row>
    <row r="1847" spans="1:26">
      <c r="A1847" t="s">
        <v>2977</v>
      </c>
      <c r="B1847" t="s">
        <v>1655</v>
      </c>
      <c r="C1847" t="s">
        <v>45</v>
      </c>
      <c r="D1847" t="s">
        <v>29</v>
      </c>
      <c r="E1847" s="1">
        <v>44987</v>
      </c>
      <c r="F1847" t="s">
        <v>79</v>
      </c>
      <c r="G1847" t="s">
        <v>301</v>
      </c>
      <c r="H1847" t="s">
        <v>49</v>
      </c>
      <c r="I1847">
        <v>9</v>
      </c>
      <c r="J1847" t="s">
        <v>98</v>
      </c>
      <c r="K1847">
        <v>1</v>
      </c>
      <c r="L1847" s="3">
        <v>5299</v>
      </c>
      <c r="M1847">
        <v>20</v>
      </c>
      <c r="N1847" s="3">
        <v>4240</v>
      </c>
      <c r="O1847" s="3">
        <v>4240</v>
      </c>
      <c r="P1847" t="s">
        <v>74</v>
      </c>
      <c r="Q1847" t="s">
        <v>82</v>
      </c>
      <c r="R1847" t="s">
        <v>36</v>
      </c>
      <c r="S1847" t="s">
        <v>210</v>
      </c>
      <c r="T1847" t="s">
        <v>415</v>
      </c>
      <c r="U1847" t="s">
        <v>54</v>
      </c>
      <c r="V1847" t="s">
        <v>969</v>
      </c>
      <c r="W1847">
        <v>3.8</v>
      </c>
      <c r="X1847" t="s">
        <v>41</v>
      </c>
      <c r="Y1847" t="s">
        <v>55</v>
      </c>
      <c r="Z1847">
        <v>1</v>
      </c>
    </row>
    <row r="1848" spans="1:26">
      <c r="A1848" t="s">
        <v>2978</v>
      </c>
      <c r="B1848" t="s">
        <v>2979</v>
      </c>
      <c r="C1848" t="s">
        <v>94</v>
      </c>
      <c r="D1848" t="s">
        <v>46</v>
      </c>
      <c r="E1848" s="1">
        <v>44987</v>
      </c>
      <c r="F1848" t="s">
        <v>47</v>
      </c>
      <c r="G1848" t="s">
        <v>218</v>
      </c>
      <c r="H1848" t="s">
        <v>59</v>
      </c>
      <c r="I1848">
        <v>9</v>
      </c>
      <c r="J1848" t="s">
        <v>150</v>
      </c>
      <c r="K1848">
        <v>1</v>
      </c>
      <c r="L1848" s="3">
        <v>9499</v>
      </c>
      <c r="M1848">
        <v>0</v>
      </c>
      <c r="N1848" s="3">
        <v>9500</v>
      </c>
      <c r="O1848" s="3">
        <v>9500</v>
      </c>
      <c r="P1848" t="s">
        <v>74</v>
      </c>
      <c r="Q1848" t="s">
        <v>82</v>
      </c>
      <c r="R1848" t="s">
        <v>36</v>
      </c>
      <c r="S1848" t="s">
        <v>418</v>
      </c>
      <c r="T1848" t="s">
        <v>924</v>
      </c>
      <c r="U1848" t="s">
        <v>91</v>
      </c>
      <c r="V1848" t="s">
        <v>40</v>
      </c>
      <c r="W1848">
        <v>4.8</v>
      </c>
      <c r="X1848" t="s">
        <v>41</v>
      </c>
      <c r="Y1848" t="s">
        <v>42</v>
      </c>
      <c r="Z1848">
        <v>5</v>
      </c>
    </row>
    <row r="1849" spans="1:26">
      <c r="A1849" t="s">
        <v>2980</v>
      </c>
      <c r="B1849" t="s">
        <v>1854</v>
      </c>
      <c r="C1849" t="s">
        <v>28</v>
      </c>
      <c r="D1849" t="s">
        <v>109</v>
      </c>
      <c r="E1849" s="1">
        <v>44987</v>
      </c>
      <c r="F1849" t="s">
        <v>79</v>
      </c>
      <c r="G1849" t="s">
        <v>517</v>
      </c>
      <c r="H1849" t="s">
        <v>59</v>
      </c>
      <c r="I1849">
        <v>6</v>
      </c>
      <c r="J1849" t="s">
        <v>88</v>
      </c>
      <c r="K1849">
        <v>2</v>
      </c>
      <c r="L1849" s="3">
        <v>7399</v>
      </c>
      <c r="M1849">
        <v>5</v>
      </c>
      <c r="N1849" s="3">
        <v>7030</v>
      </c>
      <c r="O1849" s="3">
        <v>14060</v>
      </c>
      <c r="P1849" t="s">
        <v>74</v>
      </c>
      <c r="Q1849" t="s">
        <v>35</v>
      </c>
      <c r="R1849" t="s">
        <v>36</v>
      </c>
      <c r="S1849" t="s">
        <v>104</v>
      </c>
      <c r="T1849" t="s">
        <v>291</v>
      </c>
      <c r="U1849" t="s">
        <v>61</v>
      </c>
      <c r="V1849" t="s">
        <v>315</v>
      </c>
      <c r="W1849">
        <v>3.5</v>
      </c>
      <c r="X1849" t="s">
        <v>62</v>
      </c>
      <c r="Y1849" t="s">
        <v>42</v>
      </c>
      <c r="Z1849">
        <v>4</v>
      </c>
    </row>
    <row r="1850" spans="1:26">
      <c r="A1850" t="s">
        <v>2981</v>
      </c>
      <c r="B1850" t="s">
        <v>2982</v>
      </c>
      <c r="C1850" t="s">
        <v>28</v>
      </c>
      <c r="D1850" t="s">
        <v>46</v>
      </c>
      <c r="E1850" s="1">
        <v>44989</v>
      </c>
      <c r="F1850" t="s">
        <v>65</v>
      </c>
      <c r="G1850" t="s">
        <v>279</v>
      </c>
      <c r="H1850" t="s">
        <v>111</v>
      </c>
      <c r="I1850">
        <v>7</v>
      </c>
      <c r="J1850" t="s">
        <v>67</v>
      </c>
      <c r="K1850">
        <v>1</v>
      </c>
      <c r="L1850" s="3">
        <v>4799</v>
      </c>
      <c r="M1850">
        <v>10</v>
      </c>
      <c r="N1850" s="3">
        <v>4320</v>
      </c>
      <c r="O1850" s="3">
        <v>4320</v>
      </c>
      <c r="P1850" t="s">
        <v>34</v>
      </c>
      <c r="Q1850" t="s">
        <v>51</v>
      </c>
      <c r="R1850" t="s">
        <v>36</v>
      </c>
      <c r="S1850" t="s">
        <v>354</v>
      </c>
      <c r="T1850" t="s">
        <v>355</v>
      </c>
      <c r="U1850" t="s">
        <v>124</v>
      </c>
      <c r="V1850" t="s">
        <v>40</v>
      </c>
      <c r="W1850">
        <v>3.7</v>
      </c>
      <c r="X1850" t="s">
        <v>41</v>
      </c>
      <c r="Y1850" t="s">
        <v>42</v>
      </c>
      <c r="Z1850">
        <v>5</v>
      </c>
    </row>
    <row r="1851" spans="1:26">
      <c r="A1851" t="s">
        <v>2983</v>
      </c>
      <c r="B1851" t="s">
        <v>2984</v>
      </c>
      <c r="C1851" t="s">
        <v>28</v>
      </c>
      <c r="D1851" t="s">
        <v>46</v>
      </c>
      <c r="E1851" s="1">
        <v>44989</v>
      </c>
      <c r="F1851" t="s">
        <v>30</v>
      </c>
      <c r="G1851" t="s">
        <v>347</v>
      </c>
      <c r="H1851" t="s">
        <v>49</v>
      </c>
      <c r="I1851">
        <v>12</v>
      </c>
      <c r="J1851" t="s">
        <v>33</v>
      </c>
      <c r="K1851">
        <v>2</v>
      </c>
      <c r="L1851" s="3">
        <v>7499</v>
      </c>
      <c r="M1851">
        <v>15</v>
      </c>
      <c r="N1851" s="3">
        <v>6370</v>
      </c>
      <c r="O1851" s="3">
        <v>12740</v>
      </c>
      <c r="P1851" t="s">
        <v>34</v>
      </c>
      <c r="Q1851" t="s">
        <v>51</v>
      </c>
      <c r="R1851" t="s">
        <v>36</v>
      </c>
      <c r="S1851" t="s">
        <v>117</v>
      </c>
      <c r="T1851" t="s">
        <v>544</v>
      </c>
      <c r="U1851" t="s">
        <v>54</v>
      </c>
      <c r="V1851" t="s">
        <v>40</v>
      </c>
      <c r="W1851">
        <v>5</v>
      </c>
      <c r="X1851" t="s">
        <v>41</v>
      </c>
      <c r="Y1851" t="s">
        <v>42</v>
      </c>
      <c r="Z1851">
        <v>2</v>
      </c>
    </row>
    <row r="1852" spans="1:26">
      <c r="A1852" t="s">
        <v>2985</v>
      </c>
      <c r="B1852" t="s">
        <v>198</v>
      </c>
      <c r="C1852" t="s">
        <v>28</v>
      </c>
      <c r="D1852" t="s">
        <v>103</v>
      </c>
      <c r="E1852" s="1">
        <v>44989</v>
      </c>
      <c r="F1852" t="s">
        <v>65</v>
      </c>
      <c r="G1852" t="s">
        <v>66</v>
      </c>
      <c r="H1852" t="s">
        <v>59</v>
      </c>
      <c r="I1852">
        <v>8</v>
      </c>
      <c r="J1852" t="s">
        <v>98</v>
      </c>
      <c r="K1852">
        <v>1</v>
      </c>
      <c r="L1852" s="3">
        <v>6999</v>
      </c>
      <c r="M1852">
        <v>10</v>
      </c>
      <c r="N1852" s="3">
        <v>6300</v>
      </c>
      <c r="O1852" s="3">
        <v>6300</v>
      </c>
      <c r="P1852" t="s">
        <v>74</v>
      </c>
      <c r="Q1852" t="s">
        <v>82</v>
      </c>
      <c r="R1852" t="s">
        <v>36</v>
      </c>
      <c r="S1852" t="s">
        <v>191</v>
      </c>
      <c r="T1852" t="s">
        <v>521</v>
      </c>
      <c r="U1852" t="s">
        <v>61</v>
      </c>
      <c r="V1852" t="s">
        <v>315</v>
      </c>
      <c r="W1852">
        <v>4.5999999999999996</v>
      </c>
      <c r="X1852" t="s">
        <v>41</v>
      </c>
      <c r="Y1852" t="s">
        <v>55</v>
      </c>
      <c r="Z1852">
        <v>2</v>
      </c>
    </row>
    <row r="1853" spans="1:26">
      <c r="A1853" t="s">
        <v>2986</v>
      </c>
      <c r="B1853" t="s">
        <v>361</v>
      </c>
      <c r="C1853" t="s">
        <v>45</v>
      </c>
      <c r="D1853" t="s">
        <v>95</v>
      </c>
      <c r="E1853" s="1">
        <v>44991</v>
      </c>
      <c r="F1853" t="s">
        <v>86</v>
      </c>
      <c r="G1853" t="s">
        <v>242</v>
      </c>
      <c r="H1853" t="s">
        <v>32</v>
      </c>
      <c r="I1853">
        <v>8</v>
      </c>
      <c r="J1853" t="s">
        <v>33</v>
      </c>
      <c r="K1853">
        <v>1</v>
      </c>
      <c r="L1853" s="3">
        <v>7799</v>
      </c>
      <c r="M1853">
        <v>10</v>
      </c>
      <c r="N1853" s="3">
        <v>7020</v>
      </c>
      <c r="O1853" s="3">
        <v>7020</v>
      </c>
      <c r="P1853" t="s">
        <v>74</v>
      </c>
      <c r="Q1853" t="s">
        <v>35</v>
      </c>
      <c r="R1853" t="s">
        <v>36</v>
      </c>
      <c r="S1853" t="s">
        <v>52</v>
      </c>
      <c r="T1853" t="s">
        <v>53</v>
      </c>
      <c r="U1853" t="s">
        <v>39</v>
      </c>
      <c r="V1853" t="s">
        <v>315</v>
      </c>
      <c r="W1853">
        <v>3</v>
      </c>
      <c r="X1853" t="s">
        <v>41</v>
      </c>
      <c r="Y1853" t="s">
        <v>147</v>
      </c>
      <c r="Z1853">
        <v>1</v>
      </c>
    </row>
    <row r="1854" spans="1:26">
      <c r="A1854" t="s">
        <v>2987</v>
      </c>
      <c r="B1854" t="s">
        <v>206</v>
      </c>
      <c r="C1854" t="s">
        <v>45</v>
      </c>
      <c r="D1854" t="s">
        <v>103</v>
      </c>
      <c r="E1854" s="1">
        <v>44991</v>
      </c>
      <c r="F1854" t="s">
        <v>96</v>
      </c>
      <c r="G1854" t="s">
        <v>155</v>
      </c>
      <c r="H1854" t="s">
        <v>111</v>
      </c>
      <c r="I1854">
        <v>9</v>
      </c>
      <c r="J1854" t="s">
        <v>33</v>
      </c>
      <c r="K1854">
        <v>1</v>
      </c>
      <c r="L1854" s="3">
        <v>7299</v>
      </c>
      <c r="M1854">
        <v>20</v>
      </c>
      <c r="N1854" s="3">
        <v>5840</v>
      </c>
      <c r="O1854" s="3">
        <v>5840</v>
      </c>
      <c r="P1854" t="s">
        <v>81</v>
      </c>
      <c r="Q1854" t="s">
        <v>51</v>
      </c>
      <c r="R1854" t="s">
        <v>36</v>
      </c>
      <c r="S1854" t="s">
        <v>338</v>
      </c>
      <c r="T1854" t="s">
        <v>449</v>
      </c>
      <c r="U1854" t="s">
        <v>61</v>
      </c>
      <c r="V1854" t="s">
        <v>315</v>
      </c>
      <c r="W1854">
        <v>4.7</v>
      </c>
      <c r="X1854" t="s">
        <v>41</v>
      </c>
      <c r="Y1854" t="s">
        <v>42</v>
      </c>
      <c r="Z1854">
        <v>3</v>
      </c>
    </row>
    <row r="1855" spans="1:26">
      <c r="A1855" t="s">
        <v>2988</v>
      </c>
      <c r="B1855" t="s">
        <v>361</v>
      </c>
      <c r="C1855" t="s">
        <v>28</v>
      </c>
      <c r="D1855" t="s">
        <v>103</v>
      </c>
      <c r="E1855" s="1">
        <v>44992</v>
      </c>
      <c r="F1855" t="s">
        <v>65</v>
      </c>
      <c r="G1855" t="s">
        <v>268</v>
      </c>
      <c r="H1855" t="s">
        <v>128</v>
      </c>
      <c r="I1855">
        <v>7</v>
      </c>
      <c r="J1855" t="s">
        <v>98</v>
      </c>
      <c r="K1855">
        <v>4</v>
      </c>
      <c r="L1855" s="3">
        <v>7099</v>
      </c>
      <c r="M1855">
        <v>10</v>
      </c>
      <c r="N1855" s="3">
        <v>6390</v>
      </c>
      <c r="O1855" s="3">
        <v>25560</v>
      </c>
      <c r="P1855" t="s">
        <v>74</v>
      </c>
      <c r="Q1855" t="s">
        <v>82</v>
      </c>
      <c r="R1855" t="s">
        <v>36</v>
      </c>
      <c r="S1855" t="s">
        <v>186</v>
      </c>
      <c r="T1855" t="s">
        <v>397</v>
      </c>
      <c r="U1855" t="s">
        <v>54</v>
      </c>
      <c r="V1855" t="s">
        <v>969</v>
      </c>
      <c r="W1855">
        <v>3.9</v>
      </c>
      <c r="X1855" t="s">
        <v>41</v>
      </c>
      <c r="Y1855" t="s">
        <v>42</v>
      </c>
      <c r="Z1855">
        <v>5</v>
      </c>
    </row>
    <row r="1856" spans="1:26">
      <c r="A1856" t="s">
        <v>2989</v>
      </c>
      <c r="B1856" t="s">
        <v>705</v>
      </c>
      <c r="C1856" t="s">
        <v>94</v>
      </c>
      <c r="D1856" t="s">
        <v>29</v>
      </c>
      <c r="E1856" s="1">
        <v>44992</v>
      </c>
      <c r="F1856" t="s">
        <v>86</v>
      </c>
      <c r="G1856" t="s">
        <v>116</v>
      </c>
      <c r="H1856" t="s">
        <v>49</v>
      </c>
      <c r="I1856">
        <v>9</v>
      </c>
      <c r="J1856" t="s">
        <v>98</v>
      </c>
      <c r="K1856">
        <v>1</v>
      </c>
      <c r="L1856" s="3">
        <v>5299</v>
      </c>
      <c r="M1856">
        <v>10</v>
      </c>
      <c r="N1856" s="3">
        <v>4770</v>
      </c>
      <c r="O1856" s="3">
        <v>4770</v>
      </c>
      <c r="P1856" t="s">
        <v>34</v>
      </c>
      <c r="Q1856" t="s">
        <v>51</v>
      </c>
      <c r="R1856" t="s">
        <v>36</v>
      </c>
      <c r="S1856" t="s">
        <v>460</v>
      </c>
      <c r="T1856" t="s">
        <v>1868</v>
      </c>
      <c r="U1856" t="s">
        <v>91</v>
      </c>
      <c r="V1856" t="s">
        <v>969</v>
      </c>
      <c r="W1856">
        <v>3.3</v>
      </c>
      <c r="X1856" t="s">
        <v>41</v>
      </c>
      <c r="Y1856" t="s">
        <v>147</v>
      </c>
      <c r="Z1856">
        <v>2</v>
      </c>
    </row>
    <row r="1857" spans="1:26">
      <c r="A1857" t="s">
        <v>2990</v>
      </c>
      <c r="B1857" t="s">
        <v>2657</v>
      </c>
      <c r="C1857" t="s">
        <v>94</v>
      </c>
      <c r="D1857" t="s">
        <v>109</v>
      </c>
      <c r="E1857" s="1">
        <v>44993</v>
      </c>
      <c r="F1857" t="s">
        <v>65</v>
      </c>
      <c r="G1857" t="s">
        <v>365</v>
      </c>
      <c r="H1857" t="s">
        <v>49</v>
      </c>
      <c r="I1857">
        <v>9</v>
      </c>
      <c r="J1857" t="s">
        <v>67</v>
      </c>
      <c r="K1857">
        <v>1</v>
      </c>
      <c r="L1857" s="3">
        <v>6699</v>
      </c>
      <c r="M1857">
        <v>10</v>
      </c>
      <c r="N1857" s="3">
        <v>6030</v>
      </c>
      <c r="O1857" s="3">
        <v>6030</v>
      </c>
      <c r="P1857" t="s">
        <v>74</v>
      </c>
      <c r="Q1857" t="s">
        <v>35</v>
      </c>
      <c r="R1857" t="s">
        <v>36</v>
      </c>
      <c r="S1857" t="s">
        <v>156</v>
      </c>
      <c r="T1857" t="s">
        <v>324</v>
      </c>
      <c r="U1857" t="s">
        <v>124</v>
      </c>
      <c r="V1857" t="s">
        <v>315</v>
      </c>
      <c r="W1857">
        <v>3.9</v>
      </c>
      <c r="X1857" t="s">
        <v>62</v>
      </c>
      <c r="Y1857" t="s">
        <v>55</v>
      </c>
      <c r="Z1857">
        <v>3</v>
      </c>
    </row>
    <row r="1858" spans="1:26">
      <c r="A1858" t="s">
        <v>2991</v>
      </c>
      <c r="B1858" t="s">
        <v>2029</v>
      </c>
      <c r="C1858" t="s">
        <v>45</v>
      </c>
      <c r="D1858" t="s">
        <v>29</v>
      </c>
      <c r="E1858" s="1">
        <v>44993</v>
      </c>
      <c r="F1858" t="s">
        <v>79</v>
      </c>
      <c r="G1858" t="s">
        <v>127</v>
      </c>
      <c r="H1858" t="s">
        <v>128</v>
      </c>
      <c r="I1858">
        <v>7</v>
      </c>
      <c r="J1858" t="s">
        <v>98</v>
      </c>
      <c r="K1858">
        <v>1</v>
      </c>
      <c r="L1858" s="3">
        <v>6299</v>
      </c>
      <c r="M1858">
        <v>5</v>
      </c>
      <c r="N1858" s="3">
        <v>5980</v>
      </c>
      <c r="O1858" s="3">
        <v>5980</v>
      </c>
      <c r="P1858" t="s">
        <v>34</v>
      </c>
      <c r="Q1858" t="s">
        <v>51</v>
      </c>
      <c r="R1858" t="s">
        <v>36</v>
      </c>
      <c r="S1858" t="s">
        <v>186</v>
      </c>
      <c r="T1858" t="s">
        <v>341</v>
      </c>
      <c r="U1858" t="s">
        <v>39</v>
      </c>
      <c r="V1858" t="s">
        <v>315</v>
      </c>
      <c r="W1858">
        <v>3.3</v>
      </c>
      <c r="X1858" t="s">
        <v>41</v>
      </c>
      <c r="Y1858" t="s">
        <v>55</v>
      </c>
      <c r="Z1858">
        <v>4</v>
      </c>
    </row>
    <row r="1859" spans="1:26">
      <c r="A1859" t="s">
        <v>2992</v>
      </c>
      <c r="B1859" t="s">
        <v>2027</v>
      </c>
      <c r="C1859" t="s">
        <v>28</v>
      </c>
      <c r="D1859" t="s">
        <v>46</v>
      </c>
      <c r="E1859" s="1">
        <v>44994</v>
      </c>
      <c r="F1859" t="s">
        <v>86</v>
      </c>
      <c r="G1859" t="s">
        <v>312</v>
      </c>
      <c r="H1859" t="s">
        <v>59</v>
      </c>
      <c r="I1859">
        <v>8</v>
      </c>
      <c r="J1859" t="s">
        <v>73</v>
      </c>
      <c r="K1859">
        <v>2</v>
      </c>
      <c r="L1859" s="3">
        <v>9299</v>
      </c>
      <c r="M1859">
        <v>15</v>
      </c>
      <c r="N1859" s="3">
        <v>7900</v>
      </c>
      <c r="O1859" s="3">
        <v>15800</v>
      </c>
      <c r="P1859" t="s">
        <v>74</v>
      </c>
      <c r="Q1859" t="s">
        <v>82</v>
      </c>
      <c r="R1859" t="s">
        <v>36</v>
      </c>
      <c r="S1859" t="s">
        <v>384</v>
      </c>
      <c r="T1859" t="s">
        <v>1217</v>
      </c>
      <c r="U1859" t="s">
        <v>124</v>
      </c>
      <c r="V1859" t="s">
        <v>315</v>
      </c>
      <c r="W1859">
        <v>3.5</v>
      </c>
      <c r="X1859" t="s">
        <v>41</v>
      </c>
      <c r="Y1859" t="s">
        <v>42</v>
      </c>
      <c r="Z1859">
        <v>3</v>
      </c>
    </row>
    <row r="1860" spans="1:26">
      <c r="A1860" t="s">
        <v>2993</v>
      </c>
      <c r="B1860" t="s">
        <v>1279</v>
      </c>
      <c r="C1860" t="s">
        <v>94</v>
      </c>
      <c r="D1860" t="s">
        <v>109</v>
      </c>
      <c r="E1860" s="1">
        <v>44994</v>
      </c>
      <c r="F1860" t="s">
        <v>47</v>
      </c>
      <c r="G1860" t="s">
        <v>140</v>
      </c>
      <c r="H1860" t="s">
        <v>128</v>
      </c>
      <c r="I1860">
        <v>7</v>
      </c>
      <c r="J1860" t="s">
        <v>150</v>
      </c>
      <c r="K1860">
        <v>1</v>
      </c>
      <c r="L1860" s="3">
        <v>6599</v>
      </c>
      <c r="M1860">
        <v>10</v>
      </c>
      <c r="N1860" s="3">
        <v>5940</v>
      </c>
      <c r="O1860" s="3">
        <v>5940</v>
      </c>
      <c r="P1860" t="s">
        <v>34</v>
      </c>
      <c r="Q1860" t="s">
        <v>51</v>
      </c>
      <c r="R1860" t="s">
        <v>36</v>
      </c>
      <c r="S1860" t="s">
        <v>37</v>
      </c>
      <c r="T1860" t="s">
        <v>1122</v>
      </c>
      <c r="U1860" t="s">
        <v>61</v>
      </c>
      <c r="V1860" t="s">
        <v>969</v>
      </c>
      <c r="W1860">
        <v>4.4000000000000004</v>
      </c>
      <c r="X1860" t="s">
        <v>41</v>
      </c>
      <c r="Y1860" t="s">
        <v>42</v>
      </c>
      <c r="Z1860">
        <v>3</v>
      </c>
    </row>
    <row r="1861" spans="1:26">
      <c r="A1861" t="s">
        <v>2994</v>
      </c>
      <c r="B1861" t="s">
        <v>178</v>
      </c>
      <c r="C1861" t="s">
        <v>94</v>
      </c>
      <c r="D1861" t="s">
        <v>103</v>
      </c>
      <c r="E1861" s="1">
        <v>44994</v>
      </c>
      <c r="F1861" t="s">
        <v>65</v>
      </c>
      <c r="G1861" t="s">
        <v>256</v>
      </c>
      <c r="H1861" t="s">
        <v>32</v>
      </c>
      <c r="I1861">
        <v>6</v>
      </c>
      <c r="J1861" t="s">
        <v>73</v>
      </c>
      <c r="K1861">
        <v>2</v>
      </c>
      <c r="L1861" s="3">
        <v>3399</v>
      </c>
      <c r="M1861">
        <v>30</v>
      </c>
      <c r="N1861" s="3">
        <v>2380</v>
      </c>
      <c r="O1861" s="3">
        <v>4760</v>
      </c>
      <c r="P1861" t="s">
        <v>74</v>
      </c>
      <c r="Q1861" t="s">
        <v>51</v>
      </c>
      <c r="R1861" t="s">
        <v>36</v>
      </c>
      <c r="S1861" t="s">
        <v>243</v>
      </c>
      <c r="T1861" t="s">
        <v>273</v>
      </c>
      <c r="U1861" t="s">
        <v>54</v>
      </c>
      <c r="V1861" t="s">
        <v>315</v>
      </c>
      <c r="W1861">
        <v>3.3</v>
      </c>
      <c r="X1861" t="s">
        <v>106</v>
      </c>
      <c r="Y1861" t="s">
        <v>42</v>
      </c>
      <c r="Z1861">
        <v>4</v>
      </c>
    </row>
    <row r="1862" spans="1:26">
      <c r="A1862" t="s">
        <v>2995</v>
      </c>
      <c r="B1862" t="s">
        <v>1655</v>
      </c>
      <c r="C1862" t="s">
        <v>45</v>
      </c>
      <c r="D1862" t="s">
        <v>46</v>
      </c>
      <c r="E1862" s="1">
        <v>44995</v>
      </c>
      <c r="F1862" t="s">
        <v>65</v>
      </c>
      <c r="G1862" t="s">
        <v>279</v>
      </c>
      <c r="H1862" t="s">
        <v>111</v>
      </c>
      <c r="I1862">
        <v>8</v>
      </c>
      <c r="J1862" t="s">
        <v>150</v>
      </c>
      <c r="K1862">
        <v>1</v>
      </c>
      <c r="L1862" s="3">
        <v>8399</v>
      </c>
      <c r="M1862">
        <v>20</v>
      </c>
      <c r="N1862" s="3">
        <v>6720</v>
      </c>
      <c r="O1862" s="3">
        <v>6720</v>
      </c>
      <c r="P1862" t="s">
        <v>74</v>
      </c>
      <c r="Q1862" t="s">
        <v>51</v>
      </c>
      <c r="R1862" t="s">
        <v>36</v>
      </c>
      <c r="S1862" t="s">
        <v>418</v>
      </c>
      <c r="T1862" t="s">
        <v>613</v>
      </c>
      <c r="U1862" t="s">
        <v>54</v>
      </c>
      <c r="V1862" t="s">
        <v>969</v>
      </c>
      <c r="W1862">
        <v>3.7</v>
      </c>
      <c r="X1862" t="s">
        <v>41</v>
      </c>
      <c r="Y1862" t="s">
        <v>42</v>
      </c>
      <c r="Z1862">
        <v>4</v>
      </c>
    </row>
    <row r="1863" spans="1:26">
      <c r="A1863" t="s">
        <v>2996</v>
      </c>
      <c r="B1863" t="s">
        <v>1916</v>
      </c>
      <c r="C1863" t="s">
        <v>94</v>
      </c>
      <c r="D1863" t="s">
        <v>95</v>
      </c>
      <c r="E1863" s="1">
        <v>44996</v>
      </c>
      <c r="F1863" t="s">
        <v>30</v>
      </c>
      <c r="G1863" t="s">
        <v>31</v>
      </c>
      <c r="H1863" t="s">
        <v>32</v>
      </c>
      <c r="I1863">
        <v>12</v>
      </c>
      <c r="J1863" t="s">
        <v>150</v>
      </c>
      <c r="K1863">
        <v>1</v>
      </c>
      <c r="L1863" s="3">
        <v>6899</v>
      </c>
      <c r="M1863">
        <v>25</v>
      </c>
      <c r="N1863" s="3">
        <v>5170</v>
      </c>
      <c r="O1863" s="3">
        <v>5170</v>
      </c>
      <c r="P1863" t="s">
        <v>81</v>
      </c>
      <c r="Q1863" t="s">
        <v>51</v>
      </c>
      <c r="R1863" t="s">
        <v>36</v>
      </c>
      <c r="S1863" t="s">
        <v>75</v>
      </c>
      <c r="T1863" t="s">
        <v>796</v>
      </c>
      <c r="U1863" t="s">
        <v>91</v>
      </c>
      <c r="V1863" t="s">
        <v>315</v>
      </c>
      <c r="W1863">
        <v>4.0999999999999996</v>
      </c>
      <c r="X1863" t="s">
        <v>41</v>
      </c>
      <c r="Y1863" t="s">
        <v>42</v>
      </c>
      <c r="Z1863">
        <v>5</v>
      </c>
    </row>
    <row r="1864" spans="1:26">
      <c r="A1864" t="s">
        <v>2997</v>
      </c>
      <c r="B1864" t="s">
        <v>1655</v>
      </c>
      <c r="C1864" t="s">
        <v>28</v>
      </c>
      <c r="D1864" t="s">
        <v>29</v>
      </c>
      <c r="E1864" s="1">
        <v>44996</v>
      </c>
      <c r="F1864" t="s">
        <v>65</v>
      </c>
      <c r="G1864" t="s">
        <v>268</v>
      </c>
      <c r="H1864" t="s">
        <v>128</v>
      </c>
      <c r="I1864">
        <v>6</v>
      </c>
      <c r="J1864" t="s">
        <v>88</v>
      </c>
      <c r="K1864">
        <v>1</v>
      </c>
      <c r="L1864" s="3">
        <v>3799</v>
      </c>
      <c r="M1864">
        <v>15</v>
      </c>
      <c r="N1864" s="3">
        <v>3230</v>
      </c>
      <c r="O1864" s="3">
        <v>3230</v>
      </c>
      <c r="P1864" t="s">
        <v>34</v>
      </c>
      <c r="Q1864" t="s">
        <v>35</v>
      </c>
      <c r="R1864" t="s">
        <v>36</v>
      </c>
      <c r="S1864" t="s">
        <v>297</v>
      </c>
      <c r="T1864" t="s">
        <v>566</v>
      </c>
      <c r="U1864" t="s">
        <v>124</v>
      </c>
      <c r="V1864" t="s">
        <v>969</v>
      </c>
      <c r="W1864">
        <v>3.7</v>
      </c>
      <c r="X1864" t="s">
        <v>41</v>
      </c>
      <c r="Y1864" t="s">
        <v>42</v>
      </c>
      <c r="Z1864">
        <v>3</v>
      </c>
    </row>
    <row r="1865" spans="1:26">
      <c r="A1865" t="s">
        <v>2998</v>
      </c>
      <c r="B1865" t="s">
        <v>2999</v>
      </c>
      <c r="C1865" t="s">
        <v>45</v>
      </c>
      <c r="D1865" t="s">
        <v>103</v>
      </c>
      <c r="E1865" s="1">
        <v>45000</v>
      </c>
      <c r="F1865" t="s">
        <v>65</v>
      </c>
      <c r="G1865" t="s">
        <v>72</v>
      </c>
      <c r="H1865" t="s">
        <v>59</v>
      </c>
      <c r="I1865">
        <v>12</v>
      </c>
      <c r="J1865" t="s">
        <v>98</v>
      </c>
      <c r="K1865">
        <v>1</v>
      </c>
      <c r="L1865" s="3">
        <v>3399</v>
      </c>
      <c r="M1865">
        <v>35</v>
      </c>
      <c r="N1865" s="3">
        <v>2210</v>
      </c>
      <c r="O1865" s="3">
        <v>2210</v>
      </c>
      <c r="P1865" t="s">
        <v>74</v>
      </c>
      <c r="Q1865" t="s">
        <v>51</v>
      </c>
      <c r="R1865" t="s">
        <v>36</v>
      </c>
      <c r="S1865" t="s">
        <v>136</v>
      </c>
      <c r="T1865" t="s">
        <v>225</v>
      </c>
      <c r="U1865" t="s">
        <v>39</v>
      </c>
      <c r="V1865" t="s">
        <v>40</v>
      </c>
      <c r="W1865">
        <v>4.3</v>
      </c>
      <c r="X1865" t="s">
        <v>62</v>
      </c>
      <c r="Y1865" t="s">
        <v>42</v>
      </c>
      <c r="Z1865">
        <v>2</v>
      </c>
    </row>
    <row r="1866" spans="1:26">
      <c r="A1866" t="s">
        <v>3000</v>
      </c>
      <c r="B1866" t="s">
        <v>3001</v>
      </c>
      <c r="C1866" t="s">
        <v>45</v>
      </c>
      <c r="D1866" t="s">
        <v>103</v>
      </c>
      <c r="E1866" s="1">
        <v>45002</v>
      </c>
      <c r="F1866" t="s">
        <v>86</v>
      </c>
      <c r="G1866" t="s">
        <v>285</v>
      </c>
      <c r="H1866" t="s">
        <v>111</v>
      </c>
      <c r="I1866">
        <v>8</v>
      </c>
      <c r="J1866" t="s">
        <v>150</v>
      </c>
      <c r="K1866">
        <v>1</v>
      </c>
      <c r="L1866" s="3">
        <v>4899</v>
      </c>
      <c r="M1866">
        <v>10</v>
      </c>
      <c r="N1866" s="3">
        <v>4410</v>
      </c>
      <c r="O1866" s="3">
        <v>4410</v>
      </c>
      <c r="P1866" t="s">
        <v>74</v>
      </c>
      <c r="Q1866" t="s">
        <v>82</v>
      </c>
      <c r="R1866" t="s">
        <v>36</v>
      </c>
      <c r="S1866" t="s">
        <v>164</v>
      </c>
      <c r="T1866" t="s">
        <v>314</v>
      </c>
      <c r="U1866" t="s">
        <v>54</v>
      </c>
      <c r="V1866" t="s">
        <v>40</v>
      </c>
      <c r="W1866">
        <v>4.0999999999999996</v>
      </c>
      <c r="X1866" t="s">
        <v>62</v>
      </c>
      <c r="Y1866" t="s">
        <v>55</v>
      </c>
      <c r="Z1866">
        <v>3</v>
      </c>
    </row>
    <row r="1867" spans="1:26">
      <c r="A1867" t="s">
        <v>3002</v>
      </c>
      <c r="B1867" t="s">
        <v>1248</v>
      </c>
      <c r="C1867" t="s">
        <v>45</v>
      </c>
      <c r="D1867" t="s">
        <v>29</v>
      </c>
      <c r="E1867" s="1">
        <v>45002</v>
      </c>
      <c r="F1867" t="s">
        <v>47</v>
      </c>
      <c r="G1867" t="s">
        <v>121</v>
      </c>
      <c r="H1867" t="s">
        <v>111</v>
      </c>
      <c r="I1867">
        <v>9</v>
      </c>
      <c r="J1867" t="s">
        <v>67</v>
      </c>
      <c r="K1867">
        <v>2</v>
      </c>
      <c r="L1867" s="3">
        <v>6599</v>
      </c>
      <c r="M1867">
        <v>0</v>
      </c>
      <c r="N1867" s="3">
        <v>6600</v>
      </c>
      <c r="O1867" s="3">
        <v>13200</v>
      </c>
      <c r="P1867" t="s">
        <v>74</v>
      </c>
      <c r="Q1867" t="s">
        <v>82</v>
      </c>
      <c r="R1867" t="s">
        <v>36</v>
      </c>
      <c r="S1867" t="s">
        <v>75</v>
      </c>
      <c r="T1867" t="s">
        <v>76</v>
      </c>
      <c r="U1867" t="s">
        <v>54</v>
      </c>
      <c r="V1867" t="s">
        <v>969</v>
      </c>
      <c r="W1867">
        <v>4.4000000000000004</v>
      </c>
      <c r="X1867" t="s">
        <v>41</v>
      </c>
      <c r="Y1867" t="s">
        <v>42</v>
      </c>
      <c r="Z1867">
        <v>3</v>
      </c>
    </row>
    <row r="1868" spans="1:26">
      <c r="A1868" t="s">
        <v>3003</v>
      </c>
      <c r="B1868" t="s">
        <v>170</v>
      </c>
      <c r="C1868" t="s">
        <v>28</v>
      </c>
      <c r="D1868" t="s">
        <v>46</v>
      </c>
      <c r="E1868" s="1">
        <v>45004</v>
      </c>
      <c r="F1868" t="s">
        <v>86</v>
      </c>
      <c r="G1868" t="s">
        <v>190</v>
      </c>
      <c r="H1868" t="s">
        <v>128</v>
      </c>
      <c r="I1868">
        <v>7</v>
      </c>
      <c r="J1868" t="s">
        <v>73</v>
      </c>
      <c r="K1868">
        <v>3</v>
      </c>
      <c r="L1868" s="3">
        <v>5899</v>
      </c>
      <c r="M1868">
        <v>0</v>
      </c>
      <c r="N1868" s="3">
        <v>5900</v>
      </c>
      <c r="O1868" s="3">
        <v>17700</v>
      </c>
      <c r="P1868" t="s">
        <v>81</v>
      </c>
      <c r="Q1868" t="s">
        <v>82</v>
      </c>
      <c r="R1868" t="s">
        <v>36</v>
      </c>
      <c r="S1868" t="s">
        <v>99</v>
      </c>
      <c r="T1868" t="s">
        <v>335</v>
      </c>
      <c r="U1868" t="s">
        <v>39</v>
      </c>
      <c r="V1868" t="s">
        <v>969</v>
      </c>
      <c r="W1868">
        <v>3.6</v>
      </c>
      <c r="X1868" t="s">
        <v>62</v>
      </c>
      <c r="Y1868" t="s">
        <v>42</v>
      </c>
      <c r="Z1868">
        <v>6</v>
      </c>
    </row>
    <row r="1869" spans="1:26">
      <c r="A1869" t="s">
        <v>3004</v>
      </c>
      <c r="B1869" t="s">
        <v>3005</v>
      </c>
      <c r="C1869" t="s">
        <v>45</v>
      </c>
      <c r="D1869" t="s">
        <v>46</v>
      </c>
      <c r="E1869" s="1">
        <v>45005</v>
      </c>
      <c r="F1869" t="s">
        <v>86</v>
      </c>
      <c r="G1869" t="s">
        <v>285</v>
      </c>
      <c r="H1869" t="s">
        <v>111</v>
      </c>
      <c r="I1869">
        <v>10</v>
      </c>
      <c r="J1869" t="s">
        <v>67</v>
      </c>
      <c r="K1869">
        <v>1</v>
      </c>
      <c r="L1869" s="3">
        <v>6799</v>
      </c>
      <c r="M1869">
        <v>15</v>
      </c>
      <c r="N1869" s="3">
        <v>5780</v>
      </c>
      <c r="O1869" s="3">
        <v>5780</v>
      </c>
      <c r="P1869" t="s">
        <v>50</v>
      </c>
      <c r="Q1869" t="s">
        <v>51</v>
      </c>
      <c r="R1869" t="s">
        <v>36</v>
      </c>
      <c r="S1869" t="s">
        <v>175</v>
      </c>
      <c r="T1869" t="s">
        <v>865</v>
      </c>
      <c r="U1869" t="s">
        <v>54</v>
      </c>
      <c r="V1869" t="s">
        <v>40</v>
      </c>
      <c r="W1869">
        <v>4.3</v>
      </c>
      <c r="X1869" t="s">
        <v>106</v>
      </c>
      <c r="Y1869" t="s">
        <v>55</v>
      </c>
      <c r="Z1869">
        <v>3</v>
      </c>
    </row>
    <row r="1870" spans="1:26">
      <c r="A1870" t="s">
        <v>3006</v>
      </c>
      <c r="B1870" t="s">
        <v>2982</v>
      </c>
      <c r="C1870" t="s">
        <v>45</v>
      </c>
      <c r="D1870" t="s">
        <v>46</v>
      </c>
      <c r="E1870" s="1">
        <v>45006</v>
      </c>
      <c r="F1870" t="s">
        <v>79</v>
      </c>
      <c r="G1870" t="s">
        <v>174</v>
      </c>
      <c r="H1870" t="s">
        <v>32</v>
      </c>
      <c r="I1870">
        <v>9</v>
      </c>
      <c r="J1870" t="s">
        <v>33</v>
      </c>
      <c r="K1870">
        <v>1</v>
      </c>
      <c r="L1870" s="3">
        <v>7499</v>
      </c>
      <c r="M1870">
        <v>5</v>
      </c>
      <c r="N1870" s="3">
        <v>7120</v>
      </c>
      <c r="O1870" s="3">
        <v>7120</v>
      </c>
      <c r="P1870" t="s">
        <v>34</v>
      </c>
      <c r="Q1870" t="s">
        <v>51</v>
      </c>
      <c r="R1870" t="s">
        <v>36</v>
      </c>
      <c r="S1870" t="s">
        <v>358</v>
      </c>
      <c r="T1870" t="s">
        <v>597</v>
      </c>
      <c r="U1870" t="s">
        <v>39</v>
      </c>
      <c r="V1870" t="s">
        <v>315</v>
      </c>
      <c r="W1870">
        <v>3</v>
      </c>
      <c r="X1870" t="s">
        <v>106</v>
      </c>
      <c r="Y1870" t="s">
        <v>42</v>
      </c>
      <c r="Z1870">
        <v>3</v>
      </c>
    </row>
    <row r="1871" spans="1:26">
      <c r="A1871" t="s">
        <v>3007</v>
      </c>
      <c r="B1871" t="s">
        <v>1744</v>
      </c>
      <c r="C1871" t="s">
        <v>28</v>
      </c>
      <c r="D1871" t="s">
        <v>46</v>
      </c>
      <c r="E1871" s="1">
        <v>45006</v>
      </c>
      <c r="F1871" t="s">
        <v>79</v>
      </c>
      <c r="G1871" t="s">
        <v>301</v>
      </c>
      <c r="H1871" t="s">
        <v>49</v>
      </c>
      <c r="I1871">
        <v>11</v>
      </c>
      <c r="J1871" t="s">
        <v>33</v>
      </c>
      <c r="K1871">
        <v>1</v>
      </c>
      <c r="L1871" s="3">
        <v>3599</v>
      </c>
      <c r="M1871">
        <v>0</v>
      </c>
      <c r="N1871" s="3">
        <v>3600</v>
      </c>
      <c r="O1871" s="3">
        <v>3600</v>
      </c>
      <c r="P1871" t="s">
        <v>74</v>
      </c>
      <c r="Q1871" t="s">
        <v>35</v>
      </c>
      <c r="R1871" t="s">
        <v>36</v>
      </c>
      <c r="S1871" t="s">
        <v>243</v>
      </c>
      <c r="T1871" t="s">
        <v>244</v>
      </c>
      <c r="U1871" t="s">
        <v>61</v>
      </c>
      <c r="V1871" t="s">
        <v>315</v>
      </c>
      <c r="W1871">
        <v>3</v>
      </c>
      <c r="X1871" t="s">
        <v>41</v>
      </c>
      <c r="Y1871" t="s">
        <v>42</v>
      </c>
      <c r="Z1871">
        <v>4</v>
      </c>
    </row>
    <row r="1872" spans="1:26">
      <c r="A1872" t="s">
        <v>3008</v>
      </c>
      <c r="B1872" t="s">
        <v>3009</v>
      </c>
      <c r="C1872" t="s">
        <v>45</v>
      </c>
      <c r="D1872" t="s">
        <v>95</v>
      </c>
      <c r="E1872" s="1">
        <v>45006</v>
      </c>
      <c r="F1872" t="s">
        <v>96</v>
      </c>
      <c r="G1872" t="s">
        <v>155</v>
      </c>
      <c r="H1872" t="s">
        <v>111</v>
      </c>
      <c r="I1872">
        <v>8</v>
      </c>
      <c r="J1872" t="s">
        <v>67</v>
      </c>
      <c r="K1872">
        <v>1</v>
      </c>
      <c r="L1872" s="3">
        <v>9199</v>
      </c>
      <c r="M1872">
        <v>15</v>
      </c>
      <c r="N1872" s="3">
        <v>7820</v>
      </c>
      <c r="O1872" s="3">
        <v>7820</v>
      </c>
      <c r="P1872" t="s">
        <v>74</v>
      </c>
      <c r="Q1872" t="s">
        <v>51</v>
      </c>
      <c r="R1872" t="s">
        <v>36</v>
      </c>
      <c r="S1872" t="s">
        <v>286</v>
      </c>
      <c r="T1872" t="s">
        <v>768</v>
      </c>
      <c r="U1872" t="s">
        <v>124</v>
      </c>
      <c r="V1872" t="s">
        <v>40</v>
      </c>
      <c r="W1872">
        <v>3.3</v>
      </c>
      <c r="X1872" t="s">
        <v>41</v>
      </c>
      <c r="Y1872" t="s">
        <v>42</v>
      </c>
      <c r="Z1872">
        <v>4</v>
      </c>
    </row>
    <row r="1873" spans="1:26">
      <c r="A1873" t="s">
        <v>3010</v>
      </c>
      <c r="B1873" t="s">
        <v>502</v>
      </c>
      <c r="C1873" t="s">
        <v>28</v>
      </c>
      <c r="D1873" t="s">
        <v>46</v>
      </c>
      <c r="E1873" s="1">
        <v>45007</v>
      </c>
      <c r="F1873" t="s">
        <v>86</v>
      </c>
      <c r="G1873" t="s">
        <v>312</v>
      </c>
      <c r="H1873" t="s">
        <v>59</v>
      </c>
      <c r="I1873">
        <v>7</v>
      </c>
      <c r="J1873" t="s">
        <v>88</v>
      </c>
      <c r="K1873">
        <v>1</v>
      </c>
      <c r="L1873" s="3">
        <v>9599</v>
      </c>
      <c r="M1873">
        <v>25</v>
      </c>
      <c r="N1873" s="3">
        <v>7200</v>
      </c>
      <c r="O1873" s="3">
        <v>7200</v>
      </c>
      <c r="P1873" t="s">
        <v>74</v>
      </c>
      <c r="Q1873" t="s">
        <v>82</v>
      </c>
      <c r="R1873" t="s">
        <v>36</v>
      </c>
      <c r="S1873" t="s">
        <v>104</v>
      </c>
      <c r="T1873" t="s">
        <v>105</v>
      </c>
      <c r="U1873" t="s">
        <v>39</v>
      </c>
      <c r="V1873" t="s">
        <v>969</v>
      </c>
      <c r="W1873">
        <v>5</v>
      </c>
      <c r="X1873" t="s">
        <v>106</v>
      </c>
      <c r="Y1873" t="s">
        <v>42</v>
      </c>
      <c r="Z1873">
        <v>2</v>
      </c>
    </row>
    <row r="1874" spans="1:26">
      <c r="A1874" t="s">
        <v>3011</v>
      </c>
      <c r="B1874" t="s">
        <v>897</v>
      </c>
      <c r="C1874" t="s">
        <v>45</v>
      </c>
      <c r="D1874" t="s">
        <v>103</v>
      </c>
      <c r="E1874" s="1">
        <v>45008</v>
      </c>
      <c r="F1874" t="s">
        <v>96</v>
      </c>
      <c r="G1874" t="s">
        <v>171</v>
      </c>
      <c r="H1874" t="s">
        <v>128</v>
      </c>
      <c r="I1874">
        <v>10</v>
      </c>
      <c r="J1874" t="s">
        <v>150</v>
      </c>
      <c r="K1874">
        <v>1</v>
      </c>
      <c r="L1874" s="3">
        <v>4799</v>
      </c>
      <c r="M1874">
        <v>5</v>
      </c>
      <c r="N1874" s="3">
        <v>4560</v>
      </c>
      <c r="O1874" s="3">
        <v>4560</v>
      </c>
      <c r="P1874" t="s">
        <v>74</v>
      </c>
      <c r="Q1874" t="s">
        <v>82</v>
      </c>
      <c r="R1874" t="s">
        <v>36</v>
      </c>
      <c r="S1874" t="s">
        <v>186</v>
      </c>
      <c r="T1874" t="s">
        <v>341</v>
      </c>
      <c r="U1874" t="s">
        <v>61</v>
      </c>
      <c r="V1874" t="s">
        <v>315</v>
      </c>
      <c r="W1874">
        <v>3.6</v>
      </c>
      <c r="X1874" t="s">
        <v>41</v>
      </c>
      <c r="Y1874" t="s">
        <v>42</v>
      </c>
      <c r="Z1874">
        <v>2</v>
      </c>
    </row>
    <row r="1875" spans="1:26">
      <c r="A1875" t="s">
        <v>3012</v>
      </c>
      <c r="B1875" t="s">
        <v>736</v>
      </c>
      <c r="C1875" t="s">
        <v>28</v>
      </c>
      <c r="D1875" t="s">
        <v>29</v>
      </c>
      <c r="E1875" s="1">
        <v>45009</v>
      </c>
      <c r="F1875" t="s">
        <v>30</v>
      </c>
      <c r="G1875" t="s">
        <v>31</v>
      </c>
      <c r="H1875" t="s">
        <v>32</v>
      </c>
      <c r="I1875">
        <v>6</v>
      </c>
      <c r="J1875" t="s">
        <v>150</v>
      </c>
      <c r="K1875">
        <v>2</v>
      </c>
      <c r="L1875" s="3">
        <v>6899</v>
      </c>
      <c r="M1875">
        <v>5</v>
      </c>
      <c r="N1875" s="3">
        <v>6550</v>
      </c>
      <c r="O1875" s="3">
        <v>13100</v>
      </c>
      <c r="P1875" t="s">
        <v>74</v>
      </c>
      <c r="Q1875" t="s">
        <v>51</v>
      </c>
      <c r="R1875" t="s">
        <v>36</v>
      </c>
      <c r="S1875" t="s">
        <v>164</v>
      </c>
      <c r="T1875" t="s">
        <v>348</v>
      </c>
      <c r="U1875" t="s">
        <v>54</v>
      </c>
      <c r="V1875" t="s">
        <v>315</v>
      </c>
      <c r="W1875">
        <v>3.8</v>
      </c>
      <c r="X1875" t="s">
        <v>41</v>
      </c>
      <c r="Y1875" t="s">
        <v>42</v>
      </c>
      <c r="Z1875">
        <v>2</v>
      </c>
    </row>
    <row r="1876" spans="1:26">
      <c r="A1876" t="s">
        <v>3013</v>
      </c>
      <c r="B1876" t="s">
        <v>976</v>
      </c>
      <c r="C1876" t="s">
        <v>28</v>
      </c>
      <c r="D1876" t="s">
        <v>29</v>
      </c>
      <c r="E1876" s="1">
        <v>45009</v>
      </c>
      <c r="F1876" t="s">
        <v>47</v>
      </c>
      <c r="G1876" t="s">
        <v>402</v>
      </c>
      <c r="H1876" t="s">
        <v>32</v>
      </c>
      <c r="I1876">
        <v>11</v>
      </c>
      <c r="J1876" t="s">
        <v>150</v>
      </c>
      <c r="K1876">
        <v>1</v>
      </c>
      <c r="L1876" s="3">
        <v>6999</v>
      </c>
      <c r="M1876">
        <v>15</v>
      </c>
      <c r="N1876" s="3">
        <v>5950</v>
      </c>
      <c r="O1876" s="3">
        <v>5950</v>
      </c>
      <c r="P1876" t="s">
        <v>74</v>
      </c>
      <c r="Q1876" t="s">
        <v>51</v>
      </c>
      <c r="R1876" t="s">
        <v>36</v>
      </c>
      <c r="S1876" t="s">
        <v>89</v>
      </c>
      <c r="T1876" t="s">
        <v>1982</v>
      </c>
      <c r="U1876" t="s">
        <v>91</v>
      </c>
      <c r="V1876" t="s">
        <v>315</v>
      </c>
      <c r="W1876">
        <v>4</v>
      </c>
      <c r="X1876" t="s">
        <v>106</v>
      </c>
      <c r="Y1876" t="s">
        <v>55</v>
      </c>
      <c r="Z1876">
        <v>3</v>
      </c>
    </row>
    <row r="1877" spans="1:26">
      <c r="A1877" t="s">
        <v>3014</v>
      </c>
      <c r="B1877" t="s">
        <v>417</v>
      </c>
      <c r="C1877" t="s">
        <v>45</v>
      </c>
      <c r="D1877" t="s">
        <v>46</v>
      </c>
      <c r="E1877" s="1">
        <v>45009</v>
      </c>
      <c r="F1877" t="s">
        <v>86</v>
      </c>
      <c r="G1877" t="s">
        <v>312</v>
      </c>
      <c r="H1877" t="s">
        <v>59</v>
      </c>
      <c r="I1877">
        <v>7</v>
      </c>
      <c r="J1877" t="s">
        <v>150</v>
      </c>
      <c r="K1877">
        <v>1</v>
      </c>
      <c r="L1877" s="3">
        <v>4299</v>
      </c>
      <c r="M1877">
        <v>15</v>
      </c>
      <c r="N1877" s="3">
        <v>3650</v>
      </c>
      <c r="O1877" s="3">
        <v>3650</v>
      </c>
      <c r="P1877" t="s">
        <v>50</v>
      </c>
      <c r="Q1877" t="s">
        <v>82</v>
      </c>
      <c r="R1877" t="s">
        <v>36</v>
      </c>
      <c r="S1877" t="s">
        <v>164</v>
      </c>
      <c r="T1877" t="s">
        <v>348</v>
      </c>
      <c r="U1877" t="s">
        <v>54</v>
      </c>
      <c r="V1877" t="s">
        <v>969</v>
      </c>
      <c r="W1877">
        <v>3.1</v>
      </c>
      <c r="X1877" t="s">
        <v>41</v>
      </c>
      <c r="Y1877" t="s">
        <v>55</v>
      </c>
      <c r="Z1877">
        <v>1</v>
      </c>
    </row>
    <row r="1878" spans="1:26">
      <c r="A1878" t="s">
        <v>3015</v>
      </c>
      <c r="B1878" t="s">
        <v>1801</v>
      </c>
      <c r="C1878" t="s">
        <v>28</v>
      </c>
      <c r="D1878" t="s">
        <v>109</v>
      </c>
      <c r="E1878" s="1">
        <v>45009</v>
      </c>
      <c r="F1878" t="s">
        <v>47</v>
      </c>
      <c r="G1878" t="s">
        <v>121</v>
      </c>
      <c r="H1878" t="s">
        <v>111</v>
      </c>
      <c r="I1878">
        <v>9</v>
      </c>
      <c r="J1878" t="s">
        <v>98</v>
      </c>
      <c r="K1878">
        <v>1</v>
      </c>
      <c r="L1878" s="3">
        <v>7599</v>
      </c>
      <c r="M1878">
        <v>0</v>
      </c>
      <c r="N1878" s="3">
        <v>7600</v>
      </c>
      <c r="O1878" s="3">
        <v>7600</v>
      </c>
      <c r="P1878" t="s">
        <v>34</v>
      </c>
      <c r="Q1878" t="s">
        <v>35</v>
      </c>
      <c r="R1878" t="s">
        <v>36</v>
      </c>
      <c r="S1878" t="s">
        <v>99</v>
      </c>
      <c r="T1878" t="s">
        <v>229</v>
      </c>
      <c r="U1878" t="s">
        <v>91</v>
      </c>
      <c r="V1878" t="s">
        <v>315</v>
      </c>
      <c r="W1878">
        <v>4.2</v>
      </c>
      <c r="X1878" t="s">
        <v>41</v>
      </c>
      <c r="Y1878" t="s">
        <v>42</v>
      </c>
      <c r="Z1878">
        <v>2</v>
      </c>
    </row>
    <row r="1879" spans="1:26">
      <c r="A1879" t="s">
        <v>3016</v>
      </c>
      <c r="B1879" t="s">
        <v>2374</v>
      </c>
      <c r="C1879" t="s">
        <v>45</v>
      </c>
      <c r="D1879" t="s">
        <v>95</v>
      </c>
      <c r="E1879" s="1">
        <v>45011</v>
      </c>
      <c r="F1879" t="s">
        <v>79</v>
      </c>
      <c r="G1879" t="s">
        <v>174</v>
      </c>
      <c r="H1879" t="s">
        <v>32</v>
      </c>
      <c r="I1879">
        <v>11</v>
      </c>
      <c r="J1879" t="s">
        <v>150</v>
      </c>
      <c r="K1879">
        <v>1</v>
      </c>
      <c r="L1879" s="3">
        <v>4799</v>
      </c>
      <c r="M1879">
        <v>15</v>
      </c>
      <c r="N1879" s="3">
        <v>4080</v>
      </c>
      <c r="O1879" s="3">
        <v>4080</v>
      </c>
      <c r="P1879" t="s">
        <v>74</v>
      </c>
      <c r="Q1879" t="s">
        <v>51</v>
      </c>
      <c r="R1879" t="s">
        <v>36</v>
      </c>
      <c r="S1879" t="s">
        <v>117</v>
      </c>
      <c r="T1879" t="s">
        <v>253</v>
      </c>
      <c r="U1879" t="s">
        <v>91</v>
      </c>
      <c r="V1879" t="s">
        <v>315</v>
      </c>
      <c r="W1879">
        <v>4.5</v>
      </c>
      <c r="X1879" t="s">
        <v>41</v>
      </c>
      <c r="Y1879" t="s">
        <v>42</v>
      </c>
      <c r="Z1879">
        <v>2</v>
      </c>
    </row>
    <row r="1880" spans="1:26">
      <c r="A1880" t="s">
        <v>3017</v>
      </c>
      <c r="B1880" t="s">
        <v>1419</v>
      </c>
      <c r="C1880" t="s">
        <v>45</v>
      </c>
      <c r="D1880" t="s">
        <v>103</v>
      </c>
      <c r="E1880" s="1">
        <v>45013</v>
      </c>
      <c r="F1880" t="s">
        <v>47</v>
      </c>
      <c r="G1880" t="s">
        <v>218</v>
      </c>
      <c r="H1880" t="s">
        <v>59</v>
      </c>
      <c r="I1880">
        <v>10</v>
      </c>
      <c r="J1880" t="s">
        <v>150</v>
      </c>
      <c r="K1880">
        <v>1</v>
      </c>
      <c r="L1880" s="3">
        <v>5399</v>
      </c>
      <c r="M1880">
        <v>15</v>
      </c>
      <c r="N1880" s="3">
        <v>4590</v>
      </c>
      <c r="O1880" s="3">
        <v>4590</v>
      </c>
      <c r="P1880" t="s">
        <v>74</v>
      </c>
      <c r="Q1880" t="s">
        <v>35</v>
      </c>
      <c r="R1880" t="s">
        <v>36</v>
      </c>
      <c r="S1880" t="s">
        <v>164</v>
      </c>
      <c r="T1880" t="s">
        <v>409</v>
      </c>
      <c r="U1880" t="s">
        <v>54</v>
      </c>
      <c r="V1880" t="s">
        <v>969</v>
      </c>
      <c r="W1880">
        <v>4.9000000000000004</v>
      </c>
      <c r="X1880" t="s">
        <v>41</v>
      </c>
      <c r="Y1880" t="s">
        <v>147</v>
      </c>
      <c r="Z1880">
        <v>1</v>
      </c>
    </row>
    <row r="1881" spans="1:26">
      <c r="A1881" t="s">
        <v>3018</v>
      </c>
      <c r="B1881" t="s">
        <v>3019</v>
      </c>
      <c r="C1881" t="s">
        <v>94</v>
      </c>
      <c r="D1881" t="s">
        <v>46</v>
      </c>
      <c r="E1881" s="1">
        <v>45021</v>
      </c>
      <c r="F1881" t="s">
        <v>65</v>
      </c>
      <c r="G1881" t="s">
        <v>279</v>
      </c>
      <c r="H1881" t="s">
        <v>111</v>
      </c>
      <c r="I1881">
        <v>10</v>
      </c>
      <c r="J1881" t="s">
        <v>150</v>
      </c>
      <c r="K1881">
        <v>1</v>
      </c>
      <c r="L1881" s="3">
        <v>8199</v>
      </c>
      <c r="M1881">
        <v>15</v>
      </c>
      <c r="N1881" s="3">
        <v>6970</v>
      </c>
      <c r="O1881" s="3">
        <v>6970</v>
      </c>
      <c r="P1881" t="s">
        <v>74</v>
      </c>
      <c r="Q1881" t="s">
        <v>82</v>
      </c>
      <c r="R1881" t="s">
        <v>36</v>
      </c>
      <c r="S1881" t="s">
        <v>164</v>
      </c>
      <c r="T1881" t="s">
        <v>165</v>
      </c>
      <c r="U1881" t="s">
        <v>39</v>
      </c>
      <c r="V1881" t="s">
        <v>40</v>
      </c>
      <c r="W1881">
        <v>3.2</v>
      </c>
      <c r="X1881" t="s">
        <v>41</v>
      </c>
      <c r="Y1881" t="s">
        <v>42</v>
      </c>
      <c r="Z1881">
        <v>3</v>
      </c>
    </row>
    <row r="1882" spans="1:26">
      <c r="A1882" t="s">
        <v>3020</v>
      </c>
      <c r="B1882" t="s">
        <v>2135</v>
      </c>
      <c r="C1882" t="s">
        <v>94</v>
      </c>
      <c r="D1882" t="s">
        <v>29</v>
      </c>
      <c r="E1882" s="1">
        <v>45023</v>
      </c>
      <c r="F1882" t="s">
        <v>96</v>
      </c>
      <c r="G1882" t="s">
        <v>290</v>
      </c>
      <c r="H1882" t="s">
        <v>32</v>
      </c>
      <c r="I1882">
        <v>10</v>
      </c>
      <c r="J1882" t="s">
        <v>73</v>
      </c>
      <c r="K1882">
        <v>1</v>
      </c>
      <c r="L1882" s="3">
        <v>7799</v>
      </c>
      <c r="M1882">
        <v>10</v>
      </c>
      <c r="N1882" s="3">
        <v>7020</v>
      </c>
      <c r="O1882" s="3">
        <v>7020</v>
      </c>
      <c r="P1882" t="s">
        <v>74</v>
      </c>
      <c r="Q1882" t="s">
        <v>35</v>
      </c>
      <c r="R1882" t="s">
        <v>36</v>
      </c>
      <c r="S1882" t="s">
        <v>286</v>
      </c>
      <c r="T1882" t="s">
        <v>287</v>
      </c>
      <c r="U1882" t="s">
        <v>61</v>
      </c>
      <c r="V1882" t="s">
        <v>969</v>
      </c>
      <c r="W1882">
        <v>3.9</v>
      </c>
      <c r="X1882" t="s">
        <v>62</v>
      </c>
      <c r="Y1882" t="s">
        <v>42</v>
      </c>
      <c r="Z1882">
        <v>4</v>
      </c>
    </row>
    <row r="1883" spans="1:26">
      <c r="A1883" t="s">
        <v>3021</v>
      </c>
      <c r="B1883" t="s">
        <v>660</v>
      </c>
      <c r="C1883" t="s">
        <v>45</v>
      </c>
      <c r="D1883" t="s">
        <v>46</v>
      </c>
      <c r="E1883" s="1">
        <v>45026</v>
      </c>
      <c r="F1883" t="s">
        <v>79</v>
      </c>
      <c r="G1883" t="s">
        <v>480</v>
      </c>
      <c r="H1883" t="s">
        <v>111</v>
      </c>
      <c r="I1883">
        <v>8</v>
      </c>
      <c r="J1883" t="s">
        <v>150</v>
      </c>
      <c r="K1883">
        <v>1</v>
      </c>
      <c r="L1883" s="3">
        <v>6899</v>
      </c>
      <c r="M1883">
        <v>20</v>
      </c>
      <c r="N1883" s="3">
        <v>5520</v>
      </c>
      <c r="O1883" s="3">
        <v>5520</v>
      </c>
      <c r="P1883" t="s">
        <v>74</v>
      </c>
      <c r="Q1883" t="s">
        <v>51</v>
      </c>
      <c r="R1883" t="s">
        <v>36</v>
      </c>
      <c r="S1883" t="s">
        <v>117</v>
      </c>
      <c r="T1883" t="s">
        <v>253</v>
      </c>
      <c r="U1883" t="s">
        <v>39</v>
      </c>
      <c r="V1883" t="s">
        <v>969</v>
      </c>
      <c r="W1883">
        <v>4.0999999999999996</v>
      </c>
      <c r="X1883" t="s">
        <v>41</v>
      </c>
      <c r="Y1883" t="s">
        <v>42</v>
      </c>
      <c r="Z1883">
        <v>3</v>
      </c>
    </row>
    <row r="1884" spans="1:26">
      <c r="A1884" t="s">
        <v>3022</v>
      </c>
      <c r="B1884" t="s">
        <v>741</v>
      </c>
      <c r="C1884" t="s">
        <v>28</v>
      </c>
      <c r="D1884" t="s">
        <v>46</v>
      </c>
      <c r="E1884" s="1">
        <v>45026</v>
      </c>
      <c r="F1884" t="s">
        <v>79</v>
      </c>
      <c r="G1884" t="s">
        <v>127</v>
      </c>
      <c r="H1884" t="s">
        <v>128</v>
      </c>
      <c r="I1884">
        <v>10</v>
      </c>
      <c r="J1884" t="s">
        <v>150</v>
      </c>
      <c r="K1884">
        <v>1</v>
      </c>
      <c r="L1884" s="3">
        <v>3699</v>
      </c>
      <c r="M1884">
        <v>10</v>
      </c>
      <c r="N1884" s="3">
        <v>3330</v>
      </c>
      <c r="O1884" s="3">
        <v>3330</v>
      </c>
      <c r="P1884" t="s">
        <v>34</v>
      </c>
      <c r="Q1884" t="s">
        <v>51</v>
      </c>
      <c r="R1884" t="s">
        <v>36</v>
      </c>
      <c r="S1884" t="s">
        <v>182</v>
      </c>
      <c r="T1884" t="s">
        <v>309</v>
      </c>
      <c r="U1884" t="s">
        <v>61</v>
      </c>
      <c r="V1884" t="s">
        <v>969</v>
      </c>
      <c r="W1884">
        <v>3.2</v>
      </c>
      <c r="X1884" t="s">
        <v>41</v>
      </c>
      <c r="Y1884" t="s">
        <v>42</v>
      </c>
      <c r="Z1884">
        <v>4</v>
      </c>
    </row>
    <row r="1885" spans="1:26">
      <c r="A1885" t="s">
        <v>3023</v>
      </c>
      <c r="B1885" t="s">
        <v>1895</v>
      </c>
      <c r="C1885" t="s">
        <v>28</v>
      </c>
      <c r="D1885" t="s">
        <v>109</v>
      </c>
      <c r="E1885" s="1">
        <v>45026</v>
      </c>
      <c r="F1885" t="s">
        <v>86</v>
      </c>
      <c r="G1885" t="s">
        <v>87</v>
      </c>
      <c r="H1885" t="s">
        <v>59</v>
      </c>
      <c r="I1885">
        <v>9</v>
      </c>
      <c r="J1885" t="s">
        <v>98</v>
      </c>
      <c r="K1885">
        <v>1</v>
      </c>
      <c r="L1885" s="3">
        <v>6499</v>
      </c>
      <c r="M1885">
        <v>15</v>
      </c>
      <c r="N1885" s="3">
        <v>5520</v>
      </c>
      <c r="O1885" s="3">
        <v>5520</v>
      </c>
      <c r="P1885" t="s">
        <v>74</v>
      </c>
      <c r="Q1885" t="s">
        <v>35</v>
      </c>
      <c r="R1885" t="s">
        <v>36</v>
      </c>
      <c r="S1885" t="s">
        <v>338</v>
      </c>
      <c r="T1885" t="s">
        <v>394</v>
      </c>
      <c r="U1885" t="s">
        <v>54</v>
      </c>
      <c r="V1885" t="s">
        <v>315</v>
      </c>
      <c r="W1885">
        <v>3.6</v>
      </c>
      <c r="X1885" t="s">
        <v>41</v>
      </c>
      <c r="Y1885" t="s">
        <v>42</v>
      </c>
      <c r="Z1885">
        <v>3</v>
      </c>
    </row>
    <row r="1886" spans="1:26">
      <c r="A1886" t="s">
        <v>3024</v>
      </c>
      <c r="B1886" t="s">
        <v>3025</v>
      </c>
      <c r="C1886" t="s">
        <v>28</v>
      </c>
      <c r="D1886" t="s">
        <v>103</v>
      </c>
      <c r="E1886" s="1">
        <v>45027</v>
      </c>
      <c r="F1886" t="s">
        <v>79</v>
      </c>
      <c r="G1886" t="s">
        <v>517</v>
      </c>
      <c r="H1886" t="s">
        <v>59</v>
      </c>
      <c r="I1886">
        <v>10</v>
      </c>
      <c r="J1886" t="s">
        <v>67</v>
      </c>
      <c r="K1886">
        <v>1</v>
      </c>
      <c r="L1886" s="3">
        <v>7999</v>
      </c>
      <c r="M1886">
        <v>10</v>
      </c>
      <c r="N1886" s="3">
        <v>7200</v>
      </c>
      <c r="O1886" s="3">
        <v>7200</v>
      </c>
      <c r="P1886" t="s">
        <v>34</v>
      </c>
      <c r="Q1886" t="s">
        <v>51</v>
      </c>
      <c r="R1886" t="s">
        <v>36</v>
      </c>
      <c r="S1886" t="s">
        <v>210</v>
      </c>
      <c r="T1886" t="s">
        <v>412</v>
      </c>
      <c r="U1886" t="s">
        <v>39</v>
      </c>
      <c r="V1886" t="s">
        <v>40</v>
      </c>
      <c r="W1886">
        <v>3.8</v>
      </c>
      <c r="X1886" t="s">
        <v>41</v>
      </c>
      <c r="Y1886" t="s">
        <v>42</v>
      </c>
      <c r="Z1886">
        <v>5</v>
      </c>
    </row>
    <row r="1887" spans="1:26">
      <c r="A1887" t="s">
        <v>3026</v>
      </c>
      <c r="B1887" t="s">
        <v>2080</v>
      </c>
      <c r="C1887" t="s">
        <v>28</v>
      </c>
      <c r="D1887" t="s">
        <v>46</v>
      </c>
      <c r="E1887" s="1">
        <v>45027</v>
      </c>
      <c r="F1887" t="s">
        <v>79</v>
      </c>
      <c r="G1887" t="s">
        <v>517</v>
      </c>
      <c r="H1887" t="s">
        <v>59</v>
      </c>
      <c r="I1887">
        <v>9</v>
      </c>
      <c r="J1887" t="s">
        <v>98</v>
      </c>
      <c r="K1887">
        <v>1</v>
      </c>
      <c r="L1887" s="3">
        <v>8499</v>
      </c>
      <c r="M1887">
        <v>20</v>
      </c>
      <c r="N1887" s="3">
        <v>6800</v>
      </c>
      <c r="O1887" s="3">
        <v>6800</v>
      </c>
      <c r="P1887" t="s">
        <v>34</v>
      </c>
      <c r="Q1887" t="s">
        <v>82</v>
      </c>
      <c r="R1887" t="s">
        <v>36</v>
      </c>
      <c r="S1887" t="s">
        <v>151</v>
      </c>
      <c r="T1887" t="s">
        <v>506</v>
      </c>
      <c r="U1887" t="s">
        <v>54</v>
      </c>
      <c r="V1887" t="s">
        <v>315</v>
      </c>
      <c r="W1887">
        <v>5</v>
      </c>
      <c r="X1887" t="s">
        <v>106</v>
      </c>
      <c r="Y1887" t="s">
        <v>147</v>
      </c>
      <c r="Z1887">
        <v>1</v>
      </c>
    </row>
    <row r="1888" spans="1:26">
      <c r="A1888" t="s">
        <v>3027</v>
      </c>
      <c r="B1888" t="s">
        <v>543</v>
      </c>
      <c r="C1888" t="s">
        <v>28</v>
      </c>
      <c r="D1888" t="s">
        <v>46</v>
      </c>
      <c r="E1888" s="1">
        <v>45027</v>
      </c>
      <c r="F1888" t="s">
        <v>96</v>
      </c>
      <c r="G1888" t="s">
        <v>171</v>
      </c>
      <c r="H1888" t="s">
        <v>128</v>
      </c>
      <c r="I1888">
        <v>10</v>
      </c>
      <c r="J1888" t="s">
        <v>98</v>
      </c>
      <c r="K1888">
        <v>2</v>
      </c>
      <c r="L1888" s="3">
        <v>4599</v>
      </c>
      <c r="M1888">
        <v>15</v>
      </c>
      <c r="N1888" s="3">
        <v>3910</v>
      </c>
      <c r="O1888" s="3">
        <v>7820</v>
      </c>
      <c r="P1888" t="s">
        <v>81</v>
      </c>
      <c r="Q1888" t="s">
        <v>51</v>
      </c>
      <c r="R1888" t="s">
        <v>36</v>
      </c>
      <c r="S1888" t="s">
        <v>104</v>
      </c>
      <c r="T1888" t="s">
        <v>179</v>
      </c>
      <c r="U1888" t="s">
        <v>61</v>
      </c>
      <c r="V1888" t="s">
        <v>315</v>
      </c>
      <c r="W1888">
        <v>4.8</v>
      </c>
      <c r="X1888" t="s">
        <v>41</v>
      </c>
      <c r="Y1888" t="s">
        <v>42</v>
      </c>
      <c r="Z1888">
        <v>5</v>
      </c>
    </row>
    <row r="1889" spans="1:26">
      <c r="A1889" t="s">
        <v>3028</v>
      </c>
      <c r="B1889" t="s">
        <v>173</v>
      </c>
      <c r="C1889" t="s">
        <v>45</v>
      </c>
      <c r="D1889" t="s">
        <v>46</v>
      </c>
      <c r="E1889" s="1">
        <v>45028</v>
      </c>
      <c r="F1889" t="s">
        <v>86</v>
      </c>
      <c r="G1889" t="s">
        <v>312</v>
      </c>
      <c r="H1889" t="s">
        <v>59</v>
      </c>
      <c r="I1889">
        <v>11</v>
      </c>
      <c r="J1889" t="s">
        <v>73</v>
      </c>
      <c r="K1889">
        <v>2</v>
      </c>
      <c r="L1889" s="3">
        <v>9599</v>
      </c>
      <c r="M1889">
        <v>15</v>
      </c>
      <c r="N1889" s="3">
        <v>8160</v>
      </c>
      <c r="O1889" s="3">
        <v>16320</v>
      </c>
      <c r="P1889" t="s">
        <v>74</v>
      </c>
      <c r="Q1889" t="s">
        <v>51</v>
      </c>
      <c r="R1889" t="s">
        <v>36</v>
      </c>
      <c r="S1889" t="s">
        <v>354</v>
      </c>
      <c r="T1889" t="s">
        <v>355</v>
      </c>
      <c r="U1889" t="s">
        <v>124</v>
      </c>
      <c r="V1889" t="s">
        <v>969</v>
      </c>
      <c r="W1889">
        <v>3.7</v>
      </c>
      <c r="X1889" t="s">
        <v>106</v>
      </c>
      <c r="Y1889" t="s">
        <v>42</v>
      </c>
      <c r="Z1889">
        <v>5</v>
      </c>
    </row>
    <row r="1890" spans="1:26">
      <c r="A1890" t="s">
        <v>3029</v>
      </c>
      <c r="B1890" t="s">
        <v>1480</v>
      </c>
      <c r="C1890" t="s">
        <v>28</v>
      </c>
      <c r="D1890" t="s">
        <v>46</v>
      </c>
      <c r="E1890" s="1">
        <v>45030</v>
      </c>
      <c r="F1890" t="s">
        <v>79</v>
      </c>
      <c r="G1890" t="s">
        <v>127</v>
      </c>
      <c r="H1890" t="s">
        <v>128</v>
      </c>
      <c r="I1890">
        <v>9</v>
      </c>
      <c r="J1890" t="s">
        <v>73</v>
      </c>
      <c r="K1890">
        <v>1</v>
      </c>
      <c r="L1890" s="3">
        <v>6699</v>
      </c>
      <c r="M1890">
        <v>10</v>
      </c>
      <c r="N1890" s="3">
        <v>6030</v>
      </c>
      <c r="O1890" s="3">
        <v>6030</v>
      </c>
      <c r="P1890" t="s">
        <v>81</v>
      </c>
      <c r="Q1890" t="s">
        <v>51</v>
      </c>
      <c r="R1890" t="s">
        <v>36</v>
      </c>
      <c r="S1890" t="s">
        <v>168</v>
      </c>
      <c r="T1890" t="s">
        <v>532</v>
      </c>
      <c r="U1890" t="s">
        <v>39</v>
      </c>
      <c r="V1890" t="s">
        <v>315</v>
      </c>
      <c r="W1890">
        <v>4.4000000000000004</v>
      </c>
      <c r="X1890" t="s">
        <v>41</v>
      </c>
      <c r="Y1890" t="s">
        <v>42</v>
      </c>
      <c r="Z1890">
        <v>3</v>
      </c>
    </row>
    <row r="1891" spans="1:26">
      <c r="A1891" t="s">
        <v>3030</v>
      </c>
      <c r="B1891" t="s">
        <v>1820</v>
      </c>
      <c r="C1891" t="s">
        <v>94</v>
      </c>
      <c r="D1891" t="s">
        <v>103</v>
      </c>
      <c r="E1891" s="1">
        <v>45031</v>
      </c>
      <c r="F1891" t="s">
        <v>79</v>
      </c>
      <c r="G1891" t="s">
        <v>127</v>
      </c>
      <c r="H1891" t="s">
        <v>128</v>
      </c>
      <c r="I1891">
        <v>7</v>
      </c>
      <c r="J1891" t="s">
        <v>98</v>
      </c>
      <c r="K1891">
        <v>1</v>
      </c>
      <c r="L1891" s="3">
        <v>3099</v>
      </c>
      <c r="M1891">
        <v>10</v>
      </c>
      <c r="N1891" s="3">
        <v>2790</v>
      </c>
      <c r="O1891" s="3">
        <v>2790</v>
      </c>
      <c r="P1891" t="s">
        <v>74</v>
      </c>
      <c r="Q1891" t="s">
        <v>51</v>
      </c>
      <c r="R1891" t="s">
        <v>36</v>
      </c>
      <c r="S1891" t="s">
        <v>286</v>
      </c>
      <c r="T1891" t="s">
        <v>768</v>
      </c>
      <c r="U1891" t="s">
        <v>91</v>
      </c>
      <c r="V1891" t="s">
        <v>315</v>
      </c>
      <c r="W1891">
        <v>4.8</v>
      </c>
      <c r="X1891" t="s">
        <v>41</v>
      </c>
      <c r="Y1891" t="s">
        <v>42</v>
      </c>
      <c r="Z1891">
        <v>5</v>
      </c>
    </row>
    <row r="1892" spans="1:26">
      <c r="A1892" t="s">
        <v>3031</v>
      </c>
      <c r="B1892" t="s">
        <v>671</v>
      </c>
      <c r="C1892" t="s">
        <v>28</v>
      </c>
      <c r="D1892" t="s">
        <v>29</v>
      </c>
      <c r="E1892" s="1">
        <v>45033</v>
      </c>
      <c r="F1892" t="s">
        <v>86</v>
      </c>
      <c r="G1892" t="s">
        <v>87</v>
      </c>
      <c r="H1892" t="s">
        <v>59</v>
      </c>
      <c r="I1892">
        <v>7</v>
      </c>
      <c r="J1892" t="s">
        <v>98</v>
      </c>
      <c r="K1892">
        <v>1</v>
      </c>
      <c r="L1892" s="3">
        <v>9099</v>
      </c>
      <c r="M1892">
        <v>15</v>
      </c>
      <c r="N1892" s="3">
        <v>7730</v>
      </c>
      <c r="O1892" s="3">
        <v>7730</v>
      </c>
      <c r="P1892" t="s">
        <v>74</v>
      </c>
      <c r="Q1892" t="s">
        <v>82</v>
      </c>
      <c r="R1892" t="s">
        <v>36</v>
      </c>
      <c r="S1892" t="s">
        <v>52</v>
      </c>
      <c r="T1892" t="s">
        <v>60</v>
      </c>
      <c r="U1892" t="s">
        <v>54</v>
      </c>
      <c r="V1892" t="s">
        <v>969</v>
      </c>
      <c r="W1892">
        <v>4.2</v>
      </c>
      <c r="X1892" t="s">
        <v>41</v>
      </c>
      <c r="Y1892" t="s">
        <v>55</v>
      </c>
      <c r="Z1892">
        <v>1</v>
      </c>
    </row>
    <row r="1893" spans="1:26">
      <c r="A1893" t="s">
        <v>3032</v>
      </c>
      <c r="B1893" t="s">
        <v>1216</v>
      </c>
      <c r="C1893" t="s">
        <v>45</v>
      </c>
      <c r="D1893" t="s">
        <v>46</v>
      </c>
      <c r="E1893" s="1">
        <v>45033</v>
      </c>
      <c r="F1893" t="s">
        <v>30</v>
      </c>
      <c r="G1893" t="s">
        <v>214</v>
      </c>
      <c r="H1893" t="s">
        <v>128</v>
      </c>
      <c r="I1893">
        <v>9</v>
      </c>
      <c r="J1893" t="s">
        <v>73</v>
      </c>
      <c r="K1893">
        <v>1</v>
      </c>
      <c r="L1893" s="3">
        <v>7899</v>
      </c>
      <c r="M1893">
        <v>15</v>
      </c>
      <c r="N1893" s="3">
        <v>6710</v>
      </c>
      <c r="O1893" s="3">
        <v>6710</v>
      </c>
      <c r="P1893" t="s">
        <v>74</v>
      </c>
      <c r="Q1893" t="s">
        <v>51</v>
      </c>
      <c r="R1893" t="s">
        <v>36</v>
      </c>
      <c r="S1893" t="s">
        <v>186</v>
      </c>
      <c r="T1893" t="s">
        <v>222</v>
      </c>
      <c r="U1893" t="s">
        <v>124</v>
      </c>
      <c r="V1893" t="s">
        <v>315</v>
      </c>
      <c r="W1893">
        <v>5</v>
      </c>
      <c r="X1893" t="s">
        <v>41</v>
      </c>
      <c r="Y1893" t="s">
        <v>42</v>
      </c>
      <c r="Z1893">
        <v>4</v>
      </c>
    </row>
    <row r="1894" spans="1:26">
      <c r="A1894" t="s">
        <v>3033</v>
      </c>
      <c r="B1894" t="s">
        <v>1719</v>
      </c>
      <c r="C1894" t="s">
        <v>45</v>
      </c>
      <c r="D1894" t="s">
        <v>109</v>
      </c>
      <c r="E1894" s="1">
        <v>45034</v>
      </c>
      <c r="F1894" t="s">
        <v>79</v>
      </c>
      <c r="G1894" t="s">
        <v>80</v>
      </c>
      <c r="H1894" t="s">
        <v>59</v>
      </c>
      <c r="I1894">
        <v>7</v>
      </c>
      <c r="J1894" t="s">
        <v>73</v>
      </c>
      <c r="K1894">
        <v>1</v>
      </c>
      <c r="L1894" s="3">
        <v>8599</v>
      </c>
      <c r="M1894">
        <v>10</v>
      </c>
      <c r="N1894" s="3">
        <v>7740</v>
      </c>
      <c r="O1894" s="3">
        <v>7740</v>
      </c>
      <c r="P1894" t="s">
        <v>81</v>
      </c>
      <c r="Q1894" t="s">
        <v>51</v>
      </c>
      <c r="R1894" t="s">
        <v>36</v>
      </c>
      <c r="S1894" t="s">
        <v>175</v>
      </c>
      <c r="T1894" t="s">
        <v>437</v>
      </c>
      <c r="U1894" t="s">
        <v>124</v>
      </c>
      <c r="V1894" t="s">
        <v>315</v>
      </c>
      <c r="W1894">
        <v>4.7</v>
      </c>
      <c r="X1894" t="s">
        <v>106</v>
      </c>
      <c r="Y1894" t="s">
        <v>42</v>
      </c>
      <c r="Z1894">
        <v>4</v>
      </c>
    </row>
    <row r="1895" spans="1:26">
      <c r="A1895" t="s">
        <v>3034</v>
      </c>
      <c r="B1895" t="s">
        <v>3035</v>
      </c>
      <c r="C1895" t="s">
        <v>28</v>
      </c>
      <c r="D1895" t="s">
        <v>29</v>
      </c>
      <c r="E1895" s="1">
        <v>45035</v>
      </c>
      <c r="F1895" t="s">
        <v>96</v>
      </c>
      <c r="G1895" t="s">
        <v>97</v>
      </c>
      <c r="H1895" t="s">
        <v>49</v>
      </c>
      <c r="I1895">
        <v>10</v>
      </c>
      <c r="J1895" t="s">
        <v>67</v>
      </c>
      <c r="K1895">
        <v>3</v>
      </c>
      <c r="L1895" s="3">
        <v>6199</v>
      </c>
      <c r="M1895">
        <v>15</v>
      </c>
      <c r="N1895" s="3">
        <v>5270</v>
      </c>
      <c r="O1895" s="3">
        <v>15810</v>
      </c>
      <c r="P1895" t="s">
        <v>74</v>
      </c>
      <c r="Q1895" t="s">
        <v>51</v>
      </c>
      <c r="R1895" t="s">
        <v>36</v>
      </c>
      <c r="S1895" t="s">
        <v>104</v>
      </c>
      <c r="T1895" t="s">
        <v>105</v>
      </c>
      <c r="U1895" t="s">
        <v>61</v>
      </c>
      <c r="V1895" t="s">
        <v>40</v>
      </c>
      <c r="W1895">
        <v>5</v>
      </c>
      <c r="X1895" t="s">
        <v>41</v>
      </c>
      <c r="Y1895" t="s">
        <v>55</v>
      </c>
      <c r="Z1895">
        <v>1</v>
      </c>
    </row>
    <row r="1896" spans="1:26">
      <c r="A1896" t="s">
        <v>3036</v>
      </c>
      <c r="B1896" t="s">
        <v>3037</v>
      </c>
      <c r="C1896" t="s">
        <v>45</v>
      </c>
      <c r="D1896" t="s">
        <v>29</v>
      </c>
      <c r="E1896" s="1">
        <v>45036</v>
      </c>
      <c r="F1896" t="s">
        <v>96</v>
      </c>
      <c r="G1896" t="s">
        <v>97</v>
      </c>
      <c r="H1896" t="s">
        <v>49</v>
      </c>
      <c r="I1896">
        <v>6</v>
      </c>
      <c r="J1896" t="s">
        <v>150</v>
      </c>
      <c r="K1896">
        <v>2</v>
      </c>
      <c r="L1896" s="3">
        <v>5799</v>
      </c>
      <c r="M1896">
        <v>20</v>
      </c>
      <c r="N1896" s="3">
        <v>4640</v>
      </c>
      <c r="O1896" s="3">
        <v>9280</v>
      </c>
      <c r="P1896" t="s">
        <v>50</v>
      </c>
      <c r="Q1896" t="s">
        <v>82</v>
      </c>
      <c r="R1896" t="s">
        <v>36</v>
      </c>
      <c r="S1896" t="s">
        <v>338</v>
      </c>
      <c r="T1896" t="s">
        <v>449</v>
      </c>
      <c r="U1896" t="s">
        <v>91</v>
      </c>
      <c r="V1896" t="s">
        <v>40</v>
      </c>
      <c r="W1896">
        <v>4.4000000000000004</v>
      </c>
      <c r="X1896" t="s">
        <v>62</v>
      </c>
      <c r="Y1896" t="s">
        <v>42</v>
      </c>
      <c r="Z1896">
        <v>6</v>
      </c>
    </row>
    <row r="1897" spans="1:26">
      <c r="A1897" t="s">
        <v>3038</v>
      </c>
      <c r="B1897" t="s">
        <v>711</v>
      </c>
      <c r="C1897" t="s">
        <v>28</v>
      </c>
      <c r="D1897" t="s">
        <v>95</v>
      </c>
      <c r="E1897" s="1">
        <v>45036</v>
      </c>
      <c r="F1897" t="s">
        <v>47</v>
      </c>
      <c r="G1897" t="s">
        <v>218</v>
      </c>
      <c r="H1897" t="s">
        <v>59</v>
      </c>
      <c r="I1897">
        <v>10</v>
      </c>
      <c r="J1897" t="s">
        <v>98</v>
      </c>
      <c r="K1897">
        <v>1</v>
      </c>
      <c r="L1897" s="3">
        <v>5999</v>
      </c>
      <c r="M1897">
        <v>20</v>
      </c>
      <c r="N1897" s="3">
        <v>4800</v>
      </c>
      <c r="O1897" s="3">
        <v>4800</v>
      </c>
      <c r="P1897" t="s">
        <v>74</v>
      </c>
      <c r="Q1897" t="s">
        <v>51</v>
      </c>
      <c r="R1897" t="s">
        <v>36</v>
      </c>
      <c r="S1897" t="s">
        <v>168</v>
      </c>
      <c r="T1897" t="s">
        <v>168</v>
      </c>
      <c r="U1897" t="s">
        <v>124</v>
      </c>
      <c r="V1897" t="s">
        <v>315</v>
      </c>
      <c r="W1897">
        <v>4</v>
      </c>
      <c r="X1897" t="s">
        <v>41</v>
      </c>
      <c r="Y1897" t="s">
        <v>42</v>
      </c>
      <c r="Z1897">
        <v>2</v>
      </c>
    </row>
    <row r="1898" spans="1:26">
      <c r="A1898" t="s">
        <v>3039</v>
      </c>
      <c r="B1898" t="s">
        <v>1699</v>
      </c>
      <c r="C1898" t="s">
        <v>28</v>
      </c>
      <c r="D1898" t="s">
        <v>103</v>
      </c>
      <c r="E1898" s="1">
        <v>45037</v>
      </c>
      <c r="F1898" t="s">
        <v>30</v>
      </c>
      <c r="G1898" t="s">
        <v>58</v>
      </c>
      <c r="H1898" t="s">
        <v>59</v>
      </c>
      <c r="I1898">
        <v>8</v>
      </c>
      <c r="J1898" t="s">
        <v>98</v>
      </c>
      <c r="K1898">
        <v>1</v>
      </c>
      <c r="L1898" s="3">
        <v>5099</v>
      </c>
      <c r="M1898">
        <v>10</v>
      </c>
      <c r="N1898" s="3">
        <v>4590</v>
      </c>
      <c r="O1898" s="3">
        <v>4590</v>
      </c>
      <c r="P1898" t="s">
        <v>74</v>
      </c>
      <c r="Q1898" t="s">
        <v>82</v>
      </c>
      <c r="R1898" t="s">
        <v>36</v>
      </c>
      <c r="S1898" t="s">
        <v>338</v>
      </c>
      <c r="T1898" t="s">
        <v>449</v>
      </c>
      <c r="U1898" t="s">
        <v>54</v>
      </c>
      <c r="V1898" t="s">
        <v>315</v>
      </c>
      <c r="W1898">
        <v>4.7</v>
      </c>
      <c r="X1898" t="s">
        <v>41</v>
      </c>
      <c r="Y1898" t="s">
        <v>42</v>
      </c>
      <c r="Z1898">
        <v>2</v>
      </c>
    </row>
    <row r="1899" spans="1:26">
      <c r="A1899" t="s">
        <v>3040</v>
      </c>
      <c r="B1899" t="s">
        <v>3041</v>
      </c>
      <c r="C1899" t="s">
        <v>94</v>
      </c>
      <c r="D1899" t="s">
        <v>46</v>
      </c>
      <c r="E1899" s="1">
        <v>45038</v>
      </c>
      <c r="F1899" t="s">
        <v>79</v>
      </c>
      <c r="G1899" t="s">
        <v>480</v>
      </c>
      <c r="H1899" t="s">
        <v>111</v>
      </c>
      <c r="I1899">
        <v>6</v>
      </c>
      <c r="J1899" t="s">
        <v>33</v>
      </c>
      <c r="K1899">
        <v>2</v>
      </c>
      <c r="L1899" s="3">
        <v>3899</v>
      </c>
      <c r="M1899">
        <v>10</v>
      </c>
      <c r="N1899" s="3">
        <v>3510</v>
      </c>
      <c r="O1899" s="3">
        <v>7020</v>
      </c>
      <c r="P1899" t="s">
        <v>74</v>
      </c>
      <c r="Q1899" t="s">
        <v>82</v>
      </c>
      <c r="R1899" t="s">
        <v>36</v>
      </c>
      <c r="S1899" t="s">
        <v>68</v>
      </c>
      <c r="T1899" t="s">
        <v>811</v>
      </c>
      <c r="U1899" t="s">
        <v>39</v>
      </c>
      <c r="V1899" t="s">
        <v>40</v>
      </c>
      <c r="W1899">
        <v>4.4000000000000004</v>
      </c>
      <c r="X1899" t="s">
        <v>41</v>
      </c>
      <c r="Y1899" t="s">
        <v>42</v>
      </c>
      <c r="Z1899">
        <v>3</v>
      </c>
    </row>
    <row r="1900" spans="1:26">
      <c r="A1900" t="s">
        <v>3042</v>
      </c>
      <c r="B1900" t="s">
        <v>1463</v>
      </c>
      <c r="C1900" t="s">
        <v>28</v>
      </c>
      <c r="D1900" t="s">
        <v>46</v>
      </c>
      <c r="E1900" s="1">
        <v>45039</v>
      </c>
      <c r="F1900" t="s">
        <v>96</v>
      </c>
      <c r="G1900" t="s">
        <v>228</v>
      </c>
      <c r="H1900" t="s">
        <v>59</v>
      </c>
      <c r="I1900">
        <v>11</v>
      </c>
      <c r="J1900" t="s">
        <v>67</v>
      </c>
      <c r="K1900">
        <v>1</v>
      </c>
      <c r="L1900" s="3">
        <v>8499</v>
      </c>
      <c r="M1900">
        <v>20</v>
      </c>
      <c r="N1900" s="3">
        <v>6800</v>
      </c>
      <c r="O1900" s="3">
        <v>6800</v>
      </c>
      <c r="P1900" t="s">
        <v>34</v>
      </c>
      <c r="Q1900" t="s">
        <v>35</v>
      </c>
      <c r="R1900" t="s">
        <v>36</v>
      </c>
      <c r="S1900" t="s">
        <v>238</v>
      </c>
      <c r="T1900" t="s">
        <v>377</v>
      </c>
      <c r="U1900" t="s">
        <v>54</v>
      </c>
      <c r="V1900" t="s">
        <v>315</v>
      </c>
      <c r="W1900">
        <v>4.7</v>
      </c>
      <c r="X1900" t="s">
        <v>41</v>
      </c>
      <c r="Y1900" t="s">
        <v>55</v>
      </c>
      <c r="Z1900">
        <v>2</v>
      </c>
    </row>
    <row r="1901" spans="1:26">
      <c r="A1901" t="s">
        <v>3043</v>
      </c>
      <c r="B1901" t="s">
        <v>3044</v>
      </c>
      <c r="C1901" t="s">
        <v>28</v>
      </c>
      <c r="D1901" t="s">
        <v>103</v>
      </c>
      <c r="E1901" s="1">
        <v>45039</v>
      </c>
      <c r="F1901" t="s">
        <v>96</v>
      </c>
      <c r="G1901" t="s">
        <v>323</v>
      </c>
      <c r="H1901" t="s">
        <v>59</v>
      </c>
      <c r="I1901">
        <v>9</v>
      </c>
      <c r="J1901" t="s">
        <v>88</v>
      </c>
      <c r="K1901">
        <v>1</v>
      </c>
      <c r="L1901" s="3">
        <v>7199</v>
      </c>
      <c r="M1901">
        <v>0</v>
      </c>
      <c r="N1901" s="3">
        <v>7200</v>
      </c>
      <c r="O1901" s="3">
        <v>7200</v>
      </c>
      <c r="P1901" t="s">
        <v>34</v>
      </c>
      <c r="Q1901" t="s">
        <v>35</v>
      </c>
      <c r="R1901" t="s">
        <v>36</v>
      </c>
      <c r="S1901" t="s">
        <v>182</v>
      </c>
      <c r="T1901" t="s">
        <v>183</v>
      </c>
      <c r="U1901" t="s">
        <v>124</v>
      </c>
      <c r="V1901" t="s">
        <v>40</v>
      </c>
      <c r="W1901">
        <v>4.2</v>
      </c>
      <c r="X1901" t="s">
        <v>41</v>
      </c>
      <c r="Y1901" t="s">
        <v>55</v>
      </c>
      <c r="Z1901">
        <v>3</v>
      </c>
    </row>
    <row r="1902" spans="1:26">
      <c r="A1902" t="s">
        <v>3045</v>
      </c>
      <c r="B1902" t="s">
        <v>3046</v>
      </c>
      <c r="C1902" t="s">
        <v>28</v>
      </c>
      <c r="D1902" t="s">
        <v>46</v>
      </c>
      <c r="E1902" s="1">
        <v>45040</v>
      </c>
      <c r="F1902" t="s">
        <v>79</v>
      </c>
      <c r="G1902" t="s">
        <v>127</v>
      </c>
      <c r="H1902" t="s">
        <v>128</v>
      </c>
      <c r="I1902">
        <v>9</v>
      </c>
      <c r="J1902" t="s">
        <v>88</v>
      </c>
      <c r="K1902">
        <v>1</v>
      </c>
      <c r="L1902" s="3">
        <v>6699</v>
      </c>
      <c r="M1902">
        <v>20</v>
      </c>
      <c r="N1902" s="3">
        <v>5360</v>
      </c>
      <c r="O1902" s="3">
        <v>5360</v>
      </c>
      <c r="P1902" t="s">
        <v>74</v>
      </c>
      <c r="Q1902" t="s">
        <v>82</v>
      </c>
      <c r="R1902" t="s">
        <v>36</v>
      </c>
      <c r="S1902" t="s">
        <v>200</v>
      </c>
      <c r="T1902" t="s">
        <v>204</v>
      </c>
      <c r="U1902" t="s">
        <v>39</v>
      </c>
      <c r="V1902" t="s">
        <v>40</v>
      </c>
      <c r="W1902">
        <v>3.9</v>
      </c>
      <c r="X1902" t="s">
        <v>41</v>
      </c>
      <c r="Y1902" t="s">
        <v>42</v>
      </c>
      <c r="Z1902">
        <v>2</v>
      </c>
    </row>
    <row r="1903" spans="1:26">
      <c r="A1903" t="s">
        <v>3047</v>
      </c>
      <c r="B1903" t="s">
        <v>1431</v>
      </c>
      <c r="C1903" t="s">
        <v>28</v>
      </c>
      <c r="D1903" t="s">
        <v>46</v>
      </c>
      <c r="E1903" s="1">
        <v>45040</v>
      </c>
      <c r="F1903" t="s">
        <v>86</v>
      </c>
      <c r="G1903" t="s">
        <v>285</v>
      </c>
      <c r="H1903" t="s">
        <v>111</v>
      </c>
      <c r="I1903">
        <v>6</v>
      </c>
      <c r="J1903" t="s">
        <v>67</v>
      </c>
      <c r="K1903">
        <v>1</v>
      </c>
      <c r="L1903" s="3">
        <v>4099</v>
      </c>
      <c r="M1903">
        <v>15</v>
      </c>
      <c r="N1903" s="3">
        <v>3480</v>
      </c>
      <c r="O1903" s="3">
        <v>3480</v>
      </c>
      <c r="P1903" t="s">
        <v>74</v>
      </c>
      <c r="Q1903" t="s">
        <v>51</v>
      </c>
      <c r="R1903" t="s">
        <v>36</v>
      </c>
      <c r="S1903" t="s">
        <v>122</v>
      </c>
      <c r="T1903" t="s">
        <v>304</v>
      </c>
      <c r="U1903" t="s">
        <v>54</v>
      </c>
      <c r="V1903" t="s">
        <v>969</v>
      </c>
      <c r="W1903">
        <v>4.5999999999999996</v>
      </c>
      <c r="X1903" t="s">
        <v>41</v>
      </c>
      <c r="Y1903" t="s">
        <v>42</v>
      </c>
      <c r="Z1903">
        <v>5</v>
      </c>
    </row>
    <row r="1904" spans="1:26">
      <c r="A1904" t="s">
        <v>3048</v>
      </c>
      <c r="B1904" t="s">
        <v>3049</v>
      </c>
      <c r="C1904" t="s">
        <v>94</v>
      </c>
      <c r="D1904" t="s">
        <v>95</v>
      </c>
      <c r="E1904" s="1">
        <v>45042</v>
      </c>
      <c r="F1904" t="s">
        <v>47</v>
      </c>
      <c r="G1904" t="s">
        <v>48</v>
      </c>
      <c r="H1904" t="s">
        <v>49</v>
      </c>
      <c r="I1904">
        <v>10</v>
      </c>
      <c r="J1904" t="s">
        <v>67</v>
      </c>
      <c r="K1904">
        <v>1</v>
      </c>
      <c r="L1904" s="3">
        <v>5499</v>
      </c>
      <c r="M1904">
        <v>15</v>
      </c>
      <c r="N1904" s="3">
        <v>4670</v>
      </c>
      <c r="O1904" s="3">
        <v>4670</v>
      </c>
      <c r="P1904" t="s">
        <v>50</v>
      </c>
      <c r="Q1904" t="s">
        <v>51</v>
      </c>
      <c r="R1904" t="s">
        <v>36</v>
      </c>
      <c r="S1904" t="s">
        <v>122</v>
      </c>
      <c r="T1904" t="s">
        <v>123</v>
      </c>
      <c r="U1904" t="s">
        <v>39</v>
      </c>
      <c r="V1904" t="s">
        <v>40</v>
      </c>
      <c r="W1904">
        <v>4.0999999999999996</v>
      </c>
      <c r="X1904" t="s">
        <v>41</v>
      </c>
      <c r="Y1904" t="s">
        <v>55</v>
      </c>
      <c r="Z1904">
        <v>1</v>
      </c>
    </row>
    <row r="1905" spans="1:26">
      <c r="A1905" t="s">
        <v>3050</v>
      </c>
      <c r="B1905" t="s">
        <v>1081</v>
      </c>
      <c r="C1905" t="s">
        <v>28</v>
      </c>
      <c r="D1905" t="s">
        <v>103</v>
      </c>
      <c r="E1905" s="1">
        <v>45042</v>
      </c>
      <c r="F1905" t="s">
        <v>30</v>
      </c>
      <c r="G1905" t="s">
        <v>110</v>
      </c>
      <c r="H1905" t="s">
        <v>111</v>
      </c>
      <c r="I1905">
        <v>7</v>
      </c>
      <c r="J1905" t="s">
        <v>67</v>
      </c>
      <c r="K1905">
        <v>1</v>
      </c>
      <c r="L1905" s="3">
        <v>5999</v>
      </c>
      <c r="M1905">
        <v>15</v>
      </c>
      <c r="N1905" s="3">
        <v>5100</v>
      </c>
      <c r="O1905" s="3">
        <v>5100</v>
      </c>
      <c r="P1905" t="s">
        <v>74</v>
      </c>
      <c r="Q1905" t="s">
        <v>35</v>
      </c>
      <c r="R1905" t="s">
        <v>36</v>
      </c>
      <c r="S1905" t="s">
        <v>37</v>
      </c>
      <c r="T1905" t="s">
        <v>1122</v>
      </c>
      <c r="U1905" t="s">
        <v>54</v>
      </c>
      <c r="V1905" t="s">
        <v>315</v>
      </c>
      <c r="W1905">
        <v>4.8</v>
      </c>
      <c r="X1905" t="s">
        <v>106</v>
      </c>
      <c r="Y1905" t="s">
        <v>42</v>
      </c>
      <c r="Z1905">
        <v>3</v>
      </c>
    </row>
    <row r="1906" spans="1:26">
      <c r="A1906" t="s">
        <v>3051</v>
      </c>
      <c r="B1906" t="s">
        <v>2053</v>
      </c>
      <c r="C1906" t="s">
        <v>28</v>
      </c>
      <c r="D1906" t="s">
        <v>95</v>
      </c>
      <c r="E1906" s="1">
        <v>45043</v>
      </c>
      <c r="F1906" t="s">
        <v>86</v>
      </c>
      <c r="G1906" t="s">
        <v>190</v>
      </c>
      <c r="H1906" t="s">
        <v>128</v>
      </c>
      <c r="I1906">
        <v>11</v>
      </c>
      <c r="J1906" t="s">
        <v>33</v>
      </c>
      <c r="K1906">
        <v>1</v>
      </c>
      <c r="L1906" s="3">
        <v>6299</v>
      </c>
      <c r="M1906">
        <v>25</v>
      </c>
      <c r="N1906" s="3">
        <v>4720</v>
      </c>
      <c r="O1906" s="3">
        <v>4720</v>
      </c>
      <c r="P1906" t="s">
        <v>74</v>
      </c>
      <c r="Q1906" t="s">
        <v>51</v>
      </c>
      <c r="R1906" t="s">
        <v>36</v>
      </c>
      <c r="S1906" t="s">
        <v>338</v>
      </c>
      <c r="T1906" t="s">
        <v>449</v>
      </c>
      <c r="U1906" t="s">
        <v>61</v>
      </c>
      <c r="V1906" t="s">
        <v>315</v>
      </c>
      <c r="W1906">
        <v>3.9</v>
      </c>
      <c r="X1906" t="s">
        <v>106</v>
      </c>
      <c r="Y1906" t="s">
        <v>55</v>
      </c>
      <c r="Z1906">
        <v>3</v>
      </c>
    </row>
    <row r="1907" spans="1:26">
      <c r="A1907" t="s">
        <v>3052</v>
      </c>
      <c r="B1907" t="s">
        <v>135</v>
      </c>
      <c r="C1907" t="s">
        <v>45</v>
      </c>
      <c r="D1907" t="s">
        <v>46</v>
      </c>
      <c r="E1907" s="1">
        <v>45043</v>
      </c>
      <c r="F1907" t="s">
        <v>96</v>
      </c>
      <c r="G1907" t="s">
        <v>97</v>
      </c>
      <c r="H1907" t="s">
        <v>49</v>
      </c>
      <c r="I1907">
        <v>7</v>
      </c>
      <c r="J1907" t="s">
        <v>67</v>
      </c>
      <c r="K1907">
        <v>1</v>
      </c>
      <c r="L1907" s="3">
        <v>4599</v>
      </c>
      <c r="M1907">
        <v>30</v>
      </c>
      <c r="N1907" s="3">
        <v>3220</v>
      </c>
      <c r="O1907" s="3">
        <v>3220</v>
      </c>
      <c r="P1907" t="s">
        <v>74</v>
      </c>
      <c r="Q1907" t="s">
        <v>35</v>
      </c>
      <c r="R1907" t="s">
        <v>36</v>
      </c>
      <c r="S1907" t="s">
        <v>68</v>
      </c>
      <c r="T1907" t="s">
        <v>207</v>
      </c>
      <c r="U1907" t="s">
        <v>61</v>
      </c>
      <c r="V1907" t="s">
        <v>969</v>
      </c>
      <c r="W1907">
        <v>4</v>
      </c>
      <c r="X1907" t="s">
        <v>41</v>
      </c>
      <c r="Y1907" t="s">
        <v>55</v>
      </c>
      <c r="Z1907">
        <v>1</v>
      </c>
    </row>
    <row r="1908" spans="1:26">
      <c r="A1908" t="s">
        <v>3053</v>
      </c>
      <c r="B1908" t="s">
        <v>381</v>
      </c>
      <c r="C1908" t="s">
        <v>45</v>
      </c>
      <c r="D1908" t="s">
        <v>46</v>
      </c>
      <c r="E1908" s="1">
        <v>45043</v>
      </c>
      <c r="F1908" t="s">
        <v>96</v>
      </c>
      <c r="G1908" t="s">
        <v>97</v>
      </c>
      <c r="H1908" t="s">
        <v>49</v>
      </c>
      <c r="I1908">
        <v>9</v>
      </c>
      <c r="J1908" t="s">
        <v>67</v>
      </c>
      <c r="K1908">
        <v>2</v>
      </c>
      <c r="L1908" s="3">
        <v>3999</v>
      </c>
      <c r="M1908">
        <v>15</v>
      </c>
      <c r="N1908" s="3">
        <v>3400</v>
      </c>
      <c r="O1908" s="3">
        <v>6800</v>
      </c>
      <c r="P1908" t="s">
        <v>74</v>
      </c>
      <c r="Q1908" t="s">
        <v>82</v>
      </c>
      <c r="R1908" t="s">
        <v>36</v>
      </c>
      <c r="S1908" t="s">
        <v>297</v>
      </c>
      <c r="T1908" t="s">
        <v>298</v>
      </c>
      <c r="U1908" t="s">
        <v>124</v>
      </c>
      <c r="V1908" t="s">
        <v>315</v>
      </c>
      <c r="W1908">
        <v>3.9</v>
      </c>
      <c r="X1908" t="s">
        <v>41</v>
      </c>
      <c r="Y1908" t="s">
        <v>42</v>
      </c>
      <c r="Z1908">
        <v>3</v>
      </c>
    </row>
    <row r="1909" spans="1:26">
      <c r="A1909" t="s">
        <v>3054</v>
      </c>
      <c r="B1909" t="s">
        <v>839</v>
      </c>
      <c r="C1909" t="s">
        <v>28</v>
      </c>
      <c r="D1909" t="s">
        <v>46</v>
      </c>
      <c r="E1909" s="1">
        <v>45044</v>
      </c>
      <c r="F1909" t="s">
        <v>79</v>
      </c>
      <c r="G1909" t="s">
        <v>517</v>
      </c>
      <c r="H1909" t="s">
        <v>59</v>
      </c>
      <c r="I1909">
        <v>11</v>
      </c>
      <c r="J1909" t="s">
        <v>73</v>
      </c>
      <c r="K1909">
        <v>2</v>
      </c>
      <c r="L1909" s="3">
        <v>8099</v>
      </c>
      <c r="M1909">
        <v>25</v>
      </c>
      <c r="N1909" s="3">
        <v>6070</v>
      </c>
      <c r="O1909" s="3">
        <v>12140</v>
      </c>
      <c r="P1909" t="s">
        <v>74</v>
      </c>
      <c r="Q1909" t="s">
        <v>82</v>
      </c>
      <c r="R1909" t="s">
        <v>36</v>
      </c>
      <c r="S1909" t="s">
        <v>418</v>
      </c>
      <c r="T1909" t="s">
        <v>924</v>
      </c>
      <c r="U1909" t="s">
        <v>54</v>
      </c>
      <c r="V1909" t="s">
        <v>969</v>
      </c>
      <c r="W1909">
        <v>4</v>
      </c>
      <c r="X1909" t="s">
        <v>41</v>
      </c>
      <c r="Y1909" t="s">
        <v>55</v>
      </c>
      <c r="Z1909">
        <v>3</v>
      </c>
    </row>
    <row r="1910" spans="1:26">
      <c r="A1910" t="s">
        <v>3055</v>
      </c>
      <c r="B1910" t="s">
        <v>2003</v>
      </c>
      <c r="C1910" t="s">
        <v>94</v>
      </c>
      <c r="D1910" t="s">
        <v>103</v>
      </c>
      <c r="E1910" s="1">
        <v>45044</v>
      </c>
      <c r="F1910" t="s">
        <v>47</v>
      </c>
      <c r="G1910" t="s">
        <v>402</v>
      </c>
      <c r="H1910" t="s">
        <v>32</v>
      </c>
      <c r="I1910">
        <v>8</v>
      </c>
      <c r="J1910" t="s">
        <v>73</v>
      </c>
      <c r="K1910">
        <v>1</v>
      </c>
      <c r="L1910" s="3">
        <v>8699</v>
      </c>
      <c r="M1910">
        <v>30</v>
      </c>
      <c r="N1910" s="3">
        <v>6090</v>
      </c>
      <c r="O1910" s="3">
        <v>6090</v>
      </c>
      <c r="P1910" t="s">
        <v>34</v>
      </c>
      <c r="Q1910" t="s">
        <v>51</v>
      </c>
      <c r="R1910" t="s">
        <v>36</v>
      </c>
      <c r="S1910" t="s">
        <v>164</v>
      </c>
      <c r="T1910" t="s">
        <v>314</v>
      </c>
      <c r="U1910" t="s">
        <v>124</v>
      </c>
      <c r="V1910" t="s">
        <v>315</v>
      </c>
      <c r="W1910">
        <v>4.7</v>
      </c>
      <c r="X1910" t="s">
        <v>41</v>
      </c>
      <c r="Y1910" t="s">
        <v>55</v>
      </c>
      <c r="Z1910">
        <v>3</v>
      </c>
    </row>
    <row r="1911" spans="1:26">
      <c r="A1911" t="s">
        <v>3056</v>
      </c>
      <c r="B1911" t="s">
        <v>882</v>
      </c>
      <c r="C1911" t="s">
        <v>28</v>
      </c>
      <c r="D1911" t="s">
        <v>103</v>
      </c>
      <c r="E1911" s="1">
        <v>45047</v>
      </c>
      <c r="F1911" t="s">
        <v>79</v>
      </c>
      <c r="G1911" t="s">
        <v>127</v>
      </c>
      <c r="H1911" t="s">
        <v>128</v>
      </c>
      <c r="I1911">
        <v>7</v>
      </c>
      <c r="J1911" t="s">
        <v>150</v>
      </c>
      <c r="K1911">
        <v>1</v>
      </c>
      <c r="L1911" s="3">
        <v>6699</v>
      </c>
      <c r="M1911">
        <v>35</v>
      </c>
      <c r="N1911" s="3">
        <v>4350</v>
      </c>
      <c r="O1911" s="3">
        <v>4350</v>
      </c>
      <c r="P1911" t="s">
        <v>34</v>
      </c>
      <c r="Q1911" t="s">
        <v>82</v>
      </c>
      <c r="R1911" t="s">
        <v>36</v>
      </c>
      <c r="S1911" t="s">
        <v>52</v>
      </c>
      <c r="T1911" t="s">
        <v>60</v>
      </c>
      <c r="U1911" t="s">
        <v>54</v>
      </c>
      <c r="V1911" t="s">
        <v>969</v>
      </c>
      <c r="W1911">
        <v>4.8</v>
      </c>
      <c r="X1911" t="s">
        <v>106</v>
      </c>
      <c r="Y1911" t="s">
        <v>55</v>
      </c>
      <c r="Z1911">
        <v>1</v>
      </c>
    </row>
    <row r="1912" spans="1:26">
      <c r="A1912" t="s">
        <v>3057</v>
      </c>
      <c r="B1912" t="s">
        <v>1423</v>
      </c>
      <c r="C1912" t="s">
        <v>45</v>
      </c>
      <c r="D1912" t="s">
        <v>46</v>
      </c>
      <c r="E1912" s="1">
        <v>45047</v>
      </c>
      <c r="F1912" t="s">
        <v>96</v>
      </c>
      <c r="G1912" t="s">
        <v>171</v>
      </c>
      <c r="H1912" t="s">
        <v>128</v>
      </c>
      <c r="I1912">
        <v>10</v>
      </c>
      <c r="J1912" t="s">
        <v>98</v>
      </c>
      <c r="K1912">
        <v>1</v>
      </c>
      <c r="L1912" s="3">
        <v>5999</v>
      </c>
      <c r="M1912">
        <v>0</v>
      </c>
      <c r="N1912" s="3">
        <v>6000</v>
      </c>
      <c r="O1912" s="3">
        <v>6000</v>
      </c>
      <c r="P1912" t="s">
        <v>74</v>
      </c>
      <c r="Q1912" t="s">
        <v>82</v>
      </c>
      <c r="R1912" t="s">
        <v>36</v>
      </c>
      <c r="S1912" t="s">
        <v>160</v>
      </c>
      <c r="T1912" t="s">
        <v>160</v>
      </c>
      <c r="U1912" t="s">
        <v>61</v>
      </c>
      <c r="V1912" t="s">
        <v>969</v>
      </c>
      <c r="W1912">
        <v>5</v>
      </c>
      <c r="X1912" t="s">
        <v>106</v>
      </c>
      <c r="Y1912" t="s">
        <v>42</v>
      </c>
      <c r="Z1912">
        <v>7</v>
      </c>
    </row>
    <row r="1913" spans="1:26">
      <c r="A1913" t="s">
        <v>3058</v>
      </c>
      <c r="B1913" t="s">
        <v>823</v>
      </c>
      <c r="C1913" t="s">
        <v>94</v>
      </c>
      <c r="D1913" t="s">
        <v>103</v>
      </c>
      <c r="E1913" s="1">
        <v>45047</v>
      </c>
      <c r="F1913" t="s">
        <v>65</v>
      </c>
      <c r="G1913" t="s">
        <v>256</v>
      </c>
      <c r="H1913" t="s">
        <v>32</v>
      </c>
      <c r="I1913">
        <v>8</v>
      </c>
      <c r="J1913" t="s">
        <v>98</v>
      </c>
      <c r="K1913">
        <v>1</v>
      </c>
      <c r="L1913" s="3">
        <v>8699</v>
      </c>
      <c r="M1913">
        <v>20</v>
      </c>
      <c r="N1913" s="3">
        <v>6960</v>
      </c>
      <c r="O1913" s="3">
        <v>6960</v>
      </c>
      <c r="P1913" t="s">
        <v>34</v>
      </c>
      <c r="Q1913" t="s">
        <v>51</v>
      </c>
      <c r="R1913" t="s">
        <v>36</v>
      </c>
      <c r="S1913" t="s">
        <v>354</v>
      </c>
      <c r="T1913" t="s">
        <v>518</v>
      </c>
      <c r="U1913" t="s">
        <v>61</v>
      </c>
      <c r="V1913" t="s">
        <v>969</v>
      </c>
      <c r="W1913">
        <v>4.4000000000000004</v>
      </c>
      <c r="X1913" t="s">
        <v>41</v>
      </c>
      <c r="Y1913" t="s">
        <v>147</v>
      </c>
      <c r="Z1913">
        <v>1</v>
      </c>
    </row>
    <row r="1914" spans="1:26">
      <c r="A1914" t="s">
        <v>3059</v>
      </c>
      <c r="B1914" t="s">
        <v>1686</v>
      </c>
      <c r="C1914" t="s">
        <v>28</v>
      </c>
      <c r="D1914" t="s">
        <v>29</v>
      </c>
      <c r="E1914" s="1">
        <v>45047</v>
      </c>
      <c r="F1914" t="s">
        <v>30</v>
      </c>
      <c r="G1914" t="s">
        <v>347</v>
      </c>
      <c r="H1914" t="s">
        <v>49</v>
      </c>
      <c r="I1914">
        <v>9</v>
      </c>
      <c r="J1914" t="s">
        <v>73</v>
      </c>
      <c r="K1914">
        <v>1</v>
      </c>
      <c r="L1914" s="3">
        <v>5999</v>
      </c>
      <c r="M1914">
        <v>10</v>
      </c>
      <c r="N1914" s="3">
        <v>5400</v>
      </c>
      <c r="O1914" s="3">
        <v>5400</v>
      </c>
      <c r="P1914" t="s">
        <v>74</v>
      </c>
      <c r="Q1914" t="s">
        <v>51</v>
      </c>
      <c r="R1914" t="s">
        <v>36</v>
      </c>
      <c r="S1914" t="s">
        <v>269</v>
      </c>
      <c r="T1914" t="s">
        <v>575</v>
      </c>
      <c r="U1914" t="s">
        <v>54</v>
      </c>
      <c r="V1914" t="s">
        <v>315</v>
      </c>
      <c r="W1914">
        <v>3.5</v>
      </c>
      <c r="X1914" t="s">
        <v>41</v>
      </c>
      <c r="Y1914" t="s">
        <v>55</v>
      </c>
      <c r="Z1914">
        <v>2</v>
      </c>
    </row>
    <row r="1915" spans="1:26">
      <c r="A1915" t="s">
        <v>3060</v>
      </c>
      <c r="B1915" t="s">
        <v>2955</v>
      </c>
      <c r="C1915" t="s">
        <v>45</v>
      </c>
      <c r="D1915" t="s">
        <v>103</v>
      </c>
      <c r="E1915" s="1">
        <v>45048</v>
      </c>
      <c r="F1915" t="s">
        <v>47</v>
      </c>
      <c r="G1915" t="s">
        <v>402</v>
      </c>
      <c r="H1915" t="s">
        <v>32</v>
      </c>
      <c r="I1915">
        <v>10</v>
      </c>
      <c r="J1915" t="s">
        <v>73</v>
      </c>
      <c r="K1915">
        <v>1</v>
      </c>
      <c r="L1915" s="3">
        <v>8399</v>
      </c>
      <c r="M1915">
        <v>10</v>
      </c>
      <c r="N1915" s="3">
        <v>7560</v>
      </c>
      <c r="O1915" s="3">
        <v>7560</v>
      </c>
      <c r="P1915" t="s">
        <v>74</v>
      </c>
      <c r="Q1915" t="s">
        <v>35</v>
      </c>
      <c r="R1915" t="s">
        <v>36</v>
      </c>
      <c r="S1915" t="s">
        <v>243</v>
      </c>
      <c r="T1915" t="s">
        <v>244</v>
      </c>
      <c r="U1915" t="s">
        <v>61</v>
      </c>
      <c r="V1915" t="s">
        <v>315</v>
      </c>
      <c r="W1915">
        <v>5</v>
      </c>
      <c r="X1915" t="s">
        <v>41</v>
      </c>
      <c r="Y1915" t="s">
        <v>42</v>
      </c>
      <c r="Z1915">
        <v>2</v>
      </c>
    </row>
    <row r="1916" spans="1:26">
      <c r="A1916" t="s">
        <v>3061</v>
      </c>
      <c r="B1916" t="s">
        <v>376</v>
      </c>
      <c r="C1916" t="s">
        <v>28</v>
      </c>
      <c r="D1916" t="s">
        <v>29</v>
      </c>
      <c r="E1916" s="1">
        <v>45048</v>
      </c>
      <c r="F1916" t="s">
        <v>30</v>
      </c>
      <c r="G1916" t="s">
        <v>110</v>
      </c>
      <c r="H1916" t="s">
        <v>111</v>
      </c>
      <c r="I1916">
        <v>7</v>
      </c>
      <c r="J1916" t="s">
        <v>98</v>
      </c>
      <c r="K1916">
        <v>1</v>
      </c>
      <c r="L1916" s="3">
        <v>4999</v>
      </c>
      <c r="M1916">
        <v>15</v>
      </c>
      <c r="N1916" s="3">
        <v>4250</v>
      </c>
      <c r="O1916" s="3">
        <v>4250</v>
      </c>
      <c r="P1916" t="s">
        <v>74</v>
      </c>
      <c r="Q1916" t="s">
        <v>82</v>
      </c>
      <c r="R1916" t="s">
        <v>36</v>
      </c>
      <c r="S1916" t="s">
        <v>136</v>
      </c>
      <c r="T1916" t="s">
        <v>1693</v>
      </c>
      <c r="U1916" t="s">
        <v>54</v>
      </c>
      <c r="V1916" t="s">
        <v>969</v>
      </c>
      <c r="W1916">
        <v>5</v>
      </c>
      <c r="X1916" t="s">
        <v>106</v>
      </c>
      <c r="Y1916" t="s">
        <v>42</v>
      </c>
      <c r="Z1916">
        <v>4</v>
      </c>
    </row>
    <row r="1917" spans="1:26">
      <c r="A1917" t="s">
        <v>3062</v>
      </c>
      <c r="B1917" t="s">
        <v>991</v>
      </c>
      <c r="C1917" t="s">
        <v>28</v>
      </c>
      <c r="D1917" t="s">
        <v>46</v>
      </c>
      <c r="E1917" s="1">
        <v>45050</v>
      </c>
      <c r="F1917" t="s">
        <v>96</v>
      </c>
      <c r="G1917" t="s">
        <v>171</v>
      </c>
      <c r="H1917" t="s">
        <v>128</v>
      </c>
      <c r="I1917">
        <v>10</v>
      </c>
      <c r="J1917" t="s">
        <v>73</v>
      </c>
      <c r="K1917">
        <v>1</v>
      </c>
      <c r="L1917" s="3">
        <v>7799</v>
      </c>
      <c r="M1917">
        <v>35</v>
      </c>
      <c r="N1917" s="3">
        <v>5070</v>
      </c>
      <c r="O1917" s="3">
        <v>5070</v>
      </c>
      <c r="P1917" t="s">
        <v>74</v>
      </c>
      <c r="Q1917" t="s">
        <v>51</v>
      </c>
      <c r="R1917" t="s">
        <v>36</v>
      </c>
      <c r="S1917" t="s">
        <v>164</v>
      </c>
      <c r="T1917" t="s">
        <v>409</v>
      </c>
      <c r="U1917" t="s">
        <v>39</v>
      </c>
      <c r="V1917" t="s">
        <v>969</v>
      </c>
      <c r="W1917">
        <v>4.9000000000000004</v>
      </c>
      <c r="X1917" t="s">
        <v>41</v>
      </c>
      <c r="Y1917" t="s">
        <v>147</v>
      </c>
      <c r="Z1917">
        <v>2</v>
      </c>
    </row>
    <row r="1918" spans="1:26">
      <c r="A1918" t="s">
        <v>3063</v>
      </c>
      <c r="B1918" t="s">
        <v>819</v>
      </c>
      <c r="C1918" t="s">
        <v>45</v>
      </c>
      <c r="D1918" t="s">
        <v>46</v>
      </c>
      <c r="E1918" s="1">
        <v>45050</v>
      </c>
      <c r="F1918" t="s">
        <v>96</v>
      </c>
      <c r="G1918" t="s">
        <v>155</v>
      </c>
      <c r="H1918" t="s">
        <v>111</v>
      </c>
      <c r="I1918">
        <v>9</v>
      </c>
      <c r="J1918" t="s">
        <v>67</v>
      </c>
      <c r="K1918">
        <v>3</v>
      </c>
      <c r="L1918" s="3">
        <v>8699</v>
      </c>
      <c r="M1918">
        <v>10</v>
      </c>
      <c r="N1918" s="3">
        <v>7830</v>
      </c>
      <c r="O1918" s="3">
        <v>23490</v>
      </c>
      <c r="P1918" t="s">
        <v>74</v>
      </c>
      <c r="Q1918" t="s">
        <v>35</v>
      </c>
      <c r="R1918" t="s">
        <v>36</v>
      </c>
      <c r="S1918" t="s">
        <v>358</v>
      </c>
      <c r="T1918" t="s">
        <v>464</v>
      </c>
      <c r="U1918" t="s">
        <v>91</v>
      </c>
      <c r="V1918" t="s">
        <v>969</v>
      </c>
      <c r="W1918">
        <v>4.3</v>
      </c>
      <c r="X1918" t="s">
        <v>41</v>
      </c>
      <c r="Y1918" t="s">
        <v>42</v>
      </c>
      <c r="Z1918">
        <v>2</v>
      </c>
    </row>
    <row r="1919" spans="1:26">
      <c r="A1919" t="s">
        <v>3064</v>
      </c>
      <c r="B1919" t="s">
        <v>1844</v>
      </c>
      <c r="C1919" t="s">
        <v>28</v>
      </c>
      <c r="D1919" t="s">
        <v>103</v>
      </c>
      <c r="E1919" s="1">
        <v>45051</v>
      </c>
      <c r="F1919" t="s">
        <v>47</v>
      </c>
      <c r="G1919" t="s">
        <v>402</v>
      </c>
      <c r="H1919" t="s">
        <v>32</v>
      </c>
      <c r="I1919">
        <v>7</v>
      </c>
      <c r="J1919" t="s">
        <v>33</v>
      </c>
      <c r="K1919">
        <v>1</v>
      </c>
      <c r="L1919" s="3">
        <v>6199</v>
      </c>
      <c r="M1919">
        <v>10</v>
      </c>
      <c r="N1919" s="3">
        <v>5580</v>
      </c>
      <c r="O1919" s="3">
        <v>5580</v>
      </c>
      <c r="P1919" t="s">
        <v>74</v>
      </c>
      <c r="Q1919" t="s">
        <v>82</v>
      </c>
      <c r="R1919" t="s">
        <v>36</v>
      </c>
      <c r="S1919" t="s">
        <v>112</v>
      </c>
      <c r="T1919" t="s">
        <v>113</v>
      </c>
      <c r="U1919" t="s">
        <v>54</v>
      </c>
      <c r="V1919" t="s">
        <v>969</v>
      </c>
      <c r="W1919">
        <v>3.5</v>
      </c>
      <c r="X1919" t="s">
        <v>41</v>
      </c>
      <c r="Y1919" t="s">
        <v>42</v>
      </c>
      <c r="Z1919">
        <v>5</v>
      </c>
    </row>
    <row r="1920" spans="1:26">
      <c r="A1920" t="s">
        <v>3065</v>
      </c>
      <c r="B1920" t="s">
        <v>3066</v>
      </c>
      <c r="C1920" t="s">
        <v>28</v>
      </c>
      <c r="D1920" t="s">
        <v>103</v>
      </c>
      <c r="E1920" s="1">
        <v>45053</v>
      </c>
      <c r="F1920" t="s">
        <v>86</v>
      </c>
      <c r="G1920" t="s">
        <v>87</v>
      </c>
      <c r="H1920" t="s">
        <v>59</v>
      </c>
      <c r="I1920">
        <v>10</v>
      </c>
      <c r="J1920" t="s">
        <v>98</v>
      </c>
      <c r="K1920">
        <v>1</v>
      </c>
      <c r="L1920" s="3">
        <v>4399</v>
      </c>
      <c r="M1920">
        <v>25</v>
      </c>
      <c r="N1920" s="3">
        <v>3300</v>
      </c>
      <c r="O1920" s="3">
        <v>3300</v>
      </c>
      <c r="P1920" t="s">
        <v>74</v>
      </c>
      <c r="Q1920" t="s">
        <v>35</v>
      </c>
      <c r="R1920" t="s">
        <v>36</v>
      </c>
      <c r="S1920" t="s">
        <v>297</v>
      </c>
      <c r="T1920" t="s">
        <v>351</v>
      </c>
      <c r="U1920" t="s">
        <v>54</v>
      </c>
      <c r="V1920" t="s">
        <v>40</v>
      </c>
      <c r="W1920">
        <v>2.5</v>
      </c>
      <c r="X1920" t="s">
        <v>41</v>
      </c>
      <c r="Y1920" t="s">
        <v>42</v>
      </c>
      <c r="Z1920">
        <v>4</v>
      </c>
    </row>
    <row r="1921" spans="1:26">
      <c r="A1921" t="s">
        <v>3067</v>
      </c>
      <c r="B1921" t="s">
        <v>311</v>
      </c>
      <c r="C1921" t="s">
        <v>28</v>
      </c>
      <c r="D1921" t="s">
        <v>103</v>
      </c>
      <c r="E1921" s="1">
        <v>45055</v>
      </c>
      <c r="F1921" t="s">
        <v>96</v>
      </c>
      <c r="G1921" t="s">
        <v>97</v>
      </c>
      <c r="H1921" t="s">
        <v>49</v>
      </c>
      <c r="I1921">
        <v>7</v>
      </c>
      <c r="J1921" t="s">
        <v>98</v>
      </c>
      <c r="K1921">
        <v>1</v>
      </c>
      <c r="L1921" s="3">
        <v>5699</v>
      </c>
      <c r="M1921">
        <v>15</v>
      </c>
      <c r="N1921" s="3">
        <v>4840</v>
      </c>
      <c r="O1921" s="3">
        <v>4840</v>
      </c>
      <c r="P1921" t="s">
        <v>74</v>
      </c>
      <c r="Q1921" t="s">
        <v>82</v>
      </c>
      <c r="R1921" t="s">
        <v>36</v>
      </c>
      <c r="S1921" t="s">
        <v>460</v>
      </c>
      <c r="T1921" t="s">
        <v>461</v>
      </c>
      <c r="U1921" t="s">
        <v>91</v>
      </c>
      <c r="V1921" t="s">
        <v>969</v>
      </c>
      <c r="W1921">
        <v>3.3</v>
      </c>
      <c r="X1921" t="s">
        <v>41</v>
      </c>
      <c r="Y1921" t="s">
        <v>55</v>
      </c>
      <c r="Z1921">
        <v>2</v>
      </c>
    </row>
    <row r="1922" spans="1:26">
      <c r="A1922" t="s">
        <v>3068</v>
      </c>
      <c r="B1922" t="s">
        <v>1665</v>
      </c>
      <c r="C1922" t="s">
        <v>45</v>
      </c>
      <c r="D1922" t="s">
        <v>103</v>
      </c>
      <c r="E1922" s="1">
        <v>45057</v>
      </c>
      <c r="F1922" t="s">
        <v>79</v>
      </c>
      <c r="G1922" t="s">
        <v>127</v>
      </c>
      <c r="H1922" t="s">
        <v>128</v>
      </c>
      <c r="I1922">
        <v>9</v>
      </c>
      <c r="J1922" t="s">
        <v>98</v>
      </c>
      <c r="K1922">
        <v>2</v>
      </c>
      <c r="L1922" s="3">
        <v>7199</v>
      </c>
      <c r="M1922">
        <v>10</v>
      </c>
      <c r="N1922" s="3">
        <v>6480</v>
      </c>
      <c r="O1922" s="3">
        <v>12960</v>
      </c>
      <c r="P1922" t="s">
        <v>34</v>
      </c>
      <c r="Q1922" t="s">
        <v>51</v>
      </c>
      <c r="R1922" t="s">
        <v>36</v>
      </c>
      <c r="S1922" t="s">
        <v>52</v>
      </c>
      <c r="T1922" t="s">
        <v>60</v>
      </c>
      <c r="U1922" t="s">
        <v>61</v>
      </c>
      <c r="V1922" t="s">
        <v>969</v>
      </c>
      <c r="W1922">
        <v>3.6</v>
      </c>
      <c r="X1922" t="s">
        <v>41</v>
      </c>
      <c r="Y1922" t="s">
        <v>55</v>
      </c>
      <c r="Z1922">
        <v>4</v>
      </c>
    </row>
    <row r="1923" spans="1:26">
      <c r="A1923" t="s">
        <v>3069</v>
      </c>
      <c r="B1923" t="s">
        <v>1627</v>
      </c>
      <c r="C1923" t="s">
        <v>94</v>
      </c>
      <c r="D1923" t="s">
        <v>103</v>
      </c>
      <c r="E1923" s="1">
        <v>45059</v>
      </c>
      <c r="F1923" t="s">
        <v>96</v>
      </c>
      <c r="G1923" t="s">
        <v>155</v>
      </c>
      <c r="H1923" t="s">
        <v>111</v>
      </c>
      <c r="I1923">
        <v>9</v>
      </c>
      <c r="J1923" t="s">
        <v>67</v>
      </c>
      <c r="K1923">
        <v>1</v>
      </c>
      <c r="L1923" s="3">
        <v>7099</v>
      </c>
      <c r="M1923">
        <v>25</v>
      </c>
      <c r="N1923" s="3">
        <v>5320</v>
      </c>
      <c r="O1923" s="3">
        <v>5320</v>
      </c>
      <c r="P1923" t="s">
        <v>74</v>
      </c>
      <c r="Q1923" t="s">
        <v>35</v>
      </c>
      <c r="R1923" t="s">
        <v>36</v>
      </c>
      <c r="S1923" t="s">
        <v>297</v>
      </c>
      <c r="T1923" t="s">
        <v>390</v>
      </c>
      <c r="U1923" t="s">
        <v>61</v>
      </c>
      <c r="V1923" t="s">
        <v>969</v>
      </c>
      <c r="W1923">
        <v>3.8</v>
      </c>
      <c r="X1923" t="s">
        <v>106</v>
      </c>
      <c r="Y1923" t="s">
        <v>42</v>
      </c>
      <c r="Z1923">
        <v>3</v>
      </c>
    </row>
    <row r="1924" spans="1:26">
      <c r="A1924" t="s">
        <v>3070</v>
      </c>
      <c r="B1924" t="s">
        <v>1031</v>
      </c>
      <c r="C1924" t="s">
        <v>45</v>
      </c>
      <c r="D1924" t="s">
        <v>29</v>
      </c>
      <c r="E1924" s="1">
        <v>45059</v>
      </c>
      <c r="F1924" t="s">
        <v>86</v>
      </c>
      <c r="G1924" t="s">
        <v>87</v>
      </c>
      <c r="H1924" t="s">
        <v>59</v>
      </c>
      <c r="I1924">
        <v>11</v>
      </c>
      <c r="J1924" t="s">
        <v>67</v>
      </c>
      <c r="K1924">
        <v>3</v>
      </c>
      <c r="L1924" s="3">
        <v>4299</v>
      </c>
      <c r="M1924">
        <v>20</v>
      </c>
      <c r="N1924" s="3">
        <v>3440</v>
      </c>
      <c r="O1924" s="3">
        <v>10320</v>
      </c>
      <c r="P1924" t="s">
        <v>34</v>
      </c>
      <c r="Q1924" t="s">
        <v>35</v>
      </c>
      <c r="R1924" t="s">
        <v>36</v>
      </c>
      <c r="S1924" t="s">
        <v>358</v>
      </c>
      <c r="T1924" t="s">
        <v>805</v>
      </c>
      <c r="U1924" t="s">
        <v>91</v>
      </c>
      <c r="V1924" t="s">
        <v>315</v>
      </c>
      <c r="W1924">
        <v>4.0999999999999996</v>
      </c>
      <c r="X1924" t="s">
        <v>41</v>
      </c>
      <c r="Y1924" t="s">
        <v>42</v>
      </c>
      <c r="Z1924">
        <v>4</v>
      </c>
    </row>
    <row r="1925" spans="1:26">
      <c r="A1925" t="s">
        <v>3071</v>
      </c>
      <c r="B1925" t="s">
        <v>1124</v>
      </c>
      <c r="C1925" t="s">
        <v>45</v>
      </c>
      <c r="D1925" t="s">
        <v>46</v>
      </c>
      <c r="E1925" s="1">
        <v>45060</v>
      </c>
      <c r="F1925" t="s">
        <v>47</v>
      </c>
      <c r="G1925" t="s">
        <v>140</v>
      </c>
      <c r="H1925" t="s">
        <v>128</v>
      </c>
      <c r="I1925">
        <v>8</v>
      </c>
      <c r="J1925" t="s">
        <v>150</v>
      </c>
      <c r="K1925">
        <v>2</v>
      </c>
      <c r="L1925" s="3">
        <v>7099</v>
      </c>
      <c r="M1925">
        <v>15</v>
      </c>
      <c r="N1925" s="3">
        <v>6030</v>
      </c>
      <c r="O1925" s="3">
        <v>12060</v>
      </c>
      <c r="P1925" t="s">
        <v>74</v>
      </c>
      <c r="Q1925" t="s">
        <v>82</v>
      </c>
      <c r="R1925" t="s">
        <v>36</v>
      </c>
      <c r="S1925" t="s">
        <v>460</v>
      </c>
      <c r="T1925" t="s">
        <v>1868</v>
      </c>
      <c r="U1925" t="s">
        <v>91</v>
      </c>
      <c r="V1925" t="s">
        <v>969</v>
      </c>
      <c r="W1925">
        <v>3.4</v>
      </c>
      <c r="X1925" t="s">
        <v>62</v>
      </c>
      <c r="Y1925" t="s">
        <v>42</v>
      </c>
      <c r="Z1925">
        <v>3</v>
      </c>
    </row>
    <row r="1926" spans="1:26">
      <c r="A1926" t="s">
        <v>3072</v>
      </c>
      <c r="B1926" t="s">
        <v>1741</v>
      </c>
      <c r="C1926" t="s">
        <v>45</v>
      </c>
      <c r="D1926" t="s">
        <v>46</v>
      </c>
      <c r="E1926" s="1">
        <v>45061</v>
      </c>
      <c r="F1926" t="s">
        <v>79</v>
      </c>
      <c r="G1926" t="s">
        <v>480</v>
      </c>
      <c r="H1926" t="s">
        <v>111</v>
      </c>
      <c r="I1926">
        <v>8</v>
      </c>
      <c r="J1926" t="s">
        <v>98</v>
      </c>
      <c r="K1926">
        <v>1</v>
      </c>
      <c r="L1926" s="3">
        <v>3999</v>
      </c>
      <c r="M1926">
        <v>20</v>
      </c>
      <c r="N1926" s="3">
        <v>3200</v>
      </c>
      <c r="O1926" s="3">
        <v>3200</v>
      </c>
      <c r="P1926" t="s">
        <v>74</v>
      </c>
      <c r="Q1926" t="s">
        <v>51</v>
      </c>
      <c r="R1926" t="s">
        <v>36</v>
      </c>
      <c r="S1926" t="s">
        <v>418</v>
      </c>
      <c r="T1926" t="s">
        <v>419</v>
      </c>
      <c r="U1926" t="s">
        <v>61</v>
      </c>
      <c r="V1926" t="s">
        <v>969</v>
      </c>
      <c r="W1926">
        <v>4.5999999999999996</v>
      </c>
      <c r="X1926" t="s">
        <v>62</v>
      </c>
      <c r="Y1926" t="s">
        <v>55</v>
      </c>
      <c r="Z1926">
        <v>4</v>
      </c>
    </row>
    <row r="1927" spans="1:26">
      <c r="A1927" t="s">
        <v>3073</v>
      </c>
      <c r="B1927" t="s">
        <v>664</v>
      </c>
      <c r="C1927" t="s">
        <v>28</v>
      </c>
      <c r="D1927" t="s">
        <v>109</v>
      </c>
      <c r="E1927" s="1">
        <v>45062</v>
      </c>
      <c r="F1927" t="s">
        <v>65</v>
      </c>
      <c r="G1927" t="s">
        <v>365</v>
      </c>
      <c r="H1927" t="s">
        <v>49</v>
      </c>
      <c r="I1927">
        <v>6</v>
      </c>
      <c r="J1927" t="s">
        <v>98</v>
      </c>
      <c r="K1927">
        <v>2</v>
      </c>
      <c r="L1927" s="3">
        <v>5599</v>
      </c>
      <c r="M1927">
        <v>15</v>
      </c>
      <c r="N1927" s="3">
        <v>4760</v>
      </c>
      <c r="O1927" s="3">
        <v>9520</v>
      </c>
      <c r="P1927" t="s">
        <v>74</v>
      </c>
      <c r="Q1927" t="s">
        <v>51</v>
      </c>
      <c r="R1927" t="s">
        <v>36</v>
      </c>
      <c r="S1927" t="s">
        <v>297</v>
      </c>
      <c r="T1927" t="s">
        <v>390</v>
      </c>
      <c r="U1927" t="s">
        <v>124</v>
      </c>
      <c r="V1927" t="s">
        <v>315</v>
      </c>
      <c r="W1927">
        <v>4.2</v>
      </c>
      <c r="X1927" t="s">
        <v>62</v>
      </c>
      <c r="Y1927" t="s">
        <v>42</v>
      </c>
      <c r="Z1927">
        <v>4</v>
      </c>
    </row>
    <row r="1928" spans="1:26">
      <c r="A1928" t="s">
        <v>3074</v>
      </c>
      <c r="B1928" t="s">
        <v>198</v>
      </c>
      <c r="C1928" t="s">
        <v>94</v>
      </c>
      <c r="D1928" t="s">
        <v>46</v>
      </c>
      <c r="E1928" s="1">
        <v>45063</v>
      </c>
      <c r="F1928" t="s">
        <v>65</v>
      </c>
      <c r="G1928" t="s">
        <v>365</v>
      </c>
      <c r="H1928" t="s">
        <v>49</v>
      </c>
      <c r="I1928">
        <v>7</v>
      </c>
      <c r="J1928" t="s">
        <v>150</v>
      </c>
      <c r="K1928">
        <v>2</v>
      </c>
      <c r="L1928" s="3">
        <v>3099</v>
      </c>
      <c r="M1928">
        <v>15</v>
      </c>
      <c r="N1928" s="3">
        <v>2630</v>
      </c>
      <c r="O1928" s="3">
        <v>5260</v>
      </c>
      <c r="P1928" t="s">
        <v>34</v>
      </c>
      <c r="Q1928" t="s">
        <v>35</v>
      </c>
      <c r="R1928" t="s">
        <v>36</v>
      </c>
      <c r="S1928" t="s">
        <v>460</v>
      </c>
      <c r="T1928" t="s">
        <v>461</v>
      </c>
      <c r="U1928" t="s">
        <v>39</v>
      </c>
      <c r="V1928" t="s">
        <v>969</v>
      </c>
      <c r="W1928">
        <v>3</v>
      </c>
      <c r="X1928" t="s">
        <v>106</v>
      </c>
      <c r="Y1928" t="s">
        <v>42</v>
      </c>
      <c r="Z1928">
        <v>6</v>
      </c>
    </row>
    <row r="1929" spans="1:26">
      <c r="A1929" t="s">
        <v>3075</v>
      </c>
      <c r="B1929" t="s">
        <v>3076</v>
      </c>
      <c r="C1929" t="s">
        <v>28</v>
      </c>
      <c r="D1929" t="s">
        <v>46</v>
      </c>
      <c r="E1929" s="1">
        <v>45064</v>
      </c>
      <c r="F1929" t="s">
        <v>65</v>
      </c>
      <c r="G1929" t="s">
        <v>268</v>
      </c>
      <c r="H1929" t="s">
        <v>128</v>
      </c>
      <c r="I1929">
        <v>9</v>
      </c>
      <c r="J1929" t="s">
        <v>67</v>
      </c>
      <c r="K1929">
        <v>1</v>
      </c>
      <c r="L1929" s="3">
        <v>2999</v>
      </c>
      <c r="M1929">
        <v>20</v>
      </c>
      <c r="N1929" s="3">
        <v>2400</v>
      </c>
      <c r="O1929" s="3">
        <v>2400</v>
      </c>
      <c r="P1929" t="s">
        <v>74</v>
      </c>
      <c r="Q1929" t="s">
        <v>82</v>
      </c>
      <c r="R1929" t="s">
        <v>36</v>
      </c>
      <c r="S1929" t="s">
        <v>418</v>
      </c>
      <c r="T1929" t="s">
        <v>613</v>
      </c>
      <c r="U1929" t="s">
        <v>54</v>
      </c>
      <c r="V1929" t="s">
        <v>40</v>
      </c>
      <c r="W1929">
        <v>5</v>
      </c>
      <c r="X1929" t="s">
        <v>41</v>
      </c>
      <c r="Y1929" t="s">
        <v>55</v>
      </c>
      <c r="Z1929">
        <v>2</v>
      </c>
    </row>
    <row r="1930" spans="1:26">
      <c r="A1930" t="s">
        <v>3077</v>
      </c>
      <c r="B1930" t="s">
        <v>1474</v>
      </c>
      <c r="C1930" t="s">
        <v>28</v>
      </c>
      <c r="D1930" t="s">
        <v>46</v>
      </c>
      <c r="E1930" s="1">
        <v>45064</v>
      </c>
      <c r="F1930" t="s">
        <v>79</v>
      </c>
      <c r="G1930" t="s">
        <v>80</v>
      </c>
      <c r="H1930" t="s">
        <v>59</v>
      </c>
      <c r="I1930">
        <v>6</v>
      </c>
      <c r="J1930" t="s">
        <v>67</v>
      </c>
      <c r="K1930">
        <v>1</v>
      </c>
      <c r="L1930" s="3">
        <v>7499</v>
      </c>
      <c r="M1930">
        <v>0</v>
      </c>
      <c r="N1930" s="3">
        <v>7500</v>
      </c>
      <c r="O1930" s="3">
        <v>7500</v>
      </c>
      <c r="P1930" t="s">
        <v>74</v>
      </c>
      <c r="Q1930" t="s">
        <v>35</v>
      </c>
      <c r="R1930" t="s">
        <v>36</v>
      </c>
      <c r="S1930" t="s">
        <v>156</v>
      </c>
      <c r="T1930" t="s">
        <v>324</v>
      </c>
      <c r="U1930" t="s">
        <v>91</v>
      </c>
      <c r="V1930" t="s">
        <v>315</v>
      </c>
      <c r="W1930">
        <v>4.4000000000000004</v>
      </c>
      <c r="X1930" t="s">
        <v>41</v>
      </c>
      <c r="Y1930" t="s">
        <v>55</v>
      </c>
      <c r="Z1930">
        <v>3</v>
      </c>
    </row>
    <row r="1931" spans="1:26">
      <c r="A1931" t="s">
        <v>3078</v>
      </c>
      <c r="B1931" t="s">
        <v>3079</v>
      </c>
      <c r="C1931" t="s">
        <v>45</v>
      </c>
      <c r="D1931" t="s">
        <v>46</v>
      </c>
      <c r="E1931" s="1">
        <v>45065</v>
      </c>
      <c r="F1931" t="s">
        <v>86</v>
      </c>
      <c r="G1931" t="s">
        <v>116</v>
      </c>
      <c r="H1931" t="s">
        <v>49</v>
      </c>
      <c r="I1931">
        <v>8</v>
      </c>
      <c r="J1931" t="s">
        <v>33</v>
      </c>
      <c r="K1931">
        <v>1</v>
      </c>
      <c r="L1931" s="3">
        <v>4599</v>
      </c>
      <c r="M1931">
        <v>30</v>
      </c>
      <c r="N1931" s="3">
        <v>3220</v>
      </c>
      <c r="O1931" s="3">
        <v>3220</v>
      </c>
      <c r="P1931" t="s">
        <v>74</v>
      </c>
      <c r="Q1931" t="s">
        <v>82</v>
      </c>
      <c r="R1931" t="s">
        <v>36</v>
      </c>
      <c r="S1931" t="s">
        <v>210</v>
      </c>
      <c r="T1931" t="s">
        <v>680</v>
      </c>
      <c r="U1931" t="s">
        <v>124</v>
      </c>
      <c r="V1931" t="s">
        <v>40</v>
      </c>
      <c r="W1931">
        <v>4.5</v>
      </c>
      <c r="X1931" t="s">
        <v>41</v>
      </c>
      <c r="Y1931" t="s">
        <v>55</v>
      </c>
      <c r="Z1931">
        <v>2</v>
      </c>
    </row>
    <row r="1932" spans="1:26">
      <c r="A1932" t="s">
        <v>3080</v>
      </c>
      <c r="B1932" t="s">
        <v>2443</v>
      </c>
      <c r="C1932" t="s">
        <v>94</v>
      </c>
      <c r="D1932" t="s">
        <v>103</v>
      </c>
      <c r="E1932" s="1">
        <v>45065</v>
      </c>
      <c r="F1932" t="s">
        <v>65</v>
      </c>
      <c r="G1932" t="s">
        <v>66</v>
      </c>
      <c r="H1932" t="s">
        <v>59</v>
      </c>
      <c r="I1932">
        <v>9</v>
      </c>
      <c r="J1932" t="s">
        <v>150</v>
      </c>
      <c r="K1932">
        <v>2</v>
      </c>
      <c r="L1932" s="3">
        <v>8099</v>
      </c>
      <c r="M1932">
        <v>15</v>
      </c>
      <c r="N1932" s="3">
        <v>6880</v>
      </c>
      <c r="O1932" s="3">
        <v>13760</v>
      </c>
      <c r="P1932" t="s">
        <v>74</v>
      </c>
      <c r="Q1932" t="s">
        <v>51</v>
      </c>
      <c r="R1932" t="s">
        <v>36</v>
      </c>
      <c r="S1932" t="s">
        <v>164</v>
      </c>
      <c r="T1932" t="s">
        <v>165</v>
      </c>
      <c r="U1932" t="s">
        <v>54</v>
      </c>
      <c r="V1932" t="s">
        <v>315</v>
      </c>
      <c r="W1932">
        <v>4</v>
      </c>
      <c r="X1932" t="s">
        <v>41</v>
      </c>
      <c r="Y1932" t="s">
        <v>55</v>
      </c>
      <c r="Z1932">
        <v>2</v>
      </c>
    </row>
    <row r="1933" spans="1:26">
      <c r="A1933" t="s">
        <v>3081</v>
      </c>
      <c r="B1933" t="s">
        <v>2063</v>
      </c>
      <c r="C1933" t="s">
        <v>28</v>
      </c>
      <c r="D1933" t="s">
        <v>95</v>
      </c>
      <c r="E1933" s="1">
        <v>45065</v>
      </c>
      <c r="F1933" t="s">
        <v>86</v>
      </c>
      <c r="G1933" t="s">
        <v>285</v>
      </c>
      <c r="H1933" t="s">
        <v>111</v>
      </c>
      <c r="I1933">
        <v>9</v>
      </c>
      <c r="J1933" t="s">
        <v>88</v>
      </c>
      <c r="K1933">
        <v>1</v>
      </c>
      <c r="L1933" s="3">
        <v>6199</v>
      </c>
      <c r="M1933">
        <v>30</v>
      </c>
      <c r="N1933" s="3">
        <v>4340</v>
      </c>
      <c r="O1933" s="3">
        <v>4340</v>
      </c>
      <c r="P1933" t="s">
        <v>81</v>
      </c>
      <c r="Q1933" t="s">
        <v>51</v>
      </c>
      <c r="R1933" t="s">
        <v>36</v>
      </c>
      <c r="S1933" t="s">
        <v>89</v>
      </c>
      <c r="T1933" t="s">
        <v>1982</v>
      </c>
      <c r="U1933" t="s">
        <v>124</v>
      </c>
      <c r="V1933" t="s">
        <v>315</v>
      </c>
      <c r="W1933">
        <v>4.2</v>
      </c>
      <c r="X1933" t="s">
        <v>41</v>
      </c>
      <c r="Y1933" t="s">
        <v>55</v>
      </c>
      <c r="Z1933">
        <v>4</v>
      </c>
    </row>
    <row r="1934" spans="1:26">
      <c r="A1934" t="s">
        <v>3082</v>
      </c>
      <c r="B1934" t="s">
        <v>1600</v>
      </c>
      <c r="C1934" t="s">
        <v>45</v>
      </c>
      <c r="D1934" t="s">
        <v>103</v>
      </c>
      <c r="E1934" s="1">
        <v>45065</v>
      </c>
      <c r="F1934" t="s">
        <v>86</v>
      </c>
      <c r="G1934" t="s">
        <v>312</v>
      </c>
      <c r="H1934" t="s">
        <v>59</v>
      </c>
      <c r="I1934">
        <v>8</v>
      </c>
      <c r="J1934" t="s">
        <v>67</v>
      </c>
      <c r="K1934">
        <v>1</v>
      </c>
      <c r="L1934" s="3">
        <v>8999</v>
      </c>
      <c r="M1934">
        <v>5</v>
      </c>
      <c r="N1934" s="3">
        <v>8550</v>
      </c>
      <c r="O1934" s="3">
        <v>8550</v>
      </c>
      <c r="P1934" t="s">
        <v>34</v>
      </c>
      <c r="Q1934" t="s">
        <v>51</v>
      </c>
      <c r="R1934" t="s">
        <v>36</v>
      </c>
      <c r="S1934" t="s">
        <v>156</v>
      </c>
      <c r="T1934" t="s">
        <v>324</v>
      </c>
      <c r="U1934" t="s">
        <v>54</v>
      </c>
      <c r="V1934" t="s">
        <v>315</v>
      </c>
      <c r="W1934">
        <v>4.0999999999999996</v>
      </c>
      <c r="X1934" t="s">
        <v>41</v>
      </c>
      <c r="Y1934" t="s">
        <v>55</v>
      </c>
      <c r="Z1934">
        <v>2</v>
      </c>
    </row>
    <row r="1935" spans="1:26">
      <c r="A1935" t="s">
        <v>3083</v>
      </c>
      <c r="B1935" t="s">
        <v>3084</v>
      </c>
      <c r="C1935" t="s">
        <v>94</v>
      </c>
      <c r="D1935" t="s">
        <v>46</v>
      </c>
      <c r="E1935" s="1">
        <v>45066</v>
      </c>
      <c r="F1935" t="s">
        <v>79</v>
      </c>
      <c r="G1935" t="s">
        <v>480</v>
      </c>
      <c r="H1935" t="s">
        <v>111</v>
      </c>
      <c r="I1935">
        <v>7</v>
      </c>
      <c r="J1935" t="s">
        <v>150</v>
      </c>
      <c r="K1935">
        <v>1</v>
      </c>
      <c r="L1935" s="3">
        <v>8099</v>
      </c>
      <c r="M1935">
        <v>15</v>
      </c>
      <c r="N1935" s="3">
        <v>6880</v>
      </c>
      <c r="O1935" s="3">
        <v>6880</v>
      </c>
      <c r="P1935" t="s">
        <v>74</v>
      </c>
      <c r="Q1935" t="s">
        <v>82</v>
      </c>
      <c r="R1935" t="s">
        <v>36</v>
      </c>
      <c r="S1935" t="s">
        <v>168</v>
      </c>
      <c r="T1935" t="s">
        <v>168</v>
      </c>
      <c r="U1935" t="s">
        <v>39</v>
      </c>
      <c r="V1935" t="s">
        <v>40</v>
      </c>
      <c r="W1935">
        <v>4.5</v>
      </c>
      <c r="X1935" t="s">
        <v>106</v>
      </c>
      <c r="Y1935" t="s">
        <v>55</v>
      </c>
      <c r="Z1935">
        <v>2</v>
      </c>
    </row>
    <row r="1936" spans="1:26">
      <c r="A1936" t="s">
        <v>3085</v>
      </c>
      <c r="B1936" t="s">
        <v>1836</v>
      </c>
      <c r="C1936" t="s">
        <v>28</v>
      </c>
      <c r="D1936" t="s">
        <v>95</v>
      </c>
      <c r="E1936" s="1">
        <v>45066</v>
      </c>
      <c r="F1936" t="s">
        <v>86</v>
      </c>
      <c r="G1936" t="s">
        <v>285</v>
      </c>
      <c r="H1936" t="s">
        <v>111</v>
      </c>
      <c r="I1936">
        <v>8</v>
      </c>
      <c r="J1936" t="s">
        <v>67</v>
      </c>
      <c r="K1936">
        <v>1</v>
      </c>
      <c r="L1936" s="3">
        <v>6599</v>
      </c>
      <c r="M1936">
        <v>35</v>
      </c>
      <c r="N1936" s="3">
        <v>4290</v>
      </c>
      <c r="O1936" s="3">
        <v>4290</v>
      </c>
      <c r="P1936" t="s">
        <v>74</v>
      </c>
      <c r="Q1936" t="s">
        <v>51</v>
      </c>
      <c r="R1936" t="s">
        <v>36</v>
      </c>
      <c r="S1936" t="s">
        <v>151</v>
      </c>
      <c r="T1936" t="s">
        <v>152</v>
      </c>
      <c r="U1936" t="s">
        <v>91</v>
      </c>
      <c r="V1936" t="s">
        <v>315</v>
      </c>
      <c r="W1936">
        <v>3.4</v>
      </c>
      <c r="X1936" t="s">
        <v>41</v>
      </c>
      <c r="Y1936" t="s">
        <v>42</v>
      </c>
      <c r="Z1936">
        <v>3</v>
      </c>
    </row>
    <row r="1937" spans="1:26">
      <c r="A1937" t="s">
        <v>3086</v>
      </c>
      <c r="B1937" t="s">
        <v>1129</v>
      </c>
      <c r="C1937" t="s">
        <v>45</v>
      </c>
      <c r="D1937" t="s">
        <v>29</v>
      </c>
      <c r="E1937" s="1">
        <v>45066</v>
      </c>
      <c r="F1937" t="s">
        <v>30</v>
      </c>
      <c r="G1937" t="s">
        <v>110</v>
      </c>
      <c r="H1937" t="s">
        <v>111</v>
      </c>
      <c r="I1937">
        <v>10</v>
      </c>
      <c r="J1937" t="s">
        <v>33</v>
      </c>
      <c r="K1937">
        <v>1</v>
      </c>
      <c r="L1937" s="3">
        <v>4199</v>
      </c>
      <c r="M1937">
        <v>25</v>
      </c>
      <c r="N1937" s="3">
        <v>3150</v>
      </c>
      <c r="O1937" s="3">
        <v>3150</v>
      </c>
      <c r="P1937" t="s">
        <v>74</v>
      </c>
      <c r="Q1937" t="s">
        <v>35</v>
      </c>
      <c r="R1937" t="s">
        <v>36</v>
      </c>
      <c r="S1937" t="s">
        <v>141</v>
      </c>
      <c r="T1937" t="s">
        <v>362</v>
      </c>
      <c r="U1937" t="s">
        <v>39</v>
      </c>
      <c r="V1937" t="s">
        <v>315</v>
      </c>
      <c r="W1937">
        <v>4.5999999999999996</v>
      </c>
      <c r="X1937" t="s">
        <v>41</v>
      </c>
      <c r="Y1937" t="s">
        <v>55</v>
      </c>
      <c r="Z1937">
        <v>3</v>
      </c>
    </row>
    <row r="1938" spans="1:26">
      <c r="A1938" t="s">
        <v>3087</v>
      </c>
      <c r="B1938" t="s">
        <v>85</v>
      </c>
      <c r="C1938" t="s">
        <v>28</v>
      </c>
      <c r="D1938" t="s">
        <v>29</v>
      </c>
      <c r="E1938" s="1">
        <v>45069</v>
      </c>
      <c r="F1938" t="s">
        <v>65</v>
      </c>
      <c r="G1938" t="s">
        <v>72</v>
      </c>
      <c r="H1938" t="s">
        <v>59</v>
      </c>
      <c r="I1938">
        <v>8</v>
      </c>
      <c r="J1938" t="s">
        <v>33</v>
      </c>
      <c r="K1938">
        <v>1</v>
      </c>
      <c r="L1938" s="3">
        <v>8399</v>
      </c>
      <c r="M1938">
        <v>10</v>
      </c>
      <c r="N1938" s="3">
        <v>7560</v>
      </c>
      <c r="O1938" s="3">
        <v>7560</v>
      </c>
      <c r="P1938" t="s">
        <v>74</v>
      </c>
      <c r="Q1938" t="s">
        <v>51</v>
      </c>
      <c r="R1938" t="s">
        <v>36</v>
      </c>
      <c r="S1938" t="s">
        <v>156</v>
      </c>
      <c r="T1938" t="s">
        <v>324</v>
      </c>
      <c r="U1938" t="s">
        <v>124</v>
      </c>
      <c r="V1938" t="s">
        <v>969</v>
      </c>
      <c r="W1938">
        <v>3.8</v>
      </c>
      <c r="X1938" t="s">
        <v>41</v>
      </c>
      <c r="Y1938" t="s">
        <v>42</v>
      </c>
      <c r="Z1938">
        <v>3</v>
      </c>
    </row>
    <row r="1939" spans="1:26">
      <c r="A1939" t="s">
        <v>3088</v>
      </c>
      <c r="B1939" t="s">
        <v>353</v>
      </c>
      <c r="C1939" t="s">
        <v>45</v>
      </c>
      <c r="D1939" t="s">
        <v>46</v>
      </c>
      <c r="E1939" s="1">
        <v>45069</v>
      </c>
      <c r="F1939" t="s">
        <v>86</v>
      </c>
      <c r="G1939" t="s">
        <v>242</v>
      </c>
      <c r="H1939" t="s">
        <v>32</v>
      </c>
      <c r="I1939">
        <v>8</v>
      </c>
      <c r="J1939" t="s">
        <v>73</v>
      </c>
      <c r="K1939">
        <v>2</v>
      </c>
      <c r="L1939" s="3">
        <v>6799</v>
      </c>
      <c r="M1939">
        <v>25</v>
      </c>
      <c r="N1939" s="3">
        <v>5100</v>
      </c>
      <c r="O1939" s="3">
        <v>10200</v>
      </c>
      <c r="P1939" t="s">
        <v>74</v>
      </c>
      <c r="Q1939" t="s">
        <v>51</v>
      </c>
      <c r="R1939" t="s">
        <v>36</v>
      </c>
      <c r="S1939" t="s">
        <v>210</v>
      </c>
      <c r="T1939" t="s">
        <v>412</v>
      </c>
      <c r="U1939" t="s">
        <v>39</v>
      </c>
      <c r="V1939" t="s">
        <v>315</v>
      </c>
      <c r="W1939">
        <v>4.4000000000000004</v>
      </c>
      <c r="X1939" t="s">
        <v>41</v>
      </c>
      <c r="Y1939" t="s">
        <v>42</v>
      </c>
      <c r="Z1939">
        <v>7</v>
      </c>
    </row>
    <row r="1940" spans="1:26">
      <c r="A1940" t="s">
        <v>3089</v>
      </c>
      <c r="B1940" t="s">
        <v>2342</v>
      </c>
      <c r="C1940" t="s">
        <v>28</v>
      </c>
      <c r="D1940" t="s">
        <v>103</v>
      </c>
      <c r="E1940" s="1">
        <v>45070</v>
      </c>
      <c r="F1940" t="s">
        <v>30</v>
      </c>
      <c r="G1940" t="s">
        <v>145</v>
      </c>
      <c r="H1940" t="s">
        <v>59</v>
      </c>
      <c r="I1940">
        <v>8</v>
      </c>
      <c r="J1940" t="s">
        <v>88</v>
      </c>
      <c r="K1940">
        <v>1</v>
      </c>
      <c r="L1940" s="3">
        <v>9599</v>
      </c>
      <c r="M1940">
        <v>30</v>
      </c>
      <c r="N1940" s="3">
        <v>6720</v>
      </c>
      <c r="O1940" s="3">
        <v>6720</v>
      </c>
      <c r="P1940" t="s">
        <v>50</v>
      </c>
      <c r="Q1940" t="s">
        <v>51</v>
      </c>
      <c r="R1940" t="s">
        <v>36</v>
      </c>
      <c r="S1940" t="s">
        <v>175</v>
      </c>
      <c r="T1940" t="s">
        <v>865</v>
      </c>
      <c r="U1940" t="s">
        <v>91</v>
      </c>
      <c r="V1940" t="s">
        <v>969</v>
      </c>
      <c r="W1940">
        <v>3.9</v>
      </c>
      <c r="X1940" t="s">
        <v>41</v>
      </c>
      <c r="Y1940" t="s">
        <v>42</v>
      </c>
      <c r="Z1940">
        <v>5</v>
      </c>
    </row>
    <row r="1941" spans="1:26">
      <c r="A1941" t="s">
        <v>3090</v>
      </c>
      <c r="B1941" t="s">
        <v>1390</v>
      </c>
      <c r="C1941" t="s">
        <v>45</v>
      </c>
      <c r="D1941" t="s">
        <v>29</v>
      </c>
      <c r="E1941" s="1">
        <v>45071</v>
      </c>
      <c r="F1941" t="s">
        <v>86</v>
      </c>
      <c r="G1941" t="s">
        <v>87</v>
      </c>
      <c r="H1941" t="s">
        <v>59</v>
      </c>
      <c r="I1941">
        <v>9</v>
      </c>
      <c r="J1941" t="s">
        <v>98</v>
      </c>
      <c r="K1941">
        <v>2</v>
      </c>
      <c r="L1941" s="3">
        <v>7199</v>
      </c>
      <c r="M1941">
        <v>20</v>
      </c>
      <c r="N1941" s="3">
        <v>5760</v>
      </c>
      <c r="O1941" s="3">
        <v>11520</v>
      </c>
      <c r="P1941" t="s">
        <v>81</v>
      </c>
      <c r="Q1941" t="s">
        <v>82</v>
      </c>
      <c r="R1941" t="s">
        <v>36</v>
      </c>
      <c r="S1941" t="s">
        <v>117</v>
      </c>
      <c r="T1941" t="s">
        <v>544</v>
      </c>
      <c r="U1941" t="s">
        <v>124</v>
      </c>
      <c r="V1941" t="s">
        <v>315</v>
      </c>
      <c r="W1941">
        <v>4</v>
      </c>
      <c r="X1941" t="s">
        <v>41</v>
      </c>
      <c r="Y1941" t="s">
        <v>147</v>
      </c>
      <c r="Z1941">
        <v>1</v>
      </c>
    </row>
    <row r="1942" spans="1:26">
      <c r="A1942" t="s">
        <v>3091</v>
      </c>
      <c r="B1942" t="s">
        <v>835</v>
      </c>
      <c r="C1942" t="s">
        <v>28</v>
      </c>
      <c r="D1942" t="s">
        <v>46</v>
      </c>
      <c r="E1942" s="1">
        <v>45072</v>
      </c>
      <c r="F1942" t="s">
        <v>30</v>
      </c>
      <c r="G1942" t="s">
        <v>214</v>
      </c>
      <c r="H1942" t="s">
        <v>128</v>
      </c>
      <c r="I1942">
        <v>8</v>
      </c>
      <c r="J1942" t="s">
        <v>88</v>
      </c>
      <c r="K1942">
        <v>1</v>
      </c>
      <c r="L1942" s="3">
        <v>5699</v>
      </c>
      <c r="M1942">
        <v>15</v>
      </c>
      <c r="N1942" s="3">
        <v>4840</v>
      </c>
      <c r="O1942" s="3">
        <v>4840</v>
      </c>
      <c r="P1942" t="s">
        <v>34</v>
      </c>
      <c r="Q1942" t="s">
        <v>51</v>
      </c>
      <c r="R1942" t="s">
        <v>36</v>
      </c>
      <c r="S1942" t="s">
        <v>358</v>
      </c>
      <c r="T1942" t="s">
        <v>597</v>
      </c>
      <c r="U1942" t="s">
        <v>91</v>
      </c>
      <c r="V1942" t="s">
        <v>969</v>
      </c>
      <c r="W1942">
        <v>4.2</v>
      </c>
      <c r="X1942" t="s">
        <v>41</v>
      </c>
      <c r="Y1942" t="s">
        <v>42</v>
      </c>
      <c r="Z1942">
        <v>2</v>
      </c>
    </row>
    <row r="1943" spans="1:26">
      <c r="A1943" t="s">
        <v>3092</v>
      </c>
      <c r="B1943" t="s">
        <v>1385</v>
      </c>
      <c r="C1943" t="s">
        <v>45</v>
      </c>
      <c r="D1943" t="s">
        <v>29</v>
      </c>
      <c r="E1943" s="1">
        <v>45074</v>
      </c>
      <c r="F1943" t="s">
        <v>30</v>
      </c>
      <c r="G1943" t="s">
        <v>31</v>
      </c>
      <c r="H1943" t="s">
        <v>32</v>
      </c>
      <c r="I1943">
        <v>8</v>
      </c>
      <c r="J1943" t="s">
        <v>73</v>
      </c>
      <c r="K1943">
        <v>1</v>
      </c>
      <c r="L1943" s="3">
        <v>9599</v>
      </c>
      <c r="M1943">
        <v>20</v>
      </c>
      <c r="N1943" s="3">
        <v>7680</v>
      </c>
      <c r="O1943" s="3">
        <v>7680</v>
      </c>
      <c r="P1943" t="s">
        <v>74</v>
      </c>
      <c r="Q1943" t="s">
        <v>82</v>
      </c>
      <c r="R1943" t="s">
        <v>36</v>
      </c>
      <c r="S1943" t="s">
        <v>460</v>
      </c>
      <c r="T1943" t="s">
        <v>1868</v>
      </c>
      <c r="U1943" t="s">
        <v>124</v>
      </c>
      <c r="V1943" t="s">
        <v>315</v>
      </c>
      <c r="W1943">
        <v>4</v>
      </c>
      <c r="X1943" t="s">
        <v>62</v>
      </c>
      <c r="Y1943" t="s">
        <v>55</v>
      </c>
      <c r="Z1943">
        <v>2</v>
      </c>
    </row>
    <row r="1944" spans="1:26">
      <c r="A1944" t="s">
        <v>3093</v>
      </c>
      <c r="B1944" t="s">
        <v>1235</v>
      </c>
      <c r="C1944" t="s">
        <v>28</v>
      </c>
      <c r="D1944" t="s">
        <v>103</v>
      </c>
      <c r="E1944" s="1">
        <v>45074</v>
      </c>
      <c r="F1944" t="s">
        <v>86</v>
      </c>
      <c r="G1944" t="s">
        <v>312</v>
      </c>
      <c r="H1944" t="s">
        <v>59</v>
      </c>
      <c r="I1944">
        <v>8</v>
      </c>
      <c r="J1944" t="s">
        <v>73</v>
      </c>
      <c r="K1944">
        <v>1</v>
      </c>
      <c r="L1944" s="3">
        <v>8599</v>
      </c>
      <c r="M1944">
        <v>15</v>
      </c>
      <c r="N1944" s="3">
        <v>7310</v>
      </c>
      <c r="O1944" s="3">
        <v>7310</v>
      </c>
      <c r="P1944" t="s">
        <v>74</v>
      </c>
      <c r="Q1944" t="s">
        <v>51</v>
      </c>
      <c r="R1944" t="s">
        <v>36</v>
      </c>
      <c r="S1944" t="s">
        <v>238</v>
      </c>
      <c r="T1944" t="s">
        <v>498</v>
      </c>
      <c r="U1944" t="s">
        <v>54</v>
      </c>
      <c r="V1944" t="s">
        <v>969</v>
      </c>
      <c r="W1944">
        <v>5</v>
      </c>
      <c r="X1944" t="s">
        <v>41</v>
      </c>
      <c r="Y1944" t="s">
        <v>42</v>
      </c>
      <c r="Z1944">
        <v>6</v>
      </c>
    </row>
    <row r="1945" spans="1:26">
      <c r="A1945" t="s">
        <v>3094</v>
      </c>
      <c r="B1945" t="s">
        <v>3095</v>
      </c>
      <c r="C1945" t="s">
        <v>28</v>
      </c>
      <c r="D1945" t="s">
        <v>29</v>
      </c>
      <c r="E1945" s="1">
        <v>45074</v>
      </c>
      <c r="F1945" t="s">
        <v>30</v>
      </c>
      <c r="G1945" t="s">
        <v>214</v>
      </c>
      <c r="H1945" t="s">
        <v>128</v>
      </c>
      <c r="I1945">
        <v>10</v>
      </c>
      <c r="J1945" t="s">
        <v>150</v>
      </c>
      <c r="K1945">
        <v>1</v>
      </c>
      <c r="L1945" s="3">
        <v>3499</v>
      </c>
      <c r="M1945">
        <v>25</v>
      </c>
      <c r="N1945" s="3">
        <v>2620</v>
      </c>
      <c r="O1945" s="3">
        <v>2620</v>
      </c>
      <c r="P1945" t="s">
        <v>34</v>
      </c>
      <c r="Q1945" t="s">
        <v>51</v>
      </c>
      <c r="R1945" t="s">
        <v>36</v>
      </c>
      <c r="S1945" t="s">
        <v>160</v>
      </c>
      <c r="T1945" t="s">
        <v>161</v>
      </c>
      <c r="U1945" t="s">
        <v>61</v>
      </c>
      <c r="V1945" t="s">
        <v>40</v>
      </c>
      <c r="W1945">
        <v>4.5999999999999996</v>
      </c>
      <c r="X1945" t="s">
        <v>41</v>
      </c>
      <c r="Y1945" t="s">
        <v>42</v>
      </c>
      <c r="Z1945">
        <v>6</v>
      </c>
    </row>
    <row r="1946" spans="1:26">
      <c r="A1946" t="s">
        <v>3096</v>
      </c>
      <c r="B1946" t="s">
        <v>1107</v>
      </c>
      <c r="C1946" t="s">
        <v>45</v>
      </c>
      <c r="D1946" t="s">
        <v>46</v>
      </c>
      <c r="E1946" s="1">
        <v>45078</v>
      </c>
      <c r="F1946" t="s">
        <v>96</v>
      </c>
      <c r="G1946" t="s">
        <v>155</v>
      </c>
      <c r="H1946" t="s">
        <v>111</v>
      </c>
      <c r="I1946">
        <v>10</v>
      </c>
      <c r="J1946" t="s">
        <v>98</v>
      </c>
      <c r="K1946">
        <v>1</v>
      </c>
      <c r="L1946" s="3">
        <v>4899</v>
      </c>
      <c r="M1946">
        <v>10</v>
      </c>
      <c r="N1946" s="3">
        <v>4410</v>
      </c>
      <c r="O1946" s="3">
        <v>4410</v>
      </c>
      <c r="P1946" t="s">
        <v>74</v>
      </c>
      <c r="Q1946" t="s">
        <v>51</v>
      </c>
      <c r="R1946" t="s">
        <v>36</v>
      </c>
      <c r="S1946" t="s">
        <v>418</v>
      </c>
      <c r="T1946" t="s">
        <v>924</v>
      </c>
      <c r="U1946" t="s">
        <v>54</v>
      </c>
      <c r="V1946" t="s">
        <v>969</v>
      </c>
      <c r="W1946">
        <v>4.5999999999999996</v>
      </c>
      <c r="X1946" t="s">
        <v>41</v>
      </c>
      <c r="Y1946" t="s">
        <v>147</v>
      </c>
      <c r="Z1946">
        <v>1</v>
      </c>
    </row>
    <row r="1947" spans="1:26">
      <c r="A1947" t="s">
        <v>3097</v>
      </c>
      <c r="B1947" t="s">
        <v>1465</v>
      </c>
      <c r="C1947" t="s">
        <v>45</v>
      </c>
      <c r="D1947" t="s">
        <v>95</v>
      </c>
      <c r="E1947" s="1">
        <v>45079</v>
      </c>
      <c r="F1947" t="s">
        <v>86</v>
      </c>
      <c r="G1947" t="s">
        <v>285</v>
      </c>
      <c r="H1947" t="s">
        <v>111</v>
      </c>
      <c r="I1947">
        <v>9</v>
      </c>
      <c r="J1947" t="s">
        <v>33</v>
      </c>
      <c r="K1947">
        <v>2</v>
      </c>
      <c r="L1947" s="3">
        <v>8799</v>
      </c>
      <c r="M1947">
        <v>10</v>
      </c>
      <c r="N1947" s="3">
        <v>7920</v>
      </c>
      <c r="O1947" s="3">
        <v>15840</v>
      </c>
      <c r="P1947" t="s">
        <v>34</v>
      </c>
      <c r="Q1947" t="s">
        <v>51</v>
      </c>
      <c r="R1947" t="s">
        <v>36</v>
      </c>
      <c r="S1947" t="s">
        <v>68</v>
      </c>
      <c r="T1947" t="s">
        <v>69</v>
      </c>
      <c r="U1947" t="s">
        <v>39</v>
      </c>
      <c r="V1947" t="s">
        <v>315</v>
      </c>
      <c r="W1947">
        <v>5</v>
      </c>
      <c r="X1947" t="s">
        <v>41</v>
      </c>
      <c r="Y1947" t="s">
        <v>42</v>
      </c>
      <c r="Z1947">
        <v>2</v>
      </c>
    </row>
    <row r="1948" spans="1:26">
      <c r="A1948" t="s">
        <v>3098</v>
      </c>
      <c r="B1948" t="s">
        <v>1292</v>
      </c>
      <c r="C1948" t="s">
        <v>28</v>
      </c>
      <c r="D1948" t="s">
        <v>46</v>
      </c>
      <c r="E1948" s="1">
        <v>45079</v>
      </c>
      <c r="F1948" t="s">
        <v>65</v>
      </c>
      <c r="G1948" t="s">
        <v>365</v>
      </c>
      <c r="H1948" t="s">
        <v>49</v>
      </c>
      <c r="I1948">
        <v>6</v>
      </c>
      <c r="J1948" t="s">
        <v>98</v>
      </c>
      <c r="K1948">
        <v>1</v>
      </c>
      <c r="L1948" s="3">
        <v>5999</v>
      </c>
      <c r="M1948">
        <v>10</v>
      </c>
      <c r="N1948" s="3">
        <v>5400</v>
      </c>
      <c r="O1948" s="3">
        <v>5400</v>
      </c>
      <c r="P1948" t="s">
        <v>74</v>
      </c>
      <c r="Q1948" t="s">
        <v>82</v>
      </c>
      <c r="R1948" t="s">
        <v>36</v>
      </c>
      <c r="S1948" t="s">
        <v>117</v>
      </c>
      <c r="T1948" t="s">
        <v>118</v>
      </c>
      <c r="U1948" t="s">
        <v>39</v>
      </c>
      <c r="V1948" t="s">
        <v>969</v>
      </c>
      <c r="W1948">
        <v>4.9000000000000004</v>
      </c>
      <c r="X1948" t="s">
        <v>41</v>
      </c>
      <c r="Y1948" t="s">
        <v>42</v>
      </c>
      <c r="Z1948">
        <v>3</v>
      </c>
    </row>
    <row r="1949" spans="1:26">
      <c r="A1949" t="s">
        <v>3099</v>
      </c>
      <c r="B1949" t="s">
        <v>2167</v>
      </c>
      <c r="C1949" t="s">
        <v>45</v>
      </c>
      <c r="D1949" t="s">
        <v>46</v>
      </c>
      <c r="E1949" s="1">
        <v>45079</v>
      </c>
      <c r="F1949" t="s">
        <v>47</v>
      </c>
      <c r="G1949" t="s">
        <v>402</v>
      </c>
      <c r="H1949" t="s">
        <v>32</v>
      </c>
      <c r="I1949">
        <v>7</v>
      </c>
      <c r="J1949" t="s">
        <v>73</v>
      </c>
      <c r="K1949">
        <v>1</v>
      </c>
      <c r="L1949" s="3">
        <v>5999</v>
      </c>
      <c r="M1949">
        <v>35</v>
      </c>
      <c r="N1949" s="3">
        <v>3900</v>
      </c>
      <c r="O1949" s="3">
        <v>3900</v>
      </c>
      <c r="P1949" t="s">
        <v>34</v>
      </c>
      <c r="Q1949" t="s">
        <v>82</v>
      </c>
      <c r="R1949" t="s">
        <v>36</v>
      </c>
      <c r="S1949" t="s">
        <v>354</v>
      </c>
      <c r="T1949" t="s">
        <v>434</v>
      </c>
      <c r="U1949" t="s">
        <v>39</v>
      </c>
      <c r="V1949" t="s">
        <v>315</v>
      </c>
      <c r="W1949">
        <v>4.8</v>
      </c>
      <c r="X1949" t="s">
        <v>41</v>
      </c>
      <c r="Y1949" t="s">
        <v>42</v>
      </c>
      <c r="Z1949">
        <v>5</v>
      </c>
    </row>
    <row r="1950" spans="1:26">
      <c r="A1950" t="s">
        <v>3100</v>
      </c>
      <c r="B1950" t="s">
        <v>2850</v>
      </c>
      <c r="C1950" t="s">
        <v>28</v>
      </c>
      <c r="D1950" t="s">
        <v>29</v>
      </c>
      <c r="E1950" s="1">
        <v>45080</v>
      </c>
      <c r="F1950" t="s">
        <v>30</v>
      </c>
      <c r="G1950" t="s">
        <v>58</v>
      </c>
      <c r="H1950" t="s">
        <v>59</v>
      </c>
      <c r="I1950">
        <v>12</v>
      </c>
      <c r="J1950" t="s">
        <v>67</v>
      </c>
      <c r="K1950">
        <v>1</v>
      </c>
      <c r="L1950" s="3">
        <v>4799</v>
      </c>
      <c r="M1950">
        <v>15</v>
      </c>
      <c r="N1950" s="3">
        <v>4080</v>
      </c>
      <c r="O1950" s="3">
        <v>4080</v>
      </c>
      <c r="P1950" t="s">
        <v>34</v>
      </c>
      <c r="Q1950" t="s">
        <v>35</v>
      </c>
      <c r="R1950" t="s">
        <v>36</v>
      </c>
      <c r="S1950" t="s">
        <v>112</v>
      </c>
      <c r="T1950" t="s">
        <v>133</v>
      </c>
      <c r="U1950" t="s">
        <v>54</v>
      </c>
      <c r="V1950" t="s">
        <v>315</v>
      </c>
      <c r="W1950">
        <v>3.9</v>
      </c>
      <c r="X1950" t="s">
        <v>62</v>
      </c>
      <c r="Y1950" t="s">
        <v>42</v>
      </c>
      <c r="Z1950">
        <v>2</v>
      </c>
    </row>
    <row r="1951" spans="1:26">
      <c r="A1951" t="s">
        <v>3101</v>
      </c>
      <c r="B1951" t="s">
        <v>1281</v>
      </c>
      <c r="C1951" t="s">
        <v>45</v>
      </c>
      <c r="D1951" t="s">
        <v>103</v>
      </c>
      <c r="E1951" s="1">
        <v>45080</v>
      </c>
      <c r="F1951" t="s">
        <v>65</v>
      </c>
      <c r="G1951" t="s">
        <v>365</v>
      </c>
      <c r="H1951" t="s">
        <v>49</v>
      </c>
      <c r="I1951">
        <v>8</v>
      </c>
      <c r="J1951" t="s">
        <v>73</v>
      </c>
      <c r="K1951">
        <v>1</v>
      </c>
      <c r="L1951" s="3">
        <v>7499</v>
      </c>
      <c r="M1951">
        <v>10</v>
      </c>
      <c r="N1951" s="3">
        <v>6750</v>
      </c>
      <c r="O1951" s="3">
        <v>6750</v>
      </c>
      <c r="P1951" t="s">
        <v>74</v>
      </c>
      <c r="Q1951" t="s">
        <v>82</v>
      </c>
      <c r="R1951" t="s">
        <v>36</v>
      </c>
      <c r="S1951" t="s">
        <v>238</v>
      </c>
      <c r="T1951" t="s">
        <v>498</v>
      </c>
      <c r="U1951" t="s">
        <v>91</v>
      </c>
      <c r="V1951" t="s">
        <v>315</v>
      </c>
      <c r="W1951">
        <v>3.6</v>
      </c>
      <c r="X1951" t="s">
        <v>106</v>
      </c>
      <c r="Y1951" t="s">
        <v>55</v>
      </c>
      <c r="Z1951">
        <v>3</v>
      </c>
    </row>
    <row r="1952" spans="1:26">
      <c r="A1952" t="s">
        <v>3102</v>
      </c>
      <c r="B1952" t="s">
        <v>1172</v>
      </c>
      <c r="C1952" t="s">
        <v>94</v>
      </c>
      <c r="D1952" t="s">
        <v>46</v>
      </c>
      <c r="E1952" s="1">
        <v>45081</v>
      </c>
      <c r="F1952" t="s">
        <v>65</v>
      </c>
      <c r="G1952" t="s">
        <v>256</v>
      </c>
      <c r="H1952" t="s">
        <v>32</v>
      </c>
      <c r="I1952">
        <v>8</v>
      </c>
      <c r="J1952" t="s">
        <v>73</v>
      </c>
      <c r="K1952">
        <v>1</v>
      </c>
      <c r="L1952" s="3">
        <v>7899</v>
      </c>
      <c r="M1952">
        <v>10</v>
      </c>
      <c r="N1952" s="3">
        <v>7110</v>
      </c>
      <c r="O1952" s="3">
        <v>7110</v>
      </c>
      <c r="P1952" t="s">
        <v>74</v>
      </c>
      <c r="Q1952" t="s">
        <v>82</v>
      </c>
      <c r="R1952" t="s">
        <v>36</v>
      </c>
      <c r="S1952" t="s">
        <v>160</v>
      </c>
      <c r="T1952" t="s">
        <v>160</v>
      </c>
      <c r="U1952" t="s">
        <v>54</v>
      </c>
      <c r="V1952" t="s">
        <v>315</v>
      </c>
      <c r="W1952">
        <v>4.4000000000000004</v>
      </c>
      <c r="X1952" t="s">
        <v>41</v>
      </c>
      <c r="Y1952" t="s">
        <v>42</v>
      </c>
      <c r="Z1952">
        <v>2</v>
      </c>
    </row>
    <row r="1953" spans="1:26">
      <c r="A1953" t="s">
        <v>3103</v>
      </c>
      <c r="B1953" t="s">
        <v>3084</v>
      </c>
      <c r="C1953" t="s">
        <v>28</v>
      </c>
      <c r="D1953" t="s">
        <v>95</v>
      </c>
      <c r="E1953" s="1">
        <v>45081</v>
      </c>
      <c r="F1953" t="s">
        <v>96</v>
      </c>
      <c r="G1953" t="s">
        <v>155</v>
      </c>
      <c r="H1953" t="s">
        <v>111</v>
      </c>
      <c r="I1953">
        <v>9</v>
      </c>
      <c r="J1953" t="s">
        <v>98</v>
      </c>
      <c r="K1953">
        <v>1</v>
      </c>
      <c r="L1953" s="3">
        <v>6899</v>
      </c>
      <c r="M1953">
        <v>15</v>
      </c>
      <c r="N1953" s="3">
        <v>5860</v>
      </c>
      <c r="O1953" s="3">
        <v>5860</v>
      </c>
      <c r="P1953" t="s">
        <v>34</v>
      </c>
      <c r="Q1953" t="s">
        <v>82</v>
      </c>
      <c r="R1953" t="s">
        <v>36</v>
      </c>
      <c r="S1953" t="s">
        <v>104</v>
      </c>
      <c r="T1953" t="s">
        <v>1048</v>
      </c>
      <c r="U1953" t="s">
        <v>124</v>
      </c>
      <c r="V1953" t="s">
        <v>315</v>
      </c>
      <c r="W1953">
        <v>3.5</v>
      </c>
      <c r="X1953" t="s">
        <v>41</v>
      </c>
      <c r="Y1953" t="s">
        <v>42</v>
      </c>
      <c r="Z1953">
        <v>2</v>
      </c>
    </row>
    <row r="1954" spans="1:26">
      <c r="A1954" t="s">
        <v>3104</v>
      </c>
      <c r="B1954" t="s">
        <v>317</v>
      </c>
      <c r="C1954" t="s">
        <v>45</v>
      </c>
      <c r="D1954" t="s">
        <v>29</v>
      </c>
      <c r="E1954" s="1">
        <v>45083</v>
      </c>
      <c r="F1954" t="s">
        <v>86</v>
      </c>
      <c r="G1954" t="s">
        <v>285</v>
      </c>
      <c r="H1954" t="s">
        <v>111</v>
      </c>
      <c r="I1954">
        <v>8</v>
      </c>
      <c r="J1954" t="s">
        <v>67</v>
      </c>
      <c r="K1954">
        <v>1</v>
      </c>
      <c r="L1954" s="3">
        <v>6499</v>
      </c>
      <c r="M1954">
        <v>5</v>
      </c>
      <c r="N1954" s="3">
        <v>6170</v>
      </c>
      <c r="O1954" s="3">
        <v>6170</v>
      </c>
      <c r="P1954" t="s">
        <v>34</v>
      </c>
      <c r="Q1954" t="s">
        <v>82</v>
      </c>
      <c r="R1954" t="s">
        <v>36</v>
      </c>
      <c r="S1954" t="s">
        <v>286</v>
      </c>
      <c r="T1954" t="s">
        <v>366</v>
      </c>
      <c r="U1954" t="s">
        <v>54</v>
      </c>
      <c r="V1954" t="s">
        <v>969</v>
      </c>
      <c r="W1954">
        <v>4.4000000000000004</v>
      </c>
      <c r="X1954" t="s">
        <v>41</v>
      </c>
      <c r="Y1954" t="s">
        <v>42</v>
      </c>
      <c r="Z1954">
        <v>6</v>
      </c>
    </row>
    <row r="1955" spans="1:26">
      <c r="A1955" t="s">
        <v>3105</v>
      </c>
      <c r="B1955" t="s">
        <v>2970</v>
      </c>
      <c r="C1955" t="s">
        <v>45</v>
      </c>
      <c r="D1955" t="s">
        <v>95</v>
      </c>
      <c r="E1955" s="1">
        <v>45086</v>
      </c>
      <c r="F1955" t="s">
        <v>79</v>
      </c>
      <c r="G1955" t="s">
        <v>127</v>
      </c>
      <c r="H1955" t="s">
        <v>128</v>
      </c>
      <c r="I1955">
        <v>10</v>
      </c>
      <c r="J1955" t="s">
        <v>67</v>
      </c>
      <c r="K1955">
        <v>2</v>
      </c>
      <c r="L1955" s="3">
        <v>4799</v>
      </c>
      <c r="M1955">
        <v>20</v>
      </c>
      <c r="N1955" s="3">
        <v>3840</v>
      </c>
      <c r="O1955" s="3">
        <v>7680</v>
      </c>
      <c r="P1955" t="s">
        <v>74</v>
      </c>
      <c r="Q1955" t="s">
        <v>82</v>
      </c>
      <c r="R1955" t="s">
        <v>36</v>
      </c>
      <c r="S1955" t="s">
        <v>141</v>
      </c>
      <c r="T1955" t="s">
        <v>142</v>
      </c>
      <c r="U1955" t="s">
        <v>91</v>
      </c>
      <c r="V1955" t="s">
        <v>315</v>
      </c>
      <c r="W1955">
        <v>3.2</v>
      </c>
      <c r="X1955" t="s">
        <v>41</v>
      </c>
      <c r="Y1955" t="s">
        <v>42</v>
      </c>
      <c r="Z1955">
        <v>4</v>
      </c>
    </row>
    <row r="1956" spans="1:26">
      <c r="A1956" t="s">
        <v>3106</v>
      </c>
      <c r="B1956" t="s">
        <v>590</v>
      </c>
      <c r="C1956" t="s">
        <v>28</v>
      </c>
      <c r="D1956" t="s">
        <v>103</v>
      </c>
      <c r="E1956" s="1">
        <v>45088</v>
      </c>
      <c r="F1956" t="s">
        <v>96</v>
      </c>
      <c r="G1956" t="s">
        <v>97</v>
      </c>
      <c r="H1956" t="s">
        <v>49</v>
      </c>
      <c r="I1956">
        <v>10</v>
      </c>
      <c r="J1956" t="s">
        <v>73</v>
      </c>
      <c r="K1956">
        <v>2</v>
      </c>
      <c r="L1956" s="3">
        <v>9199</v>
      </c>
      <c r="M1956">
        <v>10</v>
      </c>
      <c r="N1956" s="3">
        <v>8280</v>
      </c>
      <c r="O1956" s="3">
        <v>16560</v>
      </c>
      <c r="P1956" t="s">
        <v>74</v>
      </c>
      <c r="Q1956" t="s">
        <v>51</v>
      </c>
      <c r="R1956" t="s">
        <v>36</v>
      </c>
      <c r="S1956" t="s">
        <v>156</v>
      </c>
      <c r="T1956" t="s">
        <v>324</v>
      </c>
      <c r="U1956" t="s">
        <v>54</v>
      </c>
      <c r="V1956" t="s">
        <v>315</v>
      </c>
      <c r="W1956">
        <v>3.3</v>
      </c>
      <c r="X1956" t="s">
        <v>62</v>
      </c>
      <c r="Y1956" t="s">
        <v>42</v>
      </c>
      <c r="Z1956">
        <v>5</v>
      </c>
    </row>
    <row r="1957" spans="1:26">
      <c r="A1957" t="s">
        <v>3107</v>
      </c>
      <c r="B1957" t="s">
        <v>376</v>
      </c>
      <c r="C1957" t="s">
        <v>45</v>
      </c>
      <c r="D1957" t="s">
        <v>109</v>
      </c>
      <c r="E1957" s="1">
        <v>45088</v>
      </c>
      <c r="F1957" t="s">
        <v>86</v>
      </c>
      <c r="G1957" t="s">
        <v>312</v>
      </c>
      <c r="H1957" t="s">
        <v>59</v>
      </c>
      <c r="I1957">
        <v>11</v>
      </c>
      <c r="J1957" t="s">
        <v>98</v>
      </c>
      <c r="K1957">
        <v>3</v>
      </c>
      <c r="L1957" s="3">
        <v>6199</v>
      </c>
      <c r="M1957">
        <v>5</v>
      </c>
      <c r="N1957" s="3">
        <v>5890</v>
      </c>
      <c r="O1957" s="3">
        <v>17670</v>
      </c>
      <c r="P1957" t="s">
        <v>34</v>
      </c>
      <c r="Q1957" t="s">
        <v>82</v>
      </c>
      <c r="R1957" t="s">
        <v>36</v>
      </c>
      <c r="S1957" t="s">
        <v>37</v>
      </c>
      <c r="T1957" t="s">
        <v>38</v>
      </c>
      <c r="U1957" t="s">
        <v>61</v>
      </c>
      <c r="V1957" t="s">
        <v>969</v>
      </c>
      <c r="W1957">
        <v>4.0999999999999996</v>
      </c>
      <c r="X1957" t="s">
        <v>41</v>
      </c>
      <c r="Y1957" t="s">
        <v>42</v>
      </c>
      <c r="Z1957">
        <v>3</v>
      </c>
    </row>
    <row r="1958" spans="1:26">
      <c r="A1958" t="s">
        <v>3108</v>
      </c>
      <c r="B1958" t="s">
        <v>433</v>
      </c>
      <c r="C1958" t="s">
        <v>45</v>
      </c>
      <c r="D1958" t="s">
        <v>29</v>
      </c>
      <c r="E1958" s="1">
        <v>45088</v>
      </c>
      <c r="F1958" t="s">
        <v>65</v>
      </c>
      <c r="G1958" t="s">
        <v>256</v>
      </c>
      <c r="H1958" t="s">
        <v>32</v>
      </c>
      <c r="I1958">
        <v>12</v>
      </c>
      <c r="J1958" t="s">
        <v>67</v>
      </c>
      <c r="K1958">
        <v>1</v>
      </c>
      <c r="L1958" s="3">
        <v>7299</v>
      </c>
      <c r="M1958">
        <v>10</v>
      </c>
      <c r="N1958" s="3">
        <v>6570</v>
      </c>
      <c r="O1958" s="3">
        <v>6570</v>
      </c>
      <c r="P1958" t="s">
        <v>34</v>
      </c>
      <c r="Q1958" t="s">
        <v>82</v>
      </c>
      <c r="R1958" t="s">
        <v>36</v>
      </c>
      <c r="S1958" t="s">
        <v>243</v>
      </c>
      <c r="T1958" t="s">
        <v>244</v>
      </c>
      <c r="U1958" t="s">
        <v>124</v>
      </c>
      <c r="V1958" t="s">
        <v>969</v>
      </c>
      <c r="W1958">
        <v>3.9</v>
      </c>
      <c r="X1958" t="s">
        <v>106</v>
      </c>
      <c r="Y1958" t="s">
        <v>147</v>
      </c>
      <c r="Z1958">
        <v>1</v>
      </c>
    </row>
    <row r="1959" spans="1:26">
      <c r="A1959" t="s">
        <v>3109</v>
      </c>
      <c r="B1959" t="s">
        <v>1433</v>
      </c>
      <c r="C1959" t="s">
        <v>45</v>
      </c>
      <c r="D1959" t="s">
        <v>29</v>
      </c>
      <c r="E1959" s="1">
        <v>45089</v>
      </c>
      <c r="F1959" t="s">
        <v>47</v>
      </c>
      <c r="G1959" t="s">
        <v>402</v>
      </c>
      <c r="H1959" t="s">
        <v>32</v>
      </c>
      <c r="I1959">
        <v>10</v>
      </c>
      <c r="J1959" t="s">
        <v>88</v>
      </c>
      <c r="K1959">
        <v>1</v>
      </c>
      <c r="L1959" s="3">
        <v>8999</v>
      </c>
      <c r="M1959">
        <v>10</v>
      </c>
      <c r="N1959" s="3">
        <v>8100</v>
      </c>
      <c r="O1959" s="3">
        <v>8100</v>
      </c>
      <c r="P1959" t="s">
        <v>74</v>
      </c>
      <c r="Q1959" t="s">
        <v>51</v>
      </c>
      <c r="R1959" t="s">
        <v>36</v>
      </c>
      <c r="S1959" t="s">
        <v>418</v>
      </c>
      <c r="T1959" t="s">
        <v>419</v>
      </c>
      <c r="U1959" t="s">
        <v>124</v>
      </c>
      <c r="V1959" t="s">
        <v>315</v>
      </c>
      <c r="W1959">
        <v>4.0999999999999996</v>
      </c>
      <c r="X1959" t="s">
        <v>41</v>
      </c>
      <c r="Y1959" t="s">
        <v>42</v>
      </c>
      <c r="Z1959">
        <v>6</v>
      </c>
    </row>
    <row r="1960" spans="1:26">
      <c r="A1960" t="s">
        <v>3110</v>
      </c>
      <c r="B1960" t="s">
        <v>2037</v>
      </c>
      <c r="C1960" t="s">
        <v>28</v>
      </c>
      <c r="D1960" t="s">
        <v>103</v>
      </c>
      <c r="E1960" s="1">
        <v>45093</v>
      </c>
      <c r="F1960" t="s">
        <v>47</v>
      </c>
      <c r="G1960" t="s">
        <v>121</v>
      </c>
      <c r="H1960" t="s">
        <v>111</v>
      </c>
      <c r="I1960">
        <v>8</v>
      </c>
      <c r="J1960" t="s">
        <v>67</v>
      </c>
      <c r="K1960">
        <v>3</v>
      </c>
      <c r="L1960" s="3">
        <v>6499</v>
      </c>
      <c r="M1960">
        <v>20</v>
      </c>
      <c r="N1960" s="3">
        <v>5200</v>
      </c>
      <c r="O1960" s="3">
        <v>15600</v>
      </c>
      <c r="P1960" t="s">
        <v>74</v>
      </c>
      <c r="Q1960" t="s">
        <v>51</v>
      </c>
      <c r="R1960" t="s">
        <v>36</v>
      </c>
      <c r="S1960" t="s">
        <v>122</v>
      </c>
      <c r="T1960" t="s">
        <v>123</v>
      </c>
      <c r="U1960" t="s">
        <v>124</v>
      </c>
      <c r="V1960" t="s">
        <v>315</v>
      </c>
      <c r="W1960">
        <v>4.2</v>
      </c>
      <c r="X1960" t="s">
        <v>41</v>
      </c>
      <c r="Y1960" t="s">
        <v>55</v>
      </c>
      <c r="Z1960">
        <v>2</v>
      </c>
    </row>
    <row r="1961" spans="1:26">
      <c r="A1961" t="s">
        <v>3111</v>
      </c>
      <c r="B1961" t="s">
        <v>1973</v>
      </c>
      <c r="C1961" t="s">
        <v>94</v>
      </c>
      <c r="D1961" t="s">
        <v>46</v>
      </c>
      <c r="E1961" s="1">
        <v>45097</v>
      </c>
      <c r="F1961" t="s">
        <v>96</v>
      </c>
      <c r="G1961" t="s">
        <v>290</v>
      </c>
      <c r="H1961" t="s">
        <v>32</v>
      </c>
      <c r="I1961">
        <v>10</v>
      </c>
      <c r="J1961" t="s">
        <v>150</v>
      </c>
      <c r="K1961">
        <v>2</v>
      </c>
      <c r="L1961" s="3">
        <v>7899</v>
      </c>
      <c r="M1961">
        <v>20</v>
      </c>
      <c r="N1961" s="3">
        <v>6320</v>
      </c>
      <c r="O1961" s="3">
        <v>12640</v>
      </c>
      <c r="P1961" t="s">
        <v>74</v>
      </c>
      <c r="Q1961" t="s">
        <v>51</v>
      </c>
      <c r="R1961" t="s">
        <v>36</v>
      </c>
      <c r="S1961" t="s">
        <v>243</v>
      </c>
      <c r="T1961" t="s">
        <v>276</v>
      </c>
      <c r="U1961" t="s">
        <v>39</v>
      </c>
      <c r="V1961" t="s">
        <v>315</v>
      </c>
      <c r="W1961">
        <v>5</v>
      </c>
      <c r="X1961" t="s">
        <v>41</v>
      </c>
      <c r="Y1961" t="s">
        <v>42</v>
      </c>
      <c r="Z1961">
        <v>6</v>
      </c>
    </row>
    <row r="1962" spans="1:26">
      <c r="A1962" t="s">
        <v>3112</v>
      </c>
      <c r="B1962" t="s">
        <v>1988</v>
      </c>
      <c r="C1962" t="s">
        <v>45</v>
      </c>
      <c r="D1962" t="s">
        <v>109</v>
      </c>
      <c r="E1962" s="1">
        <v>45097</v>
      </c>
      <c r="F1962" t="s">
        <v>79</v>
      </c>
      <c r="G1962" t="s">
        <v>517</v>
      </c>
      <c r="H1962" t="s">
        <v>59</v>
      </c>
      <c r="I1962">
        <v>12</v>
      </c>
      <c r="J1962" t="s">
        <v>67</v>
      </c>
      <c r="K1962">
        <v>1</v>
      </c>
      <c r="L1962" s="3">
        <v>3599</v>
      </c>
      <c r="M1962">
        <v>30</v>
      </c>
      <c r="N1962" s="3">
        <v>2520</v>
      </c>
      <c r="O1962" s="3">
        <v>2520</v>
      </c>
      <c r="P1962" t="s">
        <v>74</v>
      </c>
      <c r="Q1962" t="s">
        <v>82</v>
      </c>
      <c r="R1962" t="s">
        <v>36</v>
      </c>
      <c r="S1962" t="s">
        <v>210</v>
      </c>
      <c r="T1962" t="s">
        <v>415</v>
      </c>
      <c r="U1962" t="s">
        <v>91</v>
      </c>
      <c r="V1962" t="s">
        <v>315</v>
      </c>
      <c r="W1962">
        <v>4.5</v>
      </c>
      <c r="X1962" t="s">
        <v>41</v>
      </c>
      <c r="Y1962" t="s">
        <v>42</v>
      </c>
      <c r="Z1962">
        <v>6</v>
      </c>
    </row>
    <row r="1963" spans="1:26">
      <c r="A1963" t="s">
        <v>3113</v>
      </c>
      <c r="B1963" t="s">
        <v>1090</v>
      </c>
      <c r="C1963" t="s">
        <v>28</v>
      </c>
      <c r="D1963" t="s">
        <v>46</v>
      </c>
      <c r="E1963" s="1">
        <v>45098</v>
      </c>
      <c r="F1963" t="s">
        <v>96</v>
      </c>
      <c r="G1963" t="s">
        <v>228</v>
      </c>
      <c r="H1963" t="s">
        <v>59</v>
      </c>
      <c r="I1963">
        <v>7</v>
      </c>
      <c r="J1963" t="s">
        <v>98</v>
      </c>
      <c r="K1963">
        <v>1</v>
      </c>
      <c r="L1963" s="3">
        <v>9999</v>
      </c>
      <c r="M1963">
        <v>25</v>
      </c>
      <c r="N1963" s="3">
        <v>7500</v>
      </c>
      <c r="O1963" s="3">
        <v>7500</v>
      </c>
      <c r="P1963" t="s">
        <v>74</v>
      </c>
      <c r="Q1963" t="s">
        <v>35</v>
      </c>
      <c r="R1963" t="s">
        <v>36</v>
      </c>
      <c r="S1963" t="s">
        <v>286</v>
      </c>
      <c r="T1963" t="s">
        <v>366</v>
      </c>
      <c r="U1963" t="s">
        <v>39</v>
      </c>
      <c r="V1963" t="s">
        <v>315</v>
      </c>
      <c r="W1963">
        <v>4.0999999999999996</v>
      </c>
      <c r="X1963" t="s">
        <v>62</v>
      </c>
      <c r="Y1963" t="s">
        <v>42</v>
      </c>
      <c r="Z1963">
        <v>3</v>
      </c>
    </row>
    <row r="1964" spans="1:26">
      <c r="A1964" t="s">
        <v>3114</v>
      </c>
      <c r="B1964" t="s">
        <v>601</v>
      </c>
      <c r="C1964" t="s">
        <v>94</v>
      </c>
      <c r="D1964" t="s">
        <v>29</v>
      </c>
      <c r="E1964" s="1">
        <v>45099</v>
      </c>
      <c r="F1964" t="s">
        <v>47</v>
      </c>
      <c r="G1964" t="s">
        <v>121</v>
      </c>
      <c r="H1964" t="s">
        <v>111</v>
      </c>
      <c r="I1964">
        <v>8</v>
      </c>
      <c r="J1964" t="s">
        <v>33</v>
      </c>
      <c r="K1964">
        <v>1</v>
      </c>
      <c r="L1964" s="3">
        <v>6399</v>
      </c>
      <c r="M1964">
        <v>30</v>
      </c>
      <c r="N1964" s="3">
        <v>4480</v>
      </c>
      <c r="O1964" s="3">
        <v>4480</v>
      </c>
      <c r="P1964" t="s">
        <v>74</v>
      </c>
      <c r="Q1964" t="s">
        <v>51</v>
      </c>
      <c r="R1964" t="s">
        <v>36</v>
      </c>
      <c r="S1964" t="s">
        <v>175</v>
      </c>
      <c r="T1964" t="s">
        <v>495</v>
      </c>
      <c r="U1964" t="s">
        <v>54</v>
      </c>
      <c r="V1964" t="s">
        <v>315</v>
      </c>
      <c r="W1964">
        <v>3.7</v>
      </c>
      <c r="X1964" t="s">
        <v>41</v>
      </c>
      <c r="Y1964" t="s">
        <v>42</v>
      </c>
      <c r="Z1964">
        <v>6</v>
      </c>
    </row>
    <row r="1965" spans="1:26">
      <c r="A1965" t="s">
        <v>3115</v>
      </c>
      <c r="B1965" t="s">
        <v>987</v>
      </c>
      <c r="C1965" t="s">
        <v>28</v>
      </c>
      <c r="D1965" t="s">
        <v>103</v>
      </c>
      <c r="E1965" s="1">
        <v>45099</v>
      </c>
      <c r="F1965" t="s">
        <v>30</v>
      </c>
      <c r="G1965" t="s">
        <v>214</v>
      </c>
      <c r="H1965" t="s">
        <v>128</v>
      </c>
      <c r="I1965">
        <v>7</v>
      </c>
      <c r="J1965" t="s">
        <v>88</v>
      </c>
      <c r="K1965">
        <v>1</v>
      </c>
      <c r="L1965" s="3">
        <v>5799</v>
      </c>
      <c r="M1965">
        <v>5</v>
      </c>
      <c r="N1965" s="3">
        <v>5510</v>
      </c>
      <c r="O1965" s="3">
        <v>5510</v>
      </c>
      <c r="P1965" t="s">
        <v>74</v>
      </c>
      <c r="Q1965" t="s">
        <v>82</v>
      </c>
      <c r="R1965" t="s">
        <v>36</v>
      </c>
      <c r="S1965" t="s">
        <v>269</v>
      </c>
      <c r="T1965" t="s">
        <v>575</v>
      </c>
      <c r="U1965" t="s">
        <v>39</v>
      </c>
      <c r="V1965" t="s">
        <v>315</v>
      </c>
      <c r="W1965">
        <v>3.8</v>
      </c>
      <c r="X1965" t="s">
        <v>41</v>
      </c>
      <c r="Y1965" t="s">
        <v>42</v>
      </c>
      <c r="Z1965">
        <v>3</v>
      </c>
    </row>
    <row r="1966" spans="1:26">
      <c r="A1966" t="s">
        <v>3116</v>
      </c>
      <c r="B1966" t="s">
        <v>1505</v>
      </c>
      <c r="C1966" t="s">
        <v>45</v>
      </c>
      <c r="D1966" t="s">
        <v>46</v>
      </c>
      <c r="E1966" s="1">
        <v>45100</v>
      </c>
      <c r="F1966" t="s">
        <v>96</v>
      </c>
      <c r="G1966" t="s">
        <v>155</v>
      </c>
      <c r="H1966" t="s">
        <v>111</v>
      </c>
      <c r="I1966">
        <v>11</v>
      </c>
      <c r="J1966" t="s">
        <v>67</v>
      </c>
      <c r="K1966">
        <v>1</v>
      </c>
      <c r="L1966" s="3">
        <v>6599</v>
      </c>
      <c r="M1966">
        <v>15</v>
      </c>
      <c r="N1966" s="3">
        <v>5610</v>
      </c>
      <c r="O1966" s="3">
        <v>5610</v>
      </c>
      <c r="P1966" t="s">
        <v>34</v>
      </c>
      <c r="Q1966" t="s">
        <v>51</v>
      </c>
      <c r="R1966" t="s">
        <v>36</v>
      </c>
      <c r="S1966" t="s">
        <v>286</v>
      </c>
      <c r="T1966" t="s">
        <v>287</v>
      </c>
      <c r="U1966" t="s">
        <v>39</v>
      </c>
      <c r="V1966" t="s">
        <v>315</v>
      </c>
      <c r="W1966">
        <v>3.7</v>
      </c>
      <c r="X1966" t="s">
        <v>41</v>
      </c>
      <c r="Y1966" t="s">
        <v>42</v>
      </c>
      <c r="Z1966">
        <v>2</v>
      </c>
    </row>
    <row r="1967" spans="1:26">
      <c r="A1967" t="s">
        <v>3117</v>
      </c>
      <c r="B1967" t="s">
        <v>1036</v>
      </c>
      <c r="C1967" t="s">
        <v>28</v>
      </c>
      <c r="D1967" t="s">
        <v>46</v>
      </c>
      <c r="E1967" s="1">
        <v>45101</v>
      </c>
      <c r="F1967" t="s">
        <v>86</v>
      </c>
      <c r="G1967" t="s">
        <v>312</v>
      </c>
      <c r="H1967" t="s">
        <v>59</v>
      </c>
      <c r="I1967">
        <v>6</v>
      </c>
      <c r="J1967" t="s">
        <v>150</v>
      </c>
      <c r="K1967">
        <v>2</v>
      </c>
      <c r="L1967" s="3">
        <v>8199</v>
      </c>
      <c r="M1967">
        <v>20</v>
      </c>
      <c r="N1967" s="3">
        <v>6560</v>
      </c>
      <c r="O1967" s="3">
        <v>13120</v>
      </c>
      <c r="P1967" t="s">
        <v>74</v>
      </c>
      <c r="Q1967" t="s">
        <v>51</v>
      </c>
      <c r="R1967" t="s">
        <v>36</v>
      </c>
      <c r="S1967" t="s">
        <v>269</v>
      </c>
      <c r="T1967" t="s">
        <v>575</v>
      </c>
      <c r="U1967" t="s">
        <v>54</v>
      </c>
      <c r="V1967" t="s">
        <v>969</v>
      </c>
      <c r="W1967">
        <v>3.5</v>
      </c>
      <c r="X1967" t="s">
        <v>41</v>
      </c>
      <c r="Y1967" t="s">
        <v>42</v>
      </c>
      <c r="Z1967">
        <v>7</v>
      </c>
    </row>
    <row r="1968" spans="1:26">
      <c r="A1968" t="s">
        <v>3118</v>
      </c>
      <c r="B1968" t="s">
        <v>1088</v>
      </c>
      <c r="C1968" t="s">
        <v>45</v>
      </c>
      <c r="D1968" t="s">
        <v>103</v>
      </c>
      <c r="E1968" s="1">
        <v>45102</v>
      </c>
      <c r="F1968" t="s">
        <v>86</v>
      </c>
      <c r="G1968" t="s">
        <v>190</v>
      </c>
      <c r="H1968" t="s">
        <v>128</v>
      </c>
      <c r="I1968">
        <v>12</v>
      </c>
      <c r="J1968" t="s">
        <v>73</v>
      </c>
      <c r="K1968">
        <v>2</v>
      </c>
      <c r="L1968" s="3">
        <v>7199</v>
      </c>
      <c r="M1968">
        <v>30</v>
      </c>
      <c r="N1968" s="3">
        <v>5040</v>
      </c>
      <c r="O1968" s="3">
        <v>10080</v>
      </c>
      <c r="P1968" t="s">
        <v>74</v>
      </c>
      <c r="Q1968" t="s">
        <v>51</v>
      </c>
      <c r="R1968" t="s">
        <v>36</v>
      </c>
      <c r="S1968" t="s">
        <v>269</v>
      </c>
      <c r="T1968" t="s">
        <v>270</v>
      </c>
      <c r="U1968" t="s">
        <v>39</v>
      </c>
      <c r="V1968" t="s">
        <v>315</v>
      </c>
      <c r="W1968">
        <v>5</v>
      </c>
      <c r="X1968" t="s">
        <v>41</v>
      </c>
      <c r="Y1968" t="s">
        <v>147</v>
      </c>
      <c r="Z1968">
        <v>1</v>
      </c>
    </row>
    <row r="1969" spans="1:26">
      <c r="A1969" t="s">
        <v>3119</v>
      </c>
      <c r="B1969" t="s">
        <v>552</v>
      </c>
      <c r="C1969" t="s">
        <v>28</v>
      </c>
      <c r="D1969" t="s">
        <v>103</v>
      </c>
      <c r="E1969" s="1">
        <v>45103</v>
      </c>
      <c r="F1969" t="s">
        <v>96</v>
      </c>
      <c r="G1969" t="s">
        <v>323</v>
      </c>
      <c r="H1969" t="s">
        <v>59</v>
      </c>
      <c r="I1969">
        <v>12</v>
      </c>
      <c r="J1969" t="s">
        <v>67</v>
      </c>
      <c r="K1969">
        <v>1</v>
      </c>
      <c r="L1969" s="3">
        <v>8499</v>
      </c>
      <c r="M1969">
        <v>0</v>
      </c>
      <c r="N1969" s="3">
        <v>8500</v>
      </c>
      <c r="O1969" s="3">
        <v>8500</v>
      </c>
      <c r="P1969" t="s">
        <v>74</v>
      </c>
      <c r="Q1969" t="s">
        <v>82</v>
      </c>
      <c r="R1969" t="s">
        <v>36</v>
      </c>
      <c r="S1969" t="s">
        <v>141</v>
      </c>
      <c r="T1969" t="s">
        <v>362</v>
      </c>
      <c r="U1969" t="s">
        <v>54</v>
      </c>
      <c r="V1969" t="s">
        <v>969</v>
      </c>
      <c r="W1969">
        <v>3</v>
      </c>
      <c r="X1969" t="s">
        <v>41</v>
      </c>
      <c r="Y1969" t="s">
        <v>42</v>
      </c>
      <c r="Z1969">
        <v>2</v>
      </c>
    </row>
    <row r="1970" spans="1:26">
      <c r="A1970" t="s">
        <v>3120</v>
      </c>
      <c r="B1970" t="s">
        <v>3121</v>
      </c>
      <c r="C1970" t="s">
        <v>94</v>
      </c>
      <c r="D1970" t="s">
        <v>29</v>
      </c>
      <c r="E1970" s="1">
        <v>45104</v>
      </c>
      <c r="F1970" t="s">
        <v>79</v>
      </c>
      <c r="G1970" t="s">
        <v>480</v>
      </c>
      <c r="H1970" t="s">
        <v>111</v>
      </c>
      <c r="I1970">
        <v>7</v>
      </c>
      <c r="J1970" t="s">
        <v>33</v>
      </c>
      <c r="K1970">
        <v>1</v>
      </c>
      <c r="L1970" s="3">
        <v>6999</v>
      </c>
      <c r="M1970">
        <v>15</v>
      </c>
      <c r="N1970" s="3">
        <v>5950</v>
      </c>
      <c r="O1970" s="3">
        <v>5950</v>
      </c>
      <c r="P1970" t="s">
        <v>74</v>
      </c>
      <c r="Q1970" t="s">
        <v>35</v>
      </c>
      <c r="R1970" t="s">
        <v>36</v>
      </c>
      <c r="S1970" t="s">
        <v>460</v>
      </c>
      <c r="T1970" t="s">
        <v>461</v>
      </c>
      <c r="U1970" t="s">
        <v>54</v>
      </c>
      <c r="V1970" t="s">
        <v>40</v>
      </c>
      <c r="W1970">
        <v>3.9</v>
      </c>
      <c r="X1970" t="s">
        <v>41</v>
      </c>
      <c r="Y1970" t="s">
        <v>55</v>
      </c>
      <c r="Z1970">
        <v>3</v>
      </c>
    </row>
    <row r="1971" spans="1:26">
      <c r="A1971" t="s">
        <v>3122</v>
      </c>
      <c r="B1971" t="s">
        <v>443</v>
      </c>
      <c r="C1971" t="s">
        <v>45</v>
      </c>
      <c r="D1971" t="s">
        <v>103</v>
      </c>
      <c r="E1971" s="1">
        <v>45105</v>
      </c>
      <c r="F1971" t="s">
        <v>79</v>
      </c>
      <c r="G1971" t="s">
        <v>480</v>
      </c>
      <c r="H1971" t="s">
        <v>111</v>
      </c>
      <c r="I1971">
        <v>9</v>
      </c>
      <c r="J1971" t="s">
        <v>33</v>
      </c>
      <c r="K1971">
        <v>4</v>
      </c>
      <c r="L1971" s="3">
        <v>5699</v>
      </c>
      <c r="M1971">
        <v>20</v>
      </c>
      <c r="N1971" s="3">
        <v>4560</v>
      </c>
      <c r="O1971" s="3">
        <v>18240</v>
      </c>
      <c r="P1971" t="s">
        <v>34</v>
      </c>
      <c r="Q1971" t="s">
        <v>82</v>
      </c>
      <c r="R1971" t="s">
        <v>36</v>
      </c>
      <c r="S1971" t="s">
        <v>191</v>
      </c>
      <c r="T1971" t="s">
        <v>572</v>
      </c>
      <c r="U1971" t="s">
        <v>54</v>
      </c>
      <c r="V1971" t="s">
        <v>315</v>
      </c>
      <c r="W1971">
        <v>3.5</v>
      </c>
      <c r="X1971" t="s">
        <v>41</v>
      </c>
      <c r="Y1971" t="s">
        <v>42</v>
      </c>
      <c r="Z1971">
        <v>5</v>
      </c>
    </row>
    <row r="1972" spans="1:26">
      <c r="A1972" t="s">
        <v>3123</v>
      </c>
      <c r="B1972" t="s">
        <v>2157</v>
      </c>
      <c r="C1972" t="s">
        <v>45</v>
      </c>
      <c r="D1972" t="s">
        <v>95</v>
      </c>
      <c r="E1972" s="1">
        <v>45108</v>
      </c>
      <c r="F1972" t="s">
        <v>79</v>
      </c>
      <c r="G1972" t="s">
        <v>174</v>
      </c>
      <c r="H1972" t="s">
        <v>32</v>
      </c>
      <c r="I1972">
        <v>12</v>
      </c>
      <c r="J1972" t="s">
        <v>33</v>
      </c>
      <c r="K1972">
        <v>1</v>
      </c>
      <c r="L1972" s="3">
        <v>5599</v>
      </c>
      <c r="M1972">
        <v>15</v>
      </c>
      <c r="N1972" s="3">
        <v>4760</v>
      </c>
      <c r="O1972" s="3">
        <v>4760</v>
      </c>
      <c r="P1972" t="s">
        <v>74</v>
      </c>
      <c r="Q1972" t="s">
        <v>82</v>
      </c>
      <c r="R1972" t="s">
        <v>36</v>
      </c>
      <c r="S1972" t="s">
        <v>210</v>
      </c>
      <c r="T1972" t="s">
        <v>412</v>
      </c>
      <c r="U1972" t="s">
        <v>124</v>
      </c>
      <c r="V1972" t="s">
        <v>315</v>
      </c>
      <c r="W1972">
        <v>3.5</v>
      </c>
      <c r="X1972" t="s">
        <v>41</v>
      </c>
      <c r="Y1972" t="s">
        <v>42</v>
      </c>
      <c r="Z1972">
        <v>3</v>
      </c>
    </row>
    <row r="1973" spans="1:26">
      <c r="A1973" t="s">
        <v>3124</v>
      </c>
      <c r="B1973" t="s">
        <v>433</v>
      </c>
      <c r="C1973" t="s">
        <v>28</v>
      </c>
      <c r="D1973" t="s">
        <v>29</v>
      </c>
      <c r="E1973" s="1">
        <v>45109</v>
      </c>
      <c r="F1973" t="s">
        <v>30</v>
      </c>
      <c r="G1973" t="s">
        <v>214</v>
      </c>
      <c r="H1973" t="s">
        <v>128</v>
      </c>
      <c r="I1973">
        <v>10</v>
      </c>
      <c r="J1973" t="s">
        <v>98</v>
      </c>
      <c r="K1973">
        <v>2</v>
      </c>
      <c r="L1973" s="3">
        <v>6299</v>
      </c>
      <c r="M1973">
        <v>5</v>
      </c>
      <c r="N1973" s="3">
        <v>5980</v>
      </c>
      <c r="O1973" s="3">
        <v>11960</v>
      </c>
      <c r="P1973" t="s">
        <v>74</v>
      </c>
      <c r="Q1973" t="s">
        <v>35</v>
      </c>
      <c r="R1973" t="s">
        <v>36</v>
      </c>
      <c r="S1973" t="s">
        <v>68</v>
      </c>
      <c r="T1973" t="s">
        <v>400</v>
      </c>
      <c r="U1973" t="s">
        <v>124</v>
      </c>
      <c r="V1973" t="s">
        <v>969</v>
      </c>
      <c r="W1973">
        <v>3.2</v>
      </c>
      <c r="X1973" t="s">
        <v>62</v>
      </c>
      <c r="Y1973" t="s">
        <v>55</v>
      </c>
      <c r="Z1973">
        <v>2</v>
      </c>
    </row>
    <row r="1974" spans="1:26">
      <c r="A1974" t="s">
        <v>3125</v>
      </c>
      <c r="B1974" t="s">
        <v>1421</v>
      </c>
      <c r="C1974" t="s">
        <v>28</v>
      </c>
      <c r="D1974" t="s">
        <v>109</v>
      </c>
      <c r="E1974" s="1">
        <v>45109</v>
      </c>
      <c r="F1974" t="s">
        <v>30</v>
      </c>
      <c r="G1974" t="s">
        <v>110</v>
      </c>
      <c r="H1974" t="s">
        <v>111</v>
      </c>
      <c r="I1974">
        <v>11</v>
      </c>
      <c r="J1974" t="s">
        <v>98</v>
      </c>
      <c r="K1974">
        <v>1</v>
      </c>
      <c r="L1974" s="3">
        <v>5299</v>
      </c>
      <c r="M1974">
        <v>20</v>
      </c>
      <c r="N1974" s="3">
        <v>4240</v>
      </c>
      <c r="O1974" s="3">
        <v>4240</v>
      </c>
      <c r="P1974" t="s">
        <v>34</v>
      </c>
      <c r="Q1974" t="s">
        <v>51</v>
      </c>
      <c r="R1974" t="s">
        <v>36</v>
      </c>
      <c r="S1974" t="s">
        <v>164</v>
      </c>
      <c r="T1974" t="s">
        <v>165</v>
      </c>
      <c r="U1974" t="s">
        <v>124</v>
      </c>
      <c r="V1974" t="s">
        <v>315</v>
      </c>
      <c r="W1974">
        <v>3.6</v>
      </c>
      <c r="X1974" t="s">
        <v>62</v>
      </c>
      <c r="Y1974" t="s">
        <v>55</v>
      </c>
      <c r="Z1974">
        <v>2</v>
      </c>
    </row>
    <row r="1975" spans="1:26">
      <c r="A1975" t="s">
        <v>3126</v>
      </c>
      <c r="B1975" t="s">
        <v>2407</v>
      </c>
      <c r="C1975" t="s">
        <v>28</v>
      </c>
      <c r="D1975" t="s">
        <v>46</v>
      </c>
      <c r="E1975" s="1">
        <v>45109</v>
      </c>
      <c r="F1975" t="s">
        <v>47</v>
      </c>
      <c r="G1975" t="s">
        <v>199</v>
      </c>
      <c r="H1975" t="s">
        <v>59</v>
      </c>
      <c r="I1975">
        <v>11</v>
      </c>
      <c r="J1975" t="s">
        <v>33</v>
      </c>
      <c r="K1975">
        <v>1</v>
      </c>
      <c r="L1975" s="3">
        <v>5999</v>
      </c>
      <c r="M1975">
        <v>20</v>
      </c>
      <c r="N1975" s="3">
        <v>4800</v>
      </c>
      <c r="O1975" s="3">
        <v>4800</v>
      </c>
      <c r="P1975" t="s">
        <v>34</v>
      </c>
      <c r="Q1975" t="s">
        <v>82</v>
      </c>
      <c r="R1975" t="s">
        <v>36</v>
      </c>
      <c r="S1975" t="s">
        <v>104</v>
      </c>
      <c r="T1975" t="s">
        <v>291</v>
      </c>
      <c r="U1975" t="s">
        <v>61</v>
      </c>
      <c r="V1975" t="s">
        <v>315</v>
      </c>
      <c r="W1975">
        <v>3.5</v>
      </c>
      <c r="X1975" t="s">
        <v>41</v>
      </c>
      <c r="Y1975" t="s">
        <v>42</v>
      </c>
      <c r="Z1975">
        <v>3</v>
      </c>
    </row>
    <row r="1976" spans="1:26">
      <c r="A1976" t="s">
        <v>3127</v>
      </c>
      <c r="B1976" t="s">
        <v>3128</v>
      </c>
      <c r="C1976" t="s">
        <v>45</v>
      </c>
      <c r="D1976" t="s">
        <v>46</v>
      </c>
      <c r="E1976" s="1">
        <v>45110</v>
      </c>
      <c r="F1976" t="s">
        <v>86</v>
      </c>
      <c r="G1976" t="s">
        <v>116</v>
      </c>
      <c r="H1976" t="s">
        <v>49</v>
      </c>
      <c r="I1976">
        <v>9</v>
      </c>
      <c r="J1976" t="s">
        <v>98</v>
      </c>
      <c r="K1976">
        <v>1</v>
      </c>
      <c r="L1976" s="3">
        <v>7699</v>
      </c>
      <c r="M1976">
        <v>5</v>
      </c>
      <c r="N1976" s="3">
        <v>7310</v>
      </c>
      <c r="O1976" s="3">
        <v>7310</v>
      </c>
      <c r="P1976" t="s">
        <v>50</v>
      </c>
      <c r="Q1976" t="s">
        <v>51</v>
      </c>
      <c r="R1976" t="s">
        <v>36</v>
      </c>
      <c r="S1976" t="s">
        <v>164</v>
      </c>
      <c r="T1976" t="s">
        <v>314</v>
      </c>
      <c r="U1976" t="s">
        <v>91</v>
      </c>
      <c r="V1976" t="s">
        <v>40</v>
      </c>
      <c r="W1976">
        <v>3.7</v>
      </c>
      <c r="X1976" t="s">
        <v>41</v>
      </c>
      <c r="Y1976" t="s">
        <v>42</v>
      </c>
      <c r="Z1976">
        <v>4</v>
      </c>
    </row>
    <row r="1977" spans="1:26">
      <c r="A1977" t="s">
        <v>3129</v>
      </c>
      <c r="B1977" t="s">
        <v>1179</v>
      </c>
      <c r="C1977" t="s">
        <v>28</v>
      </c>
      <c r="D1977" t="s">
        <v>46</v>
      </c>
      <c r="E1977" s="1">
        <v>45112</v>
      </c>
      <c r="F1977" t="s">
        <v>47</v>
      </c>
      <c r="G1977" t="s">
        <v>402</v>
      </c>
      <c r="H1977" t="s">
        <v>32</v>
      </c>
      <c r="I1977">
        <v>10</v>
      </c>
      <c r="J1977" t="s">
        <v>98</v>
      </c>
      <c r="K1977">
        <v>1</v>
      </c>
      <c r="L1977" s="3">
        <v>8599</v>
      </c>
      <c r="M1977">
        <v>20</v>
      </c>
      <c r="N1977" s="3">
        <v>6880</v>
      </c>
      <c r="O1977" s="3">
        <v>6880</v>
      </c>
      <c r="P1977" t="s">
        <v>74</v>
      </c>
      <c r="Q1977" t="s">
        <v>51</v>
      </c>
      <c r="R1977" t="s">
        <v>36</v>
      </c>
      <c r="S1977" t="s">
        <v>164</v>
      </c>
      <c r="T1977" t="s">
        <v>165</v>
      </c>
      <c r="U1977" t="s">
        <v>39</v>
      </c>
      <c r="V1977" t="s">
        <v>315</v>
      </c>
      <c r="W1977">
        <v>4.5</v>
      </c>
      <c r="X1977" t="s">
        <v>41</v>
      </c>
      <c r="Y1977" t="s">
        <v>55</v>
      </c>
      <c r="Z1977">
        <v>2</v>
      </c>
    </row>
    <row r="1978" spans="1:26">
      <c r="A1978" t="s">
        <v>3130</v>
      </c>
      <c r="B1978" t="s">
        <v>203</v>
      </c>
      <c r="C1978" t="s">
        <v>28</v>
      </c>
      <c r="D1978" t="s">
        <v>29</v>
      </c>
      <c r="E1978" s="1">
        <v>45113</v>
      </c>
      <c r="F1978" t="s">
        <v>79</v>
      </c>
      <c r="G1978" t="s">
        <v>517</v>
      </c>
      <c r="H1978" t="s">
        <v>59</v>
      </c>
      <c r="I1978">
        <v>10</v>
      </c>
      <c r="J1978" t="s">
        <v>67</v>
      </c>
      <c r="K1978">
        <v>1</v>
      </c>
      <c r="L1978" s="3">
        <v>8899</v>
      </c>
      <c r="M1978">
        <v>25</v>
      </c>
      <c r="N1978" s="3">
        <v>6670</v>
      </c>
      <c r="O1978" s="3">
        <v>6670</v>
      </c>
      <c r="P1978" t="s">
        <v>34</v>
      </c>
      <c r="Q1978" t="s">
        <v>82</v>
      </c>
      <c r="R1978" t="s">
        <v>36</v>
      </c>
      <c r="S1978" t="s">
        <v>112</v>
      </c>
      <c r="T1978" t="s">
        <v>250</v>
      </c>
      <c r="U1978" t="s">
        <v>39</v>
      </c>
      <c r="V1978" t="s">
        <v>315</v>
      </c>
      <c r="W1978">
        <v>4.8</v>
      </c>
      <c r="X1978" t="s">
        <v>62</v>
      </c>
      <c r="Y1978" t="s">
        <v>55</v>
      </c>
      <c r="Z1978">
        <v>2</v>
      </c>
    </row>
    <row r="1979" spans="1:26">
      <c r="A1979" t="s">
        <v>3131</v>
      </c>
      <c r="B1979" t="s">
        <v>1292</v>
      </c>
      <c r="C1979" t="s">
        <v>28</v>
      </c>
      <c r="D1979" t="s">
        <v>29</v>
      </c>
      <c r="E1979" s="1">
        <v>45115</v>
      </c>
      <c r="F1979" t="s">
        <v>86</v>
      </c>
      <c r="G1979" t="s">
        <v>242</v>
      </c>
      <c r="H1979" t="s">
        <v>32</v>
      </c>
      <c r="I1979">
        <v>8</v>
      </c>
      <c r="J1979" t="s">
        <v>98</v>
      </c>
      <c r="K1979">
        <v>1</v>
      </c>
      <c r="L1979" s="3">
        <v>5099</v>
      </c>
      <c r="M1979">
        <v>15</v>
      </c>
      <c r="N1979" s="3">
        <v>4330</v>
      </c>
      <c r="O1979" s="3">
        <v>4330</v>
      </c>
      <c r="P1979" t="s">
        <v>74</v>
      </c>
      <c r="Q1979" t="s">
        <v>82</v>
      </c>
      <c r="R1979" t="s">
        <v>36</v>
      </c>
      <c r="S1979" t="s">
        <v>175</v>
      </c>
      <c r="T1979" t="s">
        <v>865</v>
      </c>
      <c r="U1979" t="s">
        <v>54</v>
      </c>
      <c r="V1979" t="s">
        <v>969</v>
      </c>
      <c r="W1979">
        <v>4.9000000000000004</v>
      </c>
      <c r="X1979" t="s">
        <v>41</v>
      </c>
      <c r="Y1979" t="s">
        <v>42</v>
      </c>
      <c r="Z1979">
        <v>5</v>
      </c>
    </row>
    <row r="1980" spans="1:26">
      <c r="A1980" t="s">
        <v>3132</v>
      </c>
      <c r="B1980" t="s">
        <v>1016</v>
      </c>
      <c r="C1980" t="s">
        <v>28</v>
      </c>
      <c r="D1980" t="s">
        <v>103</v>
      </c>
      <c r="E1980" s="1">
        <v>45118</v>
      </c>
      <c r="F1980" t="s">
        <v>79</v>
      </c>
      <c r="G1980" t="s">
        <v>127</v>
      </c>
      <c r="H1980" t="s">
        <v>128</v>
      </c>
      <c r="I1980">
        <v>8</v>
      </c>
      <c r="J1980" t="s">
        <v>98</v>
      </c>
      <c r="K1980">
        <v>1</v>
      </c>
      <c r="L1980" s="3">
        <v>6199</v>
      </c>
      <c r="M1980">
        <v>5</v>
      </c>
      <c r="N1980" s="3">
        <v>5890</v>
      </c>
      <c r="O1980" s="3">
        <v>5890</v>
      </c>
      <c r="P1980" t="s">
        <v>74</v>
      </c>
      <c r="Q1980" t="s">
        <v>51</v>
      </c>
      <c r="R1980" t="s">
        <v>36</v>
      </c>
      <c r="S1980" t="s">
        <v>175</v>
      </c>
      <c r="T1980" t="s">
        <v>495</v>
      </c>
      <c r="U1980" t="s">
        <v>39</v>
      </c>
      <c r="V1980" t="s">
        <v>315</v>
      </c>
      <c r="W1980">
        <v>3.6</v>
      </c>
      <c r="X1980" t="s">
        <v>41</v>
      </c>
      <c r="Y1980" t="s">
        <v>42</v>
      </c>
      <c r="Z1980">
        <v>3</v>
      </c>
    </row>
    <row r="1981" spans="1:26">
      <c r="A1981" t="s">
        <v>3133</v>
      </c>
      <c r="B1981" t="s">
        <v>1854</v>
      </c>
      <c r="C1981" t="s">
        <v>94</v>
      </c>
      <c r="D1981" t="s">
        <v>29</v>
      </c>
      <c r="E1981" s="1">
        <v>45119</v>
      </c>
      <c r="F1981" t="s">
        <v>86</v>
      </c>
      <c r="G1981" t="s">
        <v>312</v>
      </c>
      <c r="H1981" t="s">
        <v>59</v>
      </c>
      <c r="I1981">
        <v>8</v>
      </c>
      <c r="J1981" t="s">
        <v>98</v>
      </c>
      <c r="K1981">
        <v>1</v>
      </c>
      <c r="L1981" s="3">
        <v>4899</v>
      </c>
      <c r="M1981">
        <v>10</v>
      </c>
      <c r="N1981" s="3">
        <v>4410</v>
      </c>
      <c r="O1981" s="3">
        <v>4410</v>
      </c>
      <c r="P1981" t="s">
        <v>50</v>
      </c>
      <c r="Q1981" t="s">
        <v>35</v>
      </c>
      <c r="R1981" t="s">
        <v>36</v>
      </c>
      <c r="S1981" t="s">
        <v>338</v>
      </c>
      <c r="T1981" t="s">
        <v>338</v>
      </c>
      <c r="U1981" t="s">
        <v>39</v>
      </c>
      <c r="V1981" t="s">
        <v>969</v>
      </c>
      <c r="W1981">
        <v>3.8</v>
      </c>
      <c r="X1981" t="s">
        <v>41</v>
      </c>
      <c r="Y1981" t="s">
        <v>147</v>
      </c>
      <c r="Z1981">
        <v>1</v>
      </c>
    </row>
    <row r="1982" spans="1:26">
      <c r="A1982" t="s">
        <v>3134</v>
      </c>
      <c r="B1982" t="s">
        <v>1304</v>
      </c>
      <c r="C1982" t="s">
        <v>28</v>
      </c>
      <c r="D1982" t="s">
        <v>29</v>
      </c>
      <c r="E1982" s="1">
        <v>45120</v>
      </c>
      <c r="F1982" t="s">
        <v>30</v>
      </c>
      <c r="G1982" t="s">
        <v>110</v>
      </c>
      <c r="H1982" t="s">
        <v>111</v>
      </c>
      <c r="I1982">
        <v>8</v>
      </c>
      <c r="J1982" t="s">
        <v>33</v>
      </c>
      <c r="K1982">
        <v>3</v>
      </c>
      <c r="L1982" s="3">
        <v>9199</v>
      </c>
      <c r="M1982">
        <v>15</v>
      </c>
      <c r="N1982" s="3">
        <v>7820</v>
      </c>
      <c r="O1982" s="3">
        <v>23460</v>
      </c>
      <c r="P1982" t="s">
        <v>74</v>
      </c>
      <c r="Q1982" t="s">
        <v>51</v>
      </c>
      <c r="R1982" t="s">
        <v>36</v>
      </c>
      <c r="S1982" t="s">
        <v>182</v>
      </c>
      <c r="T1982" t="s">
        <v>183</v>
      </c>
      <c r="U1982" t="s">
        <v>61</v>
      </c>
      <c r="V1982" t="s">
        <v>315</v>
      </c>
      <c r="W1982">
        <v>4</v>
      </c>
      <c r="X1982" t="s">
        <v>41</v>
      </c>
      <c r="Y1982" t="s">
        <v>147</v>
      </c>
      <c r="Z1982">
        <v>1</v>
      </c>
    </row>
    <row r="1983" spans="1:26">
      <c r="A1983" t="s">
        <v>3135</v>
      </c>
      <c r="B1983" t="s">
        <v>311</v>
      </c>
      <c r="C1983" t="s">
        <v>45</v>
      </c>
      <c r="D1983" t="s">
        <v>103</v>
      </c>
      <c r="E1983" s="1">
        <v>45120</v>
      </c>
      <c r="F1983" t="s">
        <v>30</v>
      </c>
      <c r="G1983" t="s">
        <v>58</v>
      </c>
      <c r="H1983" t="s">
        <v>59</v>
      </c>
      <c r="I1983">
        <v>11</v>
      </c>
      <c r="J1983" t="s">
        <v>33</v>
      </c>
      <c r="K1983">
        <v>1</v>
      </c>
      <c r="L1983" s="3">
        <v>8499</v>
      </c>
      <c r="M1983">
        <v>20</v>
      </c>
      <c r="N1983" s="3">
        <v>6800</v>
      </c>
      <c r="O1983" s="3">
        <v>6800</v>
      </c>
      <c r="P1983" t="s">
        <v>50</v>
      </c>
      <c r="Q1983" t="s">
        <v>82</v>
      </c>
      <c r="R1983" t="s">
        <v>36</v>
      </c>
      <c r="S1983" t="s">
        <v>68</v>
      </c>
      <c r="T1983" t="s">
        <v>207</v>
      </c>
      <c r="U1983" t="s">
        <v>91</v>
      </c>
      <c r="V1983" t="s">
        <v>969</v>
      </c>
      <c r="W1983">
        <v>3.6</v>
      </c>
      <c r="X1983" t="s">
        <v>62</v>
      </c>
      <c r="Y1983" t="s">
        <v>42</v>
      </c>
      <c r="Z1983">
        <v>3</v>
      </c>
    </row>
    <row r="1984" spans="1:26">
      <c r="A1984" t="s">
        <v>3136</v>
      </c>
      <c r="B1984" t="s">
        <v>626</v>
      </c>
      <c r="C1984" t="s">
        <v>45</v>
      </c>
      <c r="D1984" t="s">
        <v>46</v>
      </c>
      <c r="E1984" s="1">
        <v>45123</v>
      </c>
      <c r="F1984" t="s">
        <v>30</v>
      </c>
      <c r="G1984" t="s">
        <v>347</v>
      </c>
      <c r="H1984" t="s">
        <v>49</v>
      </c>
      <c r="I1984">
        <v>10</v>
      </c>
      <c r="J1984" t="s">
        <v>33</v>
      </c>
      <c r="K1984">
        <v>1</v>
      </c>
      <c r="L1984" s="3">
        <v>8099</v>
      </c>
      <c r="M1984">
        <v>0</v>
      </c>
      <c r="N1984" s="3">
        <v>8100</v>
      </c>
      <c r="O1984" s="3">
        <v>8100</v>
      </c>
      <c r="P1984" t="s">
        <v>74</v>
      </c>
      <c r="Q1984" t="s">
        <v>51</v>
      </c>
      <c r="R1984" t="s">
        <v>36</v>
      </c>
      <c r="S1984" t="s">
        <v>200</v>
      </c>
      <c r="T1984" t="s">
        <v>204</v>
      </c>
      <c r="U1984" t="s">
        <v>39</v>
      </c>
      <c r="V1984" t="s">
        <v>315</v>
      </c>
      <c r="W1984">
        <v>4.7</v>
      </c>
      <c r="X1984" t="s">
        <v>62</v>
      </c>
      <c r="Y1984" t="s">
        <v>147</v>
      </c>
      <c r="Z1984">
        <v>2</v>
      </c>
    </row>
    <row r="1985" spans="1:26">
      <c r="A1985" t="s">
        <v>3137</v>
      </c>
      <c r="B1985" t="s">
        <v>711</v>
      </c>
      <c r="C1985" t="s">
        <v>28</v>
      </c>
      <c r="D1985" t="s">
        <v>95</v>
      </c>
      <c r="E1985" s="1">
        <v>45124</v>
      </c>
      <c r="F1985" t="s">
        <v>96</v>
      </c>
      <c r="G1985" t="s">
        <v>97</v>
      </c>
      <c r="H1985" t="s">
        <v>49</v>
      </c>
      <c r="I1985">
        <v>8</v>
      </c>
      <c r="J1985" t="s">
        <v>73</v>
      </c>
      <c r="K1985">
        <v>2</v>
      </c>
      <c r="L1985" s="3">
        <v>9099</v>
      </c>
      <c r="M1985">
        <v>20</v>
      </c>
      <c r="N1985" s="3">
        <v>7280</v>
      </c>
      <c r="O1985" s="3">
        <v>14560</v>
      </c>
      <c r="P1985" t="s">
        <v>74</v>
      </c>
      <c r="Q1985" t="s">
        <v>82</v>
      </c>
      <c r="R1985" t="s">
        <v>36</v>
      </c>
      <c r="S1985" t="s">
        <v>186</v>
      </c>
      <c r="T1985" t="s">
        <v>222</v>
      </c>
      <c r="U1985" t="s">
        <v>54</v>
      </c>
      <c r="V1985" t="s">
        <v>969</v>
      </c>
      <c r="W1985">
        <v>4.3</v>
      </c>
      <c r="X1985" t="s">
        <v>41</v>
      </c>
      <c r="Y1985" t="s">
        <v>42</v>
      </c>
      <c r="Z1985">
        <v>5</v>
      </c>
    </row>
    <row r="1986" spans="1:26">
      <c r="A1986" t="s">
        <v>3138</v>
      </c>
      <c r="B1986" t="s">
        <v>1668</v>
      </c>
      <c r="C1986" t="s">
        <v>28</v>
      </c>
      <c r="D1986" t="s">
        <v>46</v>
      </c>
      <c r="E1986" s="1">
        <v>45124</v>
      </c>
      <c r="F1986" t="s">
        <v>79</v>
      </c>
      <c r="G1986" t="s">
        <v>127</v>
      </c>
      <c r="H1986" t="s">
        <v>128</v>
      </c>
      <c r="I1986">
        <v>10</v>
      </c>
      <c r="J1986" t="s">
        <v>73</v>
      </c>
      <c r="K1986">
        <v>1</v>
      </c>
      <c r="L1986" s="3">
        <v>4099</v>
      </c>
      <c r="M1986">
        <v>20</v>
      </c>
      <c r="N1986" s="3">
        <v>3280</v>
      </c>
      <c r="O1986" s="3">
        <v>3280</v>
      </c>
      <c r="P1986" t="s">
        <v>74</v>
      </c>
      <c r="Q1986" t="s">
        <v>82</v>
      </c>
      <c r="R1986" t="s">
        <v>36</v>
      </c>
      <c r="S1986" t="s">
        <v>418</v>
      </c>
      <c r="T1986" t="s">
        <v>924</v>
      </c>
      <c r="U1986" t="s">
        <v>61</v>
      </c>
      <c r="V1986" t="s">
        <v>969</v>
      </c>
      <c r="W1986">
        <v>4.5</v>
      </c>
      <c r="X1986" t="s">
        <v>41</v>
      </c>
      <c r="Y1986" t="s">
        <v>147</v>
      </c>
      <c r="Z1986">
        <v>1</v>
      </c>
    </row>
    <row r="1987" spans="1:26">
      <c r="A1987" t="s">
        <v>3139</v>
      </c>
      <c r="B1987" t="s">
        <v>483</v>
      </c>
      <c r="C1987" t="s">
        <v>28</v>
      </c>
      <c r="D1987" t="s">
        <v>95</v>
      </c>
      <c r="E1987" s="1">
        <v>45127</v>
      </c>
      <c r="F1987" t="s">
        <v>65</v>
      </c>
      <c r="G1987" t="s">
        <v>279</v>
      </c>
      <c r="H1987" t="s">
        <v>111</v>
      </c>
      <c r="I1987">
        <v>10</v>
      </c>
      <c r="J1987" t="s">
        <v>98</v>
      </c>
      <c r="K1987">
        <v>1</v>
      </c>
      <c r="L1987" s="3">
        <v>8299</v>
      </c>
      <c r="M1987">
        <v>25</v>
      </c>
      <c r="N1987" s="3">
        <v>6220</v>
      </c>
      <c r="O1987" s="3">
        <v>6220</v>
      </c>
      <c r="P1987" t="s">
        <v>74</v>
      </c>
      <c r="Q1987" t="s">
        <v>51</v>
      </c>
      <c r="R1987" t="s">
        <v>36</v>
      </c>
      <c r="S1987" t="s">
        <v>182</v>
      </c>
      <c r="T1987" t="s">
        <v>503</v>
      </c>
      <c r="U1987" t="s">
        <v>124</v>
      </c>
      <c r="V1987" t="s">
        <v>969</v>
      </c>
      <c r="W1987">
        <v>5</v>
      </c>
      <c r="X1987" t="s">
        <v>106</v>
      </c>
      <c r="Y1987" t="s">
        <v>42</v>
      </c>
      <c r="Z1987">
        <v>3</v>
      </c>
    </row>
    <row r="1988" spans="1:26">
      <c r="A1988" t="s">
        <v>3140</v>
      </c>
      <c r="B1988" t="s">
        <v>1231</v>
      </c>
      <c r="C1988" t="s">
        <v>45</v>
      </c>
      <c r="D1988" t="s">
        <v>29</v>
      </c>
      <c r="E1988" s="1">
        <v>45127</v>
      </c>
      <c r="F1988" t="s">
        <v>65</v>
      </c>
      <c r="G1988" t="s">
        <v>256</v>
      </c>
      <c r="H1988" t="s">
        <v>32</v>
      </c>
      <c r="I1988">
        <v>10</v>
      </c>
      <c r="J1988" t="s">
        <v>73</v>
      </c>
      <c r="K1988">
        <v>2</v>
      </c>
      <c r="L1988" s="3">
        <v>4399</v>
      </c>
      <c r="M1988">
        <v>5</v>
      </c>
      <c r="N1988" s="3">
        <v>4180</v>
      </c>
      <c r="O1988" s="3">
        <v>8360</v>
      </c>
      <c r="P1988" t="s">
        <v>74</v>
      </c>
      <c r="Q1988" t="s">
        <v>82</v>
      </c>
      <c r="R1988" t="s">
        <v>36</v>
      </c>
      <c r="S1988" t="s">
        <v>68</v>
      </c>
      <c r="T1988" t="s">
        <v>69</v>
      </c>
      <c r="U1988" t="s">
        <v>54</v>
      </c>
      <c r="V1988" t="s">
        <v>315</v>
      </c>
      <c r="W1988">
        <v>4.5999999999999996</v>
      </c>
      <c r="X1988" t="s">
        <v>41</v>
      </c>
      <c r="Y1988" t="s">
        <v>42</v>
      </c>
      <c r="Z1988">
        <v>3</v>
      </c>
    </row>
    <row r="1989" spans="1:26">
      <c r="A1989" t="s">
        <v>3141</v>
      </c>
      <c r="B1989" t="s">
        <v>1537</v>
      </c>
      <c r="C1989" t="s">
        <v>94</v>
      </c>
      <c r="D1989" t="s">
        <v>95</v>
      </c>
      <c r="E1989" s="1">
        <v>45128</v>
      </c>
      <c r="F1989" t="s">
        <v>65</v>
      </c>
      <c r="G1989" t="s">
        <v>279</v>
      </c>
      <c r="H1989" t="s">
        <v>111</v>
      </c>
      <c r="I1989">
        <v>7</v>
      </c>
      <c r="J1989" t="s">
        <v>73</v>
      </c>
      <c r="K1989">
        <v>1</v>
      </c>
      <c r="L1989" s="3">
        <v>5099</v>
      </c>
      <c r="M1989">
        <v>0</v>
      </c>
      <c r="N1989" s="3">
        <v>5100</v>
      </c>
      <c r="O1989" s="3">
        <v>5100</v>
      </c>
      <c r="P1989" t="s">
        <v>74</v>
      </c>
      <c r="Q1989" t="s">
        <v>82</v>
      </c>
      <c r="R1989" t="s">
        <v>36</v>
      </c>
      <c r="S1989" t="s">
        <v>141</v>
      </c>
      <c r="T1989" t="s">
        <v>294</v>
      </c>
      <c r="U1989" t="s">
        <v>91</v>
      </c>
      <c r="V1989" t="s">
        <v>969</v>
      </c>
      <c r="W1989">
        <v>4.3</v>
      </c>
      <c r="X1989" t="s">
        <v>41</v>
      </c>
      <c r="Y1989" t="s">
        <v>42</v>
      </c>
      <c r="Z1989">
        <v>4</v>
      </c>
    </row>
    <row r="1990" spans="1:26">
      <c r="A1990" t="s">
        <v>3142</v>
      </c>
      <c r="B1990" t="s">
        <v>998</v>
      </c>
      <c r="C1990" t="s">
        <v>28</v>
      </c>
      <c r="D1990" t="s">
        <v>46</v>
      </c>
      <c r="E1990" s="1">
        <v>45129</v>
      </c>
      <c r="F1990" t="s">
        <v>65</v>
      </c>
      <c r="G1990" t="s">
        <v>72</v>
      </c>
      <c r="H1990" t="s">
        <v>59</v>
      </c>
      <c r="I1990">
        <v>8</v>
      </c>
      <c r="J1990" t="s">
        <v>33</v>
      </c>
      <c r="K1990">
        <v>1</v>
      </c>
      <c r="L1990" s="3">
        <v>6199</v>
      </c>
      <c r="M1990">
        <v>25</v>
      </c>
      <c r="N1990" s="3">
        <v>4650</v>
      </c>
      <c r="O1990" s="3">
        <v>4650</v>
      </c>
      <c r="P1990" t="s">
        <v>74</v>
      </c>
      <c r="Q1990" t="s">
        <v>51</v>
      </c>
      <c r="R1990" t="s">
        <v>36</v>
      </c>
      <c r="S1990" t="s">
        <v>200</v>
      </c>
      <c r="T1990" t="s">
        <v>204</v>
      </c>
      <c r="U1990" t="s">
        <v>54</v>
      </c>
      <c r="V1990" t="s">
        <v>315</v>
      </c>
      <c r="W1990">
        <v>4.0999999999999996</v>
      </c>
      <c r="X1990" t="s">
        <v>41</v>
      </c>
      <c r="Y1990" t="s">
        <v>42</v>
      </c>
      <c r="Z1990">
        <v>5</v>
      </c>
    </row>
    <row r="1991" spans="1:26">
      <c r="A1991" t="s">
        <v>3143</v>
      </c>
      <c r="B1991" t="s">
        <v>234</v>
      </c>
      <c r="C1991" t="s">
        <v>28</v>
      </c>
      <c r="D1991" t="s">
        <v>103</v>
      </c>
      <c r="E1991" s="1">
        <v>45130</v>
      </c>
      <c r="F1991" t="s">
        <v>30</v>
      </c>
      <c r="G1991" t="s">
        <v>31</v>
      </c>
      <c r="H1991" t="s">
        <v>32</v>
      </c>
      <c r="I1991">
        <v>12</v>
      </c>
      <c r="J1991" t="s">
        <v>67</v>
      </c>
      <c r="K1991">
        <v>1</v>
      </c>
      <c r="L1991" s="3">
        <v>4099</v>
      </c>
      <c r="M1991">
        <v>20</v>
      </c>
      <c r="N1991" s="3">
        <v>3280</v>
      </c>
      <c r="O1991" s="3">
        <v>3280</v>
      </c>
      <c r="P1991" t="s">
        <v>74</v>
      </c>
      <c r="Q1991" t="s">
        <v>51</v>
      </c>
      <c r="R1991" t="s">
        <v>36</v>
      </c>
      <c r="S1991" t="s">
        <v>186</v>
      </c>
      <c r="T1991" t="s">
        <v>187</v>
      </c>
      <c r="U1991" t="s">
        <v>61</v>
      </c>
      <c r="V1991" t="s">
        <v>315</v>
      </c>
      <c r="W1991">
        <v>3.7</v>
      </c>
      <c r="X1991" t="s">
        <v>41</v>
      </c>
      <c r="Y1991" t="s">
        <v>42</v>
      </c>
      <c r="Z1991">
        <v>3</v>
      </c>
    </row>
    <row r="1992" spans="1:26">
      <c r="A1992" t="s">
        <v>3144</v>
      </c>
      <c r="B1992" t="s">
        <v>644</v>
      </c>
      <c r="C1992" t="s">
        <v>45</v>
      </c>
      <c r="D1992" t="s">
        <v>103</v>
      </c>
      <c r="E1992" s="1">
        <v>45132</v>
      </c>
      <c r="F1992" t="s">
        <v>96</v>
      </c>
      <c r="G1992" t="s">
        <v>228</v>
      </c>
      <c r="H1992" t="s">
        <v>59</v>
      </c>
      <c r="I1992">
        <v>7</v>
      </c>
      <c r="J1992" t="s">
        <v>150</v>
      </c>
      <c r="K1992">
        <v>1</v>
      </c>
      <c r="L1992" s="3">
        <v>9699</v>
      </c>
      <c r="M1992">
        <v>35</v>
      </c>
      <c r="N1992" s="3">
        <v>6300</v>
      </c>
      <c r="O1992" s="3">
        <v>6300</v>
      </c>
      <c r="P1992" t="s">
        <v>81</v>
      </c>
      <c r="Q1992" t="s">
        <v>82</v>
      </c>
      <c r="R1992" t="s">
        <v>36</v>
      </c>
      <c r="S1992" t="s">
        <v>195</v>
      </c>
      <c r="T1992" t="s">
        <v>665</v>
      </c>
      <c r="U1992" t="s">
        <v>61</v>
      </c>
      <c r="V1992" t="s">
        <v>969</v>
      </c>
      <c r="W1992">
        <v>4.5</v>
      </c>
      <c r="X1992" t="s">
        <v>41</v>
      </c>
      <c r="Y1992" t="s">
        <v>42</v>
      </c>
      <c r="Z1992">
        <v>3</v>
      </c>
    </row>
    <row r="1993" spans="1:26">
      <c r="A1993" t="s">
        <v>3145</v>
      </c>
      <c r="B1993" t="s">
        <v>411</v>
      </c>
      <c r="C1993" t="s">
        <v>45</v>
      </c>
      <c r="D1993" t="s">
        <v>29</v>
      </c>
      <c r="E1993" s="1">
        <v>45133</v>
      </c>
      <c r="F1993" t="s">
        <v>30</v>
      </c>
      <c r="G1993" t="s">
        <v>58</v>
      </c>
      <c r="H1993" t="s">
        <v>59</v>
      </c>
      <c r="I1993">
        <v>9</v>
      </c>
      <c r="J1993" t="s">
        <v>73</v>
      </c>
      <c r="K1993">
        <v>1</v>
      </c>
      <c r="L1993" s="3">
        <v>8699</v>
      </c>
      <c r="M1993">
        <v>0</v>
      </c>
      <c r="N1993" s="3">
        <v>8700</v>
      </c>
      <c r="O1993" s="3">
        <v>8700</v>
      </c>
      <c r="P1993" t="s">
        <v>34</v>
      </c>
      <c r="Q1993" t="s">
        <v>35</v>
      </c>
      <c r="R1993" t="s">
        <v>36</v>
      </c>
      <c r="S1993" t="s">
        <v>384</v>
      </c>
      <c r="T1993" t="s">
        <v>385</v>
      </c>
      <c r="U1993" t="s">
        <v>61</v>
      </c>
      <c r="V1993" t="s">
        <v>969</v>
      </c>
      <c r="W1993">
        <v>3.5</v>
      </c>
      <c r="X1993" t="s">
        <v>41</v>
      </c>
      <c r="Y1993" t="s">
        <v>42</v>
      </c>
      <c r="Z1993">
        <v>3</v>
      </c>
    </row>
    <row r="1994" spans="1:26">
      <c r="A1994" t="s">
        <v>3146</v>
      </c>
      <c r="B1994" t="s">
        <v>1890</v>
      </c>
      <c r="C1994" t="s">
        <v>28</v>
      </c>
      <c r="D1994" t="s">
        <v>46</v>
      </c>
      <c r="E1994" s="1">
        <v>45133</v>
      </c>
      <c r="F1994" t="s">
        <v>47</v>
      </c>
      <c r="G1994" t="s">
        <v>48</v>
      </c>
      <c r="H1994" t="s">
        <v>49</v>
      </c>
      <c r="I1994">
        <v>7</v>
      </c>
      <c r="J1994" t="s">
        <v>150</v>
      </c>
      <c r="K1994">
        <v>2</v>
      </c>
      <c r="L1994" s="3">
        <v>5899</v>
      </c>
      <c r="M1994">
        <v>0</v>
      </c>
      <c r="N1994" s="3">
        <v>5900</v>
      </c>
      <c r="O1994" s="3">
        <v>11800</v>
      </c>
      <c r="P1994" t="s">
        <v>34</v>
      </c>
      <c r="Q1994" t="s">
        <v>35</v>
      </c>
      <c r="R1994" t="s">
        <v>36</v>
      </c>
      <c r="S1994" t="s">
        <v>104</v>
      </c>
      <c r="T1994" t="s">
        <v>291</v>
      </c>
      <c r="U1994" t="s">
        <v>124</v>
      </c>
      <c r="V1994" t="s">
        <v>315</v>
      </c>
      <c r="W1994">
        <v>4</v>
      </c>
      <c r="X1994" t="s">
        <v>41</v>
      </c>
      <c r="Y1994" t="s">
        <v>55</v>
      </c>
      <c r="Z1994">
        <v>2</v>
      </c>
    </row>
    <row r="1995" spans="1:26">
      <c r="A1995" t="s">
        <v>3147</v>
      </c>
      <c r="B1995" t="s">
        <v>1020</v>
      </c>
      <c r="C1995" t="s">
        <v>45</v>
      </c>
      <c r="D1995" t="s">
        <v>95</v>
      </c>
      <c r="E1995" s="1">
        <v>45134</v>
      </c>
      <c r="F1995" t="s">
        <v>47</v>
      </c>
      <c r="G1995" t="s">
        <v>121</v>
      </c>
      <c r="H1995" t="s">
        <v>111</v>
      </c>
      <c r="I1995">
        <v>7</v>
      </c>
      <c r="J1995" t="s">
        <v>33</v>
      </c>
      <c r="K1995">
        <v>1</v>
      </c>
      <c r="L1995" s="3">
        <v>6599</v>
      </c>
      <c r="M1995">
        <v>10</v>
      </c>
      <c r="N1995" s="3">
        <v>5940</v>
      </c>
      <c r="O1995" s="3">
        <v>5940</v>
      </c>
      <c r="P1995" t="s">
        <v>34</v>
      </c>
      <c r="Q1995" t="s">
        <v>82</v>
      </c>
      <c r="R1995" t="s">
        <v>36</v>
      </c>
      <c r="S1995" t="s">
        <v>141</v>
      </c>
      <c r="T1995" t="s">
        <v>362</v>
      </c>
      <c r="U1995" t="s">
        <v>61</v>
      </c>
      <c r="V1995" t="s">
        <v>969</v>
      </c>
      <c r="W1995">
        <v>4.4000000000000004</v>
      </c>
      <c r="X1995" t="s">
        <v>41</v>
      </c>
      <c r="Y1995" t="s">
        <v>147</v>
      </c>
      <c r="Z1995">
        <v>2</v>
      </c>
    </row>
    <row r="1996" spans="1:26">
      <c r="A1996" t="s">
        <v>3148</v>
      </c>
      <c r="B1996" t="s">
        <v>1928</v>
      </c>
      <c r="C1996" t="s">
        <v>94</v>
      </c>
      <c r="D1996" t="s">
        <v>46</v>
      </c>
      <c r="E1996" s="1">
        <v>45135</v>
      </c>
      <c r="F1996" t="s">
        <v>86</v>
      </c>
      <c r="G1996" t="s">
        <v>116</v>
      </c>
      <c r="H1996" t="s">
        <v>49</v>
      </c>
      <c r="I1996">
        <v>7</v>
      </c>
      <c r="J1996" t="s">
        <v>73</v>
      </c>
      <c r="K1996">
        <v>1</v>
      </c>
      <c r="L1996" s="3">
        <v>7499</v>
      </c>
      <c r="M1996">
        <v>15</v>
      </c>
      <c r="N1996" s="3">
        <v>6370</v>
      </c>
      <c r="O1996" s="3">
        <v>6370</v>
      </c>
      <c r="P1996" t="s">
        <v>74</v>
      </c>
      <c r="Q1996" t="s">
        <v>82</v>
      </c>
      <c r="R1996" t="s">
        <v>36</v>
      </c>
      <c r="S1996" t="s">
        <v>122</v>
      </c>
      <c r="T1996" t="s">
        <v>304</v>
      </c>
      <c r="U1996" t="s">
        <v>124</v>
      </c>
      <c r="V1996" t="s">
        <v>969</v>
      </c>
      <c r="W1996">
        <v>3.3</v>
      </c>
      <c r="X1996" t="s">
        <v>41</v>
      </c>
      <c r="Y1996" t="s">
        <v>42</v>
      </c>
      <c r="Z1996">
        <v>5</v>
      </c>
    </row>
    <row r="1997" spans="1:26">
      <c r="A1997" t="s">
        <v>3149</v>
      </c>
      <c r="B1997" t="s">
        <v>662</v>
      </c>
      <c r="C1997" t="s">
        <v>45</v>
      </c>
      <c r="D1997" t="s">
        <v>103</v>
      </c>
      <c r="E1997" s="1">
        <v>45135</v>
      </c>
      <c r="F1997" t="s">
        <v>96</v>
      </c>
      <c r="G1997" t="s">
        <v>155</v>
      </c>
      <c r="H1997" t="s">
        <v>111</v>
      </c>
      <c r="I1997">
        <v>8</v>
      </c>
      <c r="J1997" t="s">
        <v>88</v>
      </c>
      <c r="K1997">
        <v>1</v>
      </c>
      <c r="L1997" s="3">
        <v>8499</v>
      </c>
      <c r="M1997">
        <v>20</v>
      </c>
      <c r="N1997" s="3">
        <v>6800</v>
      </c>
      <c r="O1997" s="3">
        <v>6800</v>
      </c>
      <c r="P1997" t="s">
        <v>74</v>
      </c>
      <c r="Q1997" t="s">
        <v>35</v>
      </c>
      <c r="R1997" t="s">
        <v>36</v>
      </c>
      <c r="S1997" t="s">
        <v>460</v>
      </c>
      <c r="T1997" t="s">
        <v>461</v>
      </c>
      <c r="U1997" t="s">
        <v>61</v>
      </c>
      <c r="V1997" t="s">
        <v>315</v>
      </c>
      <c r="W1997">
        <v>5</v>
      </c>
      <c r="X1997" t="s">
        <v>41</v>
      </c>
      <c r="Y1997" t="s">
        <v>42</v>
      </c>
      <c r="Z1997">
        <v>4</v>
      </c>
    </row>
    <row r="1998" spans="1:26">
      <c r="A1998" t="s">
        <v>3150</v>
      </c>
      <c r="B1998" t="s">
        <v>825</v>
      </c>
      <c r="C1998" t="s">
        <v>28</v>
      </c>
      <c r="D1998" t="s">
        <v>46</v>
      </c>
      <c r="E1998" s="1">
        <v>45140</v>
      </c>
      <c r="F1998" t="s">
        <v>47</v>
      </c>
      <c r="G1998" t="s">
        <v>121</v>
      </c>
      <c r="H1998" t="s">
        <v>111</v>
      </c>
      <c r="I1998">
        <v>9</v>
      </c>
      <c r="J1998" t="s">
        <v>33</v>
      </c>
      <c r="K1998">
        <v>1</v>
      </c>
      <c r="L1998" s="3">
        <v>4199</v>
      </c>
      <c r="M1998">
        <v>20</v>
      </c>
      <c r="N1998" s="3">
        <v>3360</v>
      </c>
      <c r="O1998" s="3">
        <v>3360</v>
      </c>
      <c r="P1998" t="s">
        <v>74</v>
      </c>
      <c r="Q1998" t="s">
        <v>82</v>
      </c>
      <c r="R1998" t="s">
        <v>36</v>
      </c>
      <c r="S1998" t="s">
        <v>37</v>
      </c>
      <c r="T1998" t="s">
        <v>484</v>
      </c>
      <c r="U1998" t="s">
        <v>124</v>
      </c>
      <c r="V1998" t="s">
        <v>315</v>
      </c>
      <c r="W1998">
        <v>4.8</v>
      </c>
      <c r="X1998" t="s">
        <v>62</v>
      </c>
      <c r="Y1998" t="s">
        <v>42</v>
      </c>
      <c r="Z1998">
        <v>5</v>
      </c>
    </row>
    <row r="1999" spans="1:26">
      <c r="A1999" t="s">
        <v>3151</v>
      </c>
      <c r="B1999" t="s">
        <v>3152</v>
      </c>
      <c r="C1999" t="s">
        <v>28</v>
      </c>
      <c r="D1999" t="s">
        <v>109</v>
      </c>
      <c r="E1999" s="1">
        <v>45140</v>
      </c>
      <c r="F1999" t="s">
        <v>47</v>
      </c>
      <c r="G1999" t="s">
        <v>199</v>
      </c>
      <c r="H1999" t="s">
        <v>59</v>
      </c>
      <c r="I1999">
        <v>8</v>
      </c>
      <c r="J1999" t="s">
        <v>67</v>
      </c>
      <c r="K1999">
        <v>1</v>
      </c>
      <c r="L1999" s="3">
        <v>8699</v>
      </c>
      <c r="M1999">
        <v>5</v>
      </c>
      <c r="N1999" s="3">
        <v>8260</v>
      </c>
      <c r="O1999" s="3">
        <v>8260</v>
      </c>
      <c r="P1999" t="s">
        <v>74</v>
      </c>
      <c r="Q1999" t="s">
        <v>51</v>
      </c>
      <c r="R1999" t="s">
        <v>36</v>
      </c>
      <c r="S1999" t="s">
        <v>68</v>
      </c>
      <c r="T1999" t="s">
        <v>400</v>
      </c>
      <c r="U1999" t="s">
        <v>61</v>
      </c>
      <c r="V1999" t="s">
        <v>40</v>
      </c>
      <c r="W1999">
        <v>4</v>
      </c>
      <c r="X1999" t="s">
        <v>62</v>
      </c>
      <c r="Y1999" t="s">
        <v>42</v>
      </c>
      <c r="Z1999">
        <v>4</v>
      </c>
    </row>
    <row r="2000" spans="1:26">
      <c r="A2000" t="s">
        <v>3153</v>
      </c>
      <c r="B2000" t="s">
        <v>3154</v>
      </c>
      <c r="C2000" t="s">
        <v>45</v>
      </c>
      <c r="D2000" t="s">
        <v>46</v>
      </c>
      <c r="E2000" s="1">
        <v>45140</v>
      </c>
      <c r="F2000" t="s">
        <v>86</v>
      </c>
      <c r="G2000" t="s">
        <v>242</v>
      </c>
      <c r="H2000" t="s">
        <v>32</v>
      </c>
      <c r="I2000">
        <v>8</v>
      </c>
      <c r="J2000" t="s">
        <v>150</v>
      </c>
      <c r="K2000">
        <v>1</v>
      </c>
      <c r="L2000" s="3">
        <v>7499</v>
      </c>
      <c r="M2000">
        <v>35</v>
      </c>
      <c r="N2000" s="3">
        <v>4870</v>
      </c>
      <c r="O2000" s="3">
        <v>4870</v>
      </c>
      <c r="P2000" t="s">
        <v>74</v>
      </c>
      <c r="Q2000" t="s">
        <v>35</v>
      </c>
      <c r="R2000" t="s">
        <v>36</v>
      </c>
      <c r="S2000" t="s">
        <v>186</v>
      </c>
      <c r="T2000" t="s">
        <v>397</v>
      </c>
      <c r="U2000" t="s">
        <v>39</v>
      </c>
      <c r="V2000" t="s">
        <v>40</v>
      </c>
      <c r="W2000">
        <v>4.5999999999999996</v>
      </c>
      <c r="X2000" t="s">
        <v>62</v>
      </c>
      <c r="Y2000" t="s">
        <v>42</v>
      </c>
      <c r="Z2000">
        <v>2</v>
      </c>
    </row>
    <row r="2001" spans="1:26">
      <c r="A2001" t="s">
        <v>3155</v>
      </c>
      <c r="B2001" t="s">
        <v>1580</v>
      </c>
      <c r="C2001" t="s">
        <v>45</v>
      </c>
      <c r="D2001" t="s">
        <v>46</v>
      </c>
      <c r="E2001" s="1">
        <v>45141</v>
      </c>
      <c r="F2001" t="s">
        <v>30</v>
      </c>
      <c r="G2001" t="s">
        <v>110</v>
      </c>
      <c r="H2001" t="s">
        <v>111</v>
      </c>
      <c r="I2001">
        <v>11</v>
      </c>
      <c r="J2001" t="s">
        <v>73</v>
      </c>
      <c r="K2001">
        <v>4</v>
      </c>
      <c r="L2001" s="3">
        <v>9099</v>
      </c>
      <c r="M2001">
        <v>15</v>
      </c>
      <c r="N2001" s="3">
        <v>7730</v>
      </c>
      <c r="O2001" s="3">
        <v>30920</v>
      </c>
      <c r="P2001" t="s">
        <v>74</v>
      </c>
      <c r="Q2001" t="s">
        <v>51</v>
      </c>
      <c r="R2001" t="s">
        <v>36</v>
      </c>
      <c r="S2001" t="s">
        <v>418</v>
      </c>
      <c r="T2001" t="s">
        <v>549</v>
      </c>
      <c r="U2001" t="s">
        <v>54</v>
      </c>
      <c r="V2001" t="s">
        <v>315</v>
      </c>
      <c r="W2001">
        <v>4.9000000000000004</v>
      </c>
      <c r="X2001" t="s">
        <v>106</v>
      </c>
      <c r="Y2001" t="s">
        <v>55</v>
      </c>
      <c r="Z2001">
        <v>1</v>
      </c>
    </row>
    <row r="2002" spans="1:26">
      <c r="A2002" t="s">
        <v>3156</v>
      </c>
      <c r="B2002" t="s">
        <v>1507</v>
      </c>
      <c r="C2002" t="s">
        <v>28</v>
      </c>
      <c r="D2002" t="s">
        <v>95</v>
      </c>
      <c r="E2002" s="1">
        <v>45141</v>
      </c>
      <c r="F2002" t="s">
        <v>30</v>
      </c>
      <c r="G2002" t="s">
        <v>110</v>
      </c>
      <c r="H2002" t="s">
        <v>111</v>
      </c>
      <c r="I2002">
        <v>6</v>
      </c>
      <c r="J2002" t="s">
        <v>73</v>
      </c>
      <c r="K2002">
        <v>2</v>
      </c>
      <c r="L2002" s="3">
        <v>6999</v>
      </c>
      <c r="M2002">
        <v>15</v>
      </c>
      <c r="N2002" s="3">
        <v>5950</v>
      </c>
      <c r="O2002" s="3">
        <v>11900</v>
      </c>
      <c r="P2002" t="s">
        <v>74</v>
      </c>
      <c r="Q2002" t="s">
        <v>35</v>
      </c>
      <c r="R2002" t="s">
        <v>36</v>
      </c>
      <c r="S2002" t="s">
        <v>89</v>
      </c>
      <c r="T2002" t="s">
        <v>425</v>
      </c>
      <c r="U2002" t="s">
        <v>124</v>
      </c>
      <c r="V2002" t="s">
        <v>315</v>
      </c>
      <c r="W2002">
        <v>4.2</v>
      </c>
      <c r="X2002" t="s">
        <v>41</v>
      </c>
      <c r="Y2002" t="s">
        <v>55</v>
      </c>
      <c r="Z2002">
        <v>1</v>
      </c>
    </row>
    <row r="2003" spans="1:26">
      <c r="A2003" t="s">
        <v>3157</v>
      </c>
      <c r="B2003" t="s">
        <v>3158</v>
      </c>
      <c r="C2003" t="s">
        <v>28</v>
      </c>
      <c r="D2003" t="s">
        <v>103</v>
      </c>
      <c r="E2003" s="1">
        <v>45142</v>
      </c>
      <c r="F2003" t="s">
        <v>30</v>
      </c>
      <c r="G2003" t="s">
        <v>145</v>
      </c>
      <c r="H2003" t="s">
        <v>59</v>
      </c>
      <c r="I2003">
        <v>8</v>
      </c>
      <c r="J2003" t="s">
        <v>67</v>
      </c>
      <c r="K2003">
        <v>1</v>
      </c>
      <c r="L2003" s="3">
        <v>9599</v>
      </c>
      <c r="M2003">
        <v>25</v>
      </c>
      <c r="N2003" s="3">
        <v>7200</v>
      </c>
      <c r="O2003" s="3">
        <v>7200</v>
      </c>
      <c r="P2003" t="s">
        <v>74</v>
      </c>
      <c r="Q2003" t="s">
        <v>35</v>
      </c>
      <c r="R2003" t="s">
        <v>36</v>
      </c>
      <c r="S2003" t="s">
        <v>75</v>
      </c>
      <c r="T2003" t="s">
        <v>796</v>
      </c>
      <c r="U2003" t="s">
        <v>39</v>
      </c>
      <c r="V2003" t="s">
        <v>40</v>
      </c>
      <c r="W2003">
        <v>4.0999999999999996</v>
      </c>
      <c r="X2003" t="s">
        <v>41</v>
      </c>
      <c r="Y2003" t="s">
        <v>55</v>
      </c>
      <c r="Z2003">
        <v>3</v>
      </c>
    </row>
    <row r="2004" spans="1:26">
      <c r="A2004" t="s">
        <v>3159</v>
      </c>
      <c r="B2004" t="s">
        <v>985</v>
      </c>
      <c r="C2004" t="s">
        <v>28</v>
      </c>
      <c r="D2004" t="s">
        <v>46</v>
      </c>
      <c r="E2004" s="1">
        <v>45142</v>
      </c>
      <c r="F2004" t="s">
        <v>96</v>
      </c>
      <c r="G2004" t="s">
        <v>97</v>
      </c>
      <c r="H2004" t="s">
        <v>49</v>
      </c>
      <c r="I2004">
        <v>10</v>
      </c>
      <c r="J2004" t="s">
        <v>88</v>
      </c>
      <c r="K2004">
        <v>1</v>
      </c>
      <c r="L2004" s="3">
        <v>8199</v>
      </c>
      <c r="M2004">
        <v>15</v>
      </c>
      <c r="N2004" s="3">
        <v>6970</v>
      </c>
      <c r="O2004" s="3">
        <v>6970</v>
      </c>
      <c r="P2004" t="s">
        <v>74</v>
      </c>
      <c r="Q2004" t="s">
        <v>51</v>
      </c>
      <c r="R2004" t="s">
        <v>36</v>
      </c>
      <c r="S2004" t="s">
        <v>418</v>
      </c>
      <c r="T2004" t="s">
        <v>419</v>
      </c>
      <c r="U2004" t="s">
        <v>91</v>
      </c>
      <c r="V2004" t="s">
        <v>315</v>
      </c>
      <c r="W2004">
        <v>3.7</v>
      </c>
      <c r="X2004" t="s">
        <v>41</v>
      </c>
      <c r="Y2004" t="s">
        <v>42</v>
      </c>
      <c r="Z2004">
        <v>4</v>
      </c>
    </row>
    <row r="2005" spans="1:26">
      <c r="A2005" t="s">
        <v>3160</v>
      </c>
      <c r="B2005" t="s">
        <v>2850</v>
      </c>
      <c r="C2005" t="s">
        <v>45</v>
      </c>
      <c r="D2005" t="s">
        <v>95</v>
      </c>
      <c r="E2005" s="1">
        <v>45143</v>
      </c>
      <c r="F2005" t="s">
        <v>47</v>
      </c>
      <c r="G2005" t="s">
        <v>218</v>
      </c>
      <c r="H2005" t="s">
        <v>59</v>
      </c>
      <c r="I2005">
        <v>8</v>
      </c>
      <c r="J2005" t="s">
        <v>88</v>
      </c>
      <c r="K2005">
        <v>1</v>
      </c>
      <c r="L2005" s="3">
        <v>9199</v>
      </c>
      <c r="M2005">
        <v>15</v>
      </c>
      <c r="N2005" s="3">
        <v>7820</v>
      </c>
      <c r="O2005" s="3">
        <v>7820</v>
      </c>
      <c r="P2005" t="s">
        <v>74</v>
      </c>
      <c r="Q2005" t="s">
        <v>51</v>
      </c>
      <c r="R2005" t="s">
        <v>36</v>
      </c>
      <c r="S2005" t="s">
        <v>168</v>
      </c>
      <c r="T2005" t="s">
        <v>557</v>
      </c>
      <c r="U2005" t="s">
        <v>39</v>
      </c>
      <c r="V2005" t="s">
        <v>315</v>
      </c>
      <c r="W2005">
        <v>4.9000000000000004</v>
      </c>
      <c r="X2005" t="s">
        <v>106</v>
      </c>
      <c r="Y2005" t="s">
        <v>42</v>
      </c>
      <c r="Z2005">
        <v>2</v>
      </c>
    </row>
    <row r="2006" spans="1:26">
      <c r="A2006" t="s">
        <v>3161</v>
      </c>
      <c r="B2006" t="s">
        <v>1493</v>
      </c>
      <c r="C2006" t="s">
        <v>45</v>
      </c>
      <c r="D2006" t="s">
        <v>46</v>
      </c>
      <c r="E2006" s="1">
        <v>45144</v>
      </c>
      <c r="F2006" t="s">
        <v>47</v>
      </c>
      <c r="G2006" t="s">
        <v>140</v>
      </c>
      <c r="H2006" t="s">
        <v>128</v>
      </c>
      <c r="I2006">
        <v>8</v>
      </c>
      <c r="J2006" t="s">
        <v>98</v>
      </c>
      <c r="K2006">
        <v>1</v>
      </c>
      <c r="L2006" s="3">
        <v>7799</v>
      </c>
      <c r="M2006">
        <v>25</v>
      </c>
      <c r="N2006" s="3">
        <v>5850</v>
      </c>
      <c r="O2006" s="3">
        <v>5850</v>
      </c>
      <c r="P2006" t="s">
        <v>34</v>
      </c>
      <c r="Q2006" t="s">
        <v>82</v>
      </c>
      <c r="R2006" t="s">
        <v>36</v>
      </c>
      <c r="S2006" t="s">
        <v>68</v>
      </c>
      <c r="T2006" t="s">
        <v>811</v>
      </c>
      <c r="U2006" t="s">
        <v>61</v>
      </c>
      <c r="V2006" t="s">
        <v>315</v>
      </c>
      <c r="W2006">
        <v>3.8</v>
      </c>
      <c r="X2006" t="s">
        <v>41</v>
      </c>
      <c r="Y2006" t="s">
        <v>42</v>
      </c>
      <c r="Z2006">
        <v>2</v>
      </c>
    </row>
    <row r="2007" spans="1:26">
      <c r="A2007" t="s">
        <v>3162</v>
      </c>
      <c r="B2007" t="s">
        <v>536</v>
      </c>
      <c r="C2007" t="s">
        <v>28</v>
      </c>
      <c r="D2007" t="s">
        <v>95</v>
      </c>
      <c r="E2007" s="1">
        <v>45144</v>
      </c>
      <c r="F2007" t="s">
        <v>86</v>
      </c>
      <c r="G2007" t="s">
        <v>312</v>
      </c>
      <c r="H2007" t="s">
        <v>59</v>
      </c>
      <c r="I2007">
        <v>7</v>
      </c>
      <c r="J2007" t="s">
        <v>33</v>
      </c>
      <c r="K2007">
        <v>1</v>
      </c>
      <c r="L2007" s="3">
        <v>4299</v>
      </c>
      <c r="M2007">
        <v>25</v>
      </c>
      <c r="N2007" s="3">
        <v>3220</v>
      </c>
      <c r="O2007" s="3">
        <v>3220</v>
      </c>
      <c r="P2007" t="s">
        <v>74</v>
      </c>
      <c r="Q2007" t="s">
        <v>35</v>
      </c>
      <c r="R2007" t="s">
        <v>36</v>
      </c>
      <c r="S2007" t="s">
        <v>122</v>
      </c>
      <c r="T2007" t="s">
        <v>123</v>
      </c>
      <c r="U2007" t="s">
        <v>61</v>
      </c>
      <c r="V2007" t="s">
        <v>969</v>
      </c>
      <c r="W2007">
        <v>4.4000000000000004</v>
      </c>
      <c r="X2007" t="s">
        <v>41</v>
      </c>
      <c r="Y2007" t="s">
        <v>42</v>
      </c>
      <c r="Z2007">
        <v>3</v>
      </c>
    </row>
    <row r="2008" spans="1:26">
      <c r="A2008" t="s">
        <v>3163</v>
      </c>
      <c r="B2008" t="s">
        <v>556</v>
      </c>
      <c r="C2008" t="s">
        <v>28</v>
      </c>
      <c r="D2008" t="s">
        <v>46</v>
      </c>
      <c r="E2008" s="1">
        <v>45144</v>
      </c>
      <c r="F2008" t="s">
        <v>96</v>
      </c>
      <c r="G2008" t="s">
        <v>290</v>
      </c>
      <c r="H2008" t="s">
        <v>32</v>
      </c>
      <c r="I2008">
        <v>9</v>
      </c>
      <c r="J2008" t="s">
        <v>88</v>
      </c>
      <c r="K2008">
        <v>1</v>
      </c>
      <c r="L2008" s="3">
        <v>9799</v>
      </c>
      <c r="M2008">
        <v>10</v>
      </c>
      <c r="N2008" s="3">
        <v>8820</v>
      </c>
      <c r="O2008" s="3">
        <v>8820</v>
      </c>
      <c r="P2008" t="s">
        <v>74</v>
      </c>
      <c r="Q2008" t="s">
        <v>51</v>
      </c>
      <c r="R2008" t="s">
        <v>36</v>
      </c>
      <c r="S2008" t="s">
        <v>460</v>
      </c>
      <c r="T2008" t="s">
        <v>525</v>
      </c>
      <c r="U2008" t="s">
        <v>91</v>
      </c>
      <c r="V2008" t="s">
        <v>969</v>
      </c>
      <c r="W2008">
        <v>4</v>
      </c>
      <c r="X2008" t="s">
        <v>62</v>
      </c>
      <c r="Y2008" t="s">
        <v>42</v>
      </c>
      <c r="Z2008">
        <v>3</v>
      </c>
    </row>
    <row r="2009" spans="1:26">
      <c r="A2009" t="s">
        <v>3164</v>
      </c>
      <c r="B2009" t="s">
        <v>2021</v>
      </c>
      <c r="C2009" t="s">
        <v>28</v>
      </c>
      <c r="D2009" t="s">
        <v>95</v>
      </c>
      <c r="E2009" s="1">
        <v>45146</v>
      </c>
      <c r="F2009" t="s">
        <v>86</v>
      </c>
      <c r="G2009" t="s">
        <v>242</v>
      </c>
      <c r="H2009" t="s">
        <v>32</v>
      </c>
      <c r="I2009">
        <v>7</v>
      </c>
      <c r="J2009" t="s">
        <v>98</v>
      </c>
      <c r="K2009">
        <v>1</v>
      </c>
      <c r="L2009" s="3">
        <v>6299</v>
      </c>
      <c r="M2009">
        <v>0</v>
      </c>
      <c r="N2009" s="3">
        <v>6300</v>
      </c>
      <c r="O2009" s="3">
        <v>6300</v>
      </c>
      <c r="P2009" t="s">
        <v>74</v>
      </c>
      <c r="Q2009" t="s">
        <v>51</v>
      </c>
      <c r="R2009" t="s">
        <v>36</v>
      </c>
      <c r="S2009" t="s">
        <v>210</v>
      </c>
      <c r="T2009" t="s">
        <v>415</v>
      </c>
      <c r="U2009" t="s">
        <v>39</v>
      </c>
      <c r="V2009" t="s">
        <v>969</v>
      </c>
      <c r="W2009">
        <v>3.8</v>
      </c>
      <c r="X2009" t="s">
        <v>106</v>
      </c>
      <c r="Y2009" t="s">
        <v>42</v>
      </c>
      <c r="Z2009">
        <v>6</v>
      </c>
    </row>
    <row r="2010" spans="1:26">
      <c r="A2010" t="s">
        <v>3165</v>
      </c>
      <c r="B2010" t="s">
        <v>2767</v>
      </c>
      <c r="C2010" t="s">
        <v>28</v>
      </c>
      <c r="D2010" t="s">
        <v>29</v>
      </c>
      <c r="E2010" s="1">
        <v>45146</v>
      </c>
      <c r="F2010" t="s">
        <v>30</v>
      </c>
      <c r="G2010" t="s">
        <v>110</v>
      </c>
      <c r="H2010" t="s">
        <v>111</v>
      </c>
      <c r="I2010">
        <v>10</v>
      </c>
      <c r="J2010" t="s">
        <v>73</v>
      </c>
      <c r="K2010">
        <v>2</v>
      </c>
      <c r="L2010" s="3">
        <v>7099</v>
      </c>
      <c r="M2010">
        <v>0</v>
      </c>
      <c r="N2010" s="3">
        <v>7100</v>
      </c>
      <c r="O2010" s="3">
        <v>14200</v>
      </c>
      <c r="P2010" t="s">
        <v>74</v>
      </c>
      <c r="Q2010" t="s">
        <v>82</v>
      </c>
      <c r="R2010" t="s">
        <v>36</v>
      </c>
      <c r="S2010" t="s">
        <v>37</v>
      </c>
      <c r="T2010" t="s">
        <v>509</v>
      </c>
      <c r="U2010" t="s">
        <v>39</v>
      </c>
      <c r="V2010" t="s">
        <v>315</v>
      </c>
      <c r="W2010">
        <v>4.5999999999999996</v>
      </c>
      <c r="X2010" t="s">
        <v>41</v>
      </c>
      <c r="Y2010" t="s">
        <v>42</v>
      </c>
      <c r="Z2010">
        <v>4</v>
      </c>
    </row>
    <row r="2011" spans="1:26">
      <c r="A2011" t="s">
        <v>3166</v>
      </c>
      <c r="B2011" t="s">
        <v>1895</v>
      </c>
      <c r="C2011" t="s">
        <v>28</v>
      </c>
      <c r="D2011" t="s">
        <v>103</v>
      </c>
      <c r="E2011" s="1">
        <v>45148</v>
      </c>
      <c r="F2011" t="s">
        <v>65</v>
      </c>
      <c r="G2011" t="s">
        <v>72</v>
      </c>
      <c r="H2011" t="s">
        <v>59</v>
      </c>
      <c r="I2011">
        <v>11</v>
      </c>
      <c r="J2011" t="s">
        <v>150</v>
      </c>
      <c r="K2011">
        <v>1</v>
      </c>
      <c r="L2011" s="3">
        <v>7499</v>
      </c>
      <c r="M2011">
        <v>0</v>
      </c>
      <c r="N2011" s="3">
        <v>7500</v>
      </c>
      <c r="O2011" s="3">
        <v>7500</v>
      </c>
      <c r="P2011" t="s">
        <v>74</v>
      </c>
      <c r="Q2011" t="s">
        <v>51</v>
      </c>
      <c r="R2011" t="s">
        <v>36</v>
      </c>
      <c r="S2011" t="s">
        <v>164</v>
      </c>
      <c r="T2011" t="s">
        <v>314</v>
      </c>
      <c r="U2011" t="s">
        <v>54</v>
      </c>
      <c r="V2011" t="s">
        <v>969</v>
      </c>
      <c r="W2011">
        <v>4.9000000000000004</v>
      </c>
      <c r="X2011" t="s">
        <v>41</v>
      </c>
      <c r="Y2011" t="s">
        <v>42</v>
      </c>
      <c r="Z2011">
        <v>3</v>
      </c>
    </row>
    <row r="2012" spans="1:26">
      <c r="A2012" t="s">
        <v>3167</v>
      </c>
      <c r="B2012" t="s">
        <v>492</v>
      </c>
      <c r="C2012" t="s">
        <v>94</v>
      </c>
      <c r="D2012" t="s">
        <v>29</v>
      </c>
      <c r="E2012" s="1">
        <v>45150</v>
      </c>
      <c r="F2012" t="s">
        <v>65</v>
      </c>
      <c r="G2012" t="s">
        <v>279</v>
      </c>
      <c r="H2012" t="s">
        <v>111</v>
      </c>
      <c r="I2012">
        <v>7</v>
      </c>
      <c r="J2012" t="s">
        <v>98</v>
      </c>
      <c r="K2012">
        <v>1</v>
      </c>
      <c r="L2012" s="3">
        <v>7899</v>
      </c>
      <c r="M2012">
        <v>15</v>
      </c>
      <c r="N2012" s="3">
        <v>6710</v>
      </c>
      <c r="O2012" s="3">
        <v>6710</v>
      </c>
      <c r="P2012" t="s">
        <v>74</v>
      </c>
      <c r="Q2012" t="s">
        <v>35</v>
      </c>
      <c r="R2012" t="s">
        <v>36</v>
      </c>
      <c r="S2012" t="s">
        <v>210</v>
      </c>
      <c r="T2012" t="s">
        <v>415</v>
      </c>
      <c r="U2012" t="s">
        <v>124</v>
      </c>
      <c r="V2012" t="s">
        <v>315</v>
      </c>
      <c r="W2012">
        <v>4</v>
      </c>
      <c r="X2012" t="s">
        <v>41</v>
      </c>
      <c r="Y2012" t="s">
        <v>55</v>
      </c>
      <c r="Z2012">
        <v>2</v>
      </c>
    </row>
    <row r="2013" spans="1:26">
      <c r="A2013" t="s">
        <v>3168</v>
      </c>
      <c r="B2013" t="s">
        <v>3169</v>
      </c>
      <c r="C2013" t="s">
        <v>28</v>
      </c>
      <c r="D2013" t="s">
        <v>29</v>
      </c>
      <c r="E2013" s="1">
        <v>45151</v>
      </c>
      <c r="F2013" t="s">
        <v>96</v>
      </c>
      <c r="G2013" t="s">
        <v>155</v>
      </c>
      <c r="H2013" t="s">
        <v>111</v>
      </c>
      <c r="I2013">
        <v>9</v>
      </c>
      <c r="J2013" t="s">
        <v>73</v>
      </c>
      <c r="K2013">
        <v>1</v>
      </c>
      <c r="L2013" s="3">
        <v>9699</v>
      </c>
      <c r="M2013">
        <v>25</v>
      </c>
      <c r="N2013" s="3">
        <v>7270</v>
      </c>
      <c r="O2013" s="3">
        <v>7270</v>
      </c>
      <c r="P2013" t="s">
        <v>74</v>
      </c>
      <c r="Q2013" t="s">
        <v>82</v>
      </c>
      <c r="R2013" t="s">
        <v>36</v>
      </c>
      <c r="S2013" t="s">
        <v>68</v>
      </c>
      <c r="T2013" t="s">
        <v>207</v>
      </c>
      <c r="U2013" t="s">
        <v>39</v>
      </c>
      <c r="V2013" t="s">
        <v>40</v>
      </c>
      <c r="W2013">
        <v>4.0999999999999996</v>
      </c>
      <c r="X2013" t="s">
        <v>41</v>
      </c>
      <c r="Y2013" t="s">
        <v>55</v>
      </c>
      <c r="Z2013">
        <v>2</v>
      </c>
    </row>
    <row r="2014" spans="1:26">
      <c r="A2014" t="s">
        <v>3170</v>
      </c>
      <c r="B2014" t="s">
        <v>2157</v>
      </c>
      <c r="C2014" t="s">
        <v>28</v>
      </c>
      <c r="D2014" t="s">
        <v>103</v>
      </c>
      <c r="E2014" s="1">
        <v>45152</v>
      </c>
      <c r="F2014" t="s">
        <v>47</v>
      </c>
      <c r="G2014" t="s">
        <v>199</v>
      </c>
      <c r="H2014" t="s">
        <v>59</v>
      </c>
      <c r="I2014">
        <v>7</v>
      </c>
      <c r="J2014" t="s">
        <v>98</v>
      </c>
      <c r="K2014">
        <v>1</v>
      </c>
      <c r="L2014" s="3">
        <v>8799</v>
      </c>
      <c r="M2014">
        <v>10</v>
      </c>
      <c r="N2014" s="3">
        <v>7920</v>
      </c>
      <c r="O2014" s="3">
        <v>7920</v>
      </c>
      <c r="P2014" t="s">
        <v>74</v>
      </c>
      <c r="Q2014" t="s">
        <v>82</v>
      </c>
      <c r="R2014" t="s">
        <v>36</v>
      </c>
      <c r="S2014" t="s">
        <v>418</v>
      </c>
      <c r="T2014" t="s">
        <v>613</v>
      </c>
      <c r="U2014" t="s">
        <v>54</v>
      </c>
      <c r="V2014" t="s">
        <v>969</v>
      </c>
      <c r="W2014">
        <v>4.5</v>
      </c>
      <c r="X2014" t="s">
        <v>106</v>
      </c>
      <c r="Y2014" t="s">
        <v>55</v>
      </c>
      <c r="Z2014">
        <v>3</v>
      </c>
    </row>
    <row r="2015" spans="1:26">
      <c r="A2015" t="s">
        <v>3171</v>
      </c>
      <c r="B2015" t="s">
        <v>477</v>
      </c>
      <c r="C2015" t="s">
        <v>94</v>
      </c>
      <c r="D2015" t="s">
        <v>46</v>
      </c>
      <c r="E2015" s="1">
        <v>45153</v>
      </c>
      <c r="F2015" t="s">
        <v>65</v>
      </c>
      <c r="G2015" t="s">
        <v>72</v>
      </c>
      <c r="H2015" t="s">
        <v>59</v>
      </c>
      <c r="I2015">
        <v>9</v>
      </c>
      <c r="J2015" t="s">
        <v>88</v>
      </c>
      <c r="K2015">
        <v>1</v>
      </c>
      <c r="L2015" s="3">
        <v>3399</v>
      </c>
      <c r="M2015">
        <v>0</v>
      </c>
      <c r="N2015" s="3">
        <v>3400</v>
      </c>
      <c r="O2015" s="3">
        <v>3400</v>
      </c>
      <c r="P2015" t="s">
        <v>34</v>
      </c>
      <c r="Q2015" t="s">
        <v>51</v>
      </c>
      <c r="R2015" t="s">
        <v>36</v>
      </c>
      <c r="S2015" t="s">
        <v>52</v>
      </c>
      <c r="T2015" t="s">
        <v>60</v>
      </c>
      <c r="U2015" t="s">
        <v>39</v>
      </c>
      <c r="V2015" t="s">
        <v>969</v>
      </c>
      <c r="W2015">
        <v>5</v>
      </c>
      <c r="X2015" t="s">
        <v>41</v>
      </c>
      <c r="Y2015" t="s">
        <v>55</v>
      </c>
      <c r="Z2015">
        <v>4</v>
      </c>
    </row>
    <row r="2016" spans="1:26">
      <c r="A2016" t="s">
        <v>3172</v>
      </c>
      <c r="B2016" t="s">
        <v>2955</v>
      </c>
      <c r="C2016" t="s">
        <v>28</v>
      </c>
      <c r="D2016" t="s">
        <v>29</v>
      </c>
      <c r="E2016" s="1">
        <v>45154</v>
      </c>
      <c r="F2016" t="s">
        <v>86</v>
      </c>
      <c r="G2016" t="s">
        <v>190</v>
      </c>
      <c r="H2016" t="s">
        <v>128</v>
      </c>
      <c r="I2016">
        <v>8</v>
      </c>
      <c r="J2016" t="s">
        <v>67</v>
      </c>
      <c r="K2016">
        <v>1</v>
      </c>
      <c r="L2016" s="3">
        <v>7999</v>
      </c>
      <c r="M2016">
        <v>30</v>
      </c>
      <c r="N2016" s="3">
        <v>5600</v>
      </c>
      <c r="O2016" s="3">
        <v>5600</v>
      </c>
      <c r="P2016" t="s">
        <v>74</v>
      </c>
      <c r="Q2016" t="s">
        <v>35</v>
      </c>
      <c r="R2016" t="s">
        <v>36</v>
      </c>
      <c r="S2016" t="s">
        <v>238</v>
      </c>
      <c r="T2016" t="s">
        <v>377</v>
      </c>
      <c r="U2016" t="s">
        <v>61</v>
      </c>
      <c r="V2016" t="s">
        <v>315</v>
      </c>
      <c r="W2016">
        <v>4.3</v>
      </c>
      <c r="X2016" t="s">
        <v>41</v>
      </c>
      <c r="Y2016" t="s">
        <v>42</v>
      </c>
      <c r="Z2016">
        <v>4</v>
      </c>
    </row>
    <row r="2017" spans="1:26">
      <c r="A2017" t="s">
        <v>3173</v>
      </c>
      <c r="B2017" t="s">
        <v>3174</v>
      </c>
      <c r="C2017" t="s">
        <v>28</v>
      </c>
      <c r="D2017" t="s">
        <v>46</v>
      </c>
      <c r="E2017" s="1">
        <v>45155</v>
      </c>
      <c r="F2017" t="s">
        <v>47</v>
      </c>
      <c r="G2017" t="s">
        <v>402</v>
      </c>
      <c r="H2017" t="s">
        <v>32</v>
      </c>
      <c r="I2017">
        <v>12</v>
      </c>
      <c r="J2017" t="s">
        <v>150</v>
      </c>
      <c r="K2017">
        <v>3</v>
      </c>
      <c r="L2017" s="3">
        <v>8899</v>
      </c>
      <c r="M2017">
        <v>25</v>
      </c>
      <c r="N2017" s="3">
        <v>6670</v>
      </c>
      <c r="O2017" s="3">
        <v>20010</v>
      </c>
      <c r="P2017" t="s">
        <v>74</v>
      </c>
      <c r="Q2017" t="s">
        <v>35</v>
      </c>
      <c r="R2017" t="s">
        <v>36</v>
      </c>
      <c r="S2017" t="s">
        <v>200</v>
      </c>
      <c r="T2017" t="s">
        <v>204</v>
      </c>
      <c r="U2017" t="s">
        <v>54</v>
      </c>
      <c r="V2017" t="s">
        <v>40</v>
      </c>
      <c r="W2017">
        <v>5</v>
      </c>
      <c r="X2017" t="s">
        <v>41</v>
      </c>
      <c r="Y2017" t="s">
        <v>42</v>
      </c>
      <c r="Z2017">
        <v>2</v>
      </c>
    </row>
    <row r="2018" spans="1:26">
      <c r="A2018" t="s">
        <v>3175</v>
      </c>
      <c r="B2018" t="s">
        <v>408</v>
      </c>
      <c r="C2018" t="s">
        <v>45</v>
      </c>
      <c r="D2018" t="s">
        <v>29</v>
      </c>
      <c r="E2018" s="1">
        <v>45156</v>
      </c>
      <c r="F2018" t="s">
        <v>30</v>
      </c>
      <c r="G2018" t="s">
        <v>347</v>
      </c>
      <c r="H2018" t="s">
        <v>49</v>
      </c>
      <c r="I2018">
        <v>12</v>
      </c>
      <c r="J2018" t="s">
        <v>98</v>
      </c>
      <c r="K2018">
        <v>1</v>
      </c>
      <c r="L2018" s="3">
        <v>4899</v>
      </c>
      <c r="M2018">
        <v>20</v>
      </c>
      <c r="N2018" s="3">
        <v>3920</v>
      </c>
      <c r="O2018" s="3">
        <v>3920</v>
      </c>
      <c r="P2018" t="s">
        <v>74</v>
      </c>
      <c r="Q2018" t="s">
        <v>51</v>
      </c>
      <c r="R2018" t="s">
        <v>36</v>
      </c>
      <c r="S2018" t="s">
        <v>104</v>
      </c>
      <c r="T2018" t="s">
        <v>179</v>
      </c>
      <c r="U2018" t="s">
        <v>39</v>
      </c>
      <c r="V2018" t="s">
        <v>969</v>
      </c>
      <c r="W2018">
        <v>4</v>
      </c>
      <c r="X2018" t="s">
        <v>41</v>
      </c>
      <c r="Y2018" t="s">
        <v>55</v>
      </c>
      <c r="Z2018">
        <v>3</v>
      </c>
    </row>
    <row r="2019" spans="1:26">
      <c r="A2019" t="s">
        <v>3176</v>
      </c>
      <c r="B2019" t="s">
        <v>2078</v>
      </c>
      <c r="C2019" t="s">
        <v>28</v>
      </c>
      <c r="D2019" t="s">
        <v>46</v>
      </c>
      <c r="E2019" s="1">
        <v>45156</v>
      </c>
      <c r="F2019" t="s">
        <v>96</v>
      </c>
      <c r="G2019" t="s">
        <v>155</v>
      </c>
      <c r="H2019" t="s">
        <v>111</v>
      </c>
      <c r="I2019">
        <v>11</v>
      </c>
      <c r="J2019" t="s">
        <v>150</v>
      </c>
      <c r="K2019">
        <v>1</v>
      </c>
      <c r="L2019" s="3">
        <v>9099</v>
      </c>
      <c r="M2019">
        <v>20</v>
      </c>
      <c r="N2019" s="3">
        <v>7280</v>
      </c>
      <c r="O2019" s="3">
        <v>7280</v>
      </c>
      <c r="P2019" t="s">
        <v>74</v>
      </c>
      <c r="Q2019" t="s">
        <v>82</v>
      </c>
      <c r="R2019" t="s">
        <v>36</v>
      </c>
      <c r="S2019" t="s">
        <v>210</v>
      </c>
      <c r="T2019" t="s">
        <v>680</v>
      </c>
      <c r="U2019" t="s">
        <v>61</v>
      </c>
      <c r="V2019" t="s">
        <v>969</v>
      </c>
      <c r="W2019">
        <v>3.8</v>
      </c>
      <c r="X2019" t="s">
        <v>62</v>
      </c>
      <c r="Y2019" t="s">
        <v>42</v>
      </c>
      <c r="Z2019">
        <v>6</v>
      </c>
    </row>
    <row r="2020" spans="1:26">
      <c r="A2020" t="s">
        <v>3177</v>
      </c>
      <c r="B2020" t="s">
        <v>2374</v>
      </c>
      <c r="C2020" t="s">
        <v>28</v>
      </c>
      <c r="D2020" t="s">
        <v>46</v>
      </c>
      <c r="E2020" s="1">
        <v>45157</v>
      </c>
      <c r="F2020" t="s">
        <v>30</v>
      </c>
      <c r="G2020" t="s">
        <v>31</v>
      </c>
      <c r="H2020" t="s">
        <v>32</v>
      </c>
      <c r="I2020">
        <v>7</v>
      </c>
      <c r="J2020" t="s">
        <v>73</v>
      </c>
      <c r="K2020">
        <v>1</v>
      </c>
      <c r="L2020" s="3">
        <v>8399</v>
      </c>
      <c r="M2020">
        <v>30</v>
      </c>
      <c r="N2020" s="3">
        <v>5880</v>
      </c>
      <c r="O2020" s="3">
        <v>5880</v>
      </c>
      <c r="P2020" t="s">
        <v>74</v>
      </c>
      <c r="Q2020" t="s">
        <v>82</v>
      </c>
      <c r="R2020" t="s">
        <v>36</v>
      </c>
      <c r="S2020" t="s">
        <v>418</v>
      </c>
      <c r="T2020" t="s">
        <v>549</v>
      </c>
      <c r="U2020" t="s">
        <v>54</v>
      </c>
      <c r="V2020" t="s">
        <v>315</v>
      </c>
      <c r="W2020">
        <v>4</v>
      </c>
      <c r="X2020" t="s">
        <v>41</v>
      </c>
      <c r="Y2020" t="s">
        <v>55</v>
      </c>
      <c r="Z2020">
        <v>3</v>
      </c>
    </row>
    <row r="2021" spans="1:26">
      <c r="A2021" t="s">
        <v>3178</v>
      </c>
      <c r="B2021" t="s">
        <v>1453</v>
      </c>
      <c r="C2021" t="s">
        <v>45</v>
      </c>
      <c r="D2021" t="s">
        <v>109</v>
      </c>
      <c r="E2021" s="1">
        <v>45158</v>
      </c>
      <c r="F2021" t="s">
        <v>65</v>
      </c>
      <c r="G2021" t="s">
        <v>279</v>
      </c>
      <c r="H2021" t="s">
        <v>111</v>
      </c>
      <c r="I2021">
        <v>7</v>
      </c>
      <c r="J2021" t="s">
        <v>98</v>
      </c>
      <c r="K2021">
        <v>3</v>
      </c>
      <c r="L2021" s="3">
        <v>5999</v>
      </c>
      <c r="M2021">
        <v>15</v>
      </c>
      <c r="N2021" s="3">
        <v>5100</v>
      </c>
      <c r="O2021" s="3">
        <v>15300</v>
      </c>
      <c r="P2021" t="s">
        <v>81</v>
      </c>
      <c r="Q2021" t="s">
        <v>51</v>
      </c>
      <c r="R2021" t="s">
        <v>36</v>
      </c>
      <c r="S2021" t="s">
        <v>168</v>
      </c>
      <c r="T2021" t="s">
        <v>168</v>
      </c>
      <c r="U2021" t="s">
        <v>61</v>
      </c>
      <c r="V2021" t="s">
        <v>315</v>
      </c>
      <c r="W2021">
        <v>4.8</v>
      </c>
      <c r="X2021" t="s">
        <v>41</v>
      </c>
      <c r="Y2021" t="s">
        <v>42</v>
      </c>
      <c r="Z2021">
        <v>4</v>
      </c>
    </row>
    <row r="2022" spans="1:26">
      <c r="A2022" t="s">
        <v>3179</v>
      </c>
      <c r="B2022" t="s">
        <v>899</v>
      </c>
      <c r="C2022" t="s">
        <v>45</v>
      </c>
      <c r="D2022" t="s">
        <v>29</v>
      </c>
      <c r="E2022" s="1">
        <v>45159</v>
      </c>
      <c r="F2022" t="s">
        <v>47</v>
      </c>
      <c r="G2022" t="s">
        <v>402</v>
      </c>
      <c r="H2022" t="s">
        <v>32</v>
      </c>
      <c r="I2022">
        <v>11</v>
      </c>
      <c r="J2022" t="s">
        <v>98</v>
      </c>
      <c r="K2022">
        <v>1</v>
      </c>
      <c r="L2022" s="3">
        <v>7099</v>
      </c>
      <c r="M2022">
        <v>20</v>
      </c>
      <c r="N2022" s="3">
        <v>5680</v>
      </c>
      <c r="O2022" s="3">
        <v>5680</v>
      </c>
      <c r="P2022" t="s">
        <v>34</v>
      </c>
      <c r="Q2022" t="s">
        <v>51</v>
      </c>
      <c r="R2022" t="s">
        <v>36</v>
      </c>
      <c r="S2022" t="s">
        <v>122</v>
      </c>
      <c r="T2022" t="s">
        <v>372</v>
      </c>
      <c r="U2022" t="s">
        <v>54</v>
      </c>
      <c r="V2022" t="s">
        <v>315</v>
      </c>
      <c r="W2022">
        <v>3.9</v>
      </c>
      <c r="X2022" t="s">
        <v>41</v>
      </c>
      <c r="Y2022" t="s">
        <v>42</v>
      </c>
      <c r="Z2022">
        <v>6</v>
      </c>
    </row>
    <row r="2023" spans="1:26">
      <c r="A2023" t="s">
        <v>3180</v>
      </c>
      <c r="B2023" t="s">
        <v>3181</v>
      </c>
      <c r="C2023" t="s">
        <v>94</v>
      </c>
      <c r="D2023" t="s">
        <v>46</v>
      </c>
      <c r="E2023" s="1">
        <v>45161</v>
      </c>
      <c r="F2023" t="s">
        <v>30</v>
      </c>
      <c r="G2023" t="s">
        <v>31</v>
      </c>
      <c r="H2023" t="s">
        <v>32</v>
      </c>
      <c r="I2023">
        <v>11</v>
      </c>
      <c r="J2023" t="s">
        <v>33</v>
      </c>
      <c r="K2023">
        <v>1</v>
      </c>
      <c r="L2023" s="3">
        <v>5399</v>
      </c>
      <c r="M2023">
        <v>0</v>
      </c>
      <c r="N2023" s="3">
        <v>5400</v>
      </c>
      <c r="O2023" s="3">
        <v>5400</v>
      </c>
      <c r="P2023" t="s">
        <v>74</v>
      </c>
      <c r="Q2023" t="s">
        <v>51</v>
      </c>
      <c r="R2023" t="s">
        <v>36</v>
      </c>
      <c r="S2023" t="s">
        <v>104</v>
      </c>
      <c r="T2023" t="s">
        <v>1048</v>
      </c>
      <c r="U2023" t="s">
        <v>124</v>
      </c>
      <c r="V2023" t="s">
        <v>40</v>
      </c>
      <c r="W2023">
        <v>5</v>
      </c>
      <c r="X2023" t="s">
        <v>41</v>
      </c>
      <c r="Y2023" t="s">
        <v>55</v>
      </c>
      <c r="Z2023">
        <v>3</v>
      </c>
    </row>
    <row r="2024" spans="1:26">
      <c r="A2024" t="s">
        <v>3182</v>
      </c>
      <c r="B2024" t="s">
        <v>2834</v>
      </c>
      <c r="C2024" t="s">
        <v>45</v>
      </c>
      <c r="D2024" t="s">
        <v>46</v>
      </c>
      <c r="E2024" s="1">
        <v>45161</v>
      </c>
      <c r="F2024" t="s">
        <v>79</v>
      </c>
      <c r="G2024" t="s">
        <v>127</v>
      </c>
      <c r="H2024" t="s">
        <v>128</v>
      </c>
      <c r="I2024">
        <v>9</v>
      </c>
      <c r="J2024" t="s">
        <v>150</v>
      </c>
      <c r="K2024">
        <v>1</v>
      </c>
      <c r="L2024" s="3">
        <v>6599</v>
      </c>
      <c r="M2024">
        <v>20</v>
      </c>
      <c r="N2024" s="3">
        <v>5280</v>
      </c>
      <c r="O2024" s="3">
        <v>5280</v>
      </c>
      <c r="P2024" t="s">
        <v>34</v>
      </c>
      <c r="Q2024" t="s">
        <v>35</v>
      </c>
      <c r="R2024" t="s">
        <v>36</v>
      </c>
      <c r="S2024" t="s">
        <v>104</v>
      </c>
      <c r="T2024" t="s">
        <v>105</v>
      </c>
      <c r="U2024" t="s">
        <v>124</v>
      </c>
      <c r="V2024" t="s">
        <v>315</v>
      </c>
      <c r="W2024">
        <v>4.8</v>
      </c>
      <c r="X2024" t="s">
        <v>41</v>
      </c>
      <c r="Y2024" t="s">
        <v>42</v>
      </c>
      <c r="Z2024">
        <v>6</v>
      </c>
    </row>
    <row r="2025" spans="1:26">
      <c r="A2025" t="s">
        <v>3183</v>
      </c>
      <c r="B2025" t="s">
        <v>1395</v>
      </c>
      <c r="C2025" t="s">
        <v>45</v>
      </c>
      <c r="D2025" t="s">
        <v>29</v>
      </c>
      <c r="E2025" s="1">
        <v>45162</v>
      </c>
      <c r="F2025" t="s">
        <v>96</v>
      </c>
      <c r="G2025" t="s">
        <v>155</v>
      </c>
      <c r="H2025" t="s">
        <v>111</v>
      </c>
      <c r="I2025">
        <v>9</v>
      </c>
      <c r="J2025" t="s">
        <v>33</v>
      </c>
      <c r="K2025">
        <v>1</v>
      </c>
      <c r="L2025" s="3">
        <v>7099</v>
      </c>
      <c r="M2025">
        <v>15</v>
      </c>
      <c r="N2025" s="3">
        <v>6030</v>
      </c>
      <c r="O2025" s="3">
        <v>6030</v>
      </c>
      <c r="P2025" t="s">
        <v>74</v>
      </c>
      <c r="Q2025" t="s">
        <v>35</v>
      </c>
      <c r="R2025" t="s">
        <v>36</v>
      </c>
      <c r="S2025" t="s">
        <v>112</v>
      </c>
      <c r="T2025" t="s">
        <v>113</v>
      </c>
      <c r="U2025" t="s">
        <v>91</v>
      </c>
      <c r="V2025" t="s">
        <v>315</v>
      </c>
      <c r="W2025">
        <v>4.2</v>
      </c>
      <c r="X2025" t="s">
        <v>62</v>
      </c>
      <c r="Y2025" t="s">
        <v>42</v>
      </c>
      <c r="Z2025">
        <v>4</v>
      </c>
    </row>
    <row r="2026" spans="1:26">
      <c r="A2026" t="s">
        <v>3184</v>
      </c>
      <c r="B2026" t="s">
        <v>132</v>
      </c>
      <c r="C2026" t="s">
        <v>45</v>
      </c>
      <c r="D2026" t="s">
        <v>46</v>
      </c>
      <c r="E2026" s="1">
        <v>45163</v>
      </c>
      <c r="F2026" t="s">
        <v>79</v>
      </c>
      <c r="G2026" t="s">
        <v>480</v>
      </c>
      <c r="H2026" t="s">
        <v>111</v>
      </c>
      <c r="I2026">
        <v>6</v>
      </c>
      <c r="J2026" t="s">
        <v>33</v>
      </c>
      <c r="K2026">
        <v>1</v>
      </c>
      <c r="L2026" s="3">
        <v>5199</v>
      </c>
      <c r="M2026">
        <v>20</v>
      </c>
      <c r="N2026" s="3">
        <v>4160</v>
      </c>
      <c r="O2026" s="3">
        <v>4160</v>
      </c>
      <c r="P2026" t="s">
        <v>74</v>
      </c>
      <c r="Q2026" t="s">
        <v>51</v>
      </c>
      <c r="R2026" t="s">
        <v>36</v>
      </c>
      <c r="S2026" t="s">
        <v>122</v>
      </c>
      <c r="T2026" t="s">
        <v>382</v>
      </c>
      <c r="U2026" t="s">
        <v>54</v>
      </c>
      <c r="V2026" t="s">
        <v>969</v>
      </c>
      <c r="W2026">
        <v>4.5999999999999996</v>
      </c>
      <c r="X2026" t="s">
        <v>41</v>
      </c>
      <c r="Y2026" t="s">
        <v>42</v>
      </c>
      <c r="Z2026">
        <v>4</v>
      </c>
    </row>
    <row r="2027" spans="1:26">
      <c r="A2027" t="s">
        <v>3185</v>
      </c>
      <c r="B2027" t="s">
        <v>1941</v>
      </c>
      <c r="C2027" t="s">
        <v>94</v>
      </c>
      <c r="D2027" t="s">
        <v>103</v>
      </c>
      <c r="E2027" s="1">
        <v>45163</v>
      </c>
      <c r="F2027" t="s">
        <v>86</v>
      </c>
      <c r="G2027" t="s">
        <v>285</v>
      </c>
      <c r="H2027" t="s">
        <v>111</v>
      </c>
      <c r="I2027">
        <v>8</v>
      </c>
      <c r="J2027" t="s">
        <v>33</v>
      </c>
      <c r="K2027">
        <v>2</v>
      </c>
      <c r="L2027" s="3">
        <v>7399</v>
      </c>
      <c r="M2027">
        <v>0</v>
      </c>
      <c r="N2027" s="3">
        <v>7400</v>
      </c>
      <c r="O2027" s="3">
        <v>14800</v>
      </c>
      <c r="P2027" t="s">
        <v>74</v>
      </c>
      <c r="Q2027" t="s">
        <v>51</v>
      </c>
      <c r="R2027" t="s">
        <v>36</v>
      </c>
      <c r="S2027" t="s">
        <v>354</v>
      </c>
      <c r="T2027" t="s">
        <v>434</v>
      </c>
      <c r="U2027" t="s">
        <v>39</v>
      </c>
      <c r="V2027" t="s">
        <v>315</v>
      </c>
      <c r="W2027">
        <v>5</v>
      </c>
      <c r="X2027" t="s">
        <v>41</v>
      </c>
      <c r="Y2027" t="s">
        <v>42</v>
      </c>
      <c r="Z2027">
        <v>7</v>
      </c>
    </row>
    <row r="2028" spans="1:26">
      <c r="A2028" t="s">
        <v>3186</v>
      </c>
      <c r="B2028" t="s">
        <v>3187</v>
      </c>
      <c r="C2028" t="s">
        <v>28</v>
      </c>
      <c r="D2028" t="s">
        <v>29</v>
      </c>
      <c r="E2028" s="1">
        <v>45164</v>
      </c>
      <c r="F2028" t="s">
        <v>86</v>
      </c>
      <c r="G2028" t="s">
        <v>87</v>
      </c>
      <c r="H2028" t="s">
        <v>59</v>
      </c>
      <c r="I2028">
        <v>11</v>
      </c>
      <c r="J2028" t="s">
        <v>98</v>
      </c>
      <c r="K2028">
        <v>1</v>
      </c>
      <c r="L2028" s="3">
        <v>8899</v>
      </c>
      <c r="M2028">
        <v>10</v>
      </c>
      <c r="N2028" s="3">
        <v>8010</v>
      </c>
      <c r="O2028" s="3">
        <v>8010</v>
      </c>
      <c r="P2028" t="s">
        <v>74</v>
      </c>
      <c r="Q2028" t="s">
        <v>51</v>
      </c>
      <c r="R2028" t="s">
        <v>36</v>
      </c>
      <c r="S2028" t="s">
        <v>358</v>
      </c>
      <c r="T2028" t="s">
        <v>464</v>
      </c>
      <c r="U2028" t="s">
        <v>61</v>
      </c>
      <c r="V2028" t="s">
        <v>40</v>
      </c>
      <c r="W2028">
        <v>4.5</v>
      </c>
      <c r="X2028" t="s">
        <v>41</v>
      </c>
      <c r="Y2028" t="s">
        <v>42</v>
      </c>
      <c r="Z2028">
        <v>3</v>
      </c>
    </row>
    <row r="2029" spans="1:26">
      <c r="A2029" t="s">
        <v>3188</v>
      </c>
      <c r="B2029" t="s">
        <v>2348</v>
      </c>
      <c r="C2029" t="s">
        <v>45</v>
      </c>
      <c r="D2029" t="s">
        <v>46</v>
      </c>
      <c r="E2029" s="1">
        <v>45165</v>
      </c>
      <c r="F2029" t="s">
        <v>47</v>
      </c>
      <c r="G2029" t="s">
        <v>218</v>
      </c>
      <c r="H2029" t="s">
        <v>59</v>
      </c>
      <c r="I2029">
        <v>8</v>
      </c>
      <c r="J2029" t="s">
        <v>88</v>
      </c>
      <c r="K2029">
        <v>1</v>
      </c>
      <c r="L2029" s="3">
        <v>6199</v>
      </c>
      <c r="M2029">
        <v>10</v>
      </c>
      <c r="N2029" s="3">
        <v>5580</v>
      </c>
      <c r="O2029" s="3">
        <v>5580</v>
      </c>
      <c r="P2029" t="s">
        <v>81</v>
      </c>
      <c r="Q2029" t="s">
        <v>82</v>
      </c>
      <c r="R2029" t="s">
        <v>36</v>
      </c>
      <c r="S2029" t="s">
        <v>269</v>
      </c>
      <c r="T2029" t="s">
        <v>575</v>
      </c>
      <c r="U2029" t="s">
        <v>91</v>
      </c>
      <c r="V2029" t="s">
        <v>315</v>
      </c>
      <c r="W2029">
        <v>3.5</v>
      </c>
      <c r="X2029" t="s">
        <v>41</v>
      </c>
      <c r="Y2029" t="s">
        <v>147</v>
      </c>
      <c r="Z2029">
        <v>1</v>
      </c>
    </row>
    <row r="2030" spans="1:26">
      <c r="A2030" t="s">
        <v>3189</v>
      </c>
      <c r="B2030" t="s">
        <v>662</v>
      </c>
      <c r="C2030" t="s">
        <v>45</v>
      </c>
      <c r="D2030" t="s">
        <v>46</v>
      </c>
      <c r="E2030" s="1">
        <v>45171</v>
      </c>
      <c r="F2030" t="s">
        <v>30</v>
      </c>
      <c r="G2030" t="s">
        <v>58</v>
      </c>
      <c r="H2030" t="s">
        <v>59</v>
      </c>
      <c r="I2030">
        <v>9</v>
      </c>
      <c r="J2030" t="s">
        <v>67</v>
      </c>
      <c r="K2030">
        <v>2</v>
      </c>
      <c r="L2030" s="3">
        <v>8499</v>
      </c>
      <c r="M2030">
        <v>20</v>
      </c>
      <c r="N2030" s="3">
        <v>6800</v>
      </c>
      <c r="O2030" s="3">
        <v>13600</v>
      </c>
      <c r="P2030" t="s">
        <v>34</v>
      </c>
      <c r="Q2030" t="s">
        <v>51</v>
      </c>
      <c r="R2030" t="s">
        <v>36</v>
      </c>
      <c r="S2030" t="s">
        <v>129</v>
      </c>
      <c r="T2030" t="s">
        <v>282</v>
      </c>
      <c r="U2030" t="s">
        <v>54</v>
      </c>
      <c r="V2030" t="s">
        <v>969</v>
      </c>
      <c r="W2030">
        <v>2.5</v>
      </c>
      <c r="X2030" t="s">
        <v>41</v>
      </c>
      <c r="Y2030" t="s">
        <v>55</v>
      </c>
      <c r="Z2030">
        <v>2</v>
      </c>
    </row>
    <row r="2031" spans="1:26">
      <c r="A2031" t="s">
        <v>3190</v>
      </c>
      <c r="B2031" t="s">
        <v>203</v>
      </c>
      <c r="C2031" t="s">
        <v>45</v>
      </c>
      <c r="D2031" t="s">
        <v>29</v>
      </c>
      <c r="E2031" s="1">
        <v>45172</v>
      </c>
      <c r="F2031" t="s">
        <v>79</v>
      </c>
      <c r="G2031" t="s">
        <v>517</v>
      </c>
      <c r="H2031" t="s">
        <v>59</v>
      </c>
      <c r="I2031">
        <v>6</v>
      </c>
      <c r="J2031" t="s">
        <v>73</v>
      </c>
      <c r="K2031">
        <v>2</v>
      </c>
      <c r="L2031" s="3">
        <v>6599</v>
      </c>
      <c r="M2031">
        <v>15</v>
      </c>
      <c r="N2031" s="3">
        <v>5610</v>
      </c>
      <c r="O2031" s="3">
        <v>11220</v>
      </c>
      <c r="P2031" t="s">
        <v>74</v>
      </c>
      <c r="Q2031" t="s">
        <v>82</v>
      </c>
      <c r="R2031" t="s">
        <v>36</v>
      </c>
      <c r="S2031" t="s">
        <v>164</v>
      </c>
      <c r="T2031" t="s">
        <v>348</v>
      </c>
      <c r="U2031" t="s">
        <v>54</v>
      </c>
      <c r="V2031" t="s">
        <v>969</v>
      </c>
      <c r="W2031">
        <v>4.4000000000000004</v>
      </c>
      <c r="X2031" t="s">
        <v>106</v>
      </c>
      <c r="Y2031" t="s">
        <v>42</v>
      </c>
      <c r="Z2031">
        <v>5</v>
      </c>
    </row>
    <row r="2032" spans="1:26">
      <c r="A2032" t="s">
        <v>3191</v>
      </c>
      <c r="B2032" t="s">
        <v>513</v>
      </c>
      <c r="C2032" t="s">
        <v>45</v>
      </c>
      <c r="D2032" t="s">
        <v>103</v>
      </c>
      <c r="E2032" s="1">
        <v>45172</v>
      </c>
      <c r="F2032" t="s">
        <v>30</v>
      </c>
      <c r="G2032" t="s">
        <v>145</v>
      </c>
      <c r="H2032" t="s">
        <v>59</v>
      </c>
      <c r="I2032">
        <v>8</v>
      </c>
      <c r="J2032" t="s">
        <v>150</v>
      </c>
      <c r="K2032">
        <v>1</v>
      </c>
      <c r="L2032" s="3">
        <v>8399</v>
      </c>
      <c r="M2032">
        <v>10</v>
      </c>
      <c r="N2032" s="3">
        <v>7560</v>
      </c>
      <c r="O2032" s="3">
        <v>7560</v>
      </c>
      <c r="P2032" t="s">
        <v>74</v>
      </c>
      <c r="Q2032" t="s">
        <v>82</v>
      </c>
      <c r="R2032" t="s">
        <v>36</v>
      </c>
      <c r="S2032" t="s">
        <v>175</v>
      </c>
      <c r="T2032" t="s">
        <v>176</v>
      </c>
      <c r="U2032" t="s">
        <v>91</v>
      </c>
      <c r="V2032" t="s">
        <v>315</v>
      </c>
      <c r="W2032">
        <v>3.6</v>
      </c>
      <c r="X2032" t="s">
        <v>41</v>
      </c>
      <c r="Y2032" t="s">
        <v>42</v>
      </c>
      <c r="Z2032">
        <v>4</v>
      </c>
    </row>
    <row r="2033" spans="1:26">
      <c r="A2033" t="s">
        <v>3192</v>
      </c>
      <c r="B2033" t="s">
        <v>531</v>
      </c>
      <c r="C2033" t="s">
        <v>28</v>
      </c>
      <c r="D2033" t="s">
        <v>29</v>
      </c>
      <c r="E2033" s="1">
        <v>45173</v>
      </c>
      <c r="F2033" t="s">
        <v>65</v>
      </c>
      <c r="G2033" t="s">
        <v>365</v>
      </c>
      <c r="H2033" t="s">
        <v>49</v>
      </c>
      <c r="I2033">
        <v>11</v>
      </c>
      <c r="J2033" t="s">
        <v>73</v>
      </c>
      <c r="K2033">
        <v>1</v>
      </c>
      <c r="L2033" s="3">
        <v>4699</v>
      </c>
      <c r="M2033">
        <v>5</v>
      </c>
      <c r="N2033" s="3">
        <v>4460</v>
      </c>
      <c r="O2033" s="3">
        <v>4460</v>
      </c>
      <c r="P2033" t="s">
        <v>74</v>
      </c>
      <c r="Q2033" t="s">
        <v>51</v>
      </c>
      <c r="R2033" t="s">
        <v>36</v>
      </c>
      <c r="S2033" t="s">
        <v>68</v>
      </c>
      <c r="T2033" t="s">
        <v>811</v>
      </c>
      <c r="U2033" t="s">
        <v>54</v>
      </c>
      <c r="V2033" t="s">
        <v>969</v>
      </c>
      <c r="W2033">
        <v>4.4000000000000004</v>
      </c>
      <c r="X2033" t="s">
        <v>41</v>
      </c>
      <c r="Y2033" t="s">
        <v>42</v>
      </c>
      <c r="Z2033">
        <v>5</v>
      </c>
    </row>
    <row r="2034" spans="1:26">
      <c r="A2034" t="s">
        <v>3193</v>
      </c>
      <c r="B2034" t="s">
        <v>2874</v>
      </c>
      <c r="C2034" t="s">
        <v>28</v>
      </c>
      <c r="D2034" t="s">
        <v>109</v>
      </c>
      <c r="E2034" s="1">
        <v>45173</v>
      </c>
      <c r="F2034" t="s">
        <v>30</v>
      </c>
      <c r="G2034" t="s">
        <v>58</v>
      </c>
      <c r="H2034" t="s">
        <v>59</v>
      </c>
      <c r="I2034">
        <v>7</v>
      </c>
      <c r="J2034" t="s">
        <v>150</v>
      </c>
      <c r="K2034">
        <v>1</v>
      </c>
      <c r="L2034" s="3">
        <v>4999</v>
      </c>
      <c r="M2034">
        <v>10</v>
      </c>
      <c r="N2034" s="3">
        <v>4500</v>
      </c>
      <c r="O2034" s="3">
        <v>4500</v>
      </c>
      <c r="P2034" t="s">
        <v>74</v>
      </c>
      <c r="Q2034" t="s">
        <v>51</v>
      </c>
      <c r="R2034" t="s">
        <v>36</v>
      </c>
      <c r="S2034" t="s">
        <v>354</v>
      </c>
      <c r="T2034" t="s">
        <v>434</v>
      </c>
      <c r="U2034" t="s">
        <v>91</v>
      </c>
      <c r="V2034" t="s">
        <v>315</v>
      </c>
      <c r="W2034">
        <v>4.2</v>
      </c>
      <c r="X2034" t="s">
        <v>41</v>
      </c>
      <c r="Y2034" t="s">
        <v>55</v>
      </c>
      <c r="Z2034">
        <v>3</v>
      </c>
    </row>
    <row r="2035" spans="1:26">
      <c r="A2035" t="s">
        <v>3194</v>
      </c>
      <c r="B2035" t="s">
        <v>2884</v>
      </c>
      <c r="C2035" t="s">
        <v>45</v>
      </c>
      <c r="D2035" t="s">
        <v>29</v>
      </c>
      <c r="E2035" s="1">
        <v>45173</v>
      </c>
      <c r="F2035" t="s">
        <v>96</v>
      </c>
      <c r="G2035" t="s">
        <v>97</v>
      </c>
      <c r="H2035" t="s">
        <v>49</v>
      </c>
      <c r="I2035">
        <v>9</v>
      </c>
      <c r="J2035" t="s">
        <v>150</v>
      </c>
      <c r="K2035">
        <v>2</v>
      </c>
      <c r="L2035" s="3">
        <v>8899</v>
      </c>
      <c r="M2035">
        <v>35</v>
      </c>
      <c r="N2035" s="3">
        <v>5780</v>
      </c>
      <c r="O2035" s="3">
        <v>11560</v>
      </c>
      <c r="P2035" t="s">
        <v>34</v>
      </c>
      <c r="Q2035" t="s">
        <v>51</v>
      </c>
      <c r="R2035" t="s">
        <v>36</v>
      </c>
      <c r="S2035" t="s">
        <v>112</v>
      </c>
      <c r="T2035" t="s">
        <v>250</v>
      </c>
      <c r="U2035" t="s">
        <v>61</v>
      </c>
      <c r="V2035" t="s">
        <v>315</v>
      </c>
      <c r="W2035">
        <v>2.2999999999999998</v>
      </c>
      <c r="X2035" t="s">
        <v>106</v>
      </c>
      <c r="Y2035" t="s">
        <v>42</v>
      </c>
      <c r="Z2035">
        <v>1</v>
      </c>
    </row>
    <row r="2036" spans="1:26">
      <c r="A2036" t="s">
        <v>3195</v>
      </c>
      <c r="B2036" t="s">
        <v>2999</v>
      </c>
      <c r="C2036" t="s">
        <v>45</v>
      </c>
      <c r="D2036" t="s">
        <v>29</v>
      </c>
      <c r="E2036" s="1">
        <v>45177</v>
      </c>
      <c r="F2036" t="s">
        <v>47</v>
      </c>
      <c r="G2036" t="s">
        <v>140</v>
      </c>
      <c r="H2036" t="s">
        <v>128</v>
      </c>
      <c r="I2036">
        <v>8</v>
      </c>
      <c r="J2036" t="s">
        <v>98</v>
      </c>
      <c r="K2036">
        <v>3</v>
      </c>
      <c r="L2036" s="3">
        <v>4599</v>
      </c>
      <c r="M2036">
        <v>35</v>
      </c>
      <c r="N2036" s="3">
        <v>2990</v>
      </c>
      <c r="O2036" s="3">
        <v>8970</v>
      </c>
      <c r="P2036" t="s">
        <v>74</v>
      </c>
      <c r="Q2036" t="s">
        <v>35</v>
      </c>
      <c r="R2036" t="s">
        <v>36</v>
      </c>
      <c r="S2036" t="s">
        <v>358</v>
      </c>
      <c r="T2036" t="s">
        <v>359</v>
      </c>
      <c r="U2036" t="s">
        <v>124</v>
      </c>
      <c r="V2036" t="s">
        <v>315</v>
      </c>
      <c r="W2036">
        <v>3.9</v>
      </c>
      <c r="X2036" t="s">
        <v>62</v>
      </c>
      <c r="Y2036" t="s">
        <v>42</v>
      </c>
      <c r="Z2036">
        <v>4</v>
      </c>
    </row>
    <row r="2037" spans="1:26">
      <c r="A2037" t="s">
        <v>3196</v>
      </c>
      <c r="B2037" t="s">
        <v>2135</v>
      </c>
      <c r="C2037" t="s">
        <v>28</v>
      </c>
      <c r="D2037" t="s">
        <v>46</v>
      </c>
      <c r="E2037" s="1">
        <v>45177</v>
      </c>
      <c r="F2037" t="s">
        <v>86</v>
      </c>
      <c r="G2037" t="s">
        <v>242</v>
      </c>
      <c r="H2037" t="s">
        <v>32</v>
      </c>
      <c r="I2037">
        <v>8</v>
      </c>
      <c r="J2037" t="s">
        <v>33</v>
      </c>
      <c r="K2037">
        <v>1</v>
      </c>
      <c r="L2037" s="3">
        <v>4499</v>
      </c>
      <c r="M2037">
        <v>20</v>
      </c>
      <c r="N2037" s="3">
        <v>3600</v>
      </c>
      <c r="O2037" s="3">
        <v>3600</v>
      </c>
      <c r="P2037" t="s">
        <v>74</v>
      </c>
      <c r="Q2037" t="s">
        <v>51</v>
      </c>
      <c r="R2037" t="s">
        <v>36</v>
      </c>
      <c r="S2037" t="s">
        <v>37</v>
      </c>
      <c r="T2037" t="s">
        <v>509</v>
      </c>
      <c r="U2037" t="s">
        <v>54</v>
      </c>
      <c r="V2037" t="s">
        <v>969</v>
      </c>
      <c r="W2037">
        <v>3.3</v>
      </c>
      <c r="X2037" t="s">
        <v>41</v>
      </c>
      <c r="Y2037" t="s">
        <v>55</v>
      </c>
      <c r="Z2037">
        <v>4</v>
      </c>
    </row>
    <row r="2038" spans="1:26">
      <c r="A2038" t="s">
        <v>3197</v>
      </c>
      <c r="B2038" t="s">
        <v>2427</v>
      </c>
      <c r="C2038" t="s">
        <v>28</v>
      </c>
      <c r="D2038" t="s">
        <v>103</v>
      </c>
      <c r="E2038" s="1">
        <v>45178</v>
      </c>
      <c r="F2038" t="s">
        <v>79</v>
      </c>
      <c r="G2038" t="s">
        <v>301</v>
      </c>
      <c r="H2038" t="s">
        <v>49</v>
      </c>
      <c r="I2038">
        <v>8</v>
      </c>
      <c r="J2038" t="s">
        <v>98</v>
      </c>
      <c r="K2038">
        <v>1</v>
      </c>
      <c r="L2038" s="3">
        <v>8599</v>
      </c>
      <c r="M2038">
        <v>15</v>
      </c>
      <c r="N2038" s="3">
        <v>7310</v>
      </c>
      <c r="O2038" s="3">
        <v>7310</v>
      </c>
      <c r="P2038" t="s">
        <v>74</v>
      </c>
      <c r="Q2038" t="s">
        <v>51</v>
      </c>
      <c r="R2038" t="s">
        <v>36</v>
      </c>
      <c r="S2038" t="s">
        <v>418</v>
      </c>
      <c r="T2038" t="s">
        <v>613</v>
      </c>
      <c r="U2038" t="s">
        <v>91</v>
      </c>
      <c r="V2038" t="s">
        <v>315</v>
      </c>
      <c r="W2038">
        <v>4.0999999999999996</v>
      </c>
      <c r="X2038" t="s">
        <v>41</v>
      </c>
      <c r="Y2038" t="s">
        <v>42</v>
      </c>
      <c r="Z2038">
        <v>4</v>
      </c>
    </row>
    <row r="2039" spans="1:26">
      <c r="A2039" t="s">
        <v>3198</v>
      </c>
      <c r="B2039" t="s">
        <v>1100</v>
      </c>
      <c r="C2039" t="s">
        <v>28</v>
      </c>
      <c r="D2039" t="s">
        <v>103</v>
      </c>
      <c r="E2039" s="1">
        <v>45178</v>
      </c>
      <c r="F2039" t="s">
        <v>65</v>
      </c>
      <c r="G2039" t="s">
        <v>268</v>
      </c>
      <c r="H2039" t="s">
        <v>128</v>
      </c>
      <c r="I2039">
        <v>8</v>
      </c>
      <c r="J2039" t="s">
        <v>98</v>
      </c>
      <c r="K2039">
        <v>1</v>
      </c>
      <c r="L2039" s="3">
        <v>5599</v>
      </c>
      <c r="M2039">
        <v>25</v>
      </c>
      <c r="N2039" s="3">
        <v>4200</v>
      </c>
      <c r="O2039" s="3">
        <v>4200</v>
      </c>
      <c r="P2039" t="s">
        <v>74</v>
      </c>
      <c r="Q2039" t="s">
        <v>51</v>
      </c>
      <c r="R2039" t="s">
        <v>36</v>
      </c>
      <c r="S2039" t="s">
        <v>168</v>
      </c>
      <c r="T2039" t="s">
        <v>532</v>
      </c>
      <c r="U2039" t="s">
        <v>54</v>
      </c>
      <c r="V2039" t="s">
        <v>315</v>
      </c>
      <c r="W2039">
        <v>4.5</v>
      </c>
      <c r="X2039" t="s">
        <v>41</v>
      </c>
      <c r="Y2039" t="s">
        <v>42</v>
      </c>
      <c r="Z2039">
        <v>3</v>
      </c>
    </row>
    <row r="2040" spans="1:26">
      <c r="A2040" t="s">
        <v>3199</v>
      </c>
      <c r="B2040" t="s">
        <v>1281</v>
      </c>
      <c r="C2040" t="s">
        <v>28</v>
      </c>
      <c r="D2040" t="s">
        <v>46</v>
      </c>
      <c r="E2040" s="1">
        <v>45178</v>
      </c>
      <c r="F2040" t="s">
        <v>86</v>
      </c>
      <c r="G2040" t="s">
        <v>285</v>
      </c>
      <c r="H2040" t="s">
        <v>111</v>
      </c>
      <c r="I2040">
        <v>7</v>
      </c>
      <c r="J2040" t="s">
        <v>98</v>
      </c>
      <c r="K2040">
        <v>1</v>
      </c>
      <c r="L2040" s="3">
        <v>5899</v>
      </c>
      <c r="M2040">
        <v>15</v>
      </c>
      <c r="N2040" s="3">
        <v>5010</v>
      </c>
      <c r="O2040" s="3">
        <v>5010</v>
      </c>
      <c r="P2040" t="s">
        <v>74</v>
      </c>
      <c r="Q2040" t="s">
        <v>51</v>
      </c>
      <c r="R2040" t="s">
        <v>36</v>
      </c>
      <c r="S2040" t="s">
        <v>117</v>
      </c>
      <c r="T2040" t="s">
        <v>544</v>
      </c>
      <c r="U2040" t="s">
        <v>91</v>
      </c>
      <c r="V2040" t="s">
        <v>969</v>
      </c>
      <c r="W2040">
        <v>3.5</v>
      </c>
      <c r="X2040" t="s">
        <v>41</v>
      </c>
      <c r="Y2040" t="s">
        <v>42</v>
      </c>
      <c r="Z2040">
        <v>1</v>
      </c>
    </row>
    <row r="2041" spans="1:26">
      <c r="A2041" t="s">
        <v>3200</v>
      </c>
      <c r="B2041" t="s">
        <v>3025</v>
      </c>
      <c r="C2041" t="s">
        <v>28</v>
      </c>
      <c r="D2041" t="s">
        <v>46</v>
      </c>
      <c r="E2041" s="1">
        <v>45179</v>
      </c>
      <c r="F2041" t="s">
        <v>79</v>
      </c>
      <c r="G2041" t="s">
        <v>517</v>
      </c>
      <c r="H2041" t="s">
        <v>59</v>
      </c>
      <c r="I2041">
        <v>7</v>
      </c>
      <c r="J2041" t="s">
        <v>150</v>
      </c>
      <c r="K2041">
        <v>1</v>
      </c>
      <c r="L2041" s="3">
        <v>7499</v>
      </c>
      <c r="M2041">
        <v>25</v>
      </c>
      <c r="N2041" s="3">
        <v>5620</v>
      </c>
      <c r="O2041" s="3">
        <v>5620</v>
      </c>
      <c r="P2041" t="s">
        <v>74</v>
      </c>
      <c r="Q2041" t="s">
        <v>51</v>
      </c>
      <c r="R2041" t="s">
        <v>36</v>
      </c>
      <c r="S2041" t="s">
        <v>354</v>
      </c>
      <c r="T2041" t="s">
        <v>355</v>
      </c>
      <c r="U2041" t="s">
        <v>61</v>
      </c>
      <c r="V2041" t="s">
        <v>315</v>
      </c>
      <c r="W2041">
        <v>4.4000000000000004</v>
      </c>
      <c r="X2041" t="s">
        <v>106</v>
      </c>
      <c r="Y2041" t="s">
        <v>42</v>
      </c>
      <c r="Z2041">
        <v>4</v>
      </c>
    </row>
    <row r="2042" spans="1:26">
      <c r="A2042" t="s">
        <v>3201</v>
      </c>
      <c r="B2042" t="s">
        <v>1820</v>
      </c>
      <c r="C2042" t="s">
        <v>28</v>
      </c>
      <c r="D2042" t="s">
        <v>29</v>
      </c>
      <c r="E2042" s="1">
        <v>45179</v>
      </c>
      <c r="F2042" t="s">
        <v>86</v>
      </c>
      <c r="G2042" t="s">
        <v>87</v>
      </c>
      <c r="H2042" t="s">
        <v>59</v>
      </c>
      <c r="I2042">
        <v>11</v>
      </c>
      <c r="J2042" t="s">
        <v>33</v>
      </c>
      <c r="K2042">
        <v>2</v>
      </c>
      <c r="L2042" s="3">
        <v>8399</v>
      </c>
      <c r="M2042">
        <v>0</v>
      </c>
      <c r="N2042" s="3">
        <v>8400</v>
      </c>
      <c r="O2042" s="3">
        <v>16800</v>
      </c>
      <c r="P2042" t="s">
        <v>34</v>
      </c>
      <c r="Q2042" t="s">
        <v>82</v>
      </c>
      <c r="R2042" t="s">
        <v>36</v>
      </c>
      <c r="S2042" t="s">
        <v>104</v>
      </c>
      <c r="T2042" t="s">
        <v>1048</v>
      </c>
      <c r="U2042" t="s">
        <v>39</v>
      </c>
      <c r="V2042" t="s">
        <v>315</v>
      </c>
      <c r="W2042">
        <v>5</v>
      </c>
      <c r="X2042" t="s">
        <v>41</v>
      </c>
      <c r="Y2042" t="s">
        <v>55</v>
      </c>
      <c r="Z2042">
        <v>2</v>
      </c>
    </row>
    <row r="2043" spans="1:26">
      <c r="A2043" t="s">
        <v>3202</v>
      </c>
      <c r="B2043" t="s">
        <v>2210</v>
      </c>
      <c r="C2043" t="s">
        <v>28</v>
      </c>
      <c r="D2043" t="s">
        <v>95</v>
      </c>
      <c r="E2043" s="1">
        <v>45181</v>
      </c>
      <c r="F2043" t="s">
        <v>96</v>
      </c>
      <c r="G2043" t="s">
        <v>155</v>
      </c>
      <c r="H2043" t="s">
        <v>111</v>
      </c>
      <c r="I2043">
        <v>9</v>
      </c>
      <c r="J2043" t="s">
        <v>150</v>
      </c>
      <c r="K2043">
        <v>1</v>
      </c>
      <c r="L2043" s="3">
        <v>6499</v>
      </c>
      <c r="M2043">
        <v>25</v>
      </c>
      <c r="N2043" s="3">
        <v>4870</v>
      </c>
      <c r="O2043" s="3">
        <v>4870</v>
      </c>
      <c r="P2043" t="s">
        <v>34</v>
      </c>
      <c r="Q2043" t="s">
        <v>51</v>
      </c>
      <c r="R2043" t="s">
        <v>36</v>
      </c>
      <c r="S2043" t="s">
        <v>129</v>
      </c>
      <c r="T2043" t="s">
        <v>655</v>
      </c>
      <c r="U2043" t="s">
        <v>61</v>
      </c>
      <c r="V2043" t="s">
        <v>315</v>
      </c>
      <c r="W2043">
        <v>3.8</v>
      </c>
      <c r="X2043" t="s">
        <v>41</v>
      </c>
      <c r="Y2043" t="s">
        <v>42</v>
      </c>
      <c r="Z2043">
        <v>1</v>
      </c>
    </row>
    <row r="2044" spans="1:26">
      <c r="A2044" t="s">
        <v>3203</v>
      </c>
      <c r="B2044" t="s">
        <v>3204</v>
      </c>
      <c r="C2044" t="s">
        <v>94</v>
      </c>
      <c r="D2044" t="s">
        <v>103</v>
      </c>
      <c r="E2044" s="1">
        <v>45182</v>
      </c>
      <c r="F2044" t="s">
        <v>30</v>
      </c>
      <c r="G2044" t="s">
        <v>214</v>
      </c>
      <c r="H2044" t="s">
        <v>128</v>
      </c>
      <c r="I2044">
        <v>8</v>
      </c>
      <c r="J2044" t="s">
        <v>73</v>
      </c>
      <c r="K2044">
        <v>2</v>
      </c>
      <c r="L2044" s="3">
        <v>4399</v>
      </c>
      <c r="M2044">
        <v>10</v>
      </c>
      <c r="N2044" s="3">
        <v>3960</v>
      </c>
      <c r="O2044" s="3">
        <v>7920</v>
      </c>
      <c r="P2044" t="s">
        <v>34</v>
      </c>
      <c r="Q2044" t="s">
        <v>51</v>
      </c>
      <c r="R2044" t="s">
        <v>36</v>
      </c>
      <c r="S2044" t="s">
        <v>243</v>
      </c>
      <c r="T2044" t="s">
        <v>276</v>
      </c>
      <c r="U2044" t="s">
        <v>54</v>
      </c>
      <c r="V2044" t="s">
        <v>40</v>
      </c>
      <c r="W2044">
        <v>4.5999999999999996</v>
      </c>
      <c r="X2044" t="s">
        <v>62</v>
      </c>
      <c r="Y2044" t="s">
        <v>42</v>
      </c>
      <c r="Z2044">
        <v>6</v>
      </c>
    </row>
    <row r="2045" spans="1:26">
      <c r="A2045" t="s">
        <v>3205</v>
      </c>
      <c r="B2045" t="s">
        <v>1884</v>
      </c>
      <c r="C2045" t="s">
        <v>94</v>
      </c>
      <c r="D2045" t="s">
        <v>29</v>
      </c>
      <c r="E2045" s="1">
        <v>45183</v>
      </c>
      <c r="F2045" t="s">
        <v>79</v>
      </c>
      <c r="G2045" t="s">
        <v>127</v>
      </c>
      <c r="H2045" t="s">
        <v>128</v>
      </c>
      <c r="I2045">
        <v>7</v>
      </c>
      <c r="J2045" t="s">
        <v>98</v>
      </c>
      <c r="K2045">
        <v>2</v>
      </c>
      <c r="L2045" s="3">
        <v>5299</v>
      </c>
      <c r="M2045">
        <v>5</v>
      </c>
      <c r="N2045" s="3">
        <v>5030</v>
      </c>
      <c r="O2045" s="3">
        <v>10060</v>
      </c>
      <c r="P2045" t="s">
        <v>50</v>
      </c>
      <c r="Q2045" t="s">
        <v>82</v>
      </c>
      <c r="R2045" t="s">
        <v>36</v>
      </c>
      <c r="S2045" t="s">
        <v>175</v>
      </c>
      <c r="T2045" t="s">
        <v>495</v>
      </c>
      <c r="U2045" t="s">
        <v>61</v>
      </c>
      <c r="V2045" t="s">
        <v>315</v>
      </c>
      <c r="W2045">
        <v>3.3</v>
      </c>
      <c r="X2045" t="s">
        <v>62</v>
      </c>
      <c r="Y2045" t="s">
        <v>55</v>
      </c>
      <c r="Z2045">
        <v>2</v>
      </c>
    </row>
    <row r="2046" spans="1:26">
      <c r="A2046" t="s">
        <v>3206</v>
      </c>
      <c r="B2046" t="s">
        <v>1052</v>
      </c>
      <c r="C2046" t="s">
        <v>45</v>
      </c>
      <c r="D2046" t="s">
        <v>109</v>
      </c>
      <c r="E2046" s="1">
        <v>45183</v>
      </c>
      <c r="F2046" t="s">
        <v>65</v>
      </c>
      <c r="G2046" t="s">
        <v>279</v>
      </c>
      <c r="H2046" t="s">
        <v>111</v>
      </c>
      <c r="I2046">
        <v>11</v>
      </c>
      <c r="J2046" t="s">
        <v>33</v>
      </c>
      <c r="K2046">
        <v>1</v>
      </c>
      <c r="L2046" s="3">
        <v>6699</v>
      </c>
      <c r="M2046">
        <v>35</v>
      </c>
      <c r="N2046" s="3">
        <v>4350</v>
      </c>
      <c r="O2046" s="3">
        <v>4350</v>
      </c>
      <c r="P2046" t="s">
        <v>81</v>
      </c>
      <c r="Q2046" t="s">
        <v>82</v>
      </c>
      <c r="R2046" t="s">
        <v>36</v>
      </c>
      <c r="S2046" t="s">
        <v>112</v>
      </c>
      <c r="T2046" t="s">
        <v>113</v>
      </c>
      <c r="U2046" t="s">
        <v>91</v>
      </c>
      <c r="V2046" t="s">
        <v>315</v>
      </c>
      <c r="W2046">
        <v>4.3</v>
      </c>
      <c r="X2046" t="s">
        <v>41</v>
      </c>
      <c r="Y2046" t="s">
        <v>42</v>
      </c>
      <c r="Z2046">
        <v>4</v>
      </c>
    </row>
    <row r="2047" spans="1:26">
      <c r="A2047" t="s">
        <v>3207</v>
      </c>
      <c r="B2047" t="s">
        <v>2122</v>
      </c>
      <c r="C2047" t="s">
        <v>28</v>
      </c>
      <c r="D2047" t="s">
        <v>29</v>
      </c>
      <c r="E2047" s="1">
        <v>45185</v>
      </c>
      <c r="F2047" t="s">
        <v>30</v>
      </c>
      <c r="G2047" t="s">
        <v>347</v>
      </c>
      <c r="H2047" t="s">
        <v>49</v>
      </c>
      <c r="I2047">
        <v>11</v>
      </c>
      <c r="J2047" t="s">
        <v>73</v>
      </c>
      <c r="K2047">
        <v>1</v>
      </c>
      <c r="L2047" s="3">
        <v>4699</v>
      </c>
      <c r="M2047">
        <v>15</v>
      </c>
      <c r="N2047" s="3">
        <v>3990</v>
      </c>
      <c r="O2047" s="3">
        <v>3990</v>
      </c>
      <c r="P2047" t="s">
        <v>34</v>
      </c>
      <c r="Q2047" t="s">
        <v>35</v>
      </c>
      <c r="R2047" t="s">
        <v>36</v>
      </c>
      <c r="S2047" t="s">
        <v>338</v>
      </c>
      <c r="T2047" t="s">
        <v>779</v>
      </c>
      <c r="U2047" t="s">
        <v>54</v>
      </c>
      <c r="V2047" t="s">
        <v>315</v>
      </c>
      <c r="W2047">
        <v>3.6</v>
      </c>
      <c r="X2047" t="s">
        <v>62</v>
      </c>
      <c r="Y2047" t="s">
        <v>42</v>
      </c>
      <c r="Z2047">
        <v>4</v>
      </c>
    </row>
    <row r="2048" spans="1:26">
      <c r="A2048" t="s">
        <v>3208</v>
      </c>
      <c r="B2048" t="s">
        <v>1860</v>
      </c>
      <c r="C2048" t="s">
        <v>28</v>
      </c>
      <c r="D2048" t="s">
        <v>103</v>
      </c>
      <c r="E2048" s="1">
        <v>45187</v>
      </c>
      <c r="F2048" t="s">
        <v>79</v>
      </c>
      <c r="G2048" t="s">
        <v>301</v>
      </c>
      <c r="H2048" t="s">
        <v>49</v>
      </c>
      <c r="I2048">
        <v>10</v>
      </c>
      <c r="J2048" t="s">
        <v>88</v>
      </c>
      <c r="K2048">
        <v>1</v>
      </c>
      <c r="L2048" s="3">
        <v>3399</v>
      </c>
      <c r="M2048">
        <v>35</v>
      </c>
      <c r="N2048" s="3">
        <v>2210</v>
      </c>
      <c r="O2048" s="3">
        <v>2210</v>
      </c>
      <c r="P2048" t="s">
        <v>81</v>
      </c>
      <c r="Q2048" t="s">
        <v>82</v>
      </c>
      <c r="R2048" t="s">
        <v>36</v>
      </c>
      <c r="S2048" t="s">
        <v>358</v>
      </c>
      <c r="T2048" t="s">
        <v>597</v>
      </c>
      <c r="U2048" t="s">
        <v>91</v>
      </c>
      <c r="V2048" t="s">
        <v>969</v>
      </c>
      <c r="W2048">
        <v>3.9</v>
      </c>
      <c r="X2048" t="s">
        <v>106</v>
      </c>
      <c r="Y2048" t="s">
        <v>42</v>
      </c>
      <c r="Z2048">
        <v>4</v>
      </c>
    </row>
    <row r="2049" spans="1:26">
      <c r="A2049" t="s">
        <v>3209</v>
      </c>
      <c r="B2049" t="s">
        <v>1788</v>
      </c>
      <c r="C2049" t="s">
        <v>28</v>
      </c>
      <c r="D2049" t="s">
        <v>46</v>
      </c>
      <c r="E2049" s="1">
        <v>45187</v>
      </c>
      <c r="F2049" t="s">
        <v>47</v>
      </c>
      <c r="G2049" t="s">
        <v>199</v>
      </c>
      <c r="H2049" t="s">
        <v>59</v>
      </c>
      <c r="I2049">
        <v>10</v>
      </c>
      <c r="J2049" t="s">
        <v>33</v>
      </c>
      <c r="K2049">
        <v>1</v>
      </c>
      <c r="L2049" s="3">
        <v>4399</v>
      </c>
      <c r="M2049">
        <v>20</v>
      </c>
      <c r="N2049" s="3">
        <v>3520</v>
      </c>
      <c r="O2049" s="3">
        <v>3520</v>
      </c>
      <c r="P2049" t="s">
        <v>34</v>
      </c>
      <c r="Q2049" t="s">
        <v>35</v>
      </c>
      <c r="R2049" t="s">
        <v>36</v>
      </c>
      <c r="S2049" t="s">
        <v>129</v>
      </c>
      <c r="T2049" t="s">
        <v>282</v>
      </c>
      <c r="U2049" t="s">
        <v>54</v>
      </c>
      <c r="V2049" t="s">
        <v>315</v>
      </c>
      <c r="W2049">
        <v>4.3</v>
      </c>
      <c r="X2049" t="s">
        <v>41</v>
      </c>
      <c r="Y2049" t="s">
        <v>55</v>
      </c>
      <c r="Z2049">
        <v>3</v>
      </c>
    </row>
    <row r="2050" spans="1:26">
      <c r="A2050" t="s">
        <v>3210</v>
      </c>
      <c r="B2050" t="s">
        <v>3211</v>
      </c>
      <c r="C2050" t="s">
        <v>28</v>
      </c>
      <c r="D2050" t="s">
        <v>46</v>
      </c>
      <c r="E2050" s="1">
        <v>45187</v>
      </c>
      <c r="F2050" t="s">
        <v>79</v>
      </c>
      <c r="G2050" t="s">
        <v>517</v>
      </c>
      <c r="H2050" t="s">
        <v>59</v>
      </c>
      <c r="I2050">
        <v>10</v>
      </c>
      <c r="J2050" t="s">
        <v>98</v>
      </c>
      <c r="K2050">
        <v>2</v>
      </c>
      <c r="L2050" s="3">
        <v>5699</v>
      </c>
      <c r="M2050">
        <v>20</v>
      </c>
      <c r="N2050" s="3">
        <v>4560</v>
      </c>
      <c r="O2050" s="3">
        <v>9120</v>
      </c>
      <c r="P2050" t="s">
        <v>74</v>
      </c>
      <c r="Q2050" t="s">
        <v>35</v>
      </c>
      <c r="R2050" t="s">
        <v>36</v>
      </c>
      <c r="S2050" t="s">
        <v>117</v>
      </c>
      <c r="T2050" t="s">
        <v>544</v>
      </c>
      <c r="U2050" t="s">
        <v>54</v>
      </c>
      <c r="V2050" t="s">
        <v>40</v>
      </c>
      <c r="W2050">
        <v>4.0999999999999996</v>
      </c>
      <c r="X2050" t="s">
        <v>41</v>
      </c>
      <c r="Y2050" t="s">
        <v>42</v>
      </c>
      <c r="Z2050">
        <v>6</v>
      </c>
    </row>
    <row r="2051" spans="1:26">
      <c r="A2051" t="s">
        <v>3212</v>
      </c>
      <c r="B2051" t="s">
        <v>2637</v>
      </c>
      <c r="C2051" t="s">
        <v>45</v>
      </c>
      <c r="D2051" t="s">
        <v>46</v>
      </c>
      <c r="E2051" s="1">
        <v>45188</v>
      </c>
      <c r="F2051" t="s">
        <v>47</v>
      </c>
      <c r="G2051" t="s">
        <v>199</v>
      </c>
      <c r="H2051" t="s">
        <v>59</v>
      </c>
      <c r="I2051">
        <v>9</v>
      </c>
      <c r="J2051" t="s">
        <v>98</v>
      </c>
      <c r="K2051">
        <v>4</v>
      </c>
      <c r="L2051" s="3">
        <v>6899</v>
      </c>
      <c r="M2051">
        <v>15</v>
      </c>
      <c r="N2051" s="3">
        <v>5860</v>
      </c>
      <c r="O2051" s="3">
        <v>23440</v>
      </c>
      <c r="P2051" t="s">
        <v>74</v>
      </c>
      <c r="Q2051" t="s">
        <v>82</v>
      </c>
      <c r="R2051" t="s">
        <v>36</v>
      </c>
      <c r="S2051" t="s">
        <v>52</v>
      </c>
      <c r="T2051" t="s">
        <v>83</v>
      </c>
      <c r="U2051" t="s">
        <v>39</v>
      </c>
      <c r="V2051" t="s">
        <v>315</v>
      </c>
      <c r="W2051">
        <v>4.5999999999999996</v>
      </c>
      <c r="X2051" t="s">
        <v>41</v>
      </c>
      <c r="Y2051" t="s">
        <v>42</v>
      </c>
      <c r="Z2051">
        <v>7</v>
      </c>
    </row>
    <row r="2052" spans="1:26">
      <c r="A2052" t="s">
        <v>3213</v>
      </c>
      <c r="B2052" t="s">
        <v>594</v>
      </c>
      <c r="C2052" t="s">
        <v>28</v>
      </c>
      <c r="D2052" t="s">
        <v>95</v>
      </c>
      <c r="E2052" s="1">
        <v>45189</v>
      </c>
      <c r="F2052" t="s">
        <v>96</v>
      </c>
      <c r="G2052" t="s">
        <v>290</v>
      </c>
      <c r="H2052" t="s">
        <v>32</v>
      </c>
      <c r="I2052">
        <v>12</v>
      </c>
      <c r="J2052" t="s">
        <v>67</v>
      </c>
      <c r="K2052">
        <v>1</v>
      </c>
      <c r="L2052" s="3">
        <v>9699</v>
      </c>
      <c r="M2052">
        <v>10</v>
      </c>
      <c r="N2052" s="3">
        <v>8730</v>
      </c>
      <c r="O2052" s="3">
        <v>8730</v>
      </c>
      <c r="P2052" t="s">
        <v>74</v>
      </c>
      <c r="Q2052" t="s">
        <v>51</v>
      </c>
      <c r="R2052" t="s">
        <v>36</v>
      </c>
      <c r="S2052" t="s">
        <v>286</v>
      </c>
      <c r="T2052" t="s">
        <v>768</v>
      </c>
      <c r="U2052" t="s">
        <v>61</v>
      </c>
      <c r="V2052" t="s">
        <v>315</v>
      </c>
      <c r="W2052">
        <v>4.2</v>
      </c>
      <c r="X2052" t="s">
        <v>41</v>
      </c>
      <c r="Y2052" t="s">
        <v>42</v>
      </c>
      <c r="Z2052">
        <v>6</v>
      </c>
    </row>
    <row r="2053" spans="1:26">
      <c r="A2053" t="s">
        <v>3214</v>
      </c>
      <c r="B2053" t="s">
        <v>1425</v>
      </c>
      <c r="C2053" t="s">
        <v>28</v>
      </c>
      <c r="D2053" t="s">
        <v>46</v>
      </c>
      <c r="E2053" s="1">
        <v>45189</v>
      </c>
      <c r="F2053" t="s">
        <v>30</v>
      </c>
      <c r="G2053" t="s">
        <v>214</v>
      </c>
      <c r="H2053" t="s">
        <v>128</v>
      </c>
      <c r="I2053">
        <v>8</v>
      </c>
      <c r="J2053" t="s">
        <v>150</v>
      </c>
      <c r="K2053">
        <v>2</v>
      </c>
      <c r="L2053" s="3">
        <v>7599</v>
      </c>
      <c r="M2053">
        <v>10</v>
      </c>
      <c r="N2053" s="3">
        <v>6840</v>
      </c>
      <c r="O2053" s="3">
        <v>13680</v>
      </c>
      <c r="P2053" t="s">
        <v>74</v>
      </c>
      <c r="Q2053" t="s">
        <v>35</v>
      </c>
      <c r="R2053" t="s">
        <v>36</v>
      </c>
      <c r="S2053" t="s">
        <v>418</v>
      </c>
      <c r="T2053" t="s">
        <v>924</v>
      </c>
      <c r="U2053" t="s">
        <v>124</v>
      </c>
      <c r="V2053" t="s">
        <v>969</v>
      </c>
      <c r="W2053">
        <v>5</v>
      </c>
      <c r="X2053" t="s">
        <v>41</v>
      </c>
      <c r="Y2053" t="s">
        <v>42</v>
      </c>
      <c r="Z2053">
        <v>3</v>
      </c>
    </row>
    <row r="2054" spans="1:26">
      <c r="A2054" t="s">
        <v>3215</v>
      </c>
      <c r="B2054" t="s">
        <v>1786</v>
      </c>
      <c r="C2054" t="s">
        <v>28</v>
      </c>
      <c r="D2054" t="s">
        <v>95</v>
      </c>
      <c r="E2054" s="1">
        <v>45190</v>
      </c>
      <c r="F2054" t="s">
        <v>96</v>
      </c>
      <c r="G2054" t="s">
        <v>290</v>
      </c>
      <c r="H2054" t="s">
        <v>32</v>
      </c>
      <c r="I2054">
        <v>11</v>
      </c>
      <c r="J2054" t="s">
        <v>33</v>
      </c>
      <c r="K2054">
        <v>1</v>
      </c>
      <c r="L2054" s="3">
        <v>5099</v>
      </c>
      <c r="M2054">
        <v>20</v>
      </c>
      <c r="N2054" s="3">
        <v>4080</v>
      </c>
      <c r="O2054" s="3">
        <v>4080</v>
      </c>
      <c r="P2054" t="s">
        <v>81</v>
      </c>
      <c r="Q2054" t="s">
        <v>35</v>
      </c>
      <c r="R2054" t="s">
        <v>36</v>
      </c>
      <c r="S2054" t="s">
        <v>117</v>
      </c>
      <c r="T2054" t="s">
        <v>118</v>
      </c>
      <c r="U2054" t="s">
        <v>54</v>
      </c>
      <c r="V2054" t="s">
        <v>315</v>
      </c>
      <c r="W2054">
        <v>5</v>
      </c>
      <c r="X2054" t="s">
        <v>106</v>
      </c>
      <c r="Y2054" t="s">
        <v>42</v>
      </c>
      <c r="Z2054">
        <v>4</v>
      </c>
    </row>
    <row r="2055" spans="1:26">
      <c r="A2055" t="s">
        <v>3216</v>
      </c>
      <c r="B2055" t="s">
        <v>897</v>
      </c>
      <c r="C2055" t="s">
        <v>45</v>
      </c>
      <c r="D2055" t="s">
        <v>103</v>
      </c>
      <c r="E2055" s="1">
        <v>45190</v>
      </c>
      <c r="F2055" t="s">
        <v>65</v>
      </c>
      <c r="G2055" t="s">
        <v>256</v>
      </c>
      <c r="H2055" t="s">
        <v>32</v>
      </c>
      <c r="I2055">
        <v>11</v>
      </c>
      <c r="J2055" t="s">
        <v>150</v>
      </c>
      <c r="K2055">
        <v>1</v>
      </c>
      <c r="L2055" s="3">
        <v>6799</v>
      </c>
      <c r="M2055">
        <v>10</v>
      </c>
      <c r="N2055" s="3">
        <v>6120</v>
      </c>
      <c r="O2055" s="3">
        <v>6120</v>
      </c>
      <c r="P2055" t="s">
        <v>74</v>
      </c>
      <c r="Q2055" t="s">
        <v>51</v>
      </c>
      <c r="R2055" t="s">
        <v>36</v>
      </c>
      <c r="S2055" t="s">
        <v>286</v>
      </c>
      <c r="T2055" t="s">
        <v>287</v>
      </c>
      <c r="U2055" t="s">
        <v>39</v>
      </c>
      <c r="V2055" t="s">
        <v>969</v>
      </c>
      <c r="W2055">
        <v>3.7</v>
      </c>
      <c r="X2055" t="s">
        <v>41</v>
      </c>
      <c r="Y2055" t="s">
        <v>55</v>
      </c>
      <c r="Z2055">
        <v>3</v>
      </c>
    </row>
    <row r="2056" spans="1:26">
      <c r="A2056" t="s">
        <v>3217</v>
      </c>
      <c r="B2056" t="s">
        <v>427</v>
      </c>
      <c r="C2056" t="s">
        <v>45</v>
      </c>
      <c r="D2056" t="s">
        <v>46</v>
      </c>
      <c r="E2056" s="1">
        <v>45191</v>
      </c>
      <c r="F2056" t="s">
        <v>65</v>
      </c>
      <c r="G2056" t="s">
        <v>268</v>
      </c>
      <c r="H2056" t="s">
        <v>128</v>
      </c>
      <c r="I2056">
        <v>8</v>
      </c>
      <c r="J2056" t="s">
        <v>150</v>
      </c>
      <c r="K2056">
        <v>1</v>
      </c>
      <c r="L2056" s="3">
        <v>3199</v>
      </c>
      <c r="M2056">
        <v>5</v>
      </c>
      <c r="N2056" s="3">
        <v>3040</v>
      </c>
      <c r="O2056" s="3">
        <v>3040</v>
      </c>
      <c r="P2056" t="s">
        <v>74</v>
      </c>
      <c r="Q2056" t="s">
        <v>51</v>
      </c>
      <c r="R2056" t="s">
        <v>36</v>
      </c>
      <c r="S2056" t="s">
        <v>384</v>
      </c>
      <c r="T2056" t="s">
        <v>385</v>
      </c>
      <c r="U2056" t="s">
        <v>91</v>
      </c>
      <c r="V2056" t="s">
        <v>969</v>
      </c>
      <c r="W2056">
        <v>4.7</v>
      </c>
      <c r="X2056" t="s">
        <v>41</v>
      </c>
      <c r="Y2056" t="s">
        <v>42</v>
      </c>
      <c r="Z2056">
        <v>5</v>
      </c>
    </row>
    <row r="2057" spans="1:26">
      <c r="A2057" t="s">
        <v>3218</v>
      </c>
      <c r="B2057" t="s">
        <v>1302</v>
      </c>
      <c r="C2057" t="s">
        <v>28</v>
      </c>
      <c r="D2057" t="s">
        <v>103</v>
      </c>
      <c r="E2057" s="1">
        <v>45191</v>
      </c>
      <c r="F2057" t="s">
        <v>30</v>
      </c>
      <c r="G2057" t="s">
        <v>214</v>
      </c>
      <c r="H2057" t="s">
        <v>128</v>
      </c>
      <c r="I2057">
        <v>10</v>
      </c>
      <c r="J2057" t="s">
        <v>73</v>
      </c>
      <c r="K2057">
        <v>2</v>
      </c>
      <c r="L2057" s="3">
        <v>7599</v>
      </c>
      <c r="M2057">
        <v>25</v>
      </c>
      <c r="N2057" s="3">
        <v>5700</v>
      </c>
      <c r="O2057" s="3">
        <v>11400</v>
      </c>
      <c r="P2057" t="s">
        <v>74</v>
      </c>
      <c r="Q2057" t="s">
        <v>51</v>
      </c>
      <c r="R2057" t="s">
        <v>36</v>
      </c>
      <c r="S2057" t="s">
        <v>182</v>
      </c>
      <c r="T2057" t="s">
        <v>503</v>
      </c>
      <c r="U2057" t="s">
        <v>54</v>
      </c>
      <c r="V2057" t="s">
        <v>315</v>
      </c>
      <c r="W2057">
        <v>3.7</v>
      </c>
      <c r="X2057" t="s">
        <v>41</v>
      </c>
      <c r="Y2057" t="s">
        <v>42</v>
      </c>
      <c r="Z2057">
        <v>4</v>
      </c>
    </row>
    <row r="2058" spans="1:26">
      <c r="A2058" t="s">
        <v>3219</v>
      </c>
      <c r="B2058" t="s">
        <v>539</v>
      </c>
      <c r="C2058" t="s">
        <v>28</v>
      </c>
      <c r="D2058" t="s">
        <v>29</v>
      </c>
      <c r="E2058" s="1">
        <v>45191</v>
      </c>
      <c r="F2058" t="s">
        <v>65</v>
      </c>
      <c r="G2058" t="s">
        <v>279</v>
      </c>
      <c r="H2058" t="s">
        <v>111</v>
      </c>
      <c r="I2058">
        <v>10</v>
      </c>
      <c r="J2058" t="s">
        <v>73</v>
      </c>
      <c r="K2058">
        <v>1</v>
      </c>
      <c r="L2058" s="3">
        <v>4999</v>
      </c>
      <c r="M2058">
        <v>25</v>
      </c>
      <c r="N2058" s="3">
        <v>3750</v>
      </c>
      <c r="O2058" s="3">
        <v>3750</v>
      </c>
      <c r="P2058" t="s">
        <v>74</v>
      </c>
      <c r="Q2058" t="s">
        <v>51</v>
      </c>
      <c r="R2058" t="s">
        <v>36</v>
      </c>
      <c r="S2058" t="s">
        <v>141</v>
      </c>
      <c r="T2058" t="s">
        <v>142</v>
      </c>
      <c r="U2058" t="s">
        <v>54</v>
      </c>
      <c r="V2058" t="s">
        <v>969</v>
      </c>
      <c r="W2058">
        <v>3.5</v>
      </c>
      <c r="X2058" t="s">
        <v>41</v>
      </c>
      <c r="Y2058" t="s">
        <v>147</v>
      </c>
      <c r="Z2058">
        <v>2</v>
      </c>
    </row>
    <row r="2059" spans="1:26">
      <c r="A2059" t="s">
        <v>3220</v>
      </c>
      <c r="B2059" t="s">
        <v>574</v>
      </c>
      <c r="C2059" t="s">
        <v>28</v>
      </c>
      <c r="D2059" t="s">
        <v>103</v>
      </c>
      <c r="E2059" s="1">
        <v>45192</v>
      </c>
      <c r="F2059" t="s">
        <v>65</v>
      </c>
      <c r="G2059" t="s">
        <v>365</v>
      </c>
      <c r="H2059" t="s">
        <v>49</v>
      </c>
      <c r="I2059">
        <v>6</v>
      </c>
      <c r="J2059" t="s">
        <v>67</v>
      </c>
      <c r="K2059">
        <v>1</v>
      </c>
      <c r="L2059" s="3">
        <v>3199</v>
      </c>
      <c r="M2059">
        <v>40</v>
      </c>
      <c r="N2059" s="3">
        <v>1920</v>
      </c>
      <c r="O2059" s="3">
        <v>1920</v>
      </c>
      <c r="P2059" t="s">
        <v>34</v>
      </c>
      <c r="Q2059" t="s">
        <v>35</v>
      </c>
      <c r="R2059" t="s">
        <v>36</v>
      </c>
      <c r="S2059" t="s">
        <v>99</v>
      </c>
      <c r="T2059" t="s">
        <v>335</v>
      </c>
      <c r="U2059" t="s">
        <v>61</v>
      </c>
      <c r="V2059" t="s">
        <v>315</v>
      </c>
      <c r="W2059">
        <v>3.7</v>
      </c>
      <c r="X2059" t="s">
        <v>41</v>
      </c>
      <c r="Y2059" t="s">
        <v>42</v>
      </c>
      <c r="Z2059">
        <v>4</v>
      </c>
    </row>
    <row r="2060" spans="1:26">
      <c r="A2060" t="s">
        <v>3221</v>
      </c>
      <c r="B2060" t="s">
        <v>2070</v>
      </c>
      <c r="C2060" t="s">
        <v>28</v>
      </c>
      <c r="D2060" t="s">
        <v>46</v>
      </c>
      <c r="E2060" s="1">
        <v>45192</v>
      </c>
      <c r="F2060" t="s">
        <v>86</v>
      </c>
      <c r="G2060" t="s">
        <v>285</v>
      </c>
      <c r="H2060" t="s">
        <v>111</v>
      </c>
      <c r="I2060">
        <v>7</v>
      </c>
      <c r="J2060" t="s">
        <v>150</v>
      </c>
      <c r="K2060">
        <v>4</v>
      </c>
      <c r="L2060" s="3">
        <v>8899</v>
      </c>
      <c r="M2060">
        <v>15</v>
      </c>
      <c r="N2060" s="3">
        <v>7560</v>
      </c>
      <c r="O2060" s="3">
        <v>30240</v>
      </c>
      <c r="P2060" t="s">
        <v>34</v>
      </c>
      <c r="Q2060" t="s">
        <v>51</v>
      </c>
      <c r="R2060" t="s">
        <v>36</v>
      </c>
      <c r="S2060" t="s">
        <v>129</v>
      </c>
      <c r="T2060" t="s">
        <v>130</v>
      </c>
      <c r="U2060" t="s">
        <v>91</v>
      </c>
      <c r="V2060" t="s">
        <v>315</v>
      </c>
      <c r="W2060">
        <v>4.3</v>
      </c>
      <c r="X2060" t="s">
        <v>41</v>
      </c>
      <c r="Y2060" t="s">
        <v>42</v>
      </c>
      <c r="Z2060">
        <v>4</v>
      </c>
    </row>
    <row r="2061" spans="1:26">
      <c r="A2061" t="s">
        <v>3222</v>
      </c>
      <c r="B2061" t="s">
        <v>927</v>
      </c>
      <c r="C2061" t="s">
        <v>28</v>
      </c>
      <c r="D2061" t="s">
        <v>103</v>
      </c>
      <c r="E2061" s="1">
        <v>45192</v>
      </c>
      <c r="F2061" t="s">
        <v>86</v>
      </c>
      <c r="G2061" t="s">
        <v>87</v>
      </c>
      <c r="H2061" t="s">
        <v>59</v>
      </c>
      <c r="I2061">
        <v>12</v>
      </c>
      <c r="J2061" t="s">
        <v>88</v>
      </c>
      <c r="K2061">
        <v>3</v>
      </c>
      <c r="L2061" s="3">
        <v>8999</v>
      </c>
      <c r="M2061">
        <v>35</v>
      </c>
      <c r="N2061" s="3">
        <v>5850</v>
      </c>
      <c r="O2061" s="3">
        <v>17550</v>
      </c>
      <c r="P2061" t="s">
        <v>74</v>
      </c>
      <c r="Q2061" t="s">
        <v>35</v>
      </c>
      <c r="R2061" t="s">
        <v>36</v>
      </c>
      <c r="S2061" t="s">
        <v>460</v>
      </c>
      <c r="T2061" t="s">
        <v>580</v>
      </c>
      <c r="U2061" t="s">
        <v>91</v>
      </c>
      <c r="V2061" t="s">
        <v>969</v>
      </c>
      <c r="W2061">
        <v>4.9000000000000004</v>
      </c>
      <c r="X2061" t="s">
        <v>41</v>
      </c>
      <c r="Y2061" t="s">
        <v>42</v>
      </c>
      <c r="Z2061">
        <v>4</v>
      </c>
    </row>
    <row r="2062" spans="1:26">
      <c r="A2062" t="s">
        <v>3223</v>
      </c>
      <c r="B2062" t="s">
        <v>744</v>
      </c>
      <c r="C2062" t="s">
        <v>94</v>
      </c>
      <c r="D2062" t="s">
        <v>46</v>
      </c>
      <c r="E2062" s="1">
        <v>45193</v>
      </c>
      <c r="F2062" t="s">
        <v>86</v>
      </c>
      <c r="G2062" t="s">
        <v>312</v>
      </c>
      <c r="H2062" t="s">
        <v>59</v>
      </c>
      <c r="I2062">
        <v>7</v>
      </c>
      <c r="J2062" t="s">
        <v>67</v>
      </c>
      <c r="K2062">
        <v>1</v>
      </c>
      <c r="L2062" s="3">
        <v>5299</v>
      </c>
      <c r="M2062">
        <v>15</v>
      </c>
      <c r="N2062" s="3">
        <v>4500</v>
      </c>
      <c r="O2062" s="3">
        <v>4500</v>
      </c>
      <c r="P2062" t="s">
        <v>74</v>
      </c>
      <c r="Q2062" t="s">
        <v>51</v>
      </c>
      <c r="R2062" t="s">
        <v>36</v>
      </c>
      <c r="S2062" t="s">
        <v>186</v>
      </c>
      <c r="T2062" t="s">
        <v>341</v>
      </c>
      <c r="U2062" t="s">
        <v>39</v>
      </c>
      <c r="V2062" t="s">
        <v>969</v>
      </c>
      <c r="W2062">
        <v>3.9</v>
      </c>
      <c r="X2062" t="s">
        <v>41</v>
      </c>
      <c r="Y2062" t="s">
        <v>42</v>
      </c>
      <c r="Z2062">
        <v>2</v>
      </c>
    </row>
    <row r="2063" spans="1:26">
      <c r="A2063" t="s">
        <v>3224</v>
      </c>
      <c r="B2063" t="s">
        <v>1085</v>
      </c>
      <c r="C2063" t="s">
        <v>94</v>
      </c>
      <c r="D2063" t="s">
        <v>46</v>
      </c>
      <c r="E2063" s="1">
        <v>45195</v>
      </c>
      <c r="F2063" t="s">
        <v>30</v>
      </c>
      <c r="G2063" t="s">
        <v>31</v>
      </c>
      <c r="H2063" t="s">
        <v>32</v>
      </c>
      <c r="I2063">
        <v>7</v>
      </c>
      <c r="J2063" t="s">
        <v>73</v>
      </c>
      <c r="K2063">
        <v>1</v>
      </c>
      <c r="L2063" s="3">
        <v>6899</v>
      </c>
      <c r="M2063">
        <v>20</v>
      </c>
      <c r="N2063" s="3">
        <v>5520</v>
      </c>
      <c r="O2063" s="3">
        <v>5520</v>
      </c>
      <c r="P2063" t="s">
        <v>81</v>
      </c>
      <c r="Q2063" t="s">
        <v>82</v>
      </c>
      <c r="R2063" t="s">
        <v>36</v>
      </c>
      <c r="S2063" t="s">
        <v>151</v>
      </c>
      <c r="T2063" t="s">
        <v>452</v>
      </c>
      <c r="U2063" t="s">
        <v>54</v>
      </c>
      <c r="V2063" t="s">
        <v>315</v>
      </c>
      <c r="W2063">
        <v>4</v>
      </c>
      <c r="X2063" t="s">
        <v>62</v>
      </c>
      <c r="Y2063" t="s">
        <v>42</v>
      </c>
      <c r="Z2063">
        <v>4</v>
      </c>
    </row>
    <row r="2064" spans="1:26">
      <c r="A2064" t="s">
        <v>3225</v>
      </c>
      <c r="B2064" t="s">
        <v>3226</v>
      </c>
      <c r="C2064" t="s">
        <v>45</v>
      </c>
      <c r="D2064" t="s">
        <v>103</v>
      </c>
      <c r="E2064" s="1">
        <v>45196</v>
      </c>
      <c r="F2064" t="s">
        <v>79</v>
      </c>
      <c r="G2064" t="s">
        <v>301</v>
      </c>
      <c r="H2064" t="s">
        <v>49</v>
      </c>
      <c r="I2064">
        <v>9</v>
      </c>
      <c r="J2064" t="s">
        <v>33</v>
      </c>
      <c r="K2064">
        <v>1</v>
      </c>
      <c r="L2064" s="3">
        <v>7499</v>
      </c>
      <c r="M2064">
        <v>25</v>
      </c>
      <c r="N2064" s="3">
        <v>5620</v>
      </c>
      <c r="O2064" s="3">
        <v>5620</v>
      </c>
      <c r="P2064" t="s">
        <v>34</v>
      </c>
      <c r="Q2064" t="s">
        <v>82</v>
      </c>
      <c r="R2064" t="s">
        <v>36</v>
      </c>
      <c r="S2064" t="s">
        <v>104</v>
      </c>
      <c r="T2064" t="s">
        <v>1048</v>
      </c>
      <c r="U2064" t="s">
        <v>61</v>
      </c>
      <c r="V2064" t="s">
        <v>40</v>
      </c>
      <c r="W2064">
        <v>4.3</v>
      </c>
      <c r="X2064" t="s">
        <v>41</v>
      </c>
      <c r="Y2064" t="s">
        <v>42</v>
      </c>
      <c r="Z2064">
        <v>4</v>
      </c>
    </row>
    <row r="2065" spans="1:26">
      <c r="A2065" t="s">
        <v>3227</v>
      </c>
      <c r="B2065" t="s">
        <v>1197</v>
      </c>
      <c r="C2065" t="s">
        <v>28</v>
      </c>
      <c r="D2065" t="s">
        <v>103</v>
      </c>
      <c r="E2065" s="1">
        <v>45196</v>
      </c>
      <c r="F2065" t="s">
        <v>65</v>
      </c>
      <c r="G2065" t="s">
        <v>72</v>
      </c>
      <c r="H2065" t="s">
        <v>59</v>
      </c>
      <c r="I2065">
        <v>7</v>
      </c>
      <c r="J2065" t="s">
        <v>150</v>
      </c>
      <c r="K2065">
        <v>1</v>
      </c>
      <c r="L2065" s="3">
        <v>4199</v>
      </c>
      <c r="M2065">
        <v>25</v>
      </c>
      <c r="N2065" s="3">
        <v>3150</v>
      </c>
      <c r="O2065" s="3">
        <v>3150</v>
      </c>
      <c r="P2065" t="s">
        <v>74</v>
      </c>
      <c r="Q2065" t="s">
        <v>51</v>
      </c>
      <c r="R2065" t="s">
        <v>36</v>
      </c>
      <c r="S2065" t="s">
        <v>338</v>
      </c>
      <c r="T2065" t="s">
        <v>338</v>
      </c>
      <c r="U2065" t="s">
        <v>61</v>
      </c>
      <c r="V2065" t="s">
        <v>969</v>
      </c>
      <c r="W2065">
        <v>3.2</v>
      </c>
      <c r="X2065" t="s">
        <v>106</v>
      </c>
      <c r="Y2065" t="s">
        <v>42</v>
      </c>
      <c r="Z2065">
        <v>2</v>
      </c>
    </row>
    <row r="2066" spans="1:26">
      <c r="A2066" t="s">
        <v>3228</v>
      </c>
      <c r="B2066" t="s">
        <v>1786</v>
      </c>
      <c r="C2066" t="s">
        <v>45</v>
      </c>
      <c r="D2066" t="s">
        <v>109</v>
      </c>
      <c r="E2066" s="1">
        <v>45200</v>
      </c>
      <c r="F2066" t="s">
        <v>47</v>
      </c>
      <c r="G2066" t="s">
        <v>218</v>
      </c>
      <c r="H2066" t="s">
        <v>59</v>
      </c>
      <c r="I2066">
        <v>7</v>
      </c>
      <c r="J2066" t="s">
        <v>98</v>
      </c>
      <c r="K2066">
        <v>2</v>
      </c>
      <c r="L2066" s="3">
        <v>4799</v>
      </c>
      <c r="M2066">
        <v>20</v>
      </c>
      <c r="N2066" s="3">
        <v>3840</v>
      </c>
      <c r="O2066" s="3">
        <v>7680</v>
      </c>
      <c r="P2066" t="s">
        <v>74</v>
      </c>
      <c r="Q2066" t="s">
        <v>51</v>
      </c>
      <c r="R2066" t="s">
        <v>36</v>
      </c>
      <c r="S2066" t="s">
        <v>418</v>
      </c>
      <c r="T2066" t="s">
        <v>549</v>
      </c>
      <c r="U2066" t="s">
        <v>91</v>
      </c>
      <c r="V2066" t="s">
        <v>969</v>
      </c>
      <c r="W2066">
        <v>4.7</v>
      </c>
      <c r="X2066" t="s">
        <v>41</v>
      </c>
      <c r="Y2066" t="s">
        <v>42</v>
      </c>
      <c r="Z2066">
        <v>3</v>
      </c>
    </row>
    <row r="2067" spans="1:26">
      <c r="A2067" t="s">
        <v>3229</v>
      </c>
      <c r="B2067" t="s">
        <v>371</v>
      </c>
      <c r="C2067" t="s">
        <v>45</v>
      </c>
      <c r="D2067" t="s">
        <v>29</v>
      </c>
      <c r="E2067" s="1">
        <v>45200</v>
      </c>
      <c r="F2067" t="s">
        <v>86</v>
      </c>
      <c r="G2067" t="s">
        <v>242</v>
      </c>
      <c r="H2067" t="s">
        <v>32</v>
      </c>
      <c r="I2067">
        <v>9</v>
      </c>
      <c r="J2067" t="s">
        <v>33</v>
      </c>
      <c r="K2067">
        <v>2</v>
      </c>
      <c r="L2067" s="3">
        <v>7899</v>
      </c>
      <c r="M2067">
        <v>20</v>
      </c>
      <c r="N2067" s="3">
        <v>6320</v>
      </c>
      <c r="O2067" s="3">
        <v>12640</v>
      </c>
      <c r="P2067" t="s">
        <v>34</v>
      </c>
      <c r="Q2067" t="s">
        <v>51</v>
      </c>
      <c r="R2067" t="s">
        <v>36</v>
      </c>
      <c r="S2067" t="s">
        <v>52</v>
      </c>
      <c r="T2067" t="s">
        <v>83</v>
      </c>
      <c r="U2067" t="s">
        <v>124</v>
      </c>
      <c r="V2067" t="s">
        <v>969</v>
      </c>
      <c r="W2067">
        <v>4.3</v>
      </c>
      <c r="X2067" t="s">
        <v>106</v>
      </c>
      <c r="Y2067" t="s">
        <v>42</v>
      </c>
      <c r="Z2067">
        <v>6</v>
      </c>
    </row>
    <row r="2068" spans="1:26">
      <c r="A2068" t="s">
        <v>3230</v>
      </c>
      <c r="B2068" t="s">
        <v>1925</v>
      </c>
      <c r="C2068" t="s">
        <v>45</v>
      </c>
      <c r="D2068" t="s">
        <v>29</v>
      </c>
      <c r="E2068" s="1">
        <v>45200</v>
      </c>
      <c r="F2068" t="s">
        <v>65</v>
      </c>
      <c r="G2068" t="s">
        <v>268</v>
      </c>
      <c r="H2068" t="s">
        <v>128</v>
      </c>
      <c r="I2068">
        <v>11</v>
      </c>
      <c r="J2068" t="s">
        <v>88</v>
      </c>
      <c r="K2068">
        <v>1</v>
      </c>
      <c r="L2068" s="3">
        <v>3999</v>
      </c>
      <c r="M2068">
        <v>15</v>
      </c>
      <c r="N2068" s="3">
        <v>3400</v>
      </c>
      <c r="O2068" s="3">
        <v>3400</v>
      </c>
      <c r="P2068" t="s">
        <v>74</v>
      </c>
      <c r="Q2068" t="s">
        <v>51</v>
      </c>
      <c r="R2068" t="s">
        <v>36</v>
      </c>
      <c r="S2068" t="s">
        <v>168</v>
      </c>
      <c r="T2068" t="s">
        <v>532</v>
      </c>
      <c r="U2068" t="s">
        <v>91</v>
      </c>
      <c r="V2068" t="s">
        <v>315</v>
      </c>
      <c r="W2068">
        <v>3.2</v>
      </c>
      <c r="X2068" t="s">
        <v>41</v>
      </c>
      <c r="Y2068" t="s">
        <v>42</v>
      </c>
      <c r="Z2068">
        <v>2</v>
      </c>
    </row>
    <row r="2069" spans="1:26">
      <c r="A2069" t="s">
        <v>3231</v>
      </c>
      <c r="B2069" t="s">
        <v>209</v>
      </c>
      <c r="C2069" t="s">
        <v>28</v>
      </c>
      <c r="D2069" t="s">
        <v>109</v>
      </c>
      <c r="E2069" s="1">
        <v>45201</v>
      </c>
      <c r="F2069" t="s">
        <v>86</v>
      </c>
      <c r="G2069" t="s">
        <v>87</v>
      </c>
      <c r="H2069" t="s">
        <v>59</v>
      </c>
      <c r="I2069">
        <v>11</v>
      </c>
      <c r="J2069" t="s">
        <v>98</v>
      </c>
      <c r="K2069">
        <v>1</v>
      </c>
      <c r="L2069" s="3">
        <v>7099</v>
      </c>
      <c r="M2069">
        <v>25</v>
      </c>
      <c r="N2069" s="3">
        <v>5320</v>
      </c>
      <c r="O2069" s="3">
        <v>5320</v>
      </c>
      <c r="P2069" t="s">
        <v>74</v>
      </c>
      <c r="Q2069" t="s">
        <v>51</v>
      </c>
      <c r="R2069" t="s">
        <v>36</v>
      </c>
      <c r="S2069" t="s">
        <v>418</v>
      </c>
      <c r="T2069" t="s">
        <v>549</v>
      </c>
      <c r="U2069" t="s">
        <v>124</v>
      </c>
      <c r="V2069" t="s">
        <v>969</v>
      </c>
      <c r="W2069">
        <v>3.8</v>
      </c>
      <c r="X2069" t="s">
        <v>41</v>
      </c>
      <c r="Y2069" t="s">
        <v>55</v>
      </c>
      <c r="Z2069">
        <v>4</v>
      </c>
    </row>
    <row r="2070" spans="1:26">
      <c r="A2070" t="s">
        <v>3232</v>
      </c>
      <c r="B2070" t="s">
        <v>882</v>
      </c>
      <c r="C2070" t="s">
        <v>28</v>
      </c>
      <c r="D2070" t="s">
        <v>29</v>
      </c>
      <c r="E2070" s="1">
        <v>45202</v>
      </c>
      <c r="F2070" t="s">
        <v>30</v>
      </c>
      <c r="G2070" t="s">
        <v>110</v>
      </c>
      <c r="H2070" t="s">
        <v>111</v>
      </c>
      <c r="I2070">
        <v>11</v>
      </c>
      <c r="J2070" t="s">
        <v>88</v>
      </c>
      <c r="K2070">
        <v>3</v>
      </c>
      <c r="L2070" s="3">
        <v>5399</v>
      </c>
      <c r="M2070">
        <v>0</v>
      </c>
      <c r="N2070" s="3">
        <v>5400</v>
      </c>
      <c r="O2070" s="3">
        <v>16200</v>
      </c>
      <c r="P2070" t="s">
        <v>74</v>
      </c>
      <c r="Q2070" t="s">
        <v>51</v>
      </c>
      <c r="R2070" t="s">
        <v>36</v>
      </c>
      <c r="S2070" t="s">
        <v>104</v>
      </c>
      <c r="T2070" t="s">
        <v>1048</v>
      </c>
      <c r="U2070" t="s">
        <v>39</v>
      </c>
      <c r="V2070" t="s">
        <v>969</v>
      </c>
      <c r="W2070">
        <v>3.4</v>
      </c>
      <c r="X2070" t="s">
        <v>41</v>
      </c>
      <c r="Y2070" t="s">
        <v>42</v>
      </c>
      <c r="Z2070">
        <v>5</v>
      </c>
    </row>
    <row r="2071" spans="1:26">
      <c r="A2071" t="s">
        <v>3233</v>
      </c>
      <c r="B2071" t="s">
        <v>167</v>
      </c>
      <c r="C2071" t="s">
        <v>45</v>
      </c>
      <c r="D2071" t="s">
        <v>29</v>
      </c>
      <c r="E2071" s="1">
        <v>45203</v>
      </c>
      <c r="F2071" t="s">
        <v>79</v>
      </c>
      <c r="G2071" t="s">
        <v>301</v>
      </c>
      <c r="H2071" t="s">
        <v>49</v>
      </c>
      <c r="I2071">
        <v>10</v>
      </c>
      <c r="J2071" t="s">
        <v>98</v>
      </c>
      <c r="K2071">
        <v>2</v>
      </c>
      <c r="L2071" s="3">
        <v>5899</v>
      </c>
      <c r="M2071">
        <v>0</v>
      </c>
      <c r="N2071" s="3">
        <v>5900</v>
      </c>
      <c r="O2071" s="3">
        <v>11800</v>
      </c>
      <c r="P2071" t="s">
        <v>74</v>
      </c>
      <c r="Q2071" t="s">
        <v>51</v>
      </c>
      <c r="R2071" t="s">
        <v>36</v>
      </c>
      <c r="S2071" t="s">
        <v>37</v>
      </c>
      <c r="T2071" t="s">
        <v>1122</v>
      </c>
      <c r="U2071" t="s">
        <v>54</v>
      </c>
      <c r="V2071" t="s">
        <v>969</v>
      </c>
      <c r="W2071">
        <v>4</v>
      </c>
      <c r="X2071" t="s">
        <v>41</v>
      </c>
      <c r="Y2071" t="s">
        <v>42</v>
      </c>
      <c r="Z2071">
        <v>3</v>
      </c>
    </row>
    <row r="2072" spans="1:26">
      <c r="A2072" t="s">
        <v>3234</v>
      </c>
      <c r="B2072" t="s">
        <v>808</v>
      </c>
      <c r="C2072" t="s">
        <v>45</v>
      </c>
      <c r="D2072" t="s">
        <v>46</v>
      </c>
      <c r="E2072" s="1">
        <v>45203</v>
      </c>
      <c r="F2072" t="s">
        <v>65</v>
      </c>
      <c r="G2072" t="s">
        <v>256</v>
      </c>
      <c r="H2072" t="s">
        <v>32</v>
      </c>
      <c r="I2072">
        <v>8</v>
      </c>
      <c r="J2072" t="s">
        <v>98</v>
      </c>
      <c r="K2072">
        <v>1</v>
      </c>
      <c r="L2072" s="3">
        <v>6299</v>
      </c>
      <c r="M2072">
        <v>20</v>
      </c>
      <c r="N2072" s="3">
        <v>5040</v>
      </c>
      <c r="O2072" s="3">
        <v>5040</v>
      </c>
      <c r="P2072" t="s">
        <v>34</v>
      </c>
      <c r="Q2072" t="s">
        <v>51</v>
      </c>
      <c r="R2072" t="s">
        <v>36</v>
      </c>
      <c r="S2072" t="s">
        <v>164</v>
      </c>
      <c r="T2072" t="s">
        <v>314</v>
      </c>
      <c r="U2072" t="s">
        <v>39</v>
      </c>
      <c r="V2072" t="s">
        <v>969</v>
      </c>
      <c r="W2072">
        <v>3.9</v>
      </c>
      <c r="X2072" t="s">
        <v>41</v>
      </c>
      <c r="Y2072" t="s">
        <v>42</v>
      </c>
      <c r="Z2072">
        <v>5</v>
      </c>
    </row>
    <row r="2073" spans="1:26">
      <c r="A2073" t="s">
        <v>3235</v>
      </c>
      <c r="B2073" t="s">
        <v>736</v>
      </c>
      <c r="C2073" t="s">
        <v>28</v>
      </c>
      <c r="D2073" t="s">
        <v>29</v>
      </c>
      <c r="E2073" s="1">
        <v>45204</v>
      </c>
      <c r="F2073" t="s">
        <v>65</v>
      </c>
      <c r="G2073" t="s">
        <v>268</v>
      </c>
      <c r="H2073" t="s">
        <v>128</v>
      </c>
      <c r="I2073">
        <v>10</v>
      </c>
      <c r="J2073" t="s">
        <v>33</v>
      </c>
      <c r="K2073">
        <v>2</v>
      </c>
      <c r="L2073" s="3">
        <v>5299</v>
      </c>
      <c r="M2073">
        <v>0</v>
      </c>
      <c r="N2073" s="3">
        <v>5300</v>
      </c>
      <c r="O2073" s="3">
        <v>10600</v>
      </c>
      <c r="P2073" t="s">
        <v>34</v>
      </c>
      <c r="Q2073" t="s">
        <v>51</v>
      </c>
      <c r="R2073" t="s">
        <v>36</v>
      </c>
      <c r="S2073" t="s">
        <v>182</v>
      </c>
      <c r="T2073" t="s">
        <v>183</v>
      </c>
      <c r="U2073" t="s">
        <v>124</v>
      </c>
      <c r="V2073" t="s">
        <v>969</v>
      </c>
      <c r="W2073">
        <v>4.8</v>
      </c>
      <c r="X2073" t="s">
        <v>41</v>
      </c>
      <c r="Y2073" t="s">
        <v>55</v>
      </c>
      <c r="Z2073">
        <v>3</v>
      </c>
    </row>
    <row r="2074" spans="1:26">
      <c r="A2074" t="s">
        <v>3236</v>
      </c>
      <c r="B2074" t="s">
        <v>630</v>
      </c>
      <c r="C2074" t="s">
        <v>28</v>
      </c>
      <c r="D2074" t="s">
        <v>29</v>
      </c>
      <c r="E2074" s="1">
        <v>45204</v>
      </c>
      <c r="F2074" t="s">
        <v>65</v>
      </c>
      <c r="G2074" t="s">
        <v>365</v>
      </c>
      <c r="H2074" t="s">
        <v>49</v>
      </c>
      <c r="I2074">
        <v>7</v>
      </c>
      <c r="J2074" t="s">
        <v>67</v>
      </c>
      <c r="K2074">
        <v>2</v>
      </c>
      <c r="L2074" s="3">
        <v>3499</v>
      </c>
      <c r="M2074">
        <v>20</v>
      </c>
      <c r="N2074" s="3">
        <v>2800</v>
      </c>
      <c r="O2074" s="3">
        <v>5600</v>
      </c>
      <c r="P2074" t="s">
        <v>74</v>
      </c>
      <c r="Q2074" t="s">
        <v>51</v>
      </c>
      <c r="R2074" t="s">
        <v>36</v>
      </c>
      <c r="S2074" t="s">
        <v>384</v>
      </c>
      <c r="T2074" t="s">
        <v>1217</v>
      </c>
      <c r="U2074" t="s">
        <v>54</v>
      </c>
      <c r="V2074" t="s">
        <v>969</v>
      </c>
      <c r="W2074">
        <v>4.5999999999999996</v>
      </c>
      <c r="X2074" t="s">
        <v>41</v>
      </c>
      <c r="Y2074" t="s">
        <v>42</v>
      </c>
      <c r="Z2074">
        <v>4</v>
      </c>
    </row>
    <row r="2075" spans="1:26">
      <c r="A2075" t="s">
        <v>3237</v>
      </c>
      <c r="B2075" t="s">
        <v>2555</v>
      </c>
      <c r="C2075" t="s">
        <v>45</v>
      </c>
      <c r="D2075" t="s">
        <v>46</v>
      </c>
      <c r="E2075" s="1">
        <v>45204</v>
      </c>
      <c r="F2075" t="s">
        <v>79</v>
      </c>
      <c r="G2075" t="s">
        <v>127</v>
      </c>
      <c r="H2075" t="s">
        <v>128</v>
      </c>
      <c r="I2075">
        <v>9</v>
      </c>
      <c r="J2075" t="s">
        <v>98</v>
      </c>
      <c r="K2075">
        <v>1</v>
      </c>
      <c r="L2075" s="3">
        <v>6899</v>
      </c>
      <c r="M2075">
        <v>15</v>
      </c>
      <c r="N2075" s="3">
        <v>5860</v>
      </c>
      <c r="O2075" s="3">
        <v>5860</v>
      </c>
      <c r="P2075" t="s">
        <v>74</v>
      </c>
      <c r="Q2075" t="s">
        <v>35</v>
      </c>
      <c r="R2075" t="s">
        <v>36</v>
      </c>
      <c r="S2075" t="s">
        <v>37</v>
      </c>
      <c r="T2075" t="s">
        <v>38</v>
      </c>
      <c r="U2075" t="s">
        <v>54</v>
      </c>
      <c r="V2075" t="s">
        <v>315</v>
      </c>
      <c r="W2075">
        <v>3.9</v>
      </c>
      <c r="X2075" t="s">
        <v>62</v>
      </c>
      <c r="Y2075" t="s">
        <v>42</v>
      </c>
      <c r="Z2075">
        <v>2</v>
      </c>
    </row>
    <row r="2076" spans="1:26">
      <c r="A2076" t="s">
        <v>3238</v>
      </c>
      <c r="B2076" t="s">
        <v>2427</v>
      </c>
      <c r="C2076" t="s">
        <v>28</v>
      </c>
      <c r="D2076" t="s">
        <v>109</v>
      </c>
      <c r="E2076" s="1">
        <v>45205</v>
      </c>
      <c r="F2076" t="s">
        <v>65</v>
      </c>
      <c r="G2076" t="s">
        <v>279</v>
      </c>
      <c r="H2076" t="s">
        <v>111</v>
      </c>
      <c r="I2076">
        <v>6</v>
      </c>
      <c r="J2076" t="s">
        <v>33</v>
      </c>
      <c r="K2076">
        <v>3</v>
      </c>
      <c r="L2076" s="3">
        <v>7299</v>
      </c>
      <c r="M2076">
        <v>20</v>
      </c>
      <c r="N2076" s="3">
        <v>5840</v>
      </c>
      <c r="O2076" s="3">
        <v>17520</v>
      </c>
      <c r="P2076" t="s">
        <v>74</v>
      </c>
      <c r="Q2076" t="s">
        <v>82</v>
      </c>
      <c r="R2076" t="s">
        <v>36</v>
      </c>
      <c r="S2076" t="s">
        <v>141</v>
      </c>
      <c r="T2076" t="s">
        <v>142</v>
      </c>
      <c r="U2076" t="s">
        <v>61</v>
      </c>
      <c r="V2076" t="s">
        <v>969</v>
      </c>
      <c r="W2076">
        <v>3.3</v>
      </c>
      <c r="X2076" t="s">
        <v>41</v>
      </c>
      <c r="Y2076" t="s">
        <v>55</v>
      </c>
      <c r="Z2076">
        <v>3</v>
      </c>
    </row>
    <row r="2077" spans="1:26">
      <c r="A2077" t="s">
        <v>3239</v>
      </c>
      <c r="B2077" t="s">
        <v>1719</v>
      </c>
      <c r="C2077" t="s">
        <v>28</v>
      </c>
      <c r="D2077" t="s">
        <v>103</v>
      </c>
      <c r="E2077" s="1">
        <v>45206</v>
      </c>
      <c r="F2077" t="s">
        <v>79</v>
      </c>
      <c r="G2077" t="s">
        <v>80</v>
      </c>
      <c r="H2077" t="s">
        <v>59</v>
      </c>
      <c r="I2077">
        <v>8</v>
      </c>
      <c r="J2077" t="s">
        <v>73</v>
      </c>
      <c r="K2077">
        <v>1</v>
      </c>
      <c r="L2077" s="3">
        <v>5899</v>
      </c>
      <c r="M2077">
        <v>30</v>
      </c>
      <c r="N2077" s="3">
        <v>4130</v>
      </c>
      <c r="O2077" s="3">
        <v>4130</v>
      </c>
      <c r="P2077" t="s">
        <v>74</v>
      </c>
      <c r="Q2077" t="s">
        <v>51</v>
      </c>
      <c r="R2077" t="s">
        <v>36</v>
      </c>
      <c r="S2077" t="s">
        <v>354</v>
      </c>
      <c r="T2077" t="s">
        <v>431</v>
      </c>
      <c r="U2077" t="s">
        <v>54</v>
      </c>
      <c r="V2077" t="s">
        <v>969</v>
      </c>
      <c r="W2077">
        <v>4.4000000000000004</v>
      </c>
      <c r="X2077" t="s">
        <v>41</v>
      </c>
      <c r="Y2077" t="s">
        <v>42</v>
      </c>
      <c r="Z2077">
        <v>2</v>
      </c>
    </row>
    <row r="2078" spans="1:26">
      <c r="A2078" t="s">
        <v>3240</v>
      </c>
      <c r="B2078" t="s">
        <v>1392</v>
      </c>
      <c r="C2078" t="s">
        <v>45</v>
      </c>
      <c r="D2078" t="s">
        <v>46</v>
      </c>
      <c r="E2078" s="1">
        <v>45207</v>
      </c>
      <c r="F2078" t="s">
        <v>96</v>
      </c>
      <c r="G2078" t="s">
        <v>97</v>
      </c>
      <c r="H2078" t="s">
        <v>49</v>
      </c>
      <c r="I2078">
        <v>11</v>
      </c>
      <c r="J2078" t="s">
        <v>88</v>
      </c>
      <c r="K2078">
        <v>1</v>
      </c>
      <c r="L2078" s="3">
        <v>4599</v>
      </c>
      <c r="M2078">
        <v>20</v>
      </c>
      <c r="N2078" s="3">
        <v>3680</v>
      </c>
      <c r="O2078" s="3">
        <v>3680</v>
      </c>
      <c r="P2078" t="s">
        <v>74</v>
      </c>
      <c r="Q2078" t="s">
        <v>51</v>
      </c>
      <c r="R2078" t="s">
        <v>36</v>
      </c>
      <c r="S2078" t="s">
        <v>117</v>
      </c>
      <c r="T2078" t="s">
        <v>751</v>
      </c>
      <c r="U2078" t="s">
        <v>54</v>
      </c>
      <c r="V2078" t="s">
        <v>315</v>
      </c>
      <c r="W2078">
        <v>4.0999999999999996</v>
      </c>
      <c r="X2078" t="s">
        <v>106</v>
      </c>
      <c r="Y2078" t="s">
        <v>42</v>
      </c>
      <c r="Z2078">
        <v>4</v>
      </c>
    </row>
    <row r="2079" spans="1:26">
      <c r="A2079" t="s">
        <v>3241</v>
      </c>
      <c r="B2079" t="s">
        <v>2846</v>
      </c>
      <c r="C2079" t="s">
        <v>28</v>
      </c>
      <c r="D2079" t="s">
        <v>29</v>
      </c>
      <c r="E2079" s="1">
        <v>45207</v>
      </c>
      <c r="F2079" t="s">
        <v>96</v>
      </c>
      <c r="G2079" t="s">
        <v>323</v>
      </c>
      <c r="H2079" t="s">
        <v>59</v>
      </c>
      <c r="I2079">
        <v>10</v>
      </c>
      <c r="J2079" t="s">
        <v>73</v>
      </c>
      <c r="K2079">
        <v>3</v>
      </c>
      <c r="L2079" s="3">
        <v>7099</v>
      </c>
      <c r="M2079">
        <v>15</v>
      </c>
      <c r="N2079" s="3">
        <v>6030</v>
      </c>
      <c r="O2079" s="3">
        <v>18090</v>
      </c>
      <c r="P2079" t="s">
        <v>34</v>
      </c>
      <c r="Q2079" t="s">
        <v>51</v>
      </c>
      <c r="R2079" t="s">
        <v>36</v>
      </c>
      <c r="S2079" t="s">
        <v>156</v>
      </c>
      <c r="T2079" t="s">
        <v>257</v>
      </c>
      <c r="U2079" t="s">
        <v>91</v>
      </c>
      <c r="V2079" t="s">
        <v>315</v>
      </c>
      <c r="W2079">
        <v>4</v>
      </c>
      <c r="X2079" t="s">
        <v>62</v>
      </c>
      <c r="Y2079" t="s">
        <v>42</v>
      </c>
      <c r="Z2079">
        <v>4</v>
      </c>
    </row>
    <row r="2080" spans="1:26">
      <c r="A2080" t="s">
        <v>3242</v>
      </c>
      <c r="B2080" t="s">
        <v>1193</v>
      </c>
      <c r="C2080" t="s">
        <v>45</v>
      </c>
      <c r="D2080" t="s">
        <v>95</v>
      </c>
      <c r="E2080" s="1">
        <v>45209</v>
      </c>
      <c r="F2080" t="s">
        <v>96</v>
      </c>
      <c r="G2080" t="s">
        <v>155</v>
      </c>
      <c r="H2080" t="s">
        <v>111</v>
      </c>
      <c r="I2080">
        <v>9</v>
      </c>
      <c r="J2080" t="s">
        <v>73</v>
      </c>
      <c r="K2080">
        <v>3</v>
      </c>
      <c r="L2080" s="3">
        <v>9099</v>
      </c>
      <c r="M2080">
        <v>10</v>
      </c>
      <c r="N2080" s="3">
        <v>8190</v>
      </c>
      <c r="O2080" s="3">
        <v>24570</v>
      </c>
      <c r="P2080" t="s">
        <v>50</v>
      </c>
      <c r="Q2080" t="s">
        <v>51</v>
      </c>
      <c r="R2080" t="s">
        <v>36</v>
      </c>
      <c r="S2080" t="s">
        <v>195</v>
      </c>
      <c r="T2080" t="s">
        <v>196</v>
      </c>
      <c r="U2080" t="s">
        <v>61</v>
      </c>
      <c r="V2080" t="s">
        <v>315</v>
      </c>
      <c r="W2080">
        <v>4.4000000000000004</v>
      </c>
      <c r="X2080" t="s">
        <v>41</v>
      </c>
      <c r="Y2080" t="s">
        <v>147</v>
      </c>
      <c r="Z2080">
        <v>1</v>
      </c>
    </row>
    <row r="2081" spans="1:26">
      <c r="A2081" t="s">
        <v>3243</v>
      </c>
      <c r="B2081" t="s">
        <v>662</v>
      </c>
      <c r="C2081" t="s">
        <v>28</v>
      </c>
      <c r="D2081" t="s">
        <v>46</v>
      </c>
      <c r="E2081" s="1">
        <v>45209</v>
      </c>
      <c r="F2081" t="s">
        <v>86</v>
      </c>
      <c r="G2081" t="s">
        <v>242</v>
      </c>
      <c r="H2081" t="s">
        <v>32</v>
      </c>
      <c r="I2081">
        <v>7</v>
      </c>
      <c r="J2081" t="s">
        <v>88</v>
      </c>
      <c r="K2081">
        <v>1</v>
      </c>
      <c r="L2081" s="3">
        <v>9299</v>
      </c>
      <c r="M2081">
        <v>15</v>
      </c>
      <c r="N2081" s="3">
        <v>7900</v>
      </c>
      <c r="O2081" s="3">
        <v>7900</v>
      </c>
      <c r="P2081" t="s">
        <v>34</v>
      </c>
      <c r="Q2081" t="s">
        <v>51</v>
      </c>
      <c r="R2081" t="s">
        <v>36</v>
      </c>
      <c r="S2081" t="s">
        <v>104</v>
      </c>
      <c r="T2081" t="s">
        <v>1048</v>
      </c>
      <c r="U2081" t="s">
        <v>54</v>
      </c>
      <c r="V2081" t="s">
        <v>969</v>
      </c>
      <c r="W2081">
        <v>4</v>
      </c>
      <c r="X2081" t="s">
        <v>41</v>
      </c>
      <c r="Y2081" t="s">
        <v>55</v>
      </c>
      <c r="Z2081">
        <v>3</v>
      </c>
    </row>
    <row r="2082" spans="1:26">
      <c r="A2082" t="s">
        <v>3244</v>
      </c>
      <c r="B2082" t="s">
        <v>2823</v>
      </c>
      <c r="C2082" t="s">
        <v>45</v>
      </c>
      <c r="D2082" t="s">
        <v>95</v>
      </c>
      <c r="E2082" s="1">
        <v>45211</v>
      </c>
      <c r="F2082" t="s">
        <v>79</v>
      </c>
      <c r="G2082" t="s">
        <v>301</v>
      </c>
      <c r="H2082" t="s">
        <v>49</v>
      </c>
      <c r="I2082">
        <v>10</v>
      </c>
      <c r="J2082" t="s">
        <v>33</v>
      </c>
      <c r="K2082">
        <v>1</v>
      </c>
      <c r="L2082" s="3">
        <v>5099</v>
      </c>
      <c r="M2082">
        <v>10</v>
      </c>
      <c r="N2082" s="3">
        <v>4590</v>
      </c>
      <c r="O2082" s="3">
        <v>4590</v>
      </c>
      <c r="P2082" t="s">
        <v>74</v>
      </c>
      <c r="Q2082" t="s">
        <v>51</v>
      </c>
      <c r="R2082" t="s">
        <v>36</v>
      </c>
      <c r="S2082" t="s">
        <v>210</v>
      </c>
      <c r="T2082" t="s">
        <v>211</v>
      </c>
      <c r="U2082" t="s">
        <v>124</v>
      </c>
      <c r="V2082" t="s">
        <v>315</v>
      </c>
      <c r="W2082">
        <v>5</v>
      </c>
      <c r="X2082" t="s">
        <v>41</v>
      </c>
      <c r="Y2082" t="s">
        <v>42</v>
      </c>
      <c r="Z2082">
        <v>2</v>
      </c>
    </row>
    <row r="2083" spans="1:26">
      <c r="A2083" t="s">
        <v>3245</v>
      </c>
      <c r="B2083" t="s">
        <v>414</v>
      </c>
      <c r="C2083" t="s">
        <v>45</v>
      </c>
      <c r="D2083" t="s">
        <v>46</v>
      </c>
      <c r="E2083" s="1">
        <v>45211</v>
      </c>
      <c r="F2083" t="s">
        <v>96</v>
      </c>
      <c r="G2083" t="s">
        <v>323</v>
      </c>
      <c r="H2083" t="s">
        <v>59</v>
      </c>
      <c r="I2083">
        <v>9</v>
      </c>
      <c r="J2083" t="s">
        <v>98</v>
      </c>
      <c r="K2083">
        <v>2</v>
      </c>
      <c r="L2083" s="3">
        <v>6299</v>
      </c>
      <c r="M2083">
        <v>15</v>
      </c>
      <c r="N2083" s="3">
        <v>5350</v>
      </c>
      <c r="O2083" s="3">
        <v>10700</v>
      </c>
      <c r="P2083" t="s">
        <v>74</v>
      </c>
      <c r="Q2083" t="s">
        <v>51</v>
      </c>
      <c r="R2083" t="s">
        <v>36</v>
      </c>
      <c r="S2083" t="s">
        <v>164</v>
      </c>
      <c r="T2083" t="s">
        <v>314</v>
      </c>
      <c r="U2083" t="s">
        <v>39</v>
      </c>
      <c r="V2083" t="s">
        <v>315</v>
      </c>
      <c r="W2083">
        <v>4</v>
      </c>
      <c r="X2083" t="s">
        <v>41</v>
      </c>
      <c r="Y2083" t="s">
        <v>147</v>
      </c>
      <c r="Z2083">
        <v>1</v>
      </c>
    </row>
    <row r="2084" spans="1:26">
      <c r="A2084" t="s">
        <v>3246</v>
      </c>
      <c r="B2084" t="s">
        <v>1801</v>
      </c>
      <c r="C2084" t="s">
        <v>45</v>
      </c>
      <c r="D2084" t="s">
        <v>46</v>
      </c>
      <c r="E2084" s="1">
        <v>45211</v>
      </c>
      <c r="F2084" t="s">
        <v>30</v>
      </c>
      <c r="G2084" t="s">
        <v>58</v>
      </c>
      <c r="H2084" t="s">
        <v>59</v>
      </c>
      <c r="I2084">
        <v>11</v>
      </c>
      <c r="J2084" t="s">
        <v>73</v>
      </c>
      <c r="K2084">
        <v>1</v>
      </c>
      <c r="L2084" s="3">
        <v>8799</v>
      </c>
      <c r="M2084">
        <v>15</v>
      </c>
      <c r="N2084" s="3">
        <v>7480</v>
      </c>
      <c r="O2084" s="3">
        <v>7480</v>
      </c>
      <c r="P2084" t="s">
        <v>74</v>
      </c>
      <c r="Q2084" t="s">
        <v>35</v>
      </c>
      <c r="R2084" t="s">
        <v>36</v>
      </c>
      <c r="S2084" t="s">
        <v>129</v>
      </c>
      <c r="T2084" t="s">
        <v>130</v>
      </c>
      <c r="U2084" t="s">
        <v>39</v>
      </c>
      <c r="V2084" t="s">
        <v>315</v>
      </c>
      <c r="W2084">
        <v>3</v>
      </c>
      <c r="X2084" t="s">
        <v>41</v>
      </c>
      <c r="Y2084" t="s">
        <v>55</v>
      </c>
      <c r="Z2084">
        <v>1</v>
      </c>
    </row>
    <row r="2085" spans="1:26">
      <c r="A2085" t="s">
        <v>3247</v>
      </c>
      <c r="B2085" t="s">
        <v>159</v>
      </c>
      <c r="C2085" t="s">
        <v>28</v>
      </c>
      <c r="D2085" t="s">
        <v>46</v>
      </c>
      <c r="E2085" s="1">
        <v>45211</v>
      </c>
      <c r="F2085" t="s">
        <v>30</v>
      </c>
      <c r="G2085" t="s">
        <v>58</v>
      </c>
      <c r="H2085" t="s">
        <v>59</v>
      </c>
      <c r="I2085">
        <v>6</v>
      </c>
      <c r="J2085" t="s">
        <v>67</v>
      </c>
      <c r="K2085">
        <v>1</v>
      </c>
      <c r="L2085" s="3">
        <v>5799</v>
      </c>
      <c r="M2085">
        <v>15</v>
      </c>
      <c r="N2085" s="3">
        <v>4930</v>
      </c>
      <c r="O2085" s="3">
        <v>4930</v>
      </c>
      <c r="P2085" t="s">
        <v>34</v>
      </c>
      <c r="Q2085" t="s">
        <v>51</v>
      </c>
      <c r="R2085" t="s">
        <v>36</v>
      </c>
      <c r="S2085" t="s">
        <v>195</v>
      </c>
      <c r="T2085" t="s">
        <v>196</v>
      </c>
      <c r="U2085" t="s">
        <v>61</v>
      </c>
      <c r="V2085" t="s">
        <v>969</v>
      </c>
      <c r="W2085">
        <v>3.7</v>
      </c>
      <c r="X2085" t="s">
        <v>41</v>
      </c>
      <c r="Y2085" t="s">
        <v>55</v>
      </c>
      <c r="Z2085">
        <v>3</v>
      </c>
    </row>
    <row r="2086" spans="1:26">
      <c r="A2086" t="s">
        <v>3248</v>
      </c>
      <c r="B2086" t="s">
        <v>633</v>
      </c>
      <c r="C2086" t="s">
        <v>28</v>
      </c>
      <c r="D2086" t="s">
        <v>29</v>
      </c>
      <c r="E2086" s="1">
        <v>45212</v>
      </c>
      <c r="F2086" t="s">
        <v>86</v>
      </c>
      <c r="G2086" t="s">
        <v>242</v>
      </c>
      <c r="H2086" t="s">
        <v>32</v>
      </c>
      <c r="I2086">
        <v>9</v>
      </c>
      <c r="J2086" t="s">
        <v>98</v>
      </c>
      <c r="K2086">
        <v>2</v>
      </c>
      <c r="L2086" s="3">
        <v>5399</v>
      </c>
      <c r="M2086">
        <v>15</v>
      </c>
      <c r="N2086" s="3">
        <v>4590</v>
      </c>
      <c r="O2086" s="3">
        <v>9180</v>
      </c>
      <c r="P2086" t="s">
        <v>34</v>
      </c>
      <c r="Q2086" t="s">
        <v>51</v>
      </c>
      <c r="R2086" t="s">
        <v>36</v>
      </c>
      <c r="S2086" t="s">
        <v>136</v>
      </c>
      <c r="T2086" t="s">
        <v>1693</v>
      </c>
      <c r="U2086" t="s">
        <v>91</v>
      </c>
      <c r="V2086" t="s">
        <v>969</v>
      </c>
      <c r="W2086">
        <v>4.9000000000000004</v>
      </c>
      <c r="X2086" t="s">
        <v>41</v>
      </c>
      <c r="Y2086" t="s">
        <v>42</v>
      </c>
      <c r="Z2086">
        <v>4</v>
      </c>
    </row>
    <row r="2087" spans="1:26">
      <c r="A2087" t="s">
        <v>3249</v>
      </c>
      <c r="B2087" t="s">
        <v>371</v>
      </c>
      <c r="C2087" t="s">
        <v>28</v>
      </c>
      <c r="D2087" t="s">
        <v>95</v>
      </c>
      <c r="E2087" s="1">
        <v>45212</v>
      </c>
      <c r="F2087" t="s">
        <v>86</v>
      </c>
      <c r="G2087" t="s">
        <v>312</v>
      </c>
      <c r="H2087" t="s">
        <v>59</v>
      </c>
      <c r="I2087">
        <v>9</v>
      </c>
      <c r="J2087" t="s">
        <v>73</v>
      </c>
      <c r="K2087">
        <v>1</v>
      </c>
      <c r="L2087" s="3">
        <v>6799</v>
      </c>
      <c r="M2087">
        <v>20</v>
      </c>
      <c r="N2087" s="3">
        <v>5440</v>
      </c>
      <c r="O2087" s="3">
        <v>5440</v>
      </c>
      <c r="P2087" t="s">
        <v>74</v>
      </c>
      <c r="Q2087" t="s">
        <v>35</v>
      </c>
      <c r="R2087" t="s">
        <v>36</v>
      </c>
      <c r="S2087" t="s">
        <v>122</v>
      </c>
      <c r="T2087" t="s">
        <v>304</v>
      </c>
      <c r="U2087" t="s">
        <v>124</v>
      </c>
      <c r="V2087" t="s">
        <v>969</v>
      </c>
      <c r="W2087">
        <v>5</v>
      </c>
      <c r="X2087" t="s">
        <v>41</v>
      </c>
      <c r="Y2087" t="s">
        <v>55</v>
      </c>
      <c r="Z2087">
        <v>3</v>
      </c>
    </row>
    <row r="2088" spans="1:26">
      <c r="A2088" t="s">
        <v>3250</v>
      </c>
      <c r="B2088" t="s">
        <v>1856</v>
      </c>
      <c r="C2088" t="s">
        <v>28</v>
      </c>
      <c r="D2088" t="s">
        <v>95</v>
      </c>
      <c r="E2088" s="1">
        <v>45213</v>
      </c>
      <c r="F2088" t="s">
        <v>65</v>
      </c>
      <c r="G2088" t="s">
        <v>268</v>
      </c>
      <c r="H2088" t="s">
        <v>128</v>
      </c>
      <c r="I2088">
        <v>9</v>
      </c>
      <c r="J2088" t="s">
        <v>73</v>
      </c>
      <c r="K2088">
        <v>1</v>
      </c>
      <c r="L2088" s="3">
        <v>4299</v>
      </c>
      <c r="M2088">
        <v>20</v>
      </c>
      <c r="N2088" s="3">
        <v>3440</v>
      </c>
      <c r="O2088" s="3">
        <v>3440</v>
      </c>
      <c r="P2088" t="s">
        <v>74</v>
      </c>
      <c r="Q2088" t="s">
        <v>51</v>
      </c>
      <c r="R2088" t="s">
        <v>36</v>
      </c>
      <c r="S2088" t="s">
        <v>104</v>
      </c>
      <c r="T2088" t="s">
        <v>179</v>
      </c>
      <c r="U2088" t="s">
        <v>124</v>
      </c>
      <c r="V2088" t="s">
        <v>315</v>
      </c>
      <c r="W2088">
        <v>4.8</v>
      </c>
      <c r="X2088" t="s">
        <v>62</v>
      </c>
      <c r="Y2088" t="s">
        <v>55</v>
      </c>
      <c r="Z2088">
        <v>1</v>
      </c>
    </row>
    <row r="2089" spans="1:26">
      <c r="A2089" t="s">
        <v>3251</v>
      </c>
      <c r="B2089" t="s">
        <v>1761</v>
      </c>
      <c r="C2089" t="s">
        <v>28</v>
      </c>
      <c r="D2089" t="s">
        <v>29</v>
      </c>
      <c r="E2089" s="1">
        <v>45214</v>
      </c>
      <c r="F2089" t="s">
        <v>30</v>
      </c>
      <c r="G2089" t="s">
        <v>145</v>
      </c>
      <c r="H2089" t="s">
        <v>59</v>
      </c>
      <c r="I2089">
        <v>8</v>
      </c>
      <c r="J2089" t="s">
        <v>150</v>
      </c>
      <c r="K2089">
        <v>1</v>
      </c>
      <c r="L2089" s="3">
        <v>6799</v>
      </c>
      <c r="M2089">
        <v>25</v>
      </c>
      <c r="N2089" s="3">
        <v>5100</v>
      </c>
      <c r="O2089" s="3">
        <v>5100</v>
      </c>
      <c r="P2089" t="s">
        <v>74</v>
      </c>
      <c r="Q2089" t="s">
        <v>82</v>
      </c>
      <c r="R2089" t="s">
        <v>36</v>
      </c>
      <c r="S2089" t="s">
        <v>269</v>
      </c>
      <c r="T2089" t="s">
        <v>652</v>
      </c>
      <c r="U2089" t="s">
        <v>54</v>
      </c>
      <c r="V2089" t="s">
        <v>315</v>
      </c>
      <c r="W2089">
        <v>3.7</v>
      </c>
      <c r="X2089" t="s">
        <v>41</v>
      </c>
      <c r="Y2089" t="s">
        <v>42</v>
      </c>
      <c r="Z2089">
        <v>4</v>
      </c>
    </row>
    <row r="2090" spans="1:26">
      <c r="A2090" t="s">
        <v>3252</v>
      </c>
      <c r="B2090" t="s">
        <v>1156</v>
      </c>
      <c r="C2090" t="s">
        <v>28</v>
      </c>
      <c r="D2090" t="s">
        <v>46</v>
      </c>
      <c r="E2090" s="1">
        <v>45215</v>
      </c>
      <c r="F2090" t="s">
        <v>86</v>
      </c>
      <c r="G2090" t="s">
        <v>190</v>
      </c>
      <c r="H2090" t="s">
        <v>128</v>
      </c>
      <c r="I2090">
        <v>7</v>
      </c>
      <c r="J2090" t="s">
        <v>67</v>
      </c>
      <c r="K2090">
        <v>1</v>
      </c>
      <c r="L2090" s="3">
        <v>7999</v>
      </c>
      <c r="M2090">
        <v>35</v>
      </c>
      <c r="N2090" s="3">
        <v>5200</v>
      </c>
      <c r="O2090" s="3">
        <v>5200</v>
      </c>
      <c r="P2090" t="s">
        <v>74</v>
      </c>
      <c r="Q2090" t="s">
        <v>51</v>
      </c>
      <c r="R2090" t="s">
        <v>36</v>
      </c>
      <c r="S2090" t="s">
        <v>104</v>
      </c>
      <c r="T2090" t="s">
        <v>179</v>
      </c>
      <c r="U2090" t="s">
        <v>91</v>
      </c>
      <c r="V2090" t="s">
        <v>315</v>
      </c>
      <c r="W2090">
        <v>3.6</v>
      </c>
      <c r="X2090" t="s">
        <v>41</v>
      </c>
      <c r="Y2090" t="s">
        <v>42</v>
      </c>
      <c r="Z2090">
        <v>6</v>
      </c>
    </row>
    <row r="2091" spans="1:26">
      <c r="A2091" t="s">
        <v>3253</v>
      </c>
      <c r="B2091" t="s">
        <v>996</v>
      </c>
      <c r="C2091" t="s">
        <v>28</v>
      </c>
      <c r="D2091" t="s">
        <v>46</v>
      </c>
      <c r="E2091" s="1">
        <v>45217</v>
      </c>
      <c r="F2091" t="s">
        <v>30</v>
      </c>
      <c r="G2091" t="s">
        <v>347</v>
      </c>
      <c r="H2091" t="s">
        <v>49</v>
      </c>
      <c r="I2091">
        <v>10</v>
      </c>
      <c r="J2091" t="s">
        <v>67</v>
      </c>
      <c r="K2091">
        <v>1</v>
      </c>
      <c r="L2091" s="3">
        <v>4099</v>
      </c>
      <c r="M2091">
        <v>10</v>
      </c>
      <c r="N2091" s="3">
        <v>3690</v>
      </c>
      <c r="O2091" s="3">
        <v>3690</v>
      </c>
      <c r="P2091" t="s">
        <v>74</v>
      </c>
      <c r="Q2091" t="s">
        <v>82</v>
      </c>
      <c r="R2091" t="s">
        <v>36</v>
      </c>
      <c r="S2091" t="s">
        <v>418</v>
      </c>
      <c r="T2091" t="s">
        <v>613</v>
      </c>
      <c r="U2091" t="s">
        <v>54</v>
      </c>
      <c r="V2091" t="s">
        <v>315</v>
      </c>
      <c r="W2091">
        <v>3.1</v>
      </c>
      <c r="X2091" t="s">
        <v>62</v>
      </c>
      <c r="Y2091" t="s">
        <v>42</v>
      </c>
      <c r="Z2091">
        <v>1</v>
      </c>
    </row>
    <row r="2092" spans="1:26">
      <c r="A2092" t="s">
        <v>3254</v>
      </c>
      <c r="B2092" t="s">
        <v>2781</v>
      </c>
      <c r="C2092" t="s">
        <v>45</v>
      </c>
      <c r="D2092" t="s">
        <v>29</v>
      </c>
      <c r="E2092" s="1">
        <v>45217</v>
      </c>
      <c r="F2092" t="s">
        <v>79</v>
      </c>
      <c r="G2092" t="s">
        <v>80</v>
      </c>
      <c r="H2092" t="s">
        <v>59</v>
      </c>
      <c r="I2092">
        <v>7</v>
      </c>
      <c r="J2092" t="s">
        <v>98</v>
      </c>
      <c r="K2092">
        <v>1</v>
      </c>
      <c r="L2092" s="3">
        <v>3499</v>
      </c>
      <c r="M2092">
        <v>20</v>
      </c>
      <c r="N2092" s="3">
        <v>2800</v>
      </c>
      <c r="O2092" s="3">
        <v>2800</v>
      </c>
      <c r="P2092" t="s">
        <v>74</v>
      </c>
      <c r="Q2092" t="s">
        <v>35</v>
      </c>
      <c r="R2092" t="s">
        <v>36</v>
      </c>
      <c r="S2092" t="s">
        <v>52</v>
      </c>
      <c r="T2092" t="s">
        <v>53</v>
      </c>
      <c r="U2092" t="s">
        <v>124</v>
      </c>
      <c r="V2092" t="s">
        <v>315</v>
      </c>
      <c r="W2092">
        <v>4.2</v>
      </c>
      <c r="X2092" t="s">
        <v>41</v>
      </c>
      <c r="Y2092" t="s">
        <v>42</v>
      </c>
      <c r="Z2092">
        <v>4</v>
      </c>
    </row>
    <row r="2093" spans="1:26">
      <c r="A2093" t="s">
        <v>3255</v>
      </c>
      <c r="B2093" t="s">
        <v>3256</v>
      </c>
      <c r="C2093" t="s">
        <v>28</v>
      </c>
      <c r="D2093" t="s">
        <v>46</v>
      </c>
      <c r="E2093" s="1">
        <v>45218</v>
      </c>
      <c r="F2093" t="s">
        <v>96</v>
      </c>
      <c r="G2093" t="s">
        <v>155</v>
      </c>
      <c r="H2093" t="s">
        <v>111</v>
      </c>
      <c r="I2093">
        <v>9</v>
      </c>
      <c r="J2093" t="s">
        <v>88</v>
      </c>
      <c r="K2093">
        <v>1</v>
      </c>
      <c r="L2093" s="3">
        <v>9199</v>
      </c>
      <c r="M2093">
        <v>10</v>
      </c>
      <c r="N2093" s="3">
        <v>8280</v>
      </c>
      <c r="O2093" s="3">
        <v>8280</v>
      </c>
      <c r="P2093" t="s">
        <v>74</v>
      </c>
      <c r="Q2093" t="s">
        <v>82</v>
      </c>
      <c r="R2093" t="s">
        <v>36</v>
      </c>
      <c r="S2093" t="s">
        <v>99</v>
      </c>
      <c r="T2093" t="s">
        <v>229</v>
      </c>
      <c r="U2093" t="s">
        <v>61</v>
      </c>
      <c r="V2093" t="s">
        <v>40</v>
      </c>
      <c r="W2093">
        <v>3.5</v>
      </c>
      <c r="X2093" t="s">
        <v>41</v>
      </c>
      <c r="Y2093" t="s">
        <v>147</v>
      </c>
      <c r="Z2093">
        <v>1</v>
      </c>
    </row>
    <row r="2094" spans="1:26">
      <c r="A2094" t="s">
        <v>3257</v>
      </c>
      <c r="B2094" t="s">
        <v>895</v>
      </c>
      <c r="C2094" t="s">
        <v>28</v>
      </c>
      <c r="D2094" t="s">
        <v>103</v>
      </c>
      <c r="E2094" s="1">
        <v>45218</v>
      </c>
      <c r="F2094" t="s">
        <v>65</v>
      </c>
      <c r="G2094" t="s">
        <v>365</v>
      </c>
      <c r="H2094" t="s">
        <v>49</v>
      </c>
      <c r="I2094">
        <v>10</v>
      </c>
      <c r="J2094" t="s">
        <v>98</v>
      </c>
      <c r="K2094">
        <v>2</v>
      </c>
      <c r="L2094" s="3">
        <v>5699</v>
      </c>
      <c r="M2094">
        <v>10</v>
      </c>
      <c r="N2094" s="3">
        <v>5130</v>
      </c>
      <c r="O2094" s="3">
        <v>10260</v>
      </c>
      <c r="P2094" t="s">
        <v>74</v>
      </c>
      <c r="Q2094" t="s">
        <v>82</v>
      </c>
      <c r="R2094" t="s">
        <v>36</v>
      </c>
      <c r="S2094" t="s">
        <v>99</v>
      </c>
      <c r="T2094" t="s">
        <v>100</v>
      </c>
      <c r="U2094" t="s">
        <v>61</v>
      </c>
      <c r="V2094" t="s">
        <v>969</v>
      </c>
      <c r="W2094">
        <v>4.7</v>
      </c>
      <c r="X2094" t="s">
        <v>41</v>
      </c>
      <c r="Y2094" t="s">
        <v>55</v>
      </c>
      <c r="Z2094">
        <v>3</v>
      </c>
    </row>
    <row r="2095" spans="1:26">
      <c r="A2095" t="s">
        <v>3258</v>
      </c>
      <c r="B2095" t="s">
        <v>2762</v>
      </c>
      <c r="C2095" t="s">
        <v>94</v>
      </c>
      <c r="D2095" t="s">
        <v>29</v>
      </c>
      <c r="E2095" s="1">
        <v>45218</v>
      </c>
      <c r="F2095" t="s">
        <v>86</v>
      </c>
      <c r="G2095" t="s">
        <v>285</v>
      </c>
      <c r="H2095" t="s">
        <v>111</v>
      </c>
      <c r="I2095">
        <v>10</v>
      </c>
      <c r="J2095" t="s">
        <v>88</v>
      </c>
      <c r="K2095">
        <v>1</v>
      </c>
      <c r="L2095" s="3">
        <v>5799</v>
      </c>
      <c r="M2095">
        <v>5</v>
      </c>
      <c r="N2095" s="3">
        <v>5510</v>
      </c>
      <c r="O2095" s="3">
        <v>5510</v>
      </c>
      <c r="P2095" t="s">
        <v>74</v>
      </c>
      <c r="Q2095" t="s">
        <v>82</v>
      </c>
      <c r="R2095" t="s">
        <v>36</v>
      </c>
      <c r="S2095" t="s">
        <v>338</v>
      </c>
      <c r="T2095" t="s">
        <v>449</v>
      </c>
      <c r="U2095" t="s">
        <v>61</v>
      </c>
      <c r="V2095" t="s">
        <v>315</v>
      </c>
      <c r="W2095">
        <v>4.4000000000000004</v>
      </c>
      <c r="X2095" t="s">
        <v>62</v>
      </c>
      <c r="Y2095" t="s">
        <v>42</v>
      </c>
      <c r="Z2095">
        <v>4</v>
      </c>
    </row>
    <row r="2096" spans="1:26">
      <c r="A2096" t="s">
        <v>3259</v>
      </c>
      <c r="B2096" t="s">
        <v>3260</v>
      </c>
      <c r="C2096" t="s">
        <v>45</v>
      </c>
      <c r="D2096" t="s">
        <v>95</v>
      </c>
      <c r="E2096" s="1">
        <v>45218</v>
      </c>
      <c r="F2096" t="s">
        <v>79</v>
      </c>
      <c r="G2096" t="s">
        <v>480</v>
      </c>
      <c r="H2096" t="s">
        <v>111</v>
      </c>
      <c r="I2096">
        <v>11</v>
      </c>
      <c r="J2096" t="s">
        <v>67</v>
      </c>
      <c r="K2096">
        <v>1</v>
      </c>
      <c r="L2096" s="3">
        <v>6299</v>
      </c>
      <c r="M2096">
        <v>25</v>
      </c>
      <c r="N2096" s="3">
        <v>4720</v>
      </c>
      <c r="O2096" s="3">
        <v>4720</v>
      </c>
      <c r="P2096" t="s">
        <v>34</v>
      </c>
      <c r="Q2096" t="s">
        <v>51</v>
      </c>
      <c r="R2096" t="s">
        <v>36</v>
      </c>
      <c r="S2096" t="s">
        <v>338</v>
      </c>
      <c r="T2096" t="s">
        <v>394</v>
      </c>
      <c r="U2096" t="s">
        <v>124</v>
      </c>
      <c r="V2096" t="s">
        <v>40</v>
      </c>
      <c r="W2096">
        <v>3.9</v>
      </c>
      <c r="X2096" t="s">
        <v>106</v>
      </c>
      <c r="Y2096" t="s">
        <v>42</v>
      </c>
      <c r="Z2096">
        <v>4</v>
      </c>
    </row>
    <row r="2097" spans="1:26">
      <c r="A2097" t="s">
        <v>3261</v>
      </c>
      <c r="B2097" t="s">
        <v>2655</v>
      </c>
      <c r="C2097" t="s">
        <v>28</v>
      </c>
      <c r="D2097" t="s">
        <v>103</v>
      </c>
      <c r="E2097" s="1">
        <v>45218</v>
      </c>
      <c r="F2097" t="s">
        <v>79</v>
      </c>
      <c r="G2097" t="s">
        <v>301</v>
      </c>
      <c r="H2097" t="s">
        <v>49</v>
      </c>
      <c r="I2097">
        <v>6</v>
      </c>
      <c r="J2097" t="s">
        <v>33</v>
      </c>
      <c r="K2097">
        <v>1</v>
      </c>
      <c r="L2097" s="3">
        <v>4299</v>
      </c>
      <c r="M2097">
        <v>10</v>
      </c>
      <c r="N2097" s="3">
        <v>3870</v>
      </c>
      <c r="O2097" s="3">
        <v>3870</v>
      </c>
      <c r="P2097" t="s">
        <v>34</v>
      </c>
      <c r="Q2097" t="s">
        <v>35</v>
      </c>
      <c r="R2097" t="s">
        <v>36</v>
      </c>
      <c r="S2097" t="s">
        <v>52</v>
      </c>
      <c r="T2097" t="s">
        <v>83</v>
      </c>
      <c r="U2097" t="s">
        <v>91</v>
      </c>
      <c r="V2097" t="s">
        <v>315</v>
      </c>
      <c r="W2097">
        <v>4</v>
      </c>
      <c r="X2097" t="s">
        <v>41</v>
      </c>
      <c r="Y2097" t="s">
        <v>42</v>
      </c>
      <c r="Z2097">
        <v>2</v>
      </c>
    </row>
    <row r="2098" spans="1:26">
      <c r="A2098" t="s">
        <v>3262</v>
      </c>
      <c r="B2098" t="s">
        <v>3263</v>
      </c>
      <c r="C2098" t="s">
        <v>28</v>
      </c>
      <c r="D2098" t="s">
        <v>46</v>
      </c>
      <c r="E2098" s="1">
        <v>45219</v>
      </c>
      <c r="F2098" t="s">
        <v>30</v>
      </c>
      <c r="G2098" t="s">
        <v>31</v>
      </c>
      <c r="H2098" t="s">
        <v>32</v>
      </c>
      <c r="I2098">
        <v>7</v>
      </c>
      <c r="J2098" t="s">
        <v>150</v>
      </c>
      <c r="K2098">
        <v>2</v>
      </c>
      <c r="L2098" s="3">
        <v>8199</v>
      </c>
      <c r="M2098">
        <v>10</v>
      </c>
      <c r="N2098" s="3">
        <v>7380</v>
      </c>
      <c r="O2098" s="3">
        <v>14760</v>
      </c>
      <c r="P2098" t="s">
        <v>74</v>
      </c>
      <c r="Q2098" t="s">
        <v>35</v>
      </c>
      <c r="R2098" t="s">
        <v>36</v>
      </c>
      <c r="S2098" t="s">
        <v>112</v>
      </c>
      <c r="T2098" t="s">
        <v>113</v>
      </c>
      <c r="U2098" t="s">
        <v>54</v>
      </c>
      <c r="V2098" t="s">
        <v>40</v>
      </c>
      <c r="W2098">
        <v>3.6</v>
      </c>
      <c r="X2098" t="s">
        <v>62</v>
      </c>
      <c r="Y2098" t="s">
        <v>147</v>
      </c>
      <c r="Z2098">
        <v>1</v>
      </c>
    </row>
    <row r="2099" spans="1:26">
      <c r="A2099" t="s">
        <v>3264</v>
      </c>
      <c r="B2099" t="s">
        <v>293</v>
      </c>
      <c r="C2099" t="s">
        <v>28</v>
      </c>
      <c r="D2099" t="s">
        <v>103</v>
      </c>
      <c r="E2099" s="1">
        <v>45220</v>
      </c>
      <c r="F2099" t="s">
        <v>30</v>
      </c>
      <c r="G2099" t="s">
        <v>58</v>
      </c>
      <c r="H2099" t="s">
        <v>59</v>
      </c>
      <c r="I2099">
        <v>7</v>
      </c>
      <c r="J2099" t="s">
        <v>33</v>
      </c>
      <c r="K2099">
        <v>1</v>
      </c>
      <c r="L2099" s="3">
        <v>8699</v>
      </c>
      <c r="M2099">
        <v>15</v>
      </c>
      <c r="N2099" s="3">
        <v>7390</v>
      </c>
      <c r="O2099" s="3">
        <v>7390</v>
      </c>
      <c r="P2099" t="s">
        <v>74</v>
      </c>
      <c r="Q2099" t="s">
        <v>35</v>
      </c>
      <c r="R2099" t="s">
        <v>36</v>
      </c>
      <c r="S2099" t="s">
        <v>286</v>
      </c>
      <c r="T2099" t="s">
        <v>768</v>
      </c>
      <c r="U2099" t="s">
        <v>91</v>
      </c>
      <c r="V2099" t="s">
        <v>969</v>
      </c>
      <c r="W2099">
        <v>3.9</v>
      </c>
      <c r="X2099" t="s">
        <v>106</v>
      </c>
      <c r="Y2099" t="s">
        <v>42</v>
      </c>
      <c r="Z2099">
        <v>3</v>
      </c>
    </row>
    <row r="2100" spans="1:26">
      <c r="A2100" t="s">
        <v>3265</v>
      </c>
      <c r="B2100" t="s">
        <v>2063</v>
      </c>
      <c r="C2100" t="s">
        <v>28</v>
      </c>
      <c r="D2100" t="s">
        <v>109</v>
      </c>
      <c r="E2100" s="1">
        <v>45220</v>
      </c>
      <c r="F2100" t="s">
        <v>96</v>
      </c>
      <c r="G2100" t="s">
        <v>97</v>
      </c>
      <c r="H2100" t="s">
        <v>49</v>
      </c>
      <c r="I2100">
        <v>9</v>
      </c>
      <c r="J2100" t="s">
        <v>98</v>
      </c>
      <c r="K2100">
        <v>2</v>
      </c>
      <c r="L2100" s="3">
        <v>8299</v>
      </c>
      <c r="M2100">
        <v>15</v>
      </c>
      <c r="N2100" s="3">
        <v>7050</v>
      </c>
      <c r="O2100" s="3">
        <v>14100</v>
      </c>
      <c r="P2100" t="s">
        <v>34</v>
      </c>
      <c r="Q2100" t="s">
        <v>82</v>
      </c>
      <c r="R2100" t="s">
        <v>36</v>
      </c>
      <c r="S2100" t="s">
        <v>160</v>
      </c>
      <c r="T2100" t="s">
        <v>344</v>
      </c>
      <c r="U2100" t="s">
        <v>124</v>
      </c>
      <c r="V2100" t="s">
        <v>315</v>
      </c>
      <c r="W2100">
        <v>3.4</v>
      </c>
      <c r="X2100" t="s">
        <v>41</v>
      </c>
      <c r="Y2100" t="s">
        <v>42</v>
      </c>
      <c r="Z2100">
        <v>6</v>
      </c>
    </row>
    <row r="2101" spans="1:26">
      <c r="A2101" t="s">
        <v>3266</v>
      </c>
      <c r="B2101" t="s">
        <v>534</v>
      </c>
      <c r="C2101" t="s">
        <v>45</v>
      </c>
      <c r="D2101" t="s">
        <v>95</v>
      </c>
      <c r="E2101" s="1">
        <v>45221</v>
      </c>
      <c r="F2101" t="s">
        <v>47</v>
      </c>
      <c r="G2101" t="s">
        <v>140</v>
      </c>
      <c r="H2101" t="s">
        <v>128</v>
      </c>
      <c r="I2101">
        <v>9</v>
      </c>
      <c r="J2101" t="s">
        <v>67</v>
      </c>
      <c r="K2101">
        <v>1</v>
      </c>
      <c r="L2101" s="3">
        <v>7799</v>
      </c>
      <c r="M2101">
        <v>10</v>
      </c>
      <c r="N2101" s="3">
        <v>7020</v>
      </c>
      <c r="O2101" s="3">
        <v>7020</v>
      </c>
      <c r="P2101" t="s">
        <v>34</v>
      </c>
      <c r="Q2101" t="s">
        <v>35</v>
      </c>
      <c r="R2101" t="s">
        <v>36</v>
      </c>
      <c r="S2101" t="s">
        <v>210</v>
      </c>
      <c r="T2101" t="s">
        <v>415</v>
      </c>
      <c r="U2101" t="s">
        <v>54</v>
      </c>
      <c r="V2101" t="s">
        <v>315</v>
      </c>
      <c r="W2101">
        <v>4.5999999999999996</v>
      </c>
      <c r="X2101" t="s">
        <v>41</v>
      </c>
      <c r="Y2101" t="s">
        <v>42</v>
      </c>
      <c r="Z2101">
        <v>5</v>
      </c>
    </row>
    <row r="2102" spans="1:26">
      <c r="A2102" t="s">
        <v>3267</v>
      </c>
      <c r="B2102" t="s">
        <v>1222</v>
      </c>
      <c r="C2102" t="s">
        <v>45</v>
      </c>
      <c r="D2102" t="s">
        <v>46</v>
      </c>
      <c r="E2102" s="1">
        <v>45221</v>
      </c>
      <c r="F2102" t="s">
        <v>79</v>
      </c>
      <c r="G2102" t="s">
        <v>80</v>
      </c>
      <c r="H2102" t="s">
        <v>59</v>
      </c>
      <c r="I2102">
        <v>9</v>
      </c>
      <c r="J2102" t="s">
        <v>73</v>
      </c>
      <c r="K2102">
        <v>2</v>
      </c>
      <c r="L2102" s="3">
        <v>4199</v>
      </c>
      <c r="M2102">
        <v>10</v>
      </c>
      <c r="N2102" s="3">
        <v>3780</v>
      </c>
      <c r="O2102" s="3">
        <v>7560</v>
      </c>
      <c r="P2102" t="s">
        <v>74</v>
      </c>
      <c r="Q2102" t="s">
        <v>35</v>
      </c>
      <c r="R2102" t="s">
        <v>36</v>
      </c>
      <c r="S2102" t="s">
        <v>191</v>
      </c>
      <c r="T2102" t="s">
        <v>332</v>
      </c>
      <c r="U2102" t="s">
        <v>61</v>
      </c>
      <c r="V2102" t="s">
        <v>969</v>
      </c>
      <c r="W2102">
        <v>3.6</v>
      </c>
      <c r="X2102" t="s">
        <v>41</v>
      </c>
      <c r="Y2102" t="s">
        <v>55</v>
      </c>
      <c r="Z2102">
        <v>3</v>
      </c>
    </row>
    <row r="2103" spans="1:26">
      <c r="A2103" t="s">
        <v>3268</v>
      </c>
      <c r="B2103" t="s">
        <v>2436</v>
      </c>
      <c r="C2103" t="s">
        <v>28</v>
      </c>
      <c r="D2103" t="s">
        <v>46</v>
      </c>
      <c r="E2103" s="1">
        <v>45221</v>
      </c>
      <c r="F2103" t="s">
        <v>65</v>
      </c>
      <c r="G2103" t="s">
        <v>66</v>
      </c>
      <c r="H2103" t="s">
        <v>59</v>
      </c>
      <c r="I2103">
        <v>8</v>
      </c>
      <c r="J2103" t="s">
        <v>98</v>
      </c>
      <c r="K2103">
        <v>1</v>
      </c>
      <c r="L2103" s="3">
        <v>4599</v>
      </c>
      <c r="M2103">
        <v>15</v>
      </c>
      <c r="N2103" s="3">
        <v>3910</v>
      </c>
      <c r="O2103" s="3">
        <v>3910</v>
      </c>
      <c r="P2103" t="s">
        <v>74</v>
      </c>
      <c r="Q2103" t="s">
        <v>51</v>
      </c>
      <c r="R2103" t="s">
        <v>36</v>
      </c>
      <c r="S2103" t="s">
        <v>210</v>
      </c>
      <c r="T2103" t="s">
        <v>211</v>
      </c>
      <c r="U2103" t="s">
        <v>61</v>
      </c>
      <c r="V2103" t="s">
        <v>315</v>
      </c>
      <c r="W2103">
        <v>3.8</v>
      </c>
      <c r="X2103" t="s">
        <v>106</v>
      </c>
      <c r="Y2103" t="s">
        <v>55</v>
      </c>
      <c r="Z2103">
        <v>4</v>
      </c>
    </row>
    <row r="2104" spans="1:26">
      <c r="A2104" t="s">
        <v>3269</v>
      </c>
      <c r="B2104" t="s">
        <v>953</v>
      </c>
      <c r="C2104" t="s">
        <v>94</v>
      </c>
      <c r="D2104" t="s">
        <v>103</v>
      </c>
      <c r="E2104" s="1">
        <v>45222</v>
      </c>
      <c r="F2104" t="s">
        <v>65</v>
      </c>
      <c r="G2104" t="s">
        <v>365</v>
      </c>
      <c r="H2104" t="s">
        <v>49</v>
      </c>
      <c r="I2104">
        <v>9</v>
      </c>
      <c r="J2104" t="s">
        <v>73</v>
      </c>
      <c r="K2104">
        <v>2</v>
      </c>
      <c r="L2104" s="3">
        <v>5499</v>
      </c>
      <c r="M2104">
        <v>5</v>
      </c>
      <c r="N2104" s="3">
        <v>5220</v>
      </c>
      <c r="O2104" s="3">
        <v>10440</v>
      </c>
      <c r="P2104" t="s">
        <v>34</v>
      </c>
      <c r="Q2104" t="s">
        <v>82</v>
      </c>
      <c r="R2104" t="s">
        <v>36</v>
      </c>
      <c r="S2104" t="s">
        <v>297</v>
      </c>
      <c r="T2104" t="s">
        <v>351</v>
      </c>
      <c r="U2104" t="s">
        <v>39</v>
      </c>
      <c r="V2104" t="s">
        <v>969</v>
      </c>
      <c r="W2104">
        <v>3.4</v>
      </c>
      <c r="X2104" t="s">
        <v>41</v>
      </c>
      <c r="Y2104" t="s">
        <v>147</v>
      </c>
      <c r="Z2104">
        <v>1</v>
      </c>
    </row>
    <row r="2105" spans="1:26">
      <c r="A2105" t="s">
        <v>3270</v>
      </c>
      <c r="B2105" t="s">
        <v>586</v>
      </c>
      <c r="C2105" t="s">
        <v>45</v>
      </c>
      <c r="D2105" t="s">
        <v>29</v>
      </c>
      <c r="E2105" s="1">
        <v>45223</v>
      </c>
      <c r="F2105" t="s">
        <v>65</v>
      </c>
      <c r="G2105" t="s">
        <v>268</v>
      </c>
      <c r="H2105" t="s">
        <v>128</v>
      </c>
      <c r="I2105">
        <v>9</v>
      </c>
      <c r="J2105" t="s">
        <v>73</v>
      </c>
      <c r="K2105">
        <v>1</v>
      </c>
      <c r="L2105" s="3">
        <v>6499</v>
      </c>
      <c r="M2105">
        <v>0</v>
      </c>
      <c r="N2105" s="3">
        <v>6500</v>
      </c>
      <c r="O2105" s="3">
        <v>6500</v>
      </c>
      <c r="P2105" t="s">
        <v>34</v>
      </c>
      <c r="Q2105" t="s">
        <v>51</v>
      </c>
      <c r="R2105" t="s">
        <v>36</v>
      </c>
      <c r="S2105" t="s">
        <v>52</v>
      </c>
      <c r="T2105" t="s">
        <v>235</v>
      </c>
      <c r="U2105" t="s">
        <v>39</v>
      </c>
      <c r="V2105" t="s">
        <v>969</v>
      </c>
      <c r="W2105">
        <v>4.2</v>
      </c>
      <c r="X2105" t="s">
        <v>41</v>
      </c>
      <c r="Y2105" t="s">
        <v>55</v>
      </c>
      <c r="Z2105">
        <v>2</v>
      </c>
    </row>
    <row r="2106" spans="1:26">
      <c r="A2106" t="s">
        <v>3271</v>
      </c>
      <c r="B2106" t="s">
        <v>374</v>
      </c>
      <c r="C2106" t="s">
        <v>45</v>
      </c>
      <c r="D2106" t="s">
        <v>46</v>
      </c>
      <c r="E2106" s="1">
        <v>45223</v>
      </c>
      <c r="F2106" t="s">
        <v>30</v>
      </c>
      <c r="G2106" t="s">
        <v>214</v>
      </c>
      <c r="H2106" t="s">
        <v>128</v>
      </c>
      <c r="I2106">
        <v>7</v>
      </c>
      <c r="J2106" t="s">
        <v>88</v>
      </c>
      <c r="K2106">
        <v>1</v>
      </c>
      <c r="L2106" s="3">
        <v>4899</v>
      </c>
      <c r="M2106">
        <v>5</v>
      </c>
      <c r="N2106" s="3">
        <v>4650</v>
      </c>
      <c r="O2106" s="3">
        <v>4650</v>
      </c>
      <c r="P2106" t="s">
        <v>74</v>
      </c>
      <c r="Q2106" t="s">
        <v>35</v>
      </c>
      <c r="R2106" t="s">
        <v>36</v>
      </c>
      <c r="S2106" t="s">
        <v>238</v>
      </c>
      <c r="T2106" t="s">
        <v>260</v>
      </c>
      <c r="U2106" t="s">
        <v>124</v>
      </c>
      <c r="V2106" t="s">
        <v>315</v>
      </c>
      <c r="W2106">
        <v>3.9</v>
      </c>
      <c r="X2106" t="s">
        <v>41</v>
      </c>
      <c r="Y2106" t="s">
        <v>42</v>
      </c>
      <c r="Z2106">
        <v>4</v>
      </c>
    </row>
    <row r="2107" spans="1:26">
      <c r="A2107" t="s">
        <v>3272</v>
      </c>
      <c r="B2107" t="s">
        <v>264</v>
      </c>
      <c r="C2107" t="s">
        <v>45</v>
      </c>
      <c r="D2107" t="s">
        <v>46</v>
      </c>
      <c r="E2107" s="1">
        <v>45223</v>
      </c>
      <c r="F2107" t="s">
        <v>79</v>
      </c>
      <c r="G2107" t="s">
        <v>517</v>
      </c>
      <c r="H2107" t="s">
        <v>59</v>
      </c>
      <c r="I2107">
        <v>8</v>
      </c>
      <c r="J2107" t="s">
        <v>150</v>
      </c>
      <c r="K2107">
        <v>1</v>
      </c>
      <c r="L2107" s="3">
        <v>3599</v>
      </c>
      <c r="M2107">
        <v>15</v>
      </c>
      <c r="N2107" s="3">
        <v>3060</v>
      </c>
      <c r="O2107" s="3">
        <v>3060</v>
      </c>
      <c r="P2107" t="s">
        <v>81</v>
      </c>
      <c r="Q2107" t="s">
        <v>51</v>
      </c>
      <c r="R2107" t="s">
        <v>36</v>
      </c>
      <c r="S2107" t="s">
        <v>358</v>
      </c>
      <c r="T2107" t="s">
        <v>359</v>
      </c>
      <c r="U2107" t="s">
        <v>54</v>
      </c>
      <c r="V2107" t="s">
        <v>315</v>
      </c>
      <c r="W2107">
        <v>3.9</v>
      </c>
      <c r="X2107" t="s">
        <v>106</v>
      </c>
      <c r="Y2107" t="s">
        <v>42</v>
      </c>
      <c r="Z2107">
        <v>2</v>
      </c>
    </row>
    <row r="2108" spans="1:26">
      <c r="A2108" t="s">
        <v>3273</v>
      </c>
      <c r="B2108" t="s">
        <v>967</v>
      </c>
      <c r="C2108" t="s">
        <v>45</v>
      </c>
      <c r="D2108" t="s">
        <v>46</v>
      </c>
      <c r="E2108" s="1">
        <v>45223</v>
      </c>
      <c r="F2108" t="s">
        <v>47</v>
      </c>
      <c r="G2108" t="s">
        <v>48</v>
      </c>
      <c r="H2108" t="s">
        <v>49</v>
      </c>
      <c r="I2108">
        <v>11</v>
      </c>
      <c r="J2108" t="s">
        <v>88</v>
      </c>
      <c r="K2108">
        <v>1</v>
      </c>
      <c r="L2108" s="3">
        <v>4199</v>
      </c>
      <c r="M2108">
        <v>30</v>
      </c>
      <c r="N2108" s="3">
        <v>2940</v>
      </c>
      <c r="O2108" s="3">
        <v>2940</v>
      </c>
      <c r="P2108" t="s">
        <v>34</v>
      </c>
      <c r="Q2108" t="s">
        <v>51</v>
      </c>
      <c r="R2108" t="s">
        <v>36</v>
      </c>
      <c r="S2108" t="s">
        <v>243</v>
      </c>
      <c r="T2108" t="s">
        <v>276</v>
      </c>
      <c r="U2108" t="s">
        <v>61</v>
      </c>
      <c r="V2108" t="s">
        <v>969</v>
      </c>
      <c r="W2108">
        <v>4.9000000000000004</v>
      </c>
      <c r="X2108" t="s">
        <v>41</v>
      </c>
      <c r="Y2108" t="s">
        <v>42</v>
      </c>
      <c r="Z2108">
        <v>6</v>
      </c>
    </row>
    <row r="2109" spans="1:26">
      <c r="A2109" t="s">
        <v>3274</v>
      </c>
      <c r="B2109" t="s">
        <v>756</v>
      </c>
      <c r="C2109" t="s">
        <v>94</v>
      </c>
      <c r="D2109" t="s">
        <v>103</v>
      </c>
      <c r="E2109" s="1">
        <v>45224</v>
      </c>
      <c r="F2109" t="s">
        <v>65</v>
      </c>
      <c r="G2109" t="s">
        <v>72</v>
      </c>
      <c r="H2109" t="s">
        <v>59</v>
      </c>
      <c r="I2109">
        <v>7</v>
      </c>
      <c r="J2109" t="s">
        <v>67</v>
      </c>
      <c r="K2109">
        <v>2</v>
      </c>
      <c r="L2109" s="3">
        <v>3699</v>
      </c>
      <c r="M2109">
        <v>20</v>
      </c>
      <c r="N2109" s="3">
        <v>2960</v>
      </c>
      <c r="O2109" s="3">
        <v>5920</v>
      </c>
      <c r="P2109" t="s">
        <v>74</v>
      </c>
      <c r="Q2109" t="s">
        <v>51</v>
      </c>
      <c r="R2109" t="s">
        <v>36</v>
      </c>
      <c r="S2109" t="s">
        <v>112</v>
      </c>
      <c r="T2109" t="s">
        <v>265</v>
      </c>
      <c r="U2109" t="s">
        <v>91</v>
      </c>
      <c r="V2109" t="s">
        <v>969</v>
      </c>
      <c r="W2109">
        <v>4</v>
      </c>
      <c r="X2109" t="s">
        <v>41</v>
      </c>
      <c r="Y2109" t="s">
        <v>42</v>
      </c>
      <c r="Z2109">
        <v>3</v>
      </c>
    </row>
    <row r="2110" spans="1:26">
      <c r="A2110" t="s">
        <v>3275</v>
      </c>
      <c r="B2110" t="s">
        <v>693</v>
      </c>
      <c r="C2110" t="s">
        <v>45</v>
      </c>
      <c r="D2110" t="s">
        <v>103</v>
      </c>
      <c r="E2110" s="1">
        <v>45224</v>
      </c>
      <c r="F2110" t="s">
        <v>96</v>
      </c>
      <c r="G2110" t="s">
        <v>290</v>
      </c>
      <c r="H2110" t="s">
        <v>32</v>
      </c>
      <c r="I2110">
        <v>9</v>
      </c>
      <c r="J2110" t="s">
        <v>150</v>
      </c>
      <c r="K2110">
        <v>2</v>
      </c>
      <c r="L2110" s="3">
        <v>8199</v>
      </c>
      <c r="M2110">
        <v>20</v>
      </c>
      <c r="N2110" s="3">
        <v>6560</v>
      </c>
      <c r="O2110" s="3">
        <v>13120</v>
      </c>
      <c r="P2110" t="s">
        <v>50</v>
      </c>
      <c r="Q2110" t="s">
        <v>35</v>
      </c>
      <c r="R2110" t="s">
        <v>36</v>
      </c>
      <c r="S2110" t="s">
        <v>68</v>
      </c>
      <c r="T2110" t="s">
        <v>207</v>
      </c>
      <c r="U2110" t="s">
        <v>39</v>
      </c>
      <c r="V2110" t="s">
        <v>969</v>
      </c>
      <c r="W2110">
        <v>2.6</v>
      </c>
      <c r="X2110" t="s">
        <v>41</v>
      </c>
      <c r="Y2110" t="s">
        <v>42</v>
      </c>
      <c r="Z2110">
        <v>6</v>
      </c>
    </row>
    <row r="2111" spans="1:26">
      <c r="A2111" t="s">
        <v>3276</v>
      </c>
      <c r="B2111" t="s">
        <v>1713</v>
      </c>
      <c r="C2111" t="s">
        <v>28</v>
      </c>
      <c r="D2111" t="s">
        <v>46</v>
      </c>
      <c r="E2111" s="1">
        <v>45226</v>
      </c>
      <c r="F2111" t="s">
        <v>79</v>
      </c>
      <c r="G2111" t="s">
        <v>517</v>
      </c>
      <c r="H2111" t="s">
        <v>59</v>
      </c>
      <c r="I2111">
        <v>9</v>
      </c>
      <c r="J2111" t="s">
        <v>98</v>
      </c>
      <c r="K2111">
        <v>1</v>
      </c>
      <c r="L2111" s="3">
        <v>8299</v>
      </c>
      <c r="M2111">
        <v>25</v>
      </c>
      <c r="N2111" s="3">
        <v>6220</v>
      </c>
      <c r="O2111" s="3">
        <v>6220</v>
      </c>
      <c r="P2111" t="s">
        <v>74</v>
      </c>
      <c r="Q2111" t="s">
        <v>82</v>
      </c>
      <c r="R2111" t="s">
        <v>36</v>
      </c>
      <c r="S2111" t="s">
        <v>418</v>
      </c>
      <c r="T2111" t="s">
        <v>419</v>
      </c>
      <c r="U2111" t="s">
        <v>39</v>
      </c>
      <c r="V2111" t="s">
        <v>315</v>
      </c>
      <c r="W2111">
        <v>4.3</v>
      </c>
      <c r="X2111" t="s">
        <v>62</v>
      </c>
      <c r="Y2111" t="s">
        <v>42</v>
      </c>
      <c r="Z2111">
        <v>7</v>
      </c>
    </row>
    <row r="2112" spans="1:26">
      <c r="A2112" t="s">
        <v>3277</v>
      </c>
      <c r="B2112" t="s">
        <v>1297</v>
      </c>
      <c r="C2112" t="s">
        <v>45</v>
      </c>
      <c r="D2112" t="s">
        <v>109</v>
      </c>
      <c r="E2112" s="1">
        <v>45227</v>
      </c>
      <c r="F2112" t="s">
        <v>30</v>
      </c>
      <c r="G2112" t="s">
        <v>31</v>
      </c>
      <c r="H2112" t="s">
        <v>32</v>
      </c>
      <c r="I2112">
        <v>12</v>
      </c>
      <c r="J2112" t="s">
        <v>73</v>
      </c>
      <c r="K2112">
        <v>1</v>
      </c>
      <c r="L2112" s="3">
        <v>4399</v>
      </c>
      <c r="M2112">
        <v>10</v>
      </c>
      <c r="N2112" s="3">
        <v>3960</v>
      </c>
      <c r="O2112" s="3">
        <v>3960</v>
      </c>
      <c r="P2112" t="s">
        <v>34</v>
      </c>
      <c r="Q2112" t="s">
        <v>82</v>
      </c>
      <c r="R2112" t="s">
        <v>36</v>
      </c>
      <c r="S2112" t="s">
        <v>243</v>
      </c>
      <c r="T2112" t="s">
        <v>273</v>
      </c>
      <c r="U2112" t="s">
        <v>54</v>
      </c>
      <c r="V2112" t="s">
        <v>315</v>
      </c>
      <c r="W2112">
        <v>5</v>
      </c>
      <c r="X2112" t="s">
        <v>106</v>
      </c>
      <c r="Y2112" t="s">
        <v>42</v>
      </c>
      <c r="Z2112">
        <v>3</v>
      </c>
    </row>
    <row r="2113" spans="1:26">
      <c r="A2113" t="s">
        <v>3278</v>
      </c>
      <c r="B2113" t="s">
        <v>2063</v>
      </c>
      <c r="C2113" t="s">
        <v>45</v>
      </c>
      <c r="D2113" t="s">
        <v>46</v>
      </c>
      <c r="E2113" s="1">
        <v>45231</v>
      </c>
      <c r="F2113" t="s">
        <v>30</v>
      </c>
      <c r="G2113" t="s">
        <v>58</v>
      </c>
      <c r="H2113" t="s">
        <v>59</v>
      </c>
      <c r="I2113">
        <v>8</v>
      </c>
      <c r="J2113" t="s">
        <v>150</v>
      </c>
      <c r="K2113">
        <v>3</v>
      </c>
      <c r="L2113" s="3">
        <v>6799</v>
      </c>
      <c r="M2113">
        <v>15</v>
      </c>
      <c r="N2113" s="3">
        <v>5780</v>
      </c>
      <c r="O2113" s="3">
        <v>17340</v>
      </c>
      <c r="P2113" t="s">
        <v>34</v>
      </c>
      <c r="Q2113" t="s">
        <v>51</v>
      </c>
      <c r="R2113" t="s">
        <v>36</v>
      </c>
      <c r="S2113" t="s">
        <v>200</v>
      </c>
      <c r="T2113" t="s">
        <v>201</v>
      </c>
      <c r="U2113" t="s">
        <v>91</v>
      </c>
      <c r="V2113" t="s">
        <v>969</v>
      </c>
      <c r="W2113">
        <v>3.1</v>
      </c>
      <c r="X2113" t="s">
        <v>41</v>
      </c>
      <c r="Y2113" t="s">
        <v>42</v>
      </c>
      <c r="Z2113">
        <v>2</v>
      </c>
    </row>
    <row r="2114" spans="1:26">
      <c r="A2114" t="s">
        <v>3279</v>
      </c>
      <c r="B2114" t="s">
        <v>3280</v>
      </c>
      <c r="C2114" t="s">
        <v>45</v>
      </c>
      <c r="D2114" t="s">
        <v>103</v>
      </c>
      <c r="E2114" s="1">
        <v>45232</v>
      </c>
      <c r="F2114" t="s">
        <v>65</v>
      </c>
      <c r="G2114" t="s">
        <v>256</v>
      </c>
      <c r="H2114" t="s">
        <v>32</v>
      </c>
      <c r="I2114">
        <v>9</v>
      </c>
      <c r="J2114" t="s">
        <v>150</v>
      </c>
      <c r="K2114">
        <v>1</v>
      </c>
      <c r="L2114" s="3">
        <v>7999</v>
      </c>
      <c r="M2114">
        <v>10</v>
      </c>
      <c r="N2114" s="3">
        <v>7200</v>
      </c>
      <c r="O2114" s="3">
        <v>7200</v>
      </c>
      <c r="P2114" t="s">
        <v>74</v>
      </c>
      <c r="Q2114" t="s">
        <v>82</v>
      </c>
      <c r="R2114" t="s">
        <v>36</v>
      </c>
      <c r="S2114" t="s">
        <v>136</v>
      </c>
      <c r="T2114" t="s">
        <v>225</v>
      </c>
      <c r="U2114" t="s">
        <v>61</v>
      </c>
      <c r="V2114" t="s">
        <v>40</v>
      </c>
      <c r="W2114">
        <v>4.2</v>
      </c>
      <c r="X2114" t="s">
        <v>41</v>
      </c>
      <c r="Y2114" t="s">
        <v>42</v>
      </c>
      <c r="Z2114">
        <v>2</v>
      </c>
    </row>
    <row r="2115" spans="1:26">
      <c r="A2115" t="s">
        <v>3281</v>
      </c>
      <c r="B2115" t="s">
        <v>664</v>
      </c>
      <c r="C2115" t="s">
        <v>45</v>
      </c>
      <c r="D2115" t="s">
        <v>29</v>
      </c>
      <c r="E2115" s="1">
        <v>45233</v>
      </c>
      <c r="F2115" t="s">
        <v>86</v>
      </c>
      <c r="G2115" t="s">
        <v>87</v>
      </c>
      <c r="H2115" t="s">
        <v>59</v>
      </c>
      <c r="I2115">
        <v>10</v>
      </c>
      <c r="J2115" t="s">
        <v>67</v>
      </c>
      <c r="K2115">
        <v>1</v>
      </c>
      <c r="L2115" s="3">
        <v>5599</v>
      </c>
      <c r="M2115">
        <v>10</v>
      </c>
      <c r="N2115" s="3">
        <v>5040</v>
      </c>
      <c r="O2115" s="3">
        <v>5040</v>
      </c>
      <c r="P2115" t="s">
        <v>34</v>
      </c>
      <c r="Q2115" t="s">
        <v>51</v>
      </c>
      <c r="R2115" t="s">
        <v>36</v>
      </c>
      <c r="S2115" t="s">
        <v>117</v>
      </c>
      <c r="T2115" t="s">
        <v>253</v>
      </c>
      <c r="U2115" t="s">
        <v>91</v>
      </c>
      <c r="V2115" t="s">
        <v>969</v>
      </c>
      <c r="W2115">
        <v>3.4</v>
      </c>
      <c r="X2115" t="s">
        <v>41</v>
      </c>
      <c r="Y2115" t="s">
        <v>55</v>
      </c>
      <c r="Z2115">
        <v>2</v>
      </c>
    </row>
    <row r="2116" spans="1:26">
      <c r="A2116" t="s">
        <v>3282</v>
      </c>
      <c r="B2116" t="s">
        <v>2593</v>
      </c>
      <c r="C2116" t="s">
        <v>94</v>
      </c>
      <c r="D2116" t="s">
        <v>103</v>
      </c>
      <c r="E2116" s="1">
        <v>45234</v>
      </c>
      <c r="F2116" t="s">
        <v>86</v>
      </c>
      <c r="G2116" t="s">
        <v>242</v>
      </c>
      <c r="H2116" t="s">
        <v>32</v>
      </c>
      <c r="I2116">
        <v>10</v>
      </c>
      <c r="J2116" t="s">
        <v>88</v>
      </c>
      <c r="K2116">
        <v>1</v>
      </c>
      <c r="L2116" s="3">
        <v>8399</v>
      </c>
      <c r="M2116">
        <v>10</v>
      </c>
      <c r="N2116" s="3">
        <v>7560</v>
      </c>
      <c r="O2116" s="3">
        <v>7560</v>
      </c>
      <c r="P2116" t="s">
        <v>81</v>
      </c>
      <c r="Q2116" t="s">
        <v>51</v>
      </c>
      <c r="R2116" t="s">
        <v>36</v>
      </c>
      <c r="S2116" t="s">
        <v>168</v>
      </c>
      <c r="T2116" t="s">
        <v>714</v>
      </c>
      <c r="U2116" t="s">
        <v>39</v>
      </c>
      <c r="V2116" t="s">
        <v>315</v>
      </c>
      <c r="W2116">
        <v>4.2</v>
      </c>
      <c r="X2116" t="s">
        <v>106</v>
      </c>
      <c r="Y2116" t="s">
        <v>55</v>
      </c>
      <c r="Z2116">
        <v>1</v>
      </c>
    </row>
    <row r="2117" spans="1:26">
      <c r="A2117" t="s">
        <v>3283</v>
      </c>
      <c r="B2117" t="s">
        <v>1717</v>
      </c>
      <c r="C2117" t="s">
        <v>94</v>
      </c>
      <c r="D2117" t="s">
        <v>103</v>
      </c>
      <c r="E2117" s="1">
        <v>45235</v>
      </c>
      <c r="F2117" t="s">
        <v>79</v>
      </c>
      <c r="G2117" t="s">
        <v>80</v>
      </c>
      <c r="H2117" t="s">
        <v>59</v>
      </c>
      <c r="I2117">
        <v>10</v>
      </c>
      <c r="J2117" t="s">
        <v>33</v>
      </c>
      <c r="K2117">
        <v>4</v>
      </c>
      <c r="L2117" s="3">
        <v>4999</v>
      </c>
      <c r="M2117">
        <v>20</v>
      </c>
      <c r="N2117" s="3">
        <v>4000</v>
      </c>
      <c r="O2117" s="3">
        <v>16000</v>
      </c>
      <c r="P2117" t="s">
        <v>74</v>
      </c>
      <c r="Q2117" t="s">
        <v>51</v>
      </c>
      <c r="R2117" t="s">
        <v>36</v>
      </c>
      <c r="S2117" t="s">
        <v>168</v>
      </c>
      <c r="T2117" t="s">
        <v>168</v>
      </c>
      <c r="U2117" t="s">
        <v>91</v>
      </c>
      <c r="V2117" t="s">
        <v>315</v>
      </c>
      <c r="W2117">
        <v>4.2</v>
      </c>
      <c r="X2117" t="s">
        <v>41</v>
      </c>
      <c r="Y2117" t="s">
        <v>42</v>
      </c>
      <c r="Z2117">
        <v>2</v>
      </c>
    </row>
    <row r="2118" spans="1:26">
      <c r="A2118" t="s">
        <v>3284</v>
      </c>
      <c r="B2118" t="s">
        <v>430</v>
      </c>
      <c r="C2118" t="s">
        <v>45</v>
      </c>
      <c r="D2118" t="s">
        <v>29</v>
      </c>
      <c r="E2118" s="1">
        <v>45235</v>
      </c>
      <c r="F2118" t="s">
        <v>30</v>
      </c>
      <c r="G2118" t="s">
        <v>145</v>
      </c>
      <c r="H2118" t="s">
        <v>59</v>
      </c>
      <c r="I2118">
        <v>8</v>
      </c>
      <c r="J2118" t="s">
        <v>98</v>
      </c>
      <c r="K2118">
        <v>1</v>
      </c>
      <c r="L2118" s="3">
        <v>6899</v>
      </c>
      <c r="M2118">
        <v>5</v>
      </c>
      <c r="N2118" s="3">
        <v>6550</v>
      </c>
      <c r="O2118" s="3">
        <v>6550</v>
      </c>
      <c r="P2118" t="s">
        <v>74</v>
      </c>
      <c r="Q2118" t="s">
        <v>82</v>
      </c>
      <c r="R2118" t="s">
        <v>36</v>
      </c>
      <c r="S2118" t="s">
        <v>99</v>
      </c>
      <c r="T2118" t="s">
        <v>100</v>
      </c>
      <c r="U2118" t="s">
        <v>91</v>
      </c>
      <c r="V2118" t="s">
        <v>315</v>
      </c>
      <c r="W2118">
        <v>4.5999999999999996</v>
      </c>
      <c r="X2118" t="s">
        <v>106</v>
      </c>
      <c r="Y2118" t="s">
        <v>42</v>
      </c>
      <c r="Z2118">
        <v>7</v>
      </c>
    </row>
    <row r="2119" spans="1:26">
      <c r="A2119" t="s">
        <v>3285</v>
      </c>
      <c r="B2119" t="s">
        <v>2927</v>
      </c>
      <c r="C2119" t="s">
        <v>45</v>
      </c>
      <c r="D2119" t="s">
        <v>109</v>
      </c>
      <c r="E2119" s="1">
        <v>45235</v>
      </c>
      <c r="F2119" t="s">
        <v>79</v>
      </c>
      <c r="G2119" t="s">
        <v>174</v>
      </c>
      <c r="H2119" t="s">
        <v>32</v>
      </c>
      <c r="I2119">
        <v>11</v>
      </c>
      <c r="J2119" t="s">
        <v>73</v>
      </c>
      <c r="K2119">
        <v>1</v>
      </c>
      <c r="L2119" s="3">
        <v>5899</v>
      </c>
      <c r="M2119">
        <v>20</v>
      </c>
      <c r="N2119" s="3">
        <v>4720</v>
      </c>
      <c r="O2119" s="3">
        <v>4720</v>
      </c>
      <c r="P2119" t="s">
        <v>34</v>
      </c>
      <c r="Q2119" t="s">
        <v>51</v>
      </c>
      <c r="R2119" t="s">
        <v>36</v>
      </c>
      <c r="S2119" t="s">
        <v>191</v>
      </c>
      <c r="T2119" t="s">
        <v>572</v>
      </c>
      <c r="U2119" t="s">
        <v>124</v>
      </c>
      <c r="V2119" t="s">
        <v>315</v>
      </c>
      <c r="W2119">
        <v>5</v>
      </c>
      <c r="X2119" t="s">
        <v>41</v>
      </c>
      <c r="Y2119" t="s">
        <v>55</v>
      </c>
      <c r="Z2119">
        <v>2</v>
      </c>
    </row>
    <row r="2120" spans="1:26">
      <c r="A2120" t="s">
        <v>3286</v>
      </c>
      <c r="B2120" t="s">
        <v>446</v>
      </c>
      <c r="C2120" t="s">
        <v>94</v>
      </c>
      <c r="D2120" t="s">
        <v>103</v>
      </c>
      <c r="E2120" s="1">
        <v>45236</v>
      </c>
      <c r="F2120" t="s">
        <v>79</v>
      </c>
      <c r="G2120" t="s">
        <v>480</v>
      </c>
      <c r="H2120" t="s">
        <v>111</v>
      </c>
      <c r="I2120">
        <v>7</v>
      </c>
      <c r="J2120" t="s">
        <v>67</v>
      </c>
      <c r="K2120">
        <v>1</v>
      </c>
      <c r="L2120" s="3">
        <v>7099</v>
      </c>
      <c r="M2120">
        <v>10</v>
      </c>
      <c r="N2120" s="3">
        <v>6390</v>
      </c>
      <c r="O2120" s="3">
        <v>6390</v>
      </c>
      <c r="P2120" t="s">
        <v>34</v>
      </c>
      <c r="Q2120" t="s">
        <v>51</v>
      </c>
      <c r="R2120" t="s">
        <v>36</v>
      </c>
      <c r="S2120" t="s">
        <v>122</v>
      </c>
      <c r="T2120" t="s">
        <v>123</v>
      </c>
      <c r="U2120" t="s">
        <v>91</v>
      </c>
      <c r="V2120" t="s">
        <v>315</v>
      </c>
      <c r="W2120">
        <v>4.5999999999999996</v>
      </c>
      <c r="X2120" t="s">
        <v>41</v>
      </c>
      <c r="Y2120" t="s">
        <v>42</v>
      </c>
      <c r="Z2120">
        <v>3</v>
      </c>
    </row>
    <row r="2121" spans="1:26">
      <c r="A2121" t="s">
        <v>3287</v>
      </c>
      <c r="B2121" t="s">
        <v>194</v>
      </c>
      <c r="C2121" t="s">
        <v>28</v>
      </c>
      <c r="D2121" t="s">
        <v>95</v>
      </c>
      <c r="E2121" s="1">
        <v>45236</v>
      </c>
      <c r="F2121" t="s">
        <v>47</v>
      </c>
      <c r="G2121" t="s">
        <v>140</v>
      </c>
      <c r="H2121" t="s">
        <v>128</v>
      </c>
      <c r="I2121">
        <v>10</v>
      </c>
      <c r="J2121" t="s">
        <v>88</v>
      </c>
      <c r="K2121">
        <v>1</v>
      </c>
      <c r="L2121" s="3">
        <v>7299</v>
      </c>
      <c r="M2121">
        <v>30</v>
      </c>
      <c r="N2121" s="3">
        <v>5110</v>
      </c>
      <c r="O2121" s="3">
        <v>5110</v>
      </c>
      <c r="P2121" t="s">
        <v>34</v>
      </c>
      <c r="Q2121" t="s">
        <v>51</v>
      </c>
      <c r="R2121" t="s">
        <v>36</v>
      </c>
      <c r="S2121" t="s">
        <v>75</v>
      </c>
      <c r="T2121" t="s">
        <v>76</v>
      </c>
      <c r="U2121" t="s">
        <v>124</v>
      </c>
      <c r="V2121" t="s">
        <v>315</v>
      </c>
      <c r="W2121">
        <v>4.5999999999999996</v>
      </c>
      <c r="X2121" t="s">
        <v>41</v>
      </c>
      <c r="Y2121" t="s">
        <v>42</v>
      </c>
      <c r="Z2121">
        <v>3</v>
      </c>
    </row>
    <row r="2122" spans="1:26">
      <c r="A2122" t="s">
        <v>3288</v>
      </c>
      <c r="B2122" t="s">
        <v>2970</v>
      </c>
      <c r="C2122" t="s">
        <v>28</v>
      </c>
      <c r="D2122" t="s">
        <v>29</v>
      </c>
      <c r="E2122" s="1">
        <v>45237</v>
      </c>
      <c r="F2122" t="s">
        <v>86</v>
      </c>
      <c r="G2122" t="s">
        <v>312</v>
      </c>
      <c r="H2122" t="s">
        <v>59</v>
      </c>
      <c r="I2122">
        <v>9</v>
      </c>
      <c r="J2122" t="s">
        <v>73</v>
      </c>
      <c r="K2122">
        <v>2</v>
      </c>
      <c r="L2122" s="3">
        <v>7999</v>
      </c>
      <c r="M2122">
        <v>5</v>
      </c>
      <c r="N2122" s="3">
        <v>7600</v>
      </c>
      <c r="O2122" s="3">
        <v>15200</v>
      </c>
      <c r="P2122" t="s">
        <v>74</v>
      </c>
      <c r="Q2122" t="s">
        <v>35</v>
      </c>
      <c r="R2122" t="s">
        <v>36</v>
      </c>
      <c r="S2122" t="s">
        <v>160</v>
      </c>
      <c r="T2122" t="s">
        <v>344</v>
      </c>
      <c r="U2122" t="s">
        <v>124</v>
      </c>
      <c r="V2122" t="s">
        <v>315</v>
      </c>
      <c r="W2122">
        <v>5</v>
      </c>
      <c r="X2122" t="s">
        <v>62</v>
      </c>
      <c r="Y2122" t="s">
        <v>55</v>
      </c>
      <c r="Z2122">
        <v>1</v>
      </c>
    </row>
    <row r="2123" spans="1:26">
      <c r="A2123" t="s">
        <v>3289</v>
      </c>
      <c r="B2123" t="s">
        <v>408</v>
      </c>
      <c r="C2123" t="s">
        <v>45</v>
      </c>
      <c r="D2123" t="s">
        <v>103</v>
      </c>
      <c r="E2123" s="1">
        <v>45238</v>
      </c>
      <c r="F2123" t="s">
        <v>79</v>
      </c>
      <c r="G2123" t="s">
        <v>480</v>
      </c>
      <c r="H2123" t="s">
        <v>111</v>
      </c>
      <c r="I2123">
        <v>8</v>
      </c>
      <c r="J2123" t="s">
        <v>67</v>
      </c>
      <c r="K2123">
        <v>3</v>
      </c>
      <c r="L2123" s="3">
        <v>6099</v>
      </c>
      <c r="M2123">
        <v>10</v>
      </c>
      <c r="N2123" s="3">
        <v>5490</v>
      </c>
      <c r="O2123" s="3">
        <v>16470</v>
      </c>
      <c r="P2123" t="s">
        <v>74</v>
      </c>
      <c r="Q2123" t="s">
        <v>82</v>
      </c>
      <c r="R2123" t="s">
        <v>36</v>
      </c>
      <c r="S2123" t="s">
        <v>186</v>
      </c>
      <c r="T2123" t="s">
        <v>341</v>
      </c>
      <c r="U2123" t="s">
        <v>61</v>
      </c>
      <c r="V2123" t="s">
        <v>969</v>
      </c>
      <c r="W2123">
        <v>3.8</v>
      </c>
      <c r="X2123" t="s">
        <v>106</v>
      </c>
      <c r="Y2123" t="s">
        <v>42</v>
      </c>
      <c r="Z2123">
        <v>1</v>
      </c>
    </row>
    <row r="2124" spans="1:26">
      <c r="A2124" t="s">
        <v>3290</v>
      </c>
      <c r="B2124" t="s">
        <v>1803</v>
      </c>
      <c r="C2124" t="s">
        <v>94</v>
      </c>
      <c r="D2124" t="s">
        <v>103</v>
      </c>
      <c r="E2124" s="1">
        <v>45238</v>
      </c>
      <c r="F2124" t="s">
        <v>96</v>
      </c>
      <c r="G2124" t="s">
        <v>290</v>
      </c>
      <c r="H2124" t="s">
        <v>32</v>
      </c>
      <c r="I2124">
        <v>7</v>
      </c>
      <c r="J2124" t="s">
        <v>73</v>
      </c>
      <c r="K2124">
        <v>1</v>
      </c>
      <c r="L2124" s="3">
        <v>5999</v>
      </c>
      <c r="M2124">
        <v>10</v>
      </c>
      <c r="N2124" s="3">
        <v>5400</v>
      </c>
      <c r="O2124" s="3">
        <v>5400</v>
      </c>
      <c r="P2124" t="s">
        <v>74</v>
      </c>
      <c r="Q2124" t="s">
        <v>51</v>
      </c>
      <c r="R2124" t="s">
        <v>36</v>
      </c>
      <c r="S2124" t="s">
        <v>286</v>
      </c>
      <c r="T2124" t="s">
        <v>768</v>
      </c>
      <c r="U2124" t="s">
        <v>91</v>
      </c>
      <c r="V2124" t="s">
        <v>969</v>
      </c>
      <c r="W2124">
        <v>5</v>
      </c>
      <c r="X2124" t="s">
        <v>41</v>
      </c>
      <c r="Y2124" t="s">
        <v>42</v>
      </c>
      <c r="Z2124">
        <v>2</v>
      </c>
    </row>
    <row r="2125" spans="1:26">
      <c r="A2125" t="s">
        <v>3291</v>
      </c>
      <c r="B2125" t="s">
        <v>1587</v>
      </c>
      <c r="C2125" t="s">
        <v>94</v>
      </c>
      <c r="D2125" t="s">
        <v>95</v>
      </c>
      <c r="E2125" s="1">
        <v>45239</v>
      </c>
      <c r="F2125" t="s">
        <v>96</v>
      </c>
      <c r="G2125" t="s">
        <v>97</v>
      </c>
      <c r="H2125" t="s">
        <v>49</v>
      </c>
      <c r="I2125">
        <v>11</v>
      </c>
      <c r="J2125" t="s">
        <v>98</v>
      </c>
      <c r="K2125">
        <v>1</v>
      </c>
      <c r="L2125" s="3">
        <v>7899</v>
      </c>
      <c r="M2125">
        <v>15</v>
      </c>
      <c r="N2125" s="3">
        <v>6710</v>
      </c>
      <c r="O2125" s="3">
        <v>6710</v>
      </c>
      <c r="P2125" t="s">
        <v>34</v>
      </c>
      <c r="Q2125" t="s">
        <v>51</v>
      </c>
      <c r="R2125" t="s">
        <v>36</v>
      </c>
      <c r="S2125" t="s">
        <v>195</v>
      </c>
      <c r="T2125" t="s">
        <v>196</v>
      </c>
      <c r="U2125" t="s">
        <v>61</v>
      </c>
      <c r="V2125" t="s">
        <v>315</v>
      </c>
      <c r="W2125">
        <v>2.8</v>
      </c>
      <c r="X2125" t="s">
        <v>41</v>
      </c>
      <c r="Y2125" t="s">
        <v>42</v>
      </c>
      <c r="Z2125">
        <v>4</v>
      </c>
    </row>
    <row r="2126" spans="1:26">
      <c r="A2126" t="s">
        <v>3292</v>
      </c>
      <c r="B2126" t="s">
        <v>1555</v>
      </c>
      <c r="C2126" t="s">
        <v>94</v>
      </c>
      <c r="D2126" t="s">
        <v>46</v>
      </c>
      <c r="E2126" s="1">
        <v>45240</v>
      </c>
      <c r="F2126" t="s">
        <v>86</v>
      </c>
      <c r="G2126" t="s">
        <v>285</v>
      </c>
      <c r="H2126" t="s">
        <v>111</v>
      </c>
      <c r="I2126">
        <v>8</v>
      </c>
      <c r="J2126" t="s">
        <v>33</v>
      </c>
      <c r="K2126">
        <v>1</v>
      </c>
      <c r="L2126" s="3">
        <v>4399</v>
      </c>
      <c r="M2126">
        <v>20</v>
      </c>
      <c r="N2126" s="3">
        <v>3520</v>
      </c>
      <c r="O2126" s="3">
        <v>3520</v>
      </c>
      <c r="P2126" t="s">
        <v>74</v>
      </c>
      <c r="Q2126" t="s">
        <v>51</v>
      </c>
      <c r="R2126" t="s">
        <v>36</v>
      </c>
      <c r="S2126" t="s">
        <v>269</v>
      </c>
      <c r="T2126" t="s">
        <v>961</v>
      </c>
      <c r="U2126" t="s">
        <v>61</v>
      </c>
      <c r="V2126" t="s">
        <v>315</v>
      </c>
      <c r="W2126">
        <v>4</v>
      </c>
      <c r="X2126" t="s">
        <v>41</v>
      </c>
      <c r="Y2126" t="s">
        <v>42</v>
      </c>
      <c r="Z2126">
        <v>3</v>
      </c>
    </row>
    <row r="2127" spans="1:26">
      <c r="A2127" t="s">
        <v>3293</v>
      </c>
      <c r="B2127" t="s">
        <v>590</v>
      </c>
      <c r="C2127" t="s">
        <v>45</v>
      </c>
      <c r="D2127" t="s">
        <v>46</v>
      </c>
      <c r="E2127" s="1">
        <v>45240</v>
      </c>
      <c r="F2127" t="s">
        <v>47</v>
      </c>
      <c r="G2127" t="s">
        <v>218</v>
      </c>
      <c r="H2127" t="s">
        <v>59</v>
      </c>
      <c r="I2127">
        <v>10</v>
      </c>
      <c r="J2127" t="s">
        <v>73</v>
      </c>
      <c r="K2127">
        <v>2</v>
      </c>
      <c r="L2127" s="3">
        <v>5199</v>
      </c>
      <c r="M2127">
        <v>5</v>
      </c>
      <c r="N2127" s="3">
        <v>4940</v>
      </c>
      <c r="O2127" s="3">
        <v>9880</v>
      </c>
      <c r="P2127" t="s">
        <v>74</v>
      </c>
      <c r="Q2127" t="s">
        <v>35</v>
      </c>
      <c r="R2127" t="s">
        <v>36</v>
      </c>
      <c r="S2127" t="s">
        <v>460</v>
      </c>
      <c r="T2127" t="s">
        <v>1868</v>
      </c>
      <c r="U2127" t="s">
        <v>54</v>
      </c>
      <c r="V2127" t="s">
        <v>969</v>
      </c>
      <c r="W2127">
        <v>4</v>
      </c>
      <c r="X2127" t="s">
        <v>62</v>
      </c>
      <c r="Y2127" t="s">
        <v>42</v>
      </c>
      <c r="Z2127">
        <v>3</v>
      </c>
    </row>
    <row r="2128" spans="1:26">
      <c r="A2128" t="s">
        <v>3294</v>
      </c>
      <c r="B2128" t="s">
        <v>677</v>
      </c>
      <c r="C2128" t="s">
        <v>28</v>
      </c>
      <c r="D2128" t="s">
        <v>46</v>
      </c>
      <c r="E2128" s="1">
        <v>45240</v>
      </c>
      <c r="F2128" t="s">
        <v>86</v>
      </c>
      <c r="G2128" t="s">
        <v>242</v>
      </c>
      <c r="H2128" t="s">
        <v>32</v>
      </c>
      <c r="I2128">
        <v>9</v>
      </c>
      <c r="J2128" t="s">
        <v>67</v>
      </c>
      <c r="K2128">
        <v>1</v>
      </c>
      <c r="L2128" s="3">
        <v>7399</v>
      </c>
      <c r="M2128">
        <v>10</v>
      </c>
      <c r="N2128" s="3">
        <v>6660</v>
      </c>
      <c r="O2128" s="3">
        <v>6660</v>
      </c>
      <c r="P2128" t="s">
        <v>81</v>
      </c>
      <c r="Q2128" t="s">
        <v>35</v>
      </c>
      <c r="R2128" t="s">
        <v>36</v>
      </c>
      <c r="S2128" t="s">
        <v>338</v>
      </c>
      <c r="T2128" t="s">
        <v>449</v>
      </c>
      <c r="U2128" t="s">
        <v>91</v>
      </c>
      <c r="V2128" t="s">
        <v>315</v>
      </c>
      <c r="W2128">
        <v>4</v>
      </c>
      <c r="X2128" t="s">
        <v>41</v>
      </c>
      <c r="Y2128" t="s">
        <v>42</v>
      </c>
      <c r="Z2128">
        <v>3</v>
      </c>
    </row>
    <row r="2129" spans="1:26">
      <c r="A2129" t="s">
        <v>3295</v>
      </c>
      <c r="B2129" t="s">
        <v>1739</v>
      </c>
      <c r="C2129" t="s">
        <v>45</v>
      </c>
      <c r="D2129" t="s">
        <v>29</v>
      </c>
      <c r="E2129" s="1">
        <v>45243</v>
      </c>
      <c r="F2129" t="s">
        <v>86</v>
      </c>
      <c r="G2129" t="s">
        <v>87</v>
      </c>
      <c r="H2129" t="s">
        <v>59</v>
      </c>
      <c r="I2129">
        <v>10</v>
      </c>
      <c r="J2129" t="s">
        <v>73</v>
      </c>
      <c r="K2129">
        <v>1</v>
      </c>
      <c r="L2129" s="3">
        <v>5999</v>
      </c>
      <c r="M2129">
        <v>0</v>
      </c>
      <c r="N2129" s="3">
        <v>6000</v>
      </c>
      <c r="O2129" s="3">
        <v>6000</v>
      </c>
      <c r="P2129" t="s">
        <v>81</v>
      </c>
      <c r="Q2129" t="s">
        <v>51</v>
      </c>
      <c r="R2129" t="s">
        <v>36</v>
      </c>
      <c r="S2129" t="s">
        <v>210</v>
      </c>
      <c r="T2129" t="s">
        <v>415</v>
      </c>
      <c r="U2129" t="s">
        <v>61</v>
      </c>
      <c r="V2129" t="s">
        <v>315</v>
      </c>
      <c r="W2129">
        <v>3.2</v>
      </c>
      <c r="X2129" t="s">
        <v>41</v>
      </c>
      <c r="Y2129" t="s">
        <v>55</v>
      </c>
      <c r="Z2129">
        <v>2</v>
      </c>
    </row>
    <row r="2130" spans="1:26">
      <c r="A2130" t="s">
        <v>3296</v>
      </c>
      <c r="B2130" t="s">
        <v>951</v>
      </c>
      <c r="C2130" t="s">
        <v>45</v>
      </c>
      <c r="D2130" t="s">
        <v>46</v>
      </c>
      <c r="E2130" s="1">
        <v>45243</v>
      </c>
      <c r="F2130" t="s">
        <v>47</v>
      </c>
      <c r="G2130" t="s">
        <v>199</v>
      </c>
      <c r="H2130" t="s">
        <v>59</v>
      </c>
      <c r="I2130">
        <v>11</v>
      </c>
      <c r="J2130" t="s">
        <v>98</v>
      </c>
      <c r="K2130">
        <v>1</v>
      </c>
      <c r="L2130" s="3">
        <v>9299</v>
      </c>
      <c r="M2130">
        <v>15</v>
      </c>
      <c r="N2130" s="3">
        <v>7900</v>
      </c>
      <c r="O2130" s="3">
        <v>7900</v>
      </c>
      <c r="P2130" t="s">
        <v>74</v>
      </c>
      <c r="Q2130" t="s">
        <v>82</v>
      </c>
      <c r="R2130" t="s">
        <v>36</v>
      </c>
      <c r="S2130" t="s">
        <v>129</v>
      </c>
      <c r="T2130" t="s">
        <v>130</v>
      </c>
      <c r="U2130" t="s">
        <v>61</v>
      </c>
      <c r="V2130" t="s">
        <v>969</v>
      </c>
      <c r="W2130">
        <v>3.6</v>
      </c>
      <c r="X2130" t="s">
        <v>41</v>
      </c>
      <c r="Y2130" t="s">
        <v>42</v>
      </c>
      <c r="Z2130">
        <v>3</v>
      </c>
    </row>
    <row r="2131" spans="1:26">
      <c r="A2131" t="s">
        <v>3297</v>
      </c>
      <c r="B2131" t="s">
        <v>568</v>
      </c>
      <c r="C2131" t="s">
        <v>45</v>
      </c>
      <c r="D2131" t="s">
        <v>95</v>
      </c>
      <c r="E2131" s="1">
        <v>45245</v>
      </c>
      <c r="F2131" t="s">
        <v>65</v>
      </c>
      <c r="G2131" t="s">
        <v>268</v>
      </c>
      <c r="H2131" t="s">
        <v>128</v>
      </c>
      <c r="I2131">
        <v>8</v>
      </c>
      <c r="J2131" t="s">
        <v>98</v>
      </c>
      <c r="K2131">
        <v>1</v>
      </c>
      <c r="L2131" s="3">
        <v>6899</v>
      </c>
      <c r="M2131">
        <v>0</v>
      </c>
      <c r="N2131" s="3">
        <v>6900</v>
      </c>
      <c r="O2131" s="3">
        <v>6900</v>
      </c>
      <c r="P2131" t="s">
        <v>74</v>
      </c>
      <c r="Q2131" t="s">
        <v>82</v>
      </c>
      <c r="R2131" t="s">
        <v>36</v>
      </c>
      <c r="S2131" t="s">
        <v>297</v>
      </c>
      <c r="T2131" t="s">
        <v>390</v>
      </c>
      <c r="U2131" t="s">
        <v>61</v>
      </c>
      <c r="V2131" t="s">
        <v>969</v>
      </c>
      <c r="W2131">
        <v>4.9000000000000004</v>
      </c>
      <c r="X2131" t="s">
        <v>41</v>
      </c>
      <c r="Y2131" t="s">
        <v>42</v>
      </c>
      <c r="Z2131">
        <v>1</v>
      </c>
    </row>
    <row r="2132" spans="1:26">
      <c r="A2132" t="s">
        <v>3298</v>
      </c>
      <c r="B2132" t="s">
        <v>1717</v>
      </c>
      <c r="C2132" t="s">
        <v>45</v>
      </c>
      <c r="D2132" t="s">
        <v>29</v>
      </c>
      <c r="E2132" s="1">
        <v>45246</v>
      </c>
      <c r="F2132" t="s">
        <v>30</v>
      </c>
      <c r="G2132" t="s">
        <v>110</v>
      </c>
      <c r="H2132" t="s">
        <v>111</v>
      </c>
      <c r="I2132">
        <v>10</v>
      </c>
      <c r="J2132" t="s">
        <v>67</v>
      </c>
      <c r="K2132">
        <v>2</v>
      </c>
      <c r="L2132" s="3">
        <v>4099</v>
      </c>
      <c r="M2132">
        <v>35</v>
      </c>
      <c r="N2132" s="3">
        <v>2660</v>
      </c>
      <c r="O2132" s="3">
        <v>5320</v>
      </c>
      <c r="P2132" t="s">
        <v>34</v>
      </c>
      <c r="Q2132" t="s">
        <v>82</v>
      </c>
      <c r="R2132" t="s">
        <v>36</v>
      </c>
      <c r="S2132" t="s">
        <v>104</v>
      </c>
      <c r="T2132" t="s">
        <v>291</v>
      </c>
      <c r="U2132" t="s">
        <v>91</v>
      </c>
      <c r="V2132" t="s">
        <v>969</v>
      </c>
      <c r="W2132">
        <v>4.3</v>
      </c>
      <c r="X2132" t="s">
        <v>41</v>
      </c>
      <c r="Y2132" t="s">
        <v>42</v>
      </c>
      <c r="Z2132">
        <v>6</v>
      </c>
    </row>
    <row r="2133" spans="1:26">
      <c r="A2133" t="s">
        <v>3299</v>
      </c>
      <c r="B2133" t="s">
        <v>1385</v>
      </c>
      <c r="C2133" t="s">
        <v>45</v>
      </c>
      <c r="D2133" t="s">
        <v>109</v>
      </c>
      <c r="E2133" s="1">
        <v>45247</v>
      </c>
      <c r="F2133" t="s">
        <v>47</v>
      </c>
      <c r="G2133" t="s">
        <v>48</v>
      </c>
      <c r="H2133" t="s">
        <v>49</v>
      </c>
      <c r="I2133">
        <v>11</v>
      </c>
      <c r="J2133" t="s">
        <v>33</v>
      </c>
      <c r="K2133">
        <v>1</v>
      </c>
      <c r="L2133" s="3">
        <v>8899</v>
      </c>
      <c r="M2133">
        <v>25</v>
      </c>
      <c r="N2133" s="3">
        <v>6670</v>
      </c>
      <c r="O2133" s="3">
        <v>6670</v>
      </c>
      <c r="P2133" t="s">
        <v>74</v>
      </c>
      <c r="Q2133" t="s">
        <v>51</v>
      </c>
      <c r="R2133" t="s">
        <v>36</v>
      </c>
      <c r="S2133" t="s">
        <v>354</v>
      </c>
      <c r="T2133" t="s">
        <v>355</v>
      </c>
      <c r="U2133" t="s">
        <v>124</v>
      </c>
      <c r="V2133" t="s">
        <v>315</v>
      </c>
      <c r="W2133">
        <v>4.0999999999999996</v>
      </c>
      <c r="X2133" t="s">
        <v>106</v>
      </c>
      <c r="Y2133" t="s">
        <v>55</v>
      </c>
      <c r="Z2133">
        <v>2</v>
      </c>
    </row>
    <row r="2134" spans="1:26">
      <c r="A2134" t="s">
        <v>3300</v>
      </c>
      <c r="B2134" t="s">
        <v>841</v>
      </c>
      <c r="C2134" t="s">
        <v>28</v>
      </c>
      <c r="D2134" t="s">
        <v>46</v>
      </c>
      <c r="E2134" s="1">
        <v>45248</v>
      </c>
      <c r="F2134" t="s">
        <v>96</v>
      </c>
      <c r="G2134" t="s">
        <v>97</v>
      </c>
      <c r="H2134" t="s">
        <v>49</v>
      </c>
      <c r="I2134">
        <v>8</v>
      </c>
      <c r="J2134" t="s">
        <v>67</v>
      </c>
      <c r="K2134">
        <v>2</v>
      </c>
      <c r="L2134" s="3">
        <v>9099</v>
      </c>
      <c r="M2134">
        <v>10</v>
      </c>
      <c r="N2134" s="3">
        <v>8190</v>
      </c>
      <c r="O2134" s="3">
        <v>16380</v>
      </c>
      <c r="P2134" t="s">
        <v>74</v>
      </c>
      <c r="Q2134" t="s">
        <v>51</v>
      </c>
      <c r="R2134" t="s">
        <v>36</v>
      </c>
      <c r="S2134" t="s">
        <v>210</v>
      </c>
      <c r="T2134" t="s">
        <v>415</v>
      </c>
      <c r="U2134" t="s">
        <v>54</v>
      </c>
      <c r="V2134" t="s">
        <v>969</v>
      </c>
      <c r="W2134">
        <v>4.7</v>
      </c>
      <c r="X2134" t="s">
        <v>41</v>
      </c>
      <c r="Y2134" t="s">
        <v>42</v>
      </c>
      <c r="Z2134">
        <v>6</v>
      </c>
    </row>
    <row r="2135" spans="1:26">
      <c r="A2135" t="s">
        <v>3301</v>
      </c>
      <c r="B2135" t="s">
        <v>490</v>
      </c>
      <c r="C2135" t="s">
        <v>28</v>
      </c>
      <c r="D2135" t="s">
        <v>46</v>
      </c>
      <c r="E2135" s="1">
        <v>45248</v>
      </c>
      <c r="F2135" t="s">
        <v>30</v>
      </c>
      <c r="G2135" t="s">
        <v>145</v>
      </c>
      <c r="H2135" t="s">
        <v>59</v>
      </c>
      <c r="I2135">
        <v>6</v>
      </c>
      <c r="J2135" t="s">
        <v>88</v>
      </c>
      <c r="K2135">
        <v>2</v>
      </c>
      <c r="L2135" s="3">
        <v>7899</v>
      </c>
      <c r="M2135">
        <v>15</v>
      </c>
      <c r="N2135" s="3">
        <v>6710</v>
      </c>
      <c r="O2135" s="3">
        <v>13420</v>
      </c>
      <c r="P2135" t="s">
        <v>34</v>
      </c>
      <c r="Q2135" t="s">
        <v>51</v>
      </c>
      <c r="R2135" t="s">
        <v>36</v>
      </c>
      <c r="S2135" t="s">
        <v>75</v>
      </c>
      <c r="T2135" t="s">
        <v>318</v>
      </c>
      <c r="U2135" t="s">
        <v>54</v>
      </c>
      <c r="V2135" t="s">
        <v>969</v>
      </c>
      <c r="W2135">
        <v>4.0999999999999996</v>
      </c>
      <c r="X2135" t="s">
        <v>41</v>
      </c>
      <c r="Y2135" t="s">
        <v>55</v>
      </c>
      <c r="Z2135">
        <v>2</v>
      </c>
    </row>
    <row r="2136" spans="1:26">
      <c r="A2136" t="s">
        <v>3302</v>
      </c>
      <c r="B2136" t="s">
        <v>847</v>
      </c>
      <c r="C2136" t="s">
        <v>28</v>
      </c>
      <c r="D2136" t="s">
        <v>95</v>
      </c>
      <c r="E2136" s="1">
        <v>45248</v>
      </c>
      <c r="F2136" t="s">
        <v>65</v>
      </c>
      <c r="G2136" t="s">
        <v>66</v>
      </c>
      <c r="H2136" t="s">
        <v>59</v>
      </c>
      <c r="I2136">
        <v>9</v>
      </c>
      <c r="J2136" t="s">
        <v>98</v>
      </c>
      <c r="K2136">
        <v>1</v>
      </c>
      <c r="L2136" s="3">
        <v>7799</v>
      </c>
      <c r="M2136">
        <v>30</v>
      </c>
      <c r="N2136" s="3">
        <v>5460</v>
      </c>
      <c r="O2136" s="3">
        <v>5460</v>
      </c>
      <c r="P2136" t="s">
        <v>74</v>
      </c>
      <c r="Q2136" t="s">
        <v>82</v>
      </c>
      <c r="R2136" t="s">
        <v>36</v>
      </c>
      <c r="S2136" t="s">
        <v>160</v>
      </c>
      <c r="T2136" t="s">
        <v>160</v>
      </c>
      <c r="U2136" t="s">
        <v>91</v>
      </c>
      <c r="V2136" t="s">
        <v>315</v>
      </c>
      <c r="W2136">
        <v>3.9</v>
      </c>
      <c r="X2136" t="s">
        <v>62</v>
      </c>
      <c r="Y2136" t="s">
        <v>55</v>
      </c>
      <c r="Z2136">
        <v>2</v>
      </c>
    </row>
    <row r="2137" spans="1:26">
      <c r="A2137" t="s">
        <v>3303</v>
      </c>
      <c r="B2137" t="s">
        <v>823</v>
      </c>
      <c r="C2137" t="s">
        <v>28</v>
      </c>
      <c r="D2137" t="s">
        <v>46</v>
      </c>
      <c r="E2137" s="1">
        <v>45248</v>
      </c>
      <c r="F2137" t="s">
        <v>79</v>
      </c>
      <c r="G2137" t="s">
        <v>80</v>
      </c>
      <c r="H2137" t="s">
        <v>59</v>
      </c>
      <c r="I2137">
        <v>8</v>
      </c>
      <c r="J2137" t="s">
        <v>150</v>
      </c>
      <c r="K2137">
        <v>1</v>
      </c>
      <c r="L2137" s="3">
        <v>3399</v>
      </c>
      <c r="M2137">
        <v>20</v>
      </c>
      <c r="N2137" s="3">
        <v>2720</v>
      </c>
      <c r="O2137" s="3">
        <v>2720</v>
      </c>
      <c r="P2137" t="s">
        <v>34</v>
      </c>
      <c r="Q2137" t="s">
        <v>82</v>
      </c>
      <c r="R2137" t="s">
        <v>36</v>
      </c>
      <c r="S2137" t="s">
        <v>99</v>
      </c>
      <c r="T2137" t="s">
        <v>335</v>
      </c>
      <c r="U2137" t="s">
        <v>61</v>
      </c>
      <c r="V2137" t="s">
        <v>969</v>
      </c>
      <c r="W2137">
        <v>4.2</v>
      </c>
      <c r="X2137" t="s">
        <v>41</v>
      </c>
      <c r="Y2137" t="s">
        <v>55</v>
      </c>
      <c r="Z2137">
        <v>2</v>
      </c>
    </row>
    <row r="2138" spans="1:26">
      <c r="A2138" t="s">
        <v>3304</v>
      </c>
      <c r="B2138" t="s">
        <v>511</v>
      </c>
      <c r="C2138" t="s">
        <v>28</v>
      </c>
      <c r="D2138" t="s">
        <v>46</v>
      </c>
      <c r="E2138" s="1">
        <v>45248</v>
      </c>
      <c r="F2138" t="s">
        <v>65</v>
      </c>
      <c r="G2138" t="s">
        <v>279</v>
      </c>
      <c r="H2138" t="s">
        <v>111</v>
      </c>
      <c r="I2138">
        <v>9</v>
      </c>
      <c r="J2138" t="s">
        <v>98</v>
      </c>
      <c r="K2138">
        <v>4</v>
      </c>
      <c r="L2138" s="3">
        <v>5999</v>
      </c>
      <c r="M2138">
        <v>15</v>
      </c>
      <c r="N2138" s="3">
        <v>5100</v>
      </c>
      <c r="O2138" s="3">
        <v>20400</v>
      </c>
      <c r="P2138" t="s">
        <v>34</v>
      </c>
      <c r="Q2138" t="s">
        <v>51</v>
      </c>
      <c r="R2138" t="s">
        <v>36</v>
      </c>
      <c r="S2138" t="s">
        <v>104</v>
      </c>
      <c r="T2138" t="s">
        <v>179</v>
      </c>
      <c r="U2138" t="s">
        <v>61</v>
      </c>
      <c r="V2138" t="s">
        <v>969</v>
      </c>
      <c r="W2138">
        <v>4</v>
      </c>
      <c r="X2138" t="s">
        <v>106</v>
      </c>
      <c r="Y2138" t="s">
        <v>42</v>
      </c>
      <c r="Z2138">
        <v>5</v>
      </c>
    </row>
    <row r="2139" spans="1:26">
      <c r="A2139" t="s">
        <v>3305</v>
      </c>
      <c r="B2139" t="s">
        <v>3306</v>
      </c>
      <c r="C2139" t="s">
        <v>94</v>
      </c>
      <c r="D2139" t="s">
        <v>95</v>
      </c>
      <c r="E2139" s="1">
        <v>45249</v>
      </c>
      <c r="F2139" t="s">
        <v>30</v>
      </c>
      <c r="G2139" t="s">
        <v>347</v>
      </c>
      <c r="H2139" t="s">
        <v>49</v>
      </c>
      <c r="I2139">
        <v>10</v>
      </c>
      <c r="J2139" t="s">
        <v>73</v>
      </c>
      <c r="K2139">
        <v>1</v>
      </c>
      <c r="L2139" s="3">
        <v>4599</v>
      </c>
      <c r="M2139">
        <v>15</v>
      </c>
      <c r="N2139" s="3">
        <v>3910</v>
      </c>
      <c r="O2139" s="3">
        <v>3910</v>
      </c>
      <c r="P2139" t="s">
        <v>34</v>
      </c>
      <c r="Q2139" t="s">
        <v>35</v>
      </c>
      <c r="R2139" t="s">
        <v>36</v>
      </c>
      <c r="S2139" t="s">
        <v>210</v>
      </c>
      <c r="T2139" t="s">
        <v>415</v>
      </c>
      <c r="U2139" t="s">
        <v>124</v>
      </c>
      <c r="V2139" t="s">
        <v>40</v>
      </c>
      <c r="W2139">
        <v>4.5999999999999996</v>
      </c>
      <c r="X2139" t="s">
        <v>41</v>
      </c>
      <c r="Y2139" t="s">
        <v>55</v>
      </c>
      <c r="Z2139">
        <v>2</v>
      </c>
    </row>
    <row r="2140" spans="1:26">
      <c r="A2140" t="s">
        <v>3307</v>
      </c>
      <c r="B2140" t="s">
        <v>1495</v>
      </c>
      <c r="C2140" t="s">
        <v>28</v>
      </c>
      <c r="D2140" t="s">
        <v>95</v>
      </c>
      <c r="E2140" s="1">
        <v>45249</v>
      </c>
      <c r="F2140" t="s">
        <v>96</v>
      </c>
      <c r="G2140" t="s">
        <v>323</v>
      </c>
      <c r="H2140" t="s">
        <v>59</v>
      </c>
      <c r="I2140">
        <v>8</v>
      </c>
      <c r="J2140" t="s">
        <v>33</v>
      </c>
      <c r="K2140">
        <v>4</v>
      </c>
      <c r="L2140" s="3">
        <v>9699</v>
      </c>
      <c r="M2140">
        <v>20</v>
      </c>
      <c r="N2140" s="3">
        <v>7760</v>
      </c>
      <c r="O2140" s="3">
        <v>31040</v>
      </c>
      <c r="P2140" t="s">
        <v>74</v>
      </c>
      <c r="Q2140" t="s">
        <v>82</v>
      </c>
      <c r="R2140" t="s">
        <v>36</v>
      </c>
      <c r="S2140" t="s">
        <v>354</v>
      </c>
      <c r="T2140" t="s">
        <v>518</v>
      </c>
      <c r="U2140" t="s">
        <v>61</v>
      </c>
      <c r="V2140" t="s">
        <v>315</v>
      </c>
      <c r="W2140">
        <v>4.4000000000000004</v>
      </c>
      <c r="X2140" t="s">
        <v>41</v>
      </c>
      <c r="Y2140" t="s">
        <v>42</v>
      </c>
      <c r="Z2140">
        <v>4</v>
      </c>
    </row>
    <row r="2141" spans="1:26">
      <c r="A2141" t="s">
        <v>3308</v>
      </c>
      <c r="B2141" t="s">
        <v>3309</v>
      </c>
      <c r="C2141" t="s">
        <v>28</v>
      </c>
      <c r="D2141" t="s">
        <v>46</v>
      </c>
      <c r="E2141" s="1">
        <v>45251</v>
      </c>
      <c r="F2141" t="s">
        <v>86</v>
      </c>
      <c r="G2141" t="s">
        <v>285</v>
      </c>
      <c r="H2141" t="s">
        <v>111</v>
      </c>
      <c r="I2141">
        <v>8</v>
      </c>
      <c r="J2141" t="s">
        <v>33</v>
      </c>
      <c r="K2141">
        <v>2</v>
      </c>
      <c r="L2141" s="3">
        <v>9099</v>
      </c>
      <c r="M2141">
        <v>30</v>
      </c>
      <c r="N2141" s="3">
        <v>6370</v>
      </c>
      <c r="O2141" s="3">
        <v>12740</v>
      </c>
      <c r="P2141" t="s">
        <v>74</v>
      </c>
      <c r="Q2141" t="s">
        <v>51</v>
      </c>
      <c r="R2141" t="s">
        <v>36</v>
      </c>
      <c r="S2141" t="s">
        <v>37</v>
      </c>
      <c r="T2141" t="s">
        <v>484</v>
      </c>
      <c r="U2141" t="s">
        <v>91</v>
      </c>
      <c r="V2141" t="s">
        <v>40</v>
      </c>
      <c r="W2141">
        <v>4.2</v>
      </c>
      <c r="X2141" t="s">
        <v>62</v>
      </c>
      <c r="Y2141" t="s">
        <v>147</v>
      </c>
      <c r="Z2141">
        <v>2</v>
      </c>
    </row>
    <row r="2142" spans="1:26">
      <c r="A2142" t="s">
        <v>3310</v>
      </c>
      <c r="B2142" t="s">
        <v>3311</v>
      </c>
      <c r="C2142" t="s">
        <v>28</v>
      </c>
      <c r="D2142" t="s">
        <v>29</v>
      </c>
      <c r="E2142" s="1">
        <v>45251</v>
      </c>
      <c r="F2142" t="s">
        <v>30</v>
      </c>
      <c r="G2142" t="s">
        <v>214</v>
      </c>
      <c r="H2142" t="s">
        <v>128</v>
      </c>
      <c r="I2142">
        <v>8</v>
      </c>
      <c r="J2142" t="s">
        <v>88</v>
      </c>
      <c r="K2142">
        <v>2</v>
      </c>
      <c r="L2142" s="3">
        <v>3799</v>
      </c>
      <c r="M2142">
        <v>5</v>
      </c>
      <c r="N2142" s="3">
        <v>3610</v>
      </c>
      <c r="O2142" s="3">
        <v>7220</v>
      </c>
      <c r="P2142" t="s">
        <v>34</v>
      </c>
      <c r="Q2142" t="s">
        <v>51</v>
      </c>
      <c r="R2142" t="s">
        <v>36</v>
      </c>
      <c r="S2142" t="s">
        <v>191</v>
      </c>
      <c r="T2142" t="s">
        <v>192</v>
      </c>
      <c r="U2142" t="s">
        <v>91</v>
      </c>
      <c r="V2142" t="s">
        <v>40</v>
      </c>
      <c r="W2142">
        <v>5</v>
      </c>
      <c r="X2142" t="s">
        <v>41</v>
      </c>
      <c r="Y2142" t="s">
        <v>55</v>
      </c>
      <c r="Z2142">
        <v>2</v>
      </c>
    </row>
    <row r="2143" spans="1:26">
      <c r="A2143" t="s">
        <v>3312</v>
      </c>
      <c r="B2143" t="s">
        <v>829</v>
      </c>
      <c r="C2143" t="s">
        <v>94</v>
      </c>
      <c r="D2143" t="s">
        <v>109</v>
      </c>
      <c r="E2143" s="1">
        <v>45251</v>
      </c>
      <c r="F2143" t="s">
        <v>65</v>
      </c>
      <c r="G2143" t="s">
        <v>268</v>
      </c>
      <c r="H2143" t="s">
        <v>128</v>
      </c>
      <c r="I2143">
        <v>7</v>
      </c>
      <c r="J2143" t="s">
        <v>88</v>
      </c>
      <c r="K2143">
        <v>3</v>
      </c>
      <c r="L2143" s="3">
        <v>5499</v>
      </c>
      <c r="M2143">
        <v>0</v>
      </c>
      <c r="N2143" s="3">
        <v>5500</v>
      </c>
      <c r="O2143" s="3">
        <v>16500</v>
      </c>
      <c r="P2143" t="s">
        <v>34</v>
      </c>
      <c r="Q2143" t="s">
        <v>35</v>
      </c>
      <c r="R2143" t="s">
        <v>36</v>
      </c>
      <c r="S2143" t="s">
        <v>104</v>
      </c>
      <c r="T2143" t="s">
        <v>105</v>
      </c>
      <c r="U2143" t="s">
        <v>39</v>
      </c>
      <c r="V2143" t="s">
        <v>315</v>
      </c>
      <c r="W2143">
        <v>4.2</v>
      </c>
      <c r="X2143" t="s">
        <v>41</v>
      </c>
      <c r="Y2143" t="s">
        <v>42</v>
      </c>
      <c r="Z2143">
        <v>1</v>
      </c>
    </row>
    <row r="2144" spans="1:26">
      <c r="A2144" t="s">
        <v>3313</v>
      </c>
      <c r="B2144" t="s">
        <v>185</v>
      </c>
      <c r="C2144" t="s">
        <v>28</v>
      </c>
      <c r="D2144" t="s">
        <v>103</v>
      </c>
      <c r="E2144" s="1">
        <v>45252</v>
      </c>
      <c r="F2144" t="s">
        <v>79</v>
      </c>
      <c r="G2144" t="s">
        <v>80</v>
      </c>
      <c r="H2144" t="s">
        <v>59</v>
      </c>
      <c r="I2144">
        <v>10</v>
      </c>
      <c r="J2144" t="s">
        <v>98</v>
      </c>
      <c r="K2144">
        <v>1</v>
      </c>
      <c r="L2144" s="3">
        <v>3699</v>
      </c>
      <c r="M2144">
        <v>15</v>
      </c>
      <c r="N2144" s="3">
        <v>3140</v>
      </c>
      <c r="O2144" s="3">
        <v>3140</v>
      </c>
      <c r="P2144" t="s">
        <v>81</v>
      </c>
      <c r="Q2144" t="s">
        <v>51</v>
      </c>
      <c r="R2144" t="s">
        <v>36</v>
      </c>
      <c r="S2144" t="s">
        <v>210</v>
      </c>
      <c r="T2144" t="s">
        <v>680</v>
      </c>
      <c r="U2144" t="s">
        <v>61</v>
      </c>
      <c r="V2144" t="s">
        <v>315</v>
      </c>
      <c r="W2144">
        <v>4.2</v>
      </c>
      <c r="X2144" t="s">
        <v>106</v>
      </c>
      <c r="Y2144" t="s">
        <v>42</v>
      </c>
      <c r="Z2144">
        <v>4</v>
      </c>
    </row>
    <row r="2145" spans="1:26">
      <c r="A2145" t="s">
        <v>3314</v>
      </c>
      <c r="B2145" t="s">
        <v>1139</v>
      </c>
      <c r="C2145" t="s">
        <v>94</v>
      </c>
      <c r="D2145" t="s">
        <v>103</v>
      </c>
      <c r="E2145" s="1">
        <v>45252</v>
      </c>
      <c r="F2145" t="s">
        <v>96</v>
      </c>
      <c r="G2145" t="s">
        <v>290</v>
      </c>
      <c r="H2145" t="s">
        <v>32</v>
      </c>
      <c r="I2145">
        <v>7</v>
      </c>
      <c r="J2145" t="s">
        <v>88</v>
      </c>
      <c r="K2145">
        <v>1</v>
      </c>
      <c r="L2145" s="3">
        <v>5399</v>
      </c>
      <c r="M2145">
        <v>0</v>
      </c>
      <c r="N2145" s="3">
        <v>5400</v>
      </c>
      <c r="O2145" s="3">
        <v>5400</v>
      </c>
      <c r="P2145" t="s">
        <v>34</v>
      </c>
      <c r="Q2145" t="s">
        <v>35</v>
      </c>
      <c r="R2145" t="s">
        <v>36</v>
      </c>
      <c r="S2145" t="s">
        <v>195</v>
      </c>
      <c r="T2145" t="s">
        <v>428</v>
      </c>
      <c r="U2145" t="s">
        <v>39</v>
      </c>
      <c r="V2145" t="s">
        <v>315</v>
      </c>
      <c r="W2145">
        <v>2.2999999999999998</v>
      </c>
      <c r="X2145" t="s">
        <v>41</v>
      </c>
      <c r="Y2145" t="s">
        <v>42</v>
      </c>
      <c r="Z2145">
        <v>2</v>
      </c>
    </row>
    <row r="2146" spans="1:26">
      <c r="A2146" t="s">
        <v>3315</v>
      </c>
      <c r="B2146" t="s">
        <v>3066</v>
      </c>
      <c r="C2146" t="s">
        <v>28</v>
      </c>
      <c r="D2146" t="s">
        <v>103</v>
      </c>
      <c r="E2146" s="1">
        <v>45253</v>
      </c>
      <c r="F2146" t="s">
        <v>30</v>
      </c>
      <c r="G2146" t="s">
        <v>110</v>
      </c>
      <c r="H2146" t="s">
        <v>111</v>
      </c>
      <c r="I2146">
        <v>7</v>
      </c>
      <c r="J2146" t="s">
        <v>150</v>
      </c>
      <c r="K2146">
        <v>1</v>
      </c>
      <c r="L2146" s="3">
        <v>8499</v>
      </c>
      <c r="M2146">
        <v>30</v>
      </c>
      <c r="N2146" s="3">
        <v>5950</v>
      </c>
      <c r="O2146" s="3">
        <v>5950</v>
      </c>
      <c r="P2146" t="s">
        <v>74</v>
      </c>
      <c r="Q2146" t="s">
        <v>82</v>
      </c>
      <c r="R2146" t="s">
        <v>36</v>
      </c>
      <c r="S2146" t="s">
        <v>112</v>
      </c>
      <c r="T2146" t="s">
        <v>265</v>
      </c>
      <c r="U2146" t="s">
        <v>124</v>
      </c>
      <c r="V2146" t="s">
        <v>315</v>
      </c>
      <c r="W2146">
        <v>2.8</v>
      </c>
      <c r="X2146" t="s">
        <v>106</v>
      </c>
      <c r="Y2146" t="s">
        <v>42</v>
      </c>
      <c r="Z2146">
        <v>3</v>
      </c>
    </row>
    <row r="2147" spans="1:26">
      <c r="A2147" t="s">
        <v>3316</v>
      </c>
      <c r="B2147" t="s">
        <v>2644</v>
      </c>
      <c r="C2147" t="s">
        <v>94</v>
      </c>
      <c r="D2147" t="s">
        <v>46</v>
      </c>
      <c r="E2147" s="1">
        <v>45253</v>
      </c>
      <c r="F2147" t="s">
        <v>79</v>
      </c>
      <c r="G2147" t="s">
        <v>517</v>
      </c>
      <c r="H2147" t="s">
        <v>59</v>
      </c>
      <c r="I2147">
        <v>9</v>
      </c>
      <c r="J2147" t="s">
        <v>33</v>
      </c>
      <c r="K2147">
        <v>2</v>
      </c>
      <c r="L2147" s="3">
        <v>4199</v>
      </c>
      <c r="M2147">
        <v>25</v>
      </c>
      <c r="N2147" s="3">
        <v>3150</v>
      </c>
      <c r="O2147" s="3">
        <v>6300</v>
      </c>
      <c r="P2147" t="s">
        <v>81</v>
      </c>
      <c r="Q2147" t="s">
        <v>51</v>
      </c>
      <c r="R2147" t="s">
        <v>36</v>
      </c>
      <c r="S2147" t="s">
        <v>141</v>
      </c>
      <c r="T2147" t="s">
        <v>362</v>
      </c>
      <c r="U2147" t="s">
        <v>91</v>
      </c>
      <c r="V2147" t="s">
        <v>315</v>
      </c>
      <c r="W2147">
        <v>3.8</v>
      </c>
      <c r="X2147" t="s">
        <v>41</v>
      </c>
      <c r="Y2147" t="s">
        <v>42</v>
      </c>
      <c r="Z2147">
        <v>1</v>
      </c>
    </row>
    <row r="2148" spans="1:26">
      <c r="A2148" t="s">
        <v>3317</v>
      </c>
      <c r="B2148" t="s">
        <v>2798</v>
      </c>
      <c r="C2148" t="s">
        <v>45</v>
      </c>
      <c r="D2148" t="s">
        <v>46</v>
      </c>
      <c r="E2148" s="1">
        <v>45253</v>
      </c>
      <c r="F2148" t="s">
        <v>47</v>
      </c>
      <c r="G2148" t="s">
        <v>48</v>
      </c>
      <c r="H2148" t="s">
        <v>49</v>
      </c>
      <c r="I2148">
        <v>7</v>
      </c>
      <c r="J2148" t="s">
        <v>88</v>
      </c>
      <c r="K2148">
        <v>1</v>
      </c>
      <c r="L2148" s="3">
        <v>8099</v>
      </c>
      <c r="M2148">
        <v>25</v>
      </c>
      <c r="N2148" s="3">
        <v>6070</v>
      </c>
      <c r="O2148" s="3">
        <v>6070</v>
      </c>
      <c r="P2148" t="s">
        <v>74</v>
      </c>
      <c r="Q2148" t="s">
        <v>82</v>
      </c>
      <c r="R2148" t="s">
        <v>36</v>
      </c>
      <c r="S2148" t="s">
        <v>358</v>
      </c>
      <c r="T2148" t="s">
        <v>597</v>
      </c>
      <c r="U2148" t="s">
        <v>91</v>
      </c>
      <c r="V2148" t="s">
        <v>315</v>
      </c>
      <c r="W2148">
        <v>4.3</v>
      </c>
      <c r="X2148" t="s">
        <v>41</v>
      </c>
      <c r="Y2148" t="s">
        <v>55</v>
      </c>
      <c r="Z2148">
        <v>4</v>
      </c>
    </row>
    <row r="2149" spans="1:26">
      <c r="A2149" t="s">
        <v>3318</v>
      </c>
      <c r="B2149" t="s">
        <v>3319</v>
      </c>
      <c r="C2149" t="s">
        <v>45</v>
      </c>
      <c r="D2149" t="s">
        <v>29</v>
      </c>
      <c r="E2149" s="1">
        <v>45253</v>
      </c>
      <c r="F2149" t="s">
        <v>30</v>
      </c>
      <c r="G2149" t="s">
        <v>58</v>
      </c>
      <c r="H2149" t="s">
        <v>59</v>
      </c>
      <c r="I2149">
        <v>8</v>
      </c>
      <c r="J2149" t="s">
        <v>150</v>
      </c>
      <c r="K2149">
        <v>1</v>
      </c>
      <c r="L2149" s="3">
        <v>8099</v>
      </c>
      <c r="M2149">
        <v>25</v>
      </c>
      <c r="N2149" s="3">
        <v>6070</v>
      </c>
      <c r="O2149" s="3">
        <v>6070</v>
      </c>
      <c r="P2149" t="s">
        <v>34</v>
      </c>
      <c r="Q2149" t="s">
        <v>51</v>
      </c>
      <c r="R2149" t="s">
        <v>36</v>
      </c>
      <c r="S2149" t="s">
        <v>68</v>
      </c>
      <c r="T2149" t="s">
        <v>811</v>
      </c>
      <c r="U2149" t="s">
        <v>124</v>
      </c>
      <c r="V2149" t="s">
        <v>40</v>
      </c>
      <c r="W2149">
        <v>5</v>
      </c>
      <c r="X2149" t="s">
        <v>41</v>
      </c>
      <c r="Y2149" t="s">
        <v>42</v>
      </c>
      <c r="Z2149">
        <v>4</v>
      </c>
    </row>
    <row r="2150" spans="1:26">
      <c r="A2150" t="s">
        <v>3320</v>
      </c>
      <c r="B2150" t="s">
        <v>2413</v>
      </c>
      <c r="C2150" t="s">
        <v>94</v>
      </c>
      <c r="D2150" t="s">
        <v>46</v>
      </c>
      <c r="E2150" s="1">
        <v>45253</v>
      </c>
      <c r="F2150" t="s">
        <v>65</v>
      </c>
      <c r="G2150" t="s">
        <v>66</v>
      </c>
      <c r="H2150" t="s">
        <v>59</v>
      </c>
      <c r="I2150">
        <v>7</v>
      </c>
      <c r="J2150" t="s">
        <v>88</v>
      </c>
      <c r="K2150">
        <v>1</v>
      </c>
      <c r="L2150" s="3">
        <v>5399</v>
      </c>
      <c r="M2150">
        <v>15</v>
      </c>
      <c r="N2150" s="3">
        <v>4590</v>
      </c>
      <c r="O2150" s="3">
        <v>4590</v>
      </c>
      <c r="P2150" t="s">
        <v>74</v>
      </c>
      <c r="Q2150" t="s">
        <v>35</v>
      </c>
      <c r="R2150" t="s">
        <v>36</v>
      </c>
      <c r="S2150" t="s">
        <v>200</v>
      </c>
      <c r="T2150" t="s">
        <v>219</v>
      </c>
      <c r="U2150" t="s">
        <v>54</v>
      </c>
      <c r="V2150" t="s">
        <v>315</v>
      </c>
      <c r="W2150">
        <v>4.4000000000000004</v>
      </c>
      <c r="X2150" t="s">
        <v>41</v>
      </c>
      <c r="Y2150" t="s">
        <v>42</v>
      </c>
      <c r="Z2150">
        <v>3</v>
      </c>
    </row>
    <row r="2151" spans="1:26">
      <c r="A2151" t="s">
        <v>3321</v>
      </c>
      <c r="B2151" t="s">
        <v>511</v>
      </c>
      <c r="C2151" t="s">
        <v>28</v>
      </c>
      <c r="D2151" t="s">
        <v>29</v>
      </c>
      <c r="E2151" s="1">
        <v>45253</v>
      </c>
      <c r="F2151" t="s">
        <v>30</v>
      </c>
      <c r="G2151" t="s">
        <v>31</v>
      </c>
      <c r="H2151" t="s">
        <v>32</v>
      </c>
      <c r="I2151">
        <v>11</v>
      </c>
      <c r="J2151" t="s">
        <v>73</v>
      </c>
      <c r="K2151">
        <v>1</v>
      </c>
      <c r="L2151" s="3">
        <v>7199</v>
      </c>
      <c r="M2151">
        <v>5</v>
      </c>
      <c r="N2151" s="3">
        <v>6840</v>
      </c>
      <c r="O2151" s="3">
        <v>6840</v>
      </c>
      <c r="P2151" t="s">
        <v>74</v>
      </c>
      <c r="Q2151" t="s">
        <v>82</v>
      </c>
      <c r="R2151" t="s">
        <v>36</v>
      </c>
      <c r="S2151" t="s">
        <v>243</v>
      </c>
      <c r="T2151" t="s">
        <v>328</v>
      </c>
      <c r="U2151" t="s">
        <v>124</v>
      </c>
      <c r="V2151" t="s">
        <v>969</v>
      </c>
      <c r="W2151">
        <v>2.9</v>
      </c>
      <c r="X2151" t="s">
        <v>41</v>
      </c>
      <c r="Y2151" t="s">
        <v>42</v>
      </c>
      <c r="Z2151">
        <v>3</v>
      </c>
    </row>
    <row r="2152" spans="1:26">
      <c r="A2152" t="s">
        <v>3322</v>
      </c>
      <c r="B2152" t="s">
        <v>1801</v>
      </c>
      <c r="C2152" t="s">
        <v>45</v>
      </c>
      <c r="D2152" t="s">
        <v>95</v>
      </c>
      <c r="E2152" s="1">
        <v>45253</v>
      </c>
      <c r="F2152" t="s">
        <v>86</v>
      </c>
      <c r="G2152" t="s">
        <v>242</v>
      </c>
      <c r="H2152" t="s">
        <v>32</v>
      </c>
      <c r="I2152">
        <v>8</v>
      </c>
      <c r="J2152" t="s">
        <v>98</v>
      </c>
      <c r="K2152">
        <v>2</v>
      </c>
      <c r="L2152" s="3">
        <v>9499</v>
      </c>
      <c r="M2152">
        <v>25</v>
      </c>
      <c r="N2152" s="3">
        <v>7120</v>
      </c>
      <c r="O2152" s="3">
        <v>14240</v>
      </c>
      <c r="P2152" t="s">
        <v>34</v>
      </c>
      <c r="Q2152" t="s">
        <v>82</v>
      </c>
      <c r="R2152" t="s">
        <v>36</v>
      </c>
      <c r="S2152" t="s">
        <v>68</v>
      </c>
      <c r="T2152" t="s">
        <v>400</v>
      </c>
      <c r="U2152" t="s">
        <v>124</v>
      </c>
      <c r="V2152" t="s">
        <v>969</v>
      </c>
      <c r="W2152">
        <v>3.9</v>
      </c>
      <c r="X2152" t="s">
        <v>106</v>
      </c>
      <c r="Y2152" t="s">
        <v>42</v>
      </c>
      <c r="Z2152">
        <v>4</v>
      </c>
    </row>
    <row r="2153" spans="1:26">
      <c r="A2153" t="s">
        <v>3323</v>
      </c>
      <c r="B2153" t="s">
        <v>765</v>
      </c>
      <c r="C2153" t="s">
        <v>45</v>
      </c>
      <c r="D2153" t="s">
        <v>95</v>
      </c>
      <c r="E2153" s="1">
        <v>45253</v>
      </c>
      <c r="F2153" t="s">
        <v>47</v>
      </c>
      <c r="G2153" t="s">
        <v>218</v>
      </c>
      <c r="H2153" t="s">
        <v>59</v>
      </c>
      <c r="I2153">
        <v>8</v>
      </c>
      <c r="J2153" t="s">
        <v>73</v>
      </c>
      <c r="K2153">
        <v>1</v>
      </c>
      <c r="L2153" s="3">
        <v>5899</v>
      </c>
      <c r="M2153">
        <v>30</v>
      </c>
      <c r="N2153" s="3">
        <v>4130</v>
      </c>
      <c r="O2153" s="3">
        <v>4130</v>
      </c>
      <c r="P2153" t="s">
        <v>34</v>
      </c>
      <c r="Q2153" t="s">
        <v>82</v>
      </c>
      <c r="R2153" t="s">
        <v>36</v>
      </c>
      <c r="S2153" t="s">
        <v>186</v>
      </c>
      <c r="T2153" t="s">
        <v>397</v>
      </c>
      <c r="U2153" t="s">
        <v>54</v>
      </c>
      <c r="V2153" t="s">
        <v>969</v>
      </c>
      <c r="W2153">
        <v>3.8</v>
      </c>
      <c r="X2153" t="s">
        <v>41</v>
      </c>
      <c r="Y2153" t="s">
        <v>42</v>
      </c>
      <c r="Z2153">
        <v>3</v>
      </c>
    </row>
    <row r="2154" spans="1:26">
      <c r="A2154" t="s">
        <v>3324</v>
      </c>
      <c r="B2154" t="s">
        <v>991</v>
      </c>
      <c r="C2154" t="s">
        <v>45</v>
      </c>
      <c r="D2154" t="s">
        <v>29</v>
      </c>
      <c r="E2154" s="1">
        <v>45254</v>
      </c>
      <c r="F2154" t="s">
        <v>79</v>
      </c>
      <c r="G2154" t="s">
        <v>127</v>
      </c>
      <c r="H2154" t="s">
        <v>128</v>
      </c>
      <c r="I2154">
        <v>6</v>
      </c>
      <c r="J2154" t="s">
        <v>98</v>
      </c>
      <c r="K2154">
        <v>1</v>
      </c>
      <c r="L2154" s="3">
        <v>3599</v>
      </c>
      <c r="M2154">
        <v>20</v>
      </c>
      <c r="N2154" s="3">
        <v>2880</v>
      </c>
      <c r="O2154" s="3">
        <v>2880</v>
      </c>
      <c r="P2154" t="s">
        <v>74</v>
      </c>
      <c r="Q2154" t="s">
        <v>51</v>
      </c>
      <c r="R2154" t="s">
        <v>36</v>
      </c>
      <c r="S2154" t="s">
        <v>354</v>
      </c>
      <c r="T2154" t="s">
        <v>434</v>
      </c>
      <c r="U2154" t="s">
        <v>91</v>
      </c>
      <c r="V2154" t="s">
        <v>969</v>
      </c>
      <c r="W2154">
        <v>3.6</v>
      </c>
      <c r="X2154" t="s">
        <v>41</v>
      </c>
      <c r="Y2154" t="s">
        <v>42</v>
      </c>
      <c r="Z2154">
        <v>2</v>
      </c>
    </row>
    <row r="2155" spans="1:26">
      <c r="A2155" t="s">
        <v>3325</v>
      </c>
      <c r="B2155" t="s">
        <v>967</v>
      </c>
      <c r="C2155" t="s">
        <v>28</v>
      </c>
      <c r="D2155" t="s">
        <v>46</v>
      </c>
      <c r="E2155" s="1">
        <v>45254</v>
      </c>
      <c r="F2155" t="s">
        <v>30</v>
      </c>
      <c r="G2155" t="s">
        <v>214</v>
      </c>
      <c r="H2155" t="s">
        <v>128</v>
      </c>
      <c r="I2155">
        <v>10</v>
      </c>
      <c r="J2155" t="s">
        <v>98</v>
      </c>
      <c r="K2155">
        <v>3</v>
      </c>
      <c r="L2155" s="3">
        <v>3699</v>
      </c>
      <c r="M2155">
        <v>5</v>
      </c>
      <c r="N2155" s="3">
        <v>3510</v>
      </c>
      <c r="O2155" s="3">
        <v>10530</v>
      </c>
      <c r="P2155" t="s">
        <v>74</v>
      </c>
      <c r="Q2155" t="s">
        <v>35</v>
      </c>
      <c r="R2155" t="s">
        <v>36</v>
      </c>
      <c r="S2155" t="s">
        <v>141</v>
      </c>
      <c r="T2155" t="s">
        <v>728</v>
      </c>
      <c r="U2155" t="s">
        <v>54</v>
      </c>
      <c r="V2155" t="s">
        <v>969</v>
      </c>
      <c r="W2155">
        <v>4.0999999999999996</v>
      </c>
      <c r="X2155" t="s">
        <v>41</v>
      </c>
      <c r="Y2155" t="s">
        <v>42</v>
      </c>
      <c r="Z2155">
        <v>4</v>
      </c>
    </row>
    <row r="2156" spans="1:26">
      <c r="A2156" t="s">
        <v>3326</v>
      </c>
      <c r="B2156" t="s">
        <v>1191</v>
      </c>
      <c r="C2156" t="s">
        <v>28</v>
      </c>
      <c r="D2156" t="s">
        <v>29</v>
      </c>
      <c r="E2156" s="1">
        <v>45254</v>
      </c>
      <c r="F2156" t="s">
        <v>79</v>
      </c>
      <c r="G2156" t="s">
        <v>174</v>
      </c>
      <c r="H2156" t="s">
        <v>32</v>
      </c>
      <c r="I2156">
        <v>8</v>
      </c>
      <c r="J2156" t="s">
        <v>33</v>
      </c>
      <c r="K2156">
        <v>1</v>
      </c>
      <c r="L2156" s="3">
        <v>6999</v>
      </c>
      <c r="M2156">
        <v>0</v>
      </c>
      <c r="N2156" s="3">
        <v>7000</v>
      </c>
      <c r="O2156" s="3">
        <v>7000</v>
      </c>
      <c r="P2156" t="s">
        <v>34</v>
      </c>
      <c r="Q2156" t="s">
        <v>51</v>
      </c>
      <c r="R2156" t="s">
        <v>36</v>
      </c>
      <c r="S2156" t="s">
        <v>243</v>
      </c>
      <c r="T2156" t="s">
        <v>244</v>
      </c>
      <c r="U2156" t="s">
        <v>54</v>
      </c>
      <c r="V2156" t="s">
        <v>315</v>
      </c>
      <c r="W2156">
        <v>4.2</v>
      </c>
      <c r="X2156" t="s">
        <v>106</v>
      </c>
      <c r="Y2156" t="s">
        <v>42</v>
      </c>
      <c r="Z2156">
        <v>3</v>
      </c>
    </row>
    <row r="2157" spans="1:26">
      <c r="A2157" t="s">
        <v>3327</v>
      </c>
      <c r="B2157" t="s">
        <v>3328</v>
      </c>
      <c r="C2157" t="s">
        <v>45</v>
      </c>
      <c r="D2157" t="s">
        <v>29</v>
      </c>
      <c r="E2157" s="1">
        <v>45255</v>
      </c>
      <c r="F2157" t="s">
        <v>65</v>
      </c>
      <c r="G2157" t="s">
        <v>256</v>
      </c>
      <c r="H2157" t="s">
        <v>32</v>
      </c>
      <c r="I2157">
        <v>12</v>
      </c>
      <c r="J2157" t="s">
        <v>67</v>
      </c>
      <c r="K2157">
        <v>1</v>
      </c>
      <c r="L2157" s="3">
        <v>7399</v>
      </c>
      <c r="M2157">
        <v>10</v>
      </c>
      <c r="N2157" s="3">
        <v>6660</v>
      </c>
      <c r="O2157" s="3">
        <v>6660</v>
      </c>
      <c r="P2157" t="s">
        <v>74</v>
      </c>
      <c r="Q2157" t="s">
        <v>51</v>
      </c>
      <c r="R2157" t="s">
        <v>36</v>
      </c>
      <c r="S2157" t="s">
        <v>156</v>
      </c>
      <c r="T2157" t="s">
        <v>257</v>
      </c>
      <c r="U2157" t="s">
        <v>91</v>
      </c>
      <c r="V2157" t="s">
        <v>40</v>
      </c>
      <c r="W2157">
        <v>3.8</v>
      </c>
      <c r="X2157" t="s">
        <v>41</v>
      </c>
      <c r="Y2157" t="s">
        <v>42</v>
      </c>
      <c r="Z2157">
        <v>4</v>
      </c>
    </row>
    <row r="2158" spans="1:26">
      <c r="A2158" t="s">
        <v>3329</v>
      </c>
      <c r="B2158" t="s">
        <v>1784</v>
      </c>
      <c r="C2158" t="s">
        <v>45</v>
      </c>
      <c r="D2158" t="s">
        <v>29</v>
      </c>
      <c r="E2158" s="1">
        <v>45255</v>
      </c>
      <c r="F2158" t="s">
        <v>30</v>
      </c>
      <c r="G2158" t="s">
        <v>110</v>
      </c>
      <c r="H2158" t="s">
        <v>111</v>
      </c>
      <c r="I2158">
        <v>7</v>
      </c>
      <c r="J2158" t="s">
        <v>88</v>
      </c>
      <c r="K2158">
        <v>1</v>
      </c>
      <c r="L2158" s="3">
        <v>4799</v>
      </c>
      <c r="M2158">
        <v>15</v>
      </c>
      <c r="N2158" s="3">
        <v>4080</v>
      </c>
      <c r="O2158" s="3">
        <v>4080</v>
      </c>
      <c r="P2158" t="s">
        <v>74</v>
      </c>
      <c r="Q2158" t="s">
        <v>35</v>
      </c>
      <c r="R2158" t="s">
        <v>36</v>
      </c>
      <c r="S2158" t="s">
        <v>156</v>
      </c>
      <c r="T2158" t="s">
        <v>324</v>
      </c>
      <c r="U2158" t="s">
        <v>124</v>
      </c>
      <c r="V2158" t="s">
        <v>969</v>
      </c>
      <c r="W2158">
        <v>4.5999999999999996</v>
      </c>
      <c r="X2158" t="s">
        <v>41</v>
      </c>
      <c r="Y2158" t="s">
        <v>55</v>
      </c>
      <c r="Z2158">
        <v>1</v>
      </c>
    </row>
    <row r="2159" spans="1:26">
      <c r="A2159" t="s">
        <v>3330</v>
      </c>
      <c r="B2159" t="s">
        <v>408</v>
      </c>
      <c r="C2159" t="s">
        <v>28</v>
      </c>
      <c r="D2159" t="s">
        <v>103</v>
      </c>
      <c r="E2159" s="1">
        <v>45255</v>
      </c>
      <c r="F2159" t="s">
        <v>96</v>
      </c>
      <c r="G2159" t="s">
        <v>323</v>
      </c>
      <c r="H2159" t="s">
        <v>59</v>
      </c>
      <c r="I2159">
        <v>7</v>
      </c>
      <c r="J2159" t="s">
        <v>98</v>
      </c>
      <c r="K2159">
        <v>2</v>
      </c>
      <c r="L2159" s="3">
        <v>6499</v>
      </c>
      <c r="M2159">
        <v>10</v>
      </c>
      <c r="N2159" s="3">
        <v>5850</v>
      </c>
      <c r="O2159" s="3">
        <v>11700</v>
      </c>
      <c r="P2159" t="s">
        <v>74</v>
      </c>
      <c r="Q2159" t="s">
        <v>51</v>
      </c>
      <c r="R2159" t="s">
        <v>36</v>
      </c>
      <c r="S2159" t="s">
        <v>195</v>
      </c>
      <c r="T2159" t="s">
        <v>665</v>
      </c>
      <c r="U2159" t="s">
        <v>124</v>
      </c>
      <c r="V2159" t="s">
        <v>969</v>
      </c>
      <c r="W2159">
        <v>5</v>
      </c>
      <c r="X2159" t="s">
        <v>41</v>
      </c>
      <c r="Y2159" t="s">
        <v>42</v>
      </c>
      <c r="Z2159">
        <v>6</v>
      </c>
    </row>
    <row r="2160" spans="1:26">
      <c r="A2160" t="s">
        <v>3331</v>
      </c>
      <c r="B2160" t="s">
        <v>1775</v>
      </c>
      <c r="C2160" t="s">
        <v>28</v>
      </c>
      <c r="D2160" t="s">
        <v>95</v>
      </c>
      <c r="E2160" s="1">
        <v>45255</v>
      </c>
      <c r="F2160" t="s">
        <v>47</v>
      </c>
      <c r="G2160" t="s">
        <v>48</v>
      </c>
      <c r="H2160" t="s">
        <v>49</v>
      </c>
      <c r="I2160">
        <v>8</v>
      </c>
      <c r="J2160" t="s">
        <v>33</v>
      </c>
      <c r="K2160">
        <v>1</v>
      </c>
      <c r="L2160" s="3">
        <v>5599</v>
      </c>
      <c r="M2160">
        <v>5</v>
      </c>
      <c r="N2160" s="3">
        <v>5320</v>
      </c>
      <c r="O2160" s="3">
        <v>5320</v>
      </c>
      <c r="P2160" t="s">
        <v>34</v>
      </c>
      <c r="Q2160" t="s">
        <v>51</v>
      </c>
      <c r="R2160" t="s">
        <v>36</v>
      </c>
      <c r="S2160" t="s">
        <v>156</v>
      </c>
      <c r="T2160" t="s">
        <v>157</v>
      </c>
      <c r="U2160" t="s">
        <v>124</v>
      </c>
      <c r="V2160" t="s">
        <v>969</v>
      </c>
      <c r="W2160">
        <v>4.3</v>
      </c>
      <c r="X2160" t="s">
        <v>62</v>
      </c>
      <c r="Y2160" t="s">
        <v>42</v>
      </c>
      <c r="Z2160">
        <v>6</v>
      </c>
    </row>
    <row r="2161" spans="1:26">
      <c r="A2161" t="s">
        <v>3332</v>
      </c>
      <c r="B2161" t="s">
        <v>1052</v>
      </c>
      <c r="C2161" t="s">
        <v>28</v>
      </c>
      <c r="D2161" t="s">
        <v>103</v>
      </c>
      <c r="E2161" s="1">
        <v>45256</v>
      </c>
      <c r="F2161" t="s">
        <v>30</v>
      </c>
      <c r="G2161" t="s">
        <v>145</v>
      </c>
      <c r="H2161" t="s">
        <v>59</v>
      </c>
      <c r="I2161">
        <v>9</v>
      </c>
      <c r="J2161" t="s">
        <v>98</v>
      </c>
      <c r="K2161">
        <v>1</v>
      </c>
      <c r="L2161" s="3">
        <v>9599</v>
      </c>
      <c r="M2161">
        <v>30</v>
      </c>
      <c r="N2161" s="3">
        <v>6720</v>
      </c>
      <c r="O2161" s="3">
        <v>6720</v>
      </c>
      <c r="P2161" t="s">
        <v>34</v>
      </c>
      <c r="Q2161" t="s">
        <v>51</v>
      </c>
      <c r="R2161" t="s">
        <v>36</v>
      </c>
      <c r="S2161" t="s">
        <v>122</v>
      </c>
      <c r="T2161" t="s">
        <v>304</v>
      </c>
      <c r="U2161" t="s">
        <v>39</v>
      </c>
      <c r="V2161" t="s">
        <v>969</v>
      </c>
      <c r="W2161">
        <v>4.3</v>
      </c>
      <c r="X2161" t="s">
        <v>62</v>
      </c>
      <c r="Y2161" t="s">
        <v>55</v>
      </c>
      <c r="Z2161">
        <v>3</v>
      </c>
    </row>
    <row r="2162" spans="1:26">
      <c r="A2162" t="s">
        <v>3333</v>
      </c>
      <c r="B2162" t="s">
        <v>1253</v>
      </c>
      <c r="C2162" t="s">
        <v>28</v>
      </c>
      <c r="D2162" t="s">
        <v>103</v>
      </c>
      <c r="E2162" s="1">
        <v>45257</v>
      </c>
      <c r="F2162" t="s">
        <v>47</v>
      </c>
      <c r="G2162" t="s">
        <v>48</v>
      </c>
      <c r="H2162" t="s">
        <v>49</v>
      </c>
      <c r="I2162">
        <v>8</v>
      </c>
      <c r="J2162" t="s">
        <v>150</v>
      </c>
      <c r="K2162">
        <v>2</v>
      </c>
      <c r="L2162" s="3">
        <v>8799</v>
      </c>
      <c r="M2162">
        <v>5</v>
      </c>
      <c r="N2162" s="3">
        <v>8360</v>
      </c>
      <c r="O2162" s="3">
        <v>16720</v>
      </c>
      <c r="P2162" t="s">
        <v>34</v>
      </c>
      <c r="Q2162" t="s">
        <v>51</v>
      </c>
      <c r="R2162" t="s">
        <v>36</v>
      </c>
      <c r="S2162" t="s">
        <v>358</v>
      </c>
      <c r="T2162" t="s">
        <v>805</v>
      </c>
      <c r="U2162" t="s">
        <v>124</v>
      </c>
      <c r="V2162" t="s">
        <v>315</v>
      </c>
      <c r="W2162">
        <v>5</v>
      </c>
      <c r="X2162" t="s">
        <v>41</v>
      </c>
      <c r="Y2162" t="s">
        <v>42</v>
      </c>
      <c r="Z2162">
        <v>2</v>
      </c>
    </row>
    <row r="2163" spans="1:26">
      <c r="A2163" t="s">
        <v>3334</v>
      </c>
      <c r="B2163" t="s">
        <v>1684</v>
      </c>
      <c r="C2163" t="s">
        <v>28</v>
      </c>
      <c r="D2163" t="s">
        <v>46</v>
      </c>
      <c r="E2163" s="1">
        <v>45258</v>
      </c>
      <c r="F2163" t="s">
        <v>79</v>
      </c>
      <c r="G2163" t="s">
        <v>174</v>
      </c>
      <c r="H2163" t="s">
        <v>32</v>
      </c>
      <c r="I2163">
        <v>7</v>
      </c>
      <c r="J2163" t="s">
        <v>150</v>
      </c>
      <c r="K2163">
        <v>1</v>
      </c>
      <c r="L2163" s="3">
        <v>7999</v>
      </c>
      <c r="M2163">
        <v>10</v>
      </c>
      <c r="N2163" s="3">
        <v>7200</v>
      </c>
      <c r="O2163" s="3">
        <v>7200</v>
      </c>
      <c r="P2163" t="s">
        <v>34</v>
      </c>
      <c r="Q2163" t="s">
        <v>51</v>
      </c>
      <c r="R2163" t="s">
        <v>36</v>
      </c>
      <c r="S2163" t="s">
        <v>286</v>
      </c>
      <c r="T2163" t="s">
        <v>768</v>
      </c>
      <c r="U2163" t="s">
        <v>124</v>
      </c>
      <c r="V2163" t="s">
        <v>969</v>
      </c>
      <c r="W2163">
        <v>4.5999999999999996</v>
      </c>
      <c r="X2163" t="s">
        <v>41</v>
      </c>
      <c r="Y2163" t="s">
        <v>55</v>
      </c>
      <c r="Z2163">
        <v>2</v>
      </c>
    </row>
    <row r="2164" spans="1:26">
      <c r="A2164" t="s">
        <v>3335</v>
      </c>
      <c r="B2164" t="s">
        <v>633</v>
      </c>
      <c r="C2164" t="s">
        <v>28</v>
      </c>
      <c r="D2164" t="s">
        <v>95</v>
      </c>
      <c r="E2164" s="1">
        <v>45261</v>
      </c>
      <c r="F2164" t="s">
        <v>79</v>
      </c>
      <c r="G2164" t="s">
        <v>127</v>
      </c>
      <c r="H2164" t="s">
        <v>128</v>
      </c>
      <c r="I2164">
        <v>9</v>
      </c>
      <c r="J2164" t="s">
        <v>73</v>
      </c>
      <c r="K2164">
        <v>1</v>
      </c>
      <c r="L2164" s="3">
        <v>4199</v>
      </c>
      <c r="M2164">
        <v>0</v>
      </c>
      <c r="N2164" s="3">
        <v>4200</v>
      </c>
      <c r="O2164" s="3">
        <v>4200</v>
      </c>
      <c r="P2164" t="s">
        <v>34</v>
      </c>
      <c r="Q2164" t="s">
        <v>51</v>
      </c>
      <c r="R2164" t="s">
        <v>36</v>
      </c>
      <c r="S2164" t="s">
        <v>89</v>
      </c>
      <c r="T2164" t="s">
        <v>1982</v>
      </c>
      <c r="U2164" t="s">
        <v>124</v>
      </c>
      <c r="V2164" t="s">
        <v>969</v>
      </c>
      <c r="W2164">
        <v>4.4000000000000004</v>
      </c>
      <c r="X2164" t="s">
        <v>41</v>
      </c>
      <c r="Y2164" t="s">
        <v>55</v>
      </c>
      <c r="Z2164">
        <v>3</v>
      </c>
    </row>
    <row r="2165" spans="1:26">
      <c r="A2165" t="s">
        <v>3336</v>
      </c>
      <c r="B2165" t="s">
        <v>1150</v>
      </c>
      <c r="C2165" t="s">
        <v>94</v>
      </c>
      <c r="D2165" t="s">
        <v>29</v>
      </c>
      <c r="E2165" s="1">
        <v>45261</v>
      </c>
      <c r="F2165" t="s">
        <v>47</v>
      </c>
      <c r="G2165" t="s">
        <v>218</v>
      </c>
      <c r="H2165" t="s">
        <v>59</v>
      </c>
      <c r="I2165">
        <v>7</v>
      </c>
      <c r="J2165" t="s">
        <v>88</v>
      </c>
      <c r="K2165">
        <v>2</v>
      </c>
      <c r="L2165" s="3">
        <v>8199</v>
      </c>
      <c r="M2165">
        <v>35</v>
      </c>
      <c r="N2165" s="3">
        <v>5330</v>
      </c>
      <c r="O2165" s="3">
        <v>10660</v>
      </c>
      <c r="P2165" t="s">
        <v>74</v>
      </c>
      <c r="Q2165" t="s">
        <v>51</v>
      </c>
      <c r="R2165" t="s">
        <v>36</v>
      </c>
      <c r="S2165" t="s">
        <v>129</v>
      </c>
      <c r="T2165" t="s">
        <v>146</v>
      </c>
      <c r="U2165" t="s">
        <v>54</v>
      </c>
      <c r="V2165" t="s">
        <v>315</v>
      </c>
      <c r="W2165">
        <v>3.9</v>
      </c>
      <c r="X2165" t="s">
        <v>62</v>
      </c>
      <c r="Y2165" t="s">
        <v>42</v>
      </c>
      <c r="Z2165">
        <v>3</v>
      </c>
    </row>
    <row r="2166" spans="1:26">
      <c r="A2166" t="s">
        <v>3337</v>
      </c>
      <c r="B2166" t="s">
        <v>1992</v>
      </c>
      <c r="C2166" t="s">
        <v>45</v>
      </c>
      <c r="D2166" t="s">
        <v>29</v>
      </c>
      <c r="E2166" s="1">
        <v>45261</v>
      </c>
      <c r="F2166" t="s">
        <v>30</v>
      </c>
      <c r="G2166" t="s">
        <v>58</v>
      </c>
      <c r="H2166" t="s">
        <v>59</v>
      </c>
      <c r="I2166">
        <v>6</v>
      </c>
      <c r="J2166" t="s">
        <v>88</v>
      </c>
      <c r="K2166">
        <v>2</v>
      </c>
      <c r="L2166" s="3">
        <v>9399</v>
      </c>
      <c r="M2166">
        <v>5</v>
      </c>
      <c r="N2166" s="3">
        <v>8930</v>
      </c>
      <c r="O2166" s="3">
        <v>17860</v>
      </c>
      <c r="P2166" t="s">
        <v>50</v>
      </c>
      <c r="Q2166" t="s">
        <v>51</v>
      </c>
      <c r="R2166" t="s">
        <v>36</v>
      </c>
      <c r="S2166" t="s">
        <v>89</v>
      </c>
      <c r="T2166" t="s">
        <v>515</v>
      </c>
      <c r="U2166" t="s">
        <v>91</v>
      </c>
      <c r="V2166" t="s">
        <v>315</v>
      </c>
      <c r="W2166">
        <v>4.5</v>
      </c>
      <c r="X2166" t="s">
        <v>41</v>
      </c>
      <c r="Y2166" t="s">
        <v>42</v>
      </c>
      <c r="Z2166">
        <v>3</v>
      </c>
    </row>
    <row r="2167" spans="1:26">
      <c r="A2167" t="s">
        <v>3338</v>
      </c>
      <c r="B2167" t="s">
        <v>1170</v>
      </c>
      <c r="C2167" t="s">
        <v>45</v>
      </c>
      <c r="D2167" t="s">
        <v>95</v>
      </c>
      <c r="E2167" s="1">
        <v>45262</v>
      </c>
      <c r="F2167" t="s">
        <v>65</v>
      </c>
      <c r="G2167" t="s">
        <v>72</v>
      </c>
      <c r="H2167" t="s">
        <v>59</v>
      </c>
      <c r="I2167">
        <v>8</v>
      </c>
      <c r="J2167" t="s">
        <v>33</v>
      </c>
      <c r="K2167">
        <v>1</v>
      </c>
      <c r="L2167" s="3">
        <v>8299</v>
      </c>
      <c r="M2167">
        <v>0</v>
      </c>
      <c r="N2167" s="3">
        <v>8300</v>
      </c>
      <c r="O2167" s="3">
        <v>8300</v>
      </c>
      <c r="P2167" t="s">
        <v>34</v>
      </c>
      <c r="Q2167" t="s">
        <v>51</v>
      </c>
      <c r="R2167" t="s">
        <v>36</v>
      </c>
      <c r="S2167" t="s">
        <v>269</v>
      </c>
      <c r="T2167" t="s">
        <v>575</v>
      </c>
      <c r="U2167" t="s">
        <v>54</v>
      </c>
      <c r="V2167" t="s">
        <v>315</v>
      </c>
      <c r="W2167">
        <v>3.6</v>
      </c>
      <c r="X2167" t="s">
        <v>41</v>
      </c>
      <c r="Y2167" t="s">
        <v>55</v>
      </c>
      <c r="Z2167">
        <v>3</v>
      </c>
    </row>
    <row r="2168" spans="1:26">
      <c r="A2168" t="s">
        <v>3339</v>
      </c>
      <c r="B2168" t="s">
        <v>1137</v>
      </c>
      <c r="C2168" t="s">
        <v>45</v>
      </c>
      <c r="D2168" t="s">
        <v>46</v>
      </c>
      <c r="E2168" s="1">
        <v>45263</v>
      </c>
      <c r="F2168" t="s">
        <v>96</v>
      </c>
      <c r="G2168" t="s">
        <v>171</v>
      </c>
      <c r="H2168" t="s">
        <v>128</v>
      </c>
      <c r="I2168">
        <v>7</v>
      </c>
      <c r="J2168" t="s">
        <v>98</v>
      </c>
      <c r="K2168">
        <v>1</v>
      </c>
      <c r="L2168" s="3">
        <v>7199</v>
      </c>
      <c r="M2168">
        <v>35</v>
      </c>
      <c r="N2168" s="3">
        <v>4680</v>
      </c>
      <c r="O2168" s="3">
        <v>4680</v>
      </c>
      <c r="P2168" t="s">
        <v>34</v>
      </c>
      <c r="Q2168" t="s">
        <v>82</v>
      </c>
      <c r="R2168" t="s">
        <v>36</v>
      </c>
      <c r="S2168" t="s">
        <v>338</v>
      </c>
      <c r="T2168" t="s">
        <v>394</v>
      </c>
      <c r="U2168" t="s">
        <v>54</v>
      </c>
      <c r="V2168" t="s">
        <v>315</v>
      </c>
      <c r="W2168">
        <v>4.9000000000000004</v>
      </c>
      <c r="X2168" t="s">
        <v>41</v>
      </c>
      <c r="Y2168" t="s">
        <v>42</v>
      </c>
      <c r="Z2168">
        <v>5</v>
      </c>
    </row>
    <row r="2169" spans="1:26">
      <c r="A2169" t="s">
        <v>3340</v>
      </c>
      <c r="B2169" t="s">
        <v>724</v>
      </c>
      <c r="C2169" t="s">
        <v>28</v>
      </c>
      <c r="D2169" t="s">
        <v>103</v>
      </c>
      <c r="E2169" s="1">
        <v>45264</v>
      </c>
      <c r="F2169" t="s">
        <v>86</v>
      </c>
      <c r="G2169" t="s">
        <v>87</v>
      </c>
      <c r="H2169" t="s">
        <v>59</v>
      </c>
      <c r="I2169">
        <v>8</v>
      </c>
      <c r="J2169" t="s">
        <v>67</v>
      </c>
      <c r="K2169">
        <v>1</v>
      </c>
      <c r="L2169" s="3">
        <v>6199</v>
      </c>
      <c r="M2169">
        <v>20</v>
      </c>
      <c r="N2169" s="3">
        <v>4960</v>
      </c>
      <c r="O2169" s="3">
        <v>4960</v>
      </c>
      <c r="P2169" t="s">
        <v>74</v>
      </c>
      <c r="Q2169" t="s">
        <v>82</v>
      </c>
      <c r="R2169" t="s">
        <v>36</v>
      </c>
      <c r="S2169" t="s">
        <v>104</v>
      </c>
      <c r="T2169" t="s">
        <v>1048</v>
      </c>
      <c r="U2169" t="s">
        <v>39</v>
      </c>
      <c r="V2169" t="s">
        <v>969</v>
      </c>
      <c r="W2169">
        <v>5</v>
      </c>
      <c r="X2169" t="s">
        <v>41</v>
      </c>
      <c r="Y2169" t="s">
        <v>55</v>
      </c>
      <c r="Z2169">
        <v>2</v>
      </c>
    </row>
    <row r="2170" spans="1:26">
      <c r="A2170" t="s">
        <v>3341</v>
      </c>
      <c r="B2170" t="s">
        <v>974</v>
      </c>
      <c r="C2170" t="s">
        <v>28</v>
      </c>
      <c r="D2170" t="s">
        <v>46</v>
      </c>
      <c r="E2170" s="1">
        <v>45264</v>
      </c>
      <c r="F2170" t="s">
        <v>79</v>
      </c>
      <c r="G2170" t="s">
        <v>174</v>
      </c>
      <c r="H2170" t="s">
        <v>32</v>
      </c>
      <c r="I2170">
        <v>9</v>
      </c>
      <c r="J2170" t="s">
        <v>67</v>
      </c>
      <c r="K2170">
        <v>1</v>
      </c>
      <c r="L2170" s="3">
        <v>4399</v>
      </c>
      <c r="M2170">
        <v>5</v>
      </c>
      <c r="N2170" s="3">
        <v>4180</v>
      </c>
      <c r="O2170" s="3">
        <v>4180</v>
      </c>
      <c r="P2170" t="s">
        <v>50</v>
      </c>
      <c r="Q2170" t="s">
        <v>35</v>
      </c>
      <c r="R2170" t="s">
        <v>36</v>
      </c>
      <c r="S2170" t="s">
        <v>200</v>
      </c>
      <c r="T2170" t="s">
        <v>204</v>
      </c>
      <c r="U2170" t="s">
        <v>124</v>
      </c>
      <c r="V2170" t="s">
        <v>969</v>
      </c>
      <c r="W2170">
        <v>4.9000000000000004</v>
      </c>
      <c r="X2170" t="s">
        <v>41</v>
      </c>
      <c r="Y2170" t="s">
        <v>42</v>
      </c>
      <c r="Z2170">
        <v>4</v>
      </c>
    </row>
    <row r="2171" spans="1:26">
      <c r="A2171" t="s">
        <v>3342</v>
      </c>
      <c r="B2171" t="s">
        <v>3343</v>
      </c>
      <c r="C2171" t="s">
        <v>45</v>
      </c>
      <c r="D2171" t="s">
        <v>95</v>
      </c>
      <c r="E2171" s="1">
        <v>45265</v>
      </c>
      <c r="F2171" t="s">
        <v>79</v>
      </c>
      <c r="G2171" t="s">
        <v>174</v>
      </c>
      <c r="H2171" t="s">
        <v>32</v>
      </c>
      <c r="I2171">
        <v>8</v>
      </c>
      <c r="J2171" t="s">
        <v>98</v>
      </c>
      <c r="K2171">
        <v>1</v>
      </c>
      <c r="L2171" s="3">
        <v>5299</v>
      </c>
      <c r="M2171">
        <v>0</v>
      </c>
      <c r="N2171" s="3">
        <v>5300</v>
      </c>
      <c r="O2171" s="3">
        <v>5300</v>
      </c>
      <c r="P2171" t="s">
        <v>74</v>
      </c>
      <c r="Q2171" t="s">
        <v>51</v>
      </c>
      <c r="R2171" t="s">
        <v>36</v>
      </c>
      <c r="S2171" t="s">
        <v>238</v>
      </c>
      <c r="T2171" t="s">
        <v>377</v>
      </c>
      <c r="U2171" t="s">
        <v>124</v>
      </c>
      <c r="V2171" t="s">
        <v>40</v>
      </c>
      <c r="W2171">
        <v>4.4000000000000004</v>
      </c>
      <c r="X2171" t="s">
        <v>41</v>
      </c>
      <c r="Y2171" t="s">
        <v>55</v>
      </c>
      <c r="Z2171">
        <v>2</v>
      </c>
    </row>
    <row r="2172" spans="1:26">
      <c r="A2172" t="s">
        <v>3344</v>
      </c>
      <c r="B2172" t="s">
        <v>3345</v>
      </c>
      <c r="C2172" t="s">
        <v>45</v>
      </c>
      <c r="D2172" t="s">
        <v>103</v>
      </c>
      <c r="E2172" s="1">
        <v>45265</v>
      </c>
      <c r="F2172" t="s">
        <v>79</v>
      </c>
      <c r="G2172" t="s">
        <v>80</v>
      </c>
      <c r="H2172" t="s">
        <v>59</v>
      </c>
      <c r="I2172">
        <v>8</v>
      </c>
      <c r="J2172" t="s">
        <v>150</v>
      </c>
      <c r="K2172">
        <v>1</v>
      </c>
      <c r="L2172" s="3">
        <v>8599</v>
      </c>
      <c r="M2172">
        <v>20</v>
      </c>
      <c r="N2172" s="3">
        <v>6880</v>
      </c>
      <c r="O2172" s="3">
        <v>6880</v>
      </c>
      <c r="P2172" t="s">
        <v>34</v>
      </c>
      <c r="Q2172" t="s">
        <v>51</v>
      </c>
      <c r="R2172" t="s">
        <v>36</v>
      </c>
      <c r="S2172" t="s">
        <v>358</v>
      </c>
      <c r="T2172" t="s">
        <v>359</v>
      </c>
      <c r="U2172" t="s">
        <v>61</v>
      </c>
      <c r="V2172" t="s">
        <v>40</v>
      </c>
      <c r="W2172">
        <v>4.5999999999999996</v>
      </c>
      <c r="X2172" t="s">
        <v>41</v>
      </c>
      <c r="Y2172" t="s">
        <v>42</v>
      </c>
      <c r="Z2172">
        <v>2</v>
      </c>
    </row>
    <row r="2173" spans="1:26">
      <c r="A2173" t="s">
        <v>3346</v>
      </c>
      <c r="B2173" t="s">
        <v>1830</v>
      </c>
      <c r="C2173" t="s">
        <v>28</v>
      </c>
      <c r="D2173" t="s">
        <v>109</v>
      </c>
      <c r="E2173" s="1">
        <v>45265</v>
      </c>
      <c r="F2173" t="s">
        <v>79</v>
      </c>
      <c r="G2173" t="s">
        <v>127</v>
      </c>
      <c r="H2173" t="s">
        <v>128</v>
      </c>
      <c r="I2173">
        <v>7</v>
      </c>
      <c r="J2173" t="s">
        <v>98</v>
      </c>
      <c r="K2173">
        <v>1</v>
      </c>
      <c r="L2173" s="3">
        <v>7399</v>
      </c>
      <c r="M2173">
        <v>20</v>
      </c>
      <c r="N2173" s="3">
        <v>5920</v>
      </c>
      <c r="O2173" s="3">
        <v>5920</v>
      </c>
      <c r="P2173" t="s">
        <v>74</v>
      </c>
      <c r="Q2173" t="s">
        <v>51</v>
      </c>
      <c r="R2173" t="s">
        <v>36</v>
      </c>
      <c r="S2173" t="s">
        <v>37</v>
      </c>
      <c r="T2173" t="s">
        <v>509</v>
      </c>
      <c r="U2173" t="s">
        <v>91</v>
      </c>
      <c r="V2173" t="s">
        <v>315</v>
      </c>
      <c r="W2173">
        <v>3.6</v>
      </c>
      <c r="X2173" t="s">
        <v>62</v>
      </c>
      <c r="Y2173" t="s">
        <v>42</v>
      </c>
      <c r="Z2173">
        <v>2</v>
      </c>
    </row>
    <row r="2174" spans="1:26">
      <c r="A2174" t="s">
        <v>3347</v>
      </c>
      <c r="B2174" t="s">
        <v>1497</v>
      </c>
      <c r="C2174" t="s">
        <v>94</v>
      </c>
      <c r="D2174" t="s">
        <v>46</v>
      </c>
      <c r="E2174" s="1">
        <v>45265</v>
      </c>
      <c r="F2174" t="s">
        <v>47</v>
      </c>
      <c r="G2174" t="s">
        <v>218</v>
      </c>
      <c r="H2174" t="s">
        <v>59</v>
      </c>
      <c r="I2174">
        <v>10</v>
      </c>
      <c r="J2174" t="s">
        <v>98</v>
      </c>
      <c r="K2174">
        <v>1</v>
      </c>
      <c r="L2174" s="3">
        <v>8599</v>
      </c>
      <c r="M2174">
        <v>10</v>
      </c>
      <c r="N2174" s="3">
        <v>7740</v>
      </c>
      <c r="O2174" s="3">
        <v>7740</v>
      </c>
      <c r="P2174" t="s">
        <v>74</v>
      </c>
      <c r="Q2174" t="s">
        <v>82</v>
      </c>
      <c r="R2174" t="s">
        <v>36</v>
      </c>
      <c r="S2174" t="s">
        <v>160</v>
      </c>
      <c r="T2174" t="s">
        <v>160</v>
      </c>
      <c r="U2174" t="s">
        <v>54</v>
      </c>
      <c r="V2174" t="s">
        <v>969</v>
      </c>
      <c r="W2174">
        <v>3.7</v>
      </c>
      <c r="X2174" t="s">
        <v>41</v>
      </c>
      <c r="Y2174" t="s">
        <v>42</v>
      </c>
      <c r="Z2174">
        <v>1</v>
      </c>
    </row>
    <row r="2175" spans="1:26">
      <c r="A2175" t="s">
        <v>3348</v>
      </c>
      <c r="B2175" t="s">
        <v>1844</v>
      </c>
      <c r="C2175" t="s">
        <v>28</v>
      </c>
      <c r="D2175" t="s">
        <v>46</v>
      </c>
      <c r="E2175" s="1">
        <v>45266</v>
      </c>
      <c r="F2175" t="s">
        <v>65</v>
      </c>
      <c r="G2175" t="s">
        <v>66</v>
      </c>
      <c r="H2175" t="s">
        <v>59</v>
      </c>
      <c r="I2175">
        <v>8</v>
      </c>
      <c r="J2175" t="s">
        <v>73</v>
      </c>
      <c r="K2175">
        <v>1</v>
      </c>
      <c r="L2175" s="3">
        <v>4899</v>
      </c>
      <c r="M2175">
        <v>15</v>
      </c>
      <c r="N2175" s="3">
        <v>4160</v>
      </c>
      <c r="O2175" s="3">
        <v>4160</v>
      </c>
      <c r="P2175" t="s">
        <v>74</v>
      </c>
      <c r="Q2175" t="s">
        <v>35</v>
      </c>
      <c r="R2175" t="s">
        <v>36</v>
      </c>
      <c r="S2175" t="s">
        <v>141</v>
      </c>
      <c r="T2175" t="s">
        <v>142</v>
      </c>
      <c r="U2175" t="s">
        <v>124</v>
      </c>
      <c r="V2175" t="s">
        <v>969</v>
      </c>
      <c r="W2175">
        <v>3.4</v>
      </c>
      <c r="X2175" t="s">
        <v>41</v>
      </c>
      <c r="Y2175" t="s">
        <v>42</v>
      </c>
      <c r="Z2175">
        <v>3</v>
      </c>
    </row>
    <row r="2176" spans="1:26">
      <c r="A2176" t="s">
        <v>3349</v>
      </c>
      <c r="B2176" t="s">
        <v>1253</v>
      </c>
      <c r="C2176" t="s">
        <v>28</v>
      </c>
      <c r="D2176" t="s">
        <v>46</v>
      </c>
      <c r="E2176" s="1">
        <v>45266</v>
      </c>
      <c r="F2176" t="s">
        <v>47</v>
      </c>
      <c r="G2176" t="s">
        <v>140</v>
      </c>
      <c r="H2176" t="s">
        <v>128</v>
      </c>
      <c r="I2176">
        <v>7</v>
      </c>
      <c r="J2176" t="s">
        <v>98</v>
      </c>
      <c r="K2176">
        <v>1</v>
      </c>
      <c r="L2176" s="3">
        <v>4399</v>
      </c>
      <c r="M2176">
        <v>20</v>
      </c>
      <c r="N2176" s="3">
        <v>3520</v>
      </c>
      <c r="O2176" s="3">
        <v>3520</v>
      </c>
      <c r="P2176" t="s">
        <v>74</v>
      </c>
      <c r="Q2176" t="s">
        <v>51</v>
      </c>
      <c r="R2176" t="s">
        <v>36</v>
      </c>
      <c r="S2176" t="s">
        <v>186</v>
      </c>
      <c r="T2176" t="s">
        <v>397</v>
      </c>
      <c r="U2176" t="s">
        <v>91</v>
      </c>
      <c r="V2176" t="s">
        <v>969</v>
      </c>
      <c r="W2176">
        <v>3.2</v>
      </c>
      <c r="X2176" t="s">
        <v>41</v>
      </c>
      <c r="Y2176" t="s">
        <v>42</v>
      </c>
      <c r="Z2176">
        <v>5</v>
      </c>
    </row>
    <row r="2177" spans="1:26">
      <c r="A2177" t="s">
        <v>3350</v>
      </c>
      <c r="B2177" t="s">
        <v>565</v>
      </c>
      <c r="C2177" t="s">
        <v>94</v>
      </c>
      <c r="D2177" t="s">
        <v>103</v>
      </c>
      <c r="E2177" s="1">
        <v>45266</v>
      </c>
      <c r="F2177" t="s">
        <v>47</v>
      </c>
      <c r="G2177" t="s">
        <v>48</v>
      </c>
      <c r="H2177" t="s">
        <v>49</v>
      </c>
      <c r="I2177">
        <v>6</v>
      </c>
      <c r="J2177" t="s">
        <v>33</v>
      </c>
      <c r="K2177">
        <v>2</v>
      </c>
      <c r="L2177" s="3">
        <v>7699</v>
      </c>
      <c r="M2177">
        <v>35</v>
      </c>
      <c r="N2177" s="3">
        <v>5000</v>
      </c>
      <c r="O2177" s="3">
        <v>10000</v>
      </c>
      <c r="P2177" t="s">
        <v>34</v>
      </c>
      <c r="Q2177" t="s">
        <v>51</v>
      </c>
      <c r="R2177" t="s">
        <v>36</v>
      </c>
      <c r="S2177" t="s">
        <v>117</v>
      </c>
      <c r="T2177" t="s">
        <v>544</v>
      </c>
      <c r="U2177" t="s">
        <v>39</v>
      </c>
      <c r="V2177" t="s">
        <v>969</v>
      </c>
      <c r="W2177">
        <v>4.2</v>
      </c>
      <c r="X2177" t="s">
        <v>41</v>
      </c>
      <c r="Y2177" t="s">
        <v>42</v>
      </c>
      <c r="Z2177">
        <v>5</v>
      </c>
    </row>
    <row r="2178" spans="1:26">
      <c r="A2178" t="s">
        <v>3351</v>
      </c>
      <c r="B2178" t="s">
        <v>669</v>
      </c>
      <c r="C2178" t="s">
        <v>28</v>
      </c>
      <c r="D2178" t="s">
        <v>46</v>
      </c>
      <c r="E2178" s="1">
        <v>45266</v>
      </c>
      <c r="F2178" t="s">
        <v>30</v>
      </c>
      <c r="G2178" t="s">
        <v>31</v>
      </c>
      <c r="H2178" t="s">
        <v>32</v>
      </c>
      <c r="I2178">
        <v>9</v>
      </c>
      <c r="J2178" t="s">
        <v>98</v>
      </c>
      <c r="K2178">
        <v>1</v>
      </c>
      <c r="L2178" s="3">
        <v>8199</v>
      </c>
      <c r="M2178">
        <v>25</v>
      </c>
      <c r="N2178" s="3">
        <v>6150</v>
      </c>
      <c r="O2178" s="3">
        <v>6150</v>
      </c>
      <c r="P2178" t="s">
        <v>74</v>
      </c>
      <c r="Q2178" t="s">
        <v>35</v>
      </c>
      <c r="R2178" t="s">
        <v>36</v>
      </c>
      <c r="S2178" t="s">
        <v>122</v>
      </c>
      <c r="T2178" t="s">
        <v>372</v>
      </c>
      <c r="U2178" t="s">
        <v>54</v>
      </c>
      <c r="V2178" t="s">
        <v>315</v>
      </c>
      <c r="W2178">
        <v>4.4000000000000004</v>
      </c>
      <c r="X2178" t="s">
        <v>106</v>
      </c>
      <c r="Y2178" t="s">
        <v>147</v>
      </c>
      <c r="Z2178">
        <v>1</v>
      </c>
    </row>
    <row r="2179" spans="1:26">
      <c r="A2179" t="s">
        <v>3352</v>
      </c>
      <c r="B2179" t="s">
        <v>64</v>
      </c>
      <c r="C2179" t="s">
        <v>45</v>
      </c>
      <c r="D2179" t="s">
        <v>103</v>
      </c>
      <c r="E2179" s="1">
        <v>45267</v>
      </c>
      <c r="F2179" t="s">
        <v>79</v>
      </c>
      <c r="G2179" t="s">
        <v>301</v>
      </c>
      <c r="H2179" t="s">
        <v>49</v>
      </c>
      <c r="I2179">
        <v>12</v>
      </c>
      <c r="J2179" t="s">
        <v>98</v>
      </c>
      <c r="K2179">
        <v>1</v>
      </c>
      <c r="L2179" s="3">
        <v>7999</v>
      </c>
      <c r="M2179">
        <v>25</v>
      </c>
      <c r="N2179" s="3">
        <v>6000</v>
      </c>
      <c r="O2179" s="3">
        <v>6000</v>
      </c>
      <c r="P2179" t="s">
        <v>34</v>
      </c>
      <c r="Q2179" t="s">
        <v>51</v>
      </c>
      <c r="R2179" t="s">
        <v>36</v>
      </c>
      <c r="S2179" t="s">
        <v>99</v>
      </c>
      <c r="T2179" t="s">
        <v>759</v>
      </c>
      <c r="U2179" t="s">
        <v>61</v>
      </c>
      <c r="V2179" t="s">
        <v>315</v>
      </c>
      <c r="W2179">
        <v>4.5</v>
      </c>
      <c r="X2179" t="s">
        <v>106</v>
      </c>
      <c r="Y2179" t="s">
        <v>55</v>
      </c>
      <c r="Z2179">
        <v>3</v>
      </c>
    </row>
    <row r="2180" spans="1:26">
      <c r="A2180" t="s">
        <v>3353</v>
      </c>
      <c r="B2180" t="s">
        <v>1020</v>
      </c>
      <c r="C2180" t="s">
        <v>94</v>
      </c>
      <c r="D2180" t="s">
        <v>109</v>
      </c>
      <c r="E2180" s="1">
        <v>45267</v>
      </c>
      <c r="F2180" t="s">
        <v>47</v>
      </c>
      <c r="G2180" t="s">
        <v>121</v>
      </c>
      <c r="H2180" t="s">
        <v>111</v>
      </c>
      <c r="I2180">
        <v>9</v>
      </c>
      <c r="J2180" t="s">
        <v>150</v>
      </c>
      <c r="K2180">
        <v>1</v>
      </c>
      <c r="L2180" s="3">
        <v>6199</v>
      </c>
      <c r="M2180">
        <v>30</v>
      </c>
      <c r="N2180" s="3">
        <v>4340</v>
      </c>
      <c r="O2180" s="3">
        <v>4340</v>
      </c>
      <c r="P2180" t="s">
        <v>34</v>
      </c>
      <c r="Q2180" t="s">
        <v>51</v>
      </c>
      <c r="R2180" t="s">
        <v>36</v>
      </c>
      <c r="S2180" t="s">
        <v>460</v>
      </c>
      <c r="T2180" t="s">
        <v>580</v>
      </c>
      <c r="U2180" t="s">
        <v>39</v>
      </c>
      <c r="V2180" t="s">
        <v>969</v>
      </c>
      <c r="W2180">
        <v>3.8</v>
      </c>
      <c r="X2180" t="s">
        <v>41</v>
      </c>
      <c r="Y2180" t="s">
        <v>42</v>
      </c>
      <c r="Z2180">
        <v>3</v>
      </c>
    </row>
    <row r="2181" spans="1:26">
      <c r="A2181" t="s">
        <v>3354</v>
      </c>
      <c r="B2181" t="s">
        <v>3355</v>
      </c>
      <c r="C2181" t="s">
        <v>45</v>
      </c>
      <c r="D2181" t="s">
        <v>29</v>
      </c>
      <c r="E2181" s="1">
        <v>45267</v>
      </c>
      <c r="F2181" t="s">
        <v>86</v>
      </c>
      <c r="G2181" t="s">
        <v>190</v>
      </c>
      <c r="H2181" t="s">
        <v>128</v>
      </c>
      <c r="I2181">
        <v>8</v>
      </c>
      <c r="J2181" t="s">
        <v>73</v>
      </c>
      <c r="K2181">
        <v>1</v>
      </c>
      <c r="L2181" s="3">
        <v>6199</v>
      </c>
      <c r="M2181">
        <v>30</v>
      </c>
      <c r="N2181" s="3">
        <v>4340</v>
      </c>
      <c r="O2181" s="3">
        <v>4340</v>
      </c>
      <c r="P2181" t="s">
        <v>74</v>
      </c>
      <c r="Q2181" t="s">
        <v>51</v>
      </c>
      <c r="R2181" t="s">
        <v>36</v>
      </c>
      <c r="S2181" t="s">
        <v>99</v>
      </c>
      <c r="T2181" t="s">
        <v>229</v>
      </c>
      <c r="U2181" t="s">
        <v>54</v>
      </c>
      <c r="V2181" t="s">
        <v>40</v>
      </c>
      <c r="W2181">
        <v>3.3</v>
      </c>
      <c r="X2181" t="s">
        <v>41</v>
      </c>
      <c r="Y2181" t="s">
        <v>147</v>
      </c>
      <c r="Z2181">
        <v>1</v>
      </c>
    </row>
    <row r="2182" spans="1:26">
      <c r="A2182" t="s">
        <v>3356</v>
      </c>
      <c r="B2182" t="s">
        <v>102</v>
      </c>
      <c r="C2182" t="s">
        <v>45</v>
      </c>
      <c r="D2182" t="s">
        <v>29</v>
      </c>
      <c r="E2182" s="1">
        <v>45268</v>
      </c>
      <c r="F2182" t="s">
        <v>86</v>
      </c>
      <c r="G2182" t="s">
        <v>190</v>
      </c>
      <c r="H2182" t="s">
        <v>128</v>
      </c>
      <c r="I2182">
        <v>10</v>
      </c>
      <c r="J2182" t="s">
        <v>98</v>
      </c>
      <c r="K2182">
        <v>1</v>
      </c>
      <c r="L2182" s="3">
        <v>6199</v>
      </c>
      <c r="M2182">
        <v>15</v>
      </c>
      <c r="N2182" s="3">
        <v>5270</v>
      </c>
      <c r="O2182" s="3">
        <v>5270</v>
      </c>
      <c r="P2182" t="s">
        <v>74</v>
      </c>
      <c r="Q2182" t="s">
        <v>82</v>
      </c>
      <c r="R2182" t="s">
        <v>36</v>
      </c>
      <c r="S2182" t="s">
        <v>151</v>
      </c>
      <c r="T2182" t="s">
        <v>506</v>
      </c>
      <c r="U2182" t="s">
        <v>54</v>
      </c>
      <c r="V2182" t="s">
        <v>315</v>
      </c>
      <c r="W2182">
        <v>3.2</v>
      </c>
      <c r="X2182" t="s">
        <v>41</v>
      </c>
      <c r="Y2182" t="s">
        <v>42</v>
      </c>
      <c r="Z2182">
        <v>5</v>
      </c>
    </row>
    <row r="2183" spans="1:26">
      <c r="A2183" t="s">
        <v>3357</v>
      </c>
      <c r="B2183" t="s">
        <v>2048</v>
      </c>
      <c r="C2183" t="s">
        <v>45</v>
      </c>
      <c r="D2183" t="s">
        <v>29</v>
      </c>
      <c r="E2183" s="1">
        <v>45268</v>
      </c>
      <c r="F2183" t="s">
        <v>30</v>
      </c>
      <c r="G2183" t="s">
        <v>110</v>
      </c>
      <c r="H2183" t="s">
        <v>111</v>
      </c>
      <c r="I2183">
        <v>10</v>
      </c>
      <c r="J2183" t="s">
        <v>33</v>
      </c>
      <c r="K2183">
        <v>2</v>
      </c>
      <c r="L2183" s="3">
        <v>5899</v>
      </c>
      <c r="M2183">
        <v>10</v>
      </c>
      <c r="N2183" s="3">
        <v>5310</v>
      </c>
      <c r="O2183" s="3">
        <v>10620</v>
      </c>
      <c r="P2183" t="s">
        <v>74</v>
      </c>
      <c r="Q2183" t="s">
        <v>51</v>
      </c>
      <c r="R2183" t="s">
        <v>36</v>
      </c>
      <c r="S2183" t="s">
        <v>286</v>
      </c>
      <c r="T2183" t="s">
        <v>768</v>
      </c>
      <c r="U2183" t="s">
        <v>91</v>
      </c>
      <c r="V2183" t="s">
        <v>315</v>
      </c>
      <c r="W2183">
        <v>3.9</v>
      </c>
      <c r="X2183" t="s">
        <v>41</v>
      </c>
      <c r="Y2183" t="s">
        <v>42</v>
      </c>
      <c r="Z2183">
        <v>3</v>
      </c>
    </row>
    <row r="2184" spans="1:26">
      <c r="A2184" t="s">
        <v>3358</v>
      </c>
      <c r="B2184" t="s">
        <v>2286</v>
      </c>
      <c r="C2184" t="s">
        <v>94</v>
      </c>
      <c r="D2184" t="s">
        <v>46</v>
      </c>
      <c r="E2184" s="1">
        <v>45268</v>
      </c>
      <c r="F2184" t="s">
        <v>47</v>
      </c>
      <c r="G2184" t="s">
        <v>121</v>
      </c>
      <c r="H2184" t="s">
        <v>111</v>
      </c>
      <c r="I2184">
        <v>9</v>
      </c>
      <c r="J2184" t="s">
        <v>33</v>
      </c>
      <c r="K2184">
        <v>1</v>
      </c>
      <c r="L2184" s="3">
        <v>8999</v>
      </c>
      <c r="M2184">
        <v>0</v>
      </c>
      <c r="N2184" s="3">
        <v>9000</v>
      </c>
      <c r="O2184" s="3">
        <v>9000</v>
      </c>
      <c r="P2184" t="s">
        <v>34</v>
      </c>
      <c r="Q2184" t="s">
        <v>51</v>
      </c>
      <c r="R2184" t="s">
        <v>36</v>
      </c>
      <c r="S2184" t="s">
        <v>182</v>
      </c>
      <c r="T2184" t="s">
        <v>309</v>
      </c>
      <c r="U2184" t="s">
        <v>54</v>
      </c>
      <c r="V2184" t="s">
        <v>315</v>
      </c>
      <c r="W2184">
        <v>3.4</v>
      </c>
      <c r="X2184" t="s">
        <v>41</v>
      </c>
      <c r="Y2184" t="s">
        <v>55</v>
      </c>
      <c r="Z2184">
        <v>3</v>
      </c>
    </row>
    <row r="2185" spans="1:26">
      <c r="A2185" t="s">
        <v>3359</v>
      </c>
      <c r="B2185" t="s">
        <v>1395</v>
      </c>
      <c r="C2185" t="s">
        <v>28</v>
      </c>
      <c r="D2185" t="s">
        <v>46</v>
      </c>
      <c r="E2185" s="1">
        <v>45269</v>
      </c>
      <c r="F2185" t="s">
        <v>30</v>
      </c>
      <c r="G2185" t="s">
        <v>145</v>
      </c>
      <c r="H2185" t="s">
        <v>59</v>
      </c>
      <c r="I2185">
        <v>6</v>
      </c>
      <c r="J2185" t="s">
        <v>73</v>
      </c>
      <c r="K2185">
        <v>1</v>
      </c>
      <c r="L2185" s="3">
        <v>5099</v>
      </c>
      <c r="M2185">
        <v>35</v>
      </c>
      <c r="N2185" s="3">
        <v>3310</v>
      </c>
      <c r="O2185" s="3">
        <v>3310</v>
      </c>
      <c r="P2185" t="s">
        <v>34</v>
      </c>
      <c r="Q2185" t="s">
        <v>82</v>
      </c>
      <c r="R2185" t="s">
        <v>36</v>
      </c>
      <c r="S2185" t="s">
        <v>164</v>
      </c>
      <c r="T2185" t="s">
        <v>348</v>
      </c>
      <c r="U2185" t="s">
        <v>91</v>
      </c>
      <c r="V2185" t="s">
        <v>315</v>
      </c>
      <c r="W2185">
        <v>3.6</v>
      </c>
      <c r="X2185" t="s">
        <v>41</v>
      </c>
      <c r="Y2185" t="s">
        <v>42</v>
      </c>
      <c r="Z2185">
        <v>4</v>
      </c>
    </row>
    <row r="2186" spans="1:26">
      <c r="A2186" t="s">
        <v>3360</v>
      </c>
      <c r="B2186" t="s">
        <v>3361</v>
      </c>
      <c r="C2186" t="s">
        <v>45</v>
      </c>
      <c r="D2186" t="s">
        <v>29</v>
      </c>
      <c r="E2186" s="1">
        <v>45270</v>
      </c>
      <c r="F2186" t="s">
        <v>47</v>
      </c>
      <c r="G2186" t="s">
        <v>48</v>
      </c>
      <c r="H2186" t="s">
        <v>49</v>
      </c>
      <c r="I2186">
        <v>9</v>
      </c>
      <c r="J2186" t="s">
        <v>150</v>
      </c>
      <c r="K2186">
        <v>1</v>
      </c>
      <c r="L2186" s="3">
        <v>4599</v>
      </c>
      <c r="M2186">
        <v>35</v>
      </c>
      <c r="N2186" s="3">
        <v>2990</v>
      </c>
      <c r="O2186" s="3">
        <v>2990</v>
      </c>
      <c r="P2186" t="s">
        <v>74</v>
      </c>
      <c r="Q2186" t="s">
        <v>51</v>
      </c>
      <c r="R2186" t="s">
        <v>36</v>
      </c>
      <c r="S2186" t="s">
        <v>68</v>
      </c>
      <c r="T2186" t="s">
        <v>400</v>
      </c>
      <c r="U2186" t="s">
        <v>124</v>
      </c>
      <c r="V2186" t="s">
        <v>40</v>
      </c>
      <c r="W2186">
        <v>4.4000000000000004</v>
      </c>
      <c r="X2186" t="s">
        <v>41</v>
      </c>
      <c r="Y2186" t="s">
        <v>42</v>
      </c>
      <c r="Z2186">
        <v>6</v>
      </c>
    </row>
    <row r="2187" spans="1:26">
      <c r="A2187" t="s">
        <v>3362</v>
      </c>
      <c r="B2187" t="s">
        <v>2257</v>
      </c>
      <c r="C2187" t="s">
        <v>28</v>
      </c>
      <c r="D2187" t="s">
        <v>29</v>
      </c>
      <c r="E2187" s="1">
        <v>45270</v>
      </c>
      <c r="F2187" t="s">
        <v>86</v>
      </c>
      <c r="G2187" t="s">
        <v>87</v>
      </c>
      <c r="H2187" t="s">
        <v>59</v>
      </c>
      <c r="I2187">
        <v>10</v>
      </c>
      <c r="J2187" t="s">
        <v>88</v>
      </c>
      <c r="K2187">
        <v>1</v>
      </c>
      <c r="L2187" s="3">
        <v>8899</v>
      </c>
      <c r="M2187">
        <v>5</v>
      </c>
      <c r="N2187" s="3">
        <v>8450</v>
      </c>
      <c r="O2187" s="3">
        <v>8450</v>
      </c>
      <c r="P2187" t="s">
        <v>74</v>
      </c>
      <c r="Q2187" t="s">
        <v>82</v>
      </c>
      <c r="R2187" t="s">
        <v>36</v>
      </c>
      <c r="S2187" t="s">
        <v>112</v>
      </c>
      <c r="T2187" t="s">
        <v>250</v>
      </c>
      <c r="U2187" t="s">
        <v>124</v>
      </c>
      <c r="V2187" t="s">
        <v>315</v>
      </c>
      <c r="W2187">
        <v>4</v>
      </c>
      <c r="X2187" t="s">
        <v>62</v>
      </c>
      <c r="Y2187" t="s">
        <v>55</v>
      </c>
      <c r="Z2187">
        <v>2</v>
      </c>
    </row>
    <row r="2188" spans="1:26">
      <c r="A2188" t="s">
        <v>3363</v>
      </c>
      <c r="B2188" t="s">
        <v>1310</v>
      </c>
      <c r="C2188" t="s">
        <v>28</v>
      </c>
      <c r="D2188" t="s">
        <v>95</v>
      </c>
      <c r="E2188" s="1">
        <v>45271</v>
      </c>
      <c r="F2188" t="s">
        <v>65</v>
      </c>
      <c r="G2188" t="s">
        <v>72</v>
      </c>
      <c r="H2188" t="s">
        <v>59</v>
      </c>
      <c r="I2188">
        <v>8</v>
      </c>
      <c r="J2188" t="s">
        <v>150</v>
      </c>
      <c r="K2188">
        <v>1</v>
      </c>
      <c r="L2188" s="3">
        <v>8499</v>
      </c>
      <c r="M2188">
        <v>0</v>
      </c>
      <c r="N2188" s="3">
        <v>8500</v>
      </c>
      <c r="O2188" s="3">
        <v>8500</v>
      </c>
      <c r="P2188" t="s">
        <v>74</v>
      </c>
      <c r="Q2188" t="s">
        <v>51</v>
      </c>
      <c r="R2188" t="s">
        <v>36</v>
      </c>
      <c r="S2188" t="s">
        <v>104</v>
      </c>
      <c r="T2188" t="s">
        <v>1048</v>
      </c>
      <c r="U2188" t="s">
        <v>39</v>
      </c>
      <c r="V2188" t="s">
        <v>969</v>
      </c>
      <c r="W2188">
        <v>3.7</v>
      </c>
      <c r="X2188" t="s">
        <v>41</v>
      </c>
      <c r="Y2188" t="s">
        <v>42</v>
      </c>
      <c r="Z2188">
        <v>7</v>
      </c>
    </row>
    <row r="2189" spans="1:26">
      <c r="A2189" t="s">
        <v>3364</v>
      </c>
      <c r="B2189" t="s">
        <v>3005</v>
      </c>
      <c r="C2189" t="s">
        <v>28</v>
      </c>
      <c r="D2189" t="s">
        <v>103</v>
      </c>
      <c r="E2189" s="1">
        <v>45271</v>
      </c>
      <c r="F2189" t="s">
        <v>30</v>
      </c>
      <c r="G2189" t="s">
        <v>145</v>
      </c>
      <c r="H2189" t="s">
        <v>59</v>
      </c>
      <c r="I2189">
        <v>8</v>
      </c>
      <c r="J2189" t="s">
        <v>98</v>
      </c>
      <c r="K2189">
        <v>1</v>
      </c>
      <c r="L2189" s="3">
        <v>8099</v>
      </c>
      <c r="M2189">
        <v>15</v>
      </c>
      <c r="N2189" s="3">
        <v>6880</v>
      </c>
      <c r="O2189" s="3">
        <v>6880</v>
      </c>
      <c r="P2189" t="s">
        <v>74</v>
      </c>
      <c r="Q2189" t="s">
        <v>82</v>
      </c>
      <c r="R2189" t="s">
        <v>36</v>
      </c>
      <c r="S2189" t="s">
        <v>191</v>
      </c>
      <c r="T2189" t="s">
        <v>192</v>
      </c>
      <c r="U2189" t="s">
        <v>39</v>
      </c>
      <c r="V2189" t="s">
        <v>315</v>
      </c>
      <c r="W2189">
        <v>4.3</v>
      </c>
      <c r="X2189" t="s">
        <v>41</v>
      </c>
      <c r="Y2189" t="s">
        <v>42</v>
      </c>
      <c r="Z2189">
        <v>3</v>
      </c>
    </row>
    <row r="2190" spans="1:26">
      <c r="A2190" t="s">
        <v>3365</v>
      </c>
      <c r="B2190" t="s">
        <v>234</v>
      </c>
      <c r="C2190" t="s">
        <v>45</v>
      </c>
      <c r="D2190" t="s">
        <v>46</v>
      </c>
      <c r="E2190" s="1">
        <v>45272</v>
      </c>
      <c r="F2190" t="s">
        <v>79</v>
      </c>
      <c r="G2190" t="s">
        <v>480</v>
      </c>
      <c r="H2190" t="s">
        <v>111</v>
      </c>
      <c r="I2190">
        <v>11</v>
      </c>
      <c r="J2190" t="s">
        <v>98</v>
      </c>
      <c r="K2190">
        <v>2</v>
      </c>
      <c r="L2190" s="3">
        <v>7399</v>
      </c>
      <c r="M2190">
        <v>25</v>
      </c>
      <c r="N2190" s="3">
        <v>5550</v>
      </c>
      <c r="O2190" s="3">
        <v>11100</v>
      </c>
      <c r="P2190" t="s">
        <v>81</v>
      </c>
      <c r="Q2190" t="s">
        <v>35</v>
      </c>
      <c r="R2190" t="s">
        <v>36</v>
      </c>
      <c r="S2190" t="s">
        <v>269</v>
      </c>
      <c r="T2190" t="s">
        <v>961</v>
      </c>
      <c r="U2190" t="s">
        <v>54</v>
      </c>
      <c r="V2190" t="s">
        <v>969</v>
      </c>
      <c r="W2190">
        <v>3.9</v>
      </c>
      <c r="X2190" t="s">
        <v>106</v>
      </c>
      <c r="Y2190" t="s">
        <v>42</v>
      </c>
      <c r="Z2190">
        <v>4</v>
      </c>
    </row>
    <row r="2191" spans="1:26">
      <c r="A2191" t="s">
        <v>3366</v>
      </c>
      <c r="B2191" t="s">
        <v>967</v>
      </c>
      <c r="C2191" t="s">
        <v>94</v>
      </c>
      <c r="D2191" t="s">
        <v>95</v>
      </c>
      <c r="E2191" s="1">
        <v>45272</v>
      </c>
      <c r="F2191" t="s">
        <v>65</v>
      </c>
      <c r="G2191" t="s">
        <v>268</v>
      </c>
      <c r="H2191" t="s">
        <v>128</v>
      </c>
      <c r="I2191">
        <v>7</v>
      </c>
      <c r="J2191" t="s">
        <v>98</v>
      </c>
      <c r="K2191">
        <v>1</v>
      </c>
      <c r="L2191" s="3">
        <v>6899</v>
      </c>
      <c r="M2191">
        <v>10</v>
      </c>
      <c r="N2191" s="3">
        <v>6210</v>
      </c>
      <c r="O2191" s="3">
        <v>6210</v>
      </c>
      <c r="P2191" t="s">
        <v>74</v>
      </c>
      <c r="Q2191" t="s">
        <v>35</v>
      </c>
      <c r="R2191" t="s">
        <v>36</v>
      </c>
      <c r="S2191" t="s">
        <v>122</v>
      </c>
      <c r="T2191" t="s">
        <v>382</v>
      </c>
      <c r="U2191" t="s">
        <v>61</v>
      </c>
      <c r="V2191" t="s">
        <v>969</v>
      </c>
      <c r="W2191">
        <v>3.8</v>
      </c>
      <c r="X2191" t="s">
        <v>41</v>
      </c>
      <c r="Y2191" t="s">
        <v>55</v>
      </c>
      <c r="Z2191">
        <v>2</v>
      </c>
    </row>
    <row r="2192" spans="1:26">
      <c r="A2192" t="s">
        <v>3367</v>
      </c>
      <c r="B2192" t="s">
        <v>477</v>
      </c>
      <c r="C2192" t="s">
        <v>45</v>
      </c>
      <c r="D2192" t="s">
        <v>46</v>
      </c>
      <c r="E2192" s="1">
        <v>45273</v>
      </c>
      <c r="F2192" t="s">
        <v>86</v>
      </c>
      <c r="G2192" t="s">
        <v>116</v>
      </c>
      <c r="H2192" t="s">
        <v>49</v>
      </c>
      <c r="I2192">
        <v>7</v>
      </c>
      <c r="J2192" t="s">
        <v>98</v>
      </c>
      <c r="K2192">
        <v>1</v>
      </c>
      <c r="L2192" s="3">
        <v>5899</v>
      </c>
      <c r="M2192">
        <v>15</v>
      </c>
      <c r="N2192" s="3">
        <v>5010</v>
      </c>
      <c r="O2192" s="3">
        <v>5010</v>
      </c>
      <c r="P2192" t="s">
        <v>74</v>
      </c>
      <c r="Q2192" t="s">
        <v>82</v>
      </c>
      <c r="R2192" t="s">
        <v>36</v>
      </c>
      <c r="S2192" t="s">
        <v>358</v>
      </c>
      <c r="T2192" t="s">
        <v>597</v>
      </c>
      <c r="U2192" t="s">
        <v>91</v>
      </c>
      <c r="V2192" t="s">
        <v>969</v>
      </c>
      <c r="W2192">
        <v>4.4000000000000004</v>
      </c>
      <c r="X2192" t="s">
        <v>41</v>
      </c>
      <c r="Y2192" t="s">
        <v>55</v>
      </c>
      <c r="Z2192">
        <v>3</v>
      </c>
    </row>
    <row r="2193" spans="1:26">
      <c r="A2193" t="s">
        <v>3368</v>
      </c>
      <c r="B2193" t="s">
        <v>2342</v>
      </c>
      <c r="C2193" t="s">
        <v>94</v>
      </c>
      <c r="D2193" t="s">
        <v>103</v>
      </c>
      <c r="E2193" s="1">
        <v>45274</v>
      </c>
      <c r="F2193" t="s">
        <v>96</v>
      </c>
      <c r="G2193" t="s">
        <v>97</v>
      </c>
      <c r="H2193" t="s">
        <v>49</v>
      </c>
      <c r="I2193">
        <v>10</v>
      </c>
      <c r="J2193" t="s">
        <v>33</v>
      </c>
      <c r="K2193">
        <v>4</v>
      </c>
      <c r="L2193" s="3">
        <v>8699</v>
      </c>
      <c r="M2193">
        <v>0</v>
      </c>
      <c r="N2193" s="3">
        <v>8700</v>
      </c>
      <c r="O2193" s="3">
        <v>34800</v>
      </c>
      <c r="P2193" t="s">
        <v>34</v>
      </c>
      <c r="Q2193" t="s">
        <v>35</v>
      </c>
      <c r="R2193" t="s">
        <v>36</v>
      </c>
      <c r="S2193" t="s">
        <v>238</v>
      </c>
      <c r="T2193" t="s">
        <v>260</v>
      </c>
      <c r="U2193" t="s">
        <v>54</v>
      </c>
      <c r="V2193" t="s">
        <v>969</v>
      </c>
      <c r="W2193">
        <v>3.6</v>
      </c>
      <c r="X2193" t="s">
        <v>62</v>
      </c>
      <c r="Y2193" t="s">
        <v>42</v>
      </c>
      <c r="Z2193">
        <v>3</v>
      </c>
    </row>
    <row r="2194" spans="1:26">
      <c r="A2194" t="s">
        <v>3369</v>
      </c>
      <c r="B2194" t="s">
        <v>2664</v>
      </c>
      <c r="C2194" t="s">
        <v>28</v>
      </c>
      <c r="D2194" t="s">
        <v>46</v>
      </c>
      <c r="E2194" s="1">
        <v>45274</v>
      </c>
      <c r="F2194" t="s">
        <v>86</v>
      </c>
      <c r="G2194" t="s">
        <v>312</v>
      </c>
      <c r="H2194" t="s">
        <v>59</v>
      </c>
      <c r="I2194">
        <v>8</v>
      </c>
      <c r="J2194" t="s">
        <v>67</v>
      </c>
      <c r="K2194">
        <v>2</v>
      </c>
      <c r="L2194" s="3">
        <v>5499</v>
      </c>
      <c r="M2194">
        <v>25</v>
      </c>
      <c r="N2194" s="3">
        <v>4120</v>
      </c>
      <c r="O2194" s="3">
        <v>8240</v>
      </c>
      <c r="P2194" t="s">
        <v>34</v>
      </c>
      <c r="Q2194" t="s">
        <v>82</v>
      </c>
      <c r="R2194" t="s">
        <v>36</v>
      </c>
      <c r="S2194" t="s">
        <v>104</v>
      </c>
      <c r="T2194" t="s">
        <v>1048</v>
      </c>
      <c r="U2194" t="s">
        <v>61</v>
      </c>
      <c r="V2194" t="s">
        <v>315</v>
      </c>
      <c r="W2194">
        <v>4.2</v>
      </c>
      <c r="X2194" t="s">
        <v>41</v>
      </c>
      <c r="Y2194" t="s">
        <v>42</v>
      </c>
      <c r="Z2194">
        <v>5</v>
      </c>
    </row>
    <row r="2195" spans="1:26">
      <c r="A2195" t="s">
        <v>3370</v>
      </c>
      <c r="B2195" t="s">
        <v>3371</v>
      </c>
      <c r="C2195" t="s">
        <v>28</v>
      </c>
      <c r="D2195" t="s">
        <v>46</v>
      </c>
      <c r="E2195" s="1">
        <v>45274</v>
      </c>
      <c r="F2195" t="s">
        <v>96</v>
      </c>
      <c r="G2195" t="s">
        <v>290</v>
      </c>
      <c r="H2195" t="s">
        <v>32</v>
      </c>
      <c r="I2195">
        <v>8</v>
      </c>
      <c r="J2195" t="s">
        <v>67</v>
      </c>
      <c r="K2195">
        <v>1</v>
      </c>
      <c r="L2195" s="3">
        <v>9699</v>
      </c>
      <c r="M2195">
        <v>20</v>
      </c>
      <c r="N2195" s="3">
        <v>7760</v>
      </c>
      <c r="O2195" s="3">
        <v>7760</v>
      </c>
      <c r="P2195" t="s">
        <v>34</v>
      </c>
      <c r="Q2195" t="s">
        <v>51</v>
      </c>
      <c r="R2195" t="s">
        <v>36</v>
      </c>
      <c r="S2195" t="s">
        <v>269</v>
      </c>
      <c r="T2195" t="s">
        <v>652</v>
      </c>
      <c r="U2195" t="s">
        <v>91</v>
      </c>
      <c r="V2195" t="s">
        <v>40</v>
      </c>
      <c r="W2195">
        <v>3.7</v>
      </c>
      <c r="X2195" t="s">
        <v>41</v>
      </c>
      <c r="Y2195" t="s">
        <v>42</v>
      </c>
      <c r="Z2195">
        <v>3</v>
      </c>
    </row>
    <row r="2196" spans="1:26">
      <c r="A2196" t="s">
        <v>3372</v>
      </c>
      <c r="B2196" t="s">
        <v>945</v>
      </c>
      <c r="C2196" t="s">
        <v>94</v>
      </c>
      <c r="D2196" t="s">
        <v>29</v>
      </c>
      <c r="E2196" s="1">
        <v>45275</v>
      </c>
      <c r="F2196" t="s">
        <v>86</v>
      </c>
      <c r="G2196" t="s">
        <v>242</v>
      </c>
      <c r="H2196" t="s">
        <v>32</v>
      </c>
      <c r="I2196">
        <v>10</v>
      </c>
      <c r="J2196" t="s">
        <v>73</v>
      </c>
      <c r="K2196">
        <v>1</v>
      </c>
      <c r="L2196" s="3">
        <v>5799</v>
      </c>
      <c r="M2196">
        <v>20</v>
      </c>
      <c r="N2196" s="3">
        <v>4640</v>
      </c>
      <c r="O2196" s="3">
        <v>4640</v>
      </c>
      <c r="P2196" t="s">
        <v>74</v>
      </c>
      <c r="Q2196" t="s">
        <v>35</v>
      </c>
      <c r="R2196" t="s">
        <v>36</v>
      </c>
      <c r="S2196" t="s">
        <v>210</v>
      </c>
      <c r="T2196" t="s">
        <v>412</v>
      </c>
      <c r="U2196" t="s">
        <v>54</v>
      </c>
      <c r="V2196" t="s">
        <v>315</v>
      </c>
      <c r="W2196">
        <v>4.8</v>
      </c>
      <c r="X2196" t="s">
        <v>106</v>
      </c>
      <c r="Y2196" t="s">
        <v>42</v>
      </c>
      <c r="Z2196">
        <v>5</v>
      </c>
    </row>
    <row r="2197" spans="1:26">
      <c r="A2197" t="s">
        <v>3373</v>
      </c>
      <c r="B2197" t="s">
        <v>3374</v>
      </c>
      <c r="C2197" t="s">
        <v>45</v>
      </c>
      <c r="D2197" t="s">
        <v>29</v>
      </c>
      <c r="E2197" s="1">
        <v>45275</v>
      </c>
      <c r="F2197" t="s">
        <v>86</v>
      </c>
      <c r="G2197" t="s">
        <v>190</v>
      </c>
      <c r="H2197" t="s">
        <v>128</v>
      </c>
      <c r="I2197">
        <v>7</v>
      </c>
      <c r="J2197" t="s">
        <v>73</v>
      </c>
      <c r="K2197">
        <v>1</v>
      </c>
      <c r="L2197" s="3">
        <v>5599</v>
      </c>
      <c r="M2197">
        <v>5</v>
      </c>
      <c r="N2197" s="3">
        <v>5320</v>
      </c>
      <c r="O2197" s="3">
        <v>5320</v>
      </c>
      <c r="P2197" t="s">
        <v>81</v>
      </c>
      <c r="Q2197" t="s">
        <v>51</v>
      </c>
      <c r="R2197" t="s">
        <v>36</v>
      </c>
      <c r="S2197" t="s">
        <v>89</v>
      </c>
      <c r="T2197" t="s">
        <v>1982</v>
      </c>
      <c r="U2197" t="s">
        <v>54</v>
      </c>
      <c r="V2197" t="s">
        <v>40</v>
      </c>
      <c r="W2197">
        <v>4.0999999999999996</v>
      </c>
      <c r="X2197" t="s">
        <v>41</v>
      </c>
      <c r="Y2197" t="s">
        <v>42</v>
      </c>
      <c r="Z2197">
        <v>3</v>
      </c>
    </row>
    <row r="2198" spans="1:26">
      <c r="A2198" t="s">
        <v>3375</v>
      </c>
      <c r="B2198" t="s">
        <v>1210</v>
      </c>
      <c r="C2198" t="s">
        <v>28</v>
      </c>
      <c r="D2198" t="s">
        <v>103</v>
      </c>
      <c r="E2198" s="1">
        <v>45276</v>
      </c>
      <c r="F2198" t="s">
        <v>86</v>
      </c>
      <c r="G2198" t="s">
        <v>190</v>
      </c>
      <c r="H2198" t="s">
        <v>128</v>
      </c>
      <c r="I2198">
        <v>10</v>
      </c>
      <c r="J2198" t="s">
        <v>73</v>
      </c>
      <c r="K2198">
        <v>1</v>
      </c>
      <c r="L2198" s="3">
        <v>4599</v>
      </c>
      <c r="M2198">
        <v>20</v>
      </c>
      <c r="N2198" s="3">
        <v>3680</v>
      </c>
      <c r="O2198" s="3">
        <v>3680</v>
      </c>
      <c r="P2198" t="s">
        <v>74</v>
      </c>
      <c r="Q2198" t="s">
        <v>82</v>
      </c>
      <c r="R2198" t="s">
        <v>36</v>
      </c>
      <c r="S2198" t="s">
        <v>195</v>
      </c>
      <c r="T2198" t="s">
        <v>665</v>
      </c>
      <c r="U2198" t="s">
        <v>39</v>
      </c>
      <c r="V2198" t="s">
        <v>315</v>
      </c>
      <c r="W2198">
        <v>4.3</v>
      </c>
      <c r="X2198" t="s">
        <v>41</v>
      </c>
      <c r="Y2198" t="s">
        <v>42</v>
      </c>
      <c r="Z2198">
        <v>2</v>
      </c>
    </row>
    <row r="2199" spans="1:26">
      <c r="A2199" t="s">
        <v>3376</v>
      </c>
      <c r="B2199" t="s">
        <v>1266</v>
      </c>
      <c r="C2199" t="s">
        <v>28</v>
      </c>
      <c r="D2199" t="s">
        <v>46</v>
      </c>
      <c r="E2199" s="1">
        <v>45277</v>
      </c>
      <c r="F2199" t="s">
        <v>86</v>
      </c>
      <c r="G2199" t="s">
        <v>312</v>
      </c>
      <c r="H2199" t="s">
        <v>59</v>
      </c>
      <c r="I2199">
        <v>8</v>
      </c>
      <c r="J2199" t="s">
        <v>33</v>
      </c>
      <c r="K2199">
        <v>1</v>
      </c>
      <c r="L2199" s="3">
        <v>9699</v>
      </c>
      <c r="M2199">
        <v>15</v>
      </c>
      <c r="N2199" s="3">
        <v>8240</v>
      </c>
      <c r="O2199" s="3">
        <v>8240</v>
      </c>
      <c r="P2199" t="s">
        <v>34</v>
      </c>
      <c r="Q2199" t="s">
        <v>51</v>
      </c>
      <c r="R2199" t="s">
        <v>36</v>
      </c>
      <c r="S2199" t="s">
        <v>68</v>
      </c>
      <c r="T2199" t="s">
        <v>69</v>
      </c>
      <c r="U2199" t="s">
        <v>39</v>
      </c>
      <c r="V2199" t="s">
        <v>969</v>
      </c>
      <c r="W2199">
        <v>4.3</v>
      </c>
      <c r="X2199" t="s">
        <v>41</v>
      </c>
      <c r="Y2199" t="s">
        <v>42</v>
      </c>
      <c r="Z2199">
        <v>4</v>
      </c>
    </row>
    <row r="2200" spans="1:26">
      <c r="A2200" t="s">
        <v>3377</v>
      </c>
      <c r="B2200" t="s">
        <v>2823</v>
      </c>
      <c r="C2200" t="s">
        <v>94</v>
      </c>
      <c r="D2200" t="s">
        <v>103</v>
      </c>
      <c r="E2200" s="1">
        <v>45278</v>
      </c>
      <c r="F2200" t="s">
        <v>86</v>
      </c>
      <c r="G2200" t="s">
        <v>242</v>
      </c>
      <c r="H2200" t="s">
        <v>32</v>
      </c>
      <c r="I2200">
        <v>7</v>
      </c>
      <c r="J2200" t="s">
        <v>98</v>
      </c>
      <c r="K2200">
        <v>1</v>
      </c>
      <c r="L2200" s="3">
        <v>8699</v>
      </c>
      <c r="M2200">
        <v>20</v>
      </c>
      <c r="N2200" s="3">
        <v>6960</v>
      </c>
      <c r="O2200" s="3">
        <v>6960</v>
      </c>
      <c r="P2200" t="s">
        <v>74</v>
      </c>
      <c r="Q2200" t="s">
        <v>82</v>
      </c>
      <c r="R2200" t="s">
        <v>36</v>
      </c>
      <c r="S2200" t="s">
        <v>418</v>
      </c>
      <c r="T2200" t="s">
        <v>924</v>
      </c>
      <c r="U2200" t="s">
        <v>39</v>
      </c>
      <c r="V2200" t="s">
        <v>315</v>
      </c>
      <c r="W2200">
        <v>4</v>
      </c>
      <c r="X2200" t="s">
        <v>62</v>
      </c>
      <c r="Y2200" t="s">
        <v>42</v>
      </c>
      <c r="Z2200">
        <v>6</v>
      </c>
    </row>
    <row r="2201" spans="1:26">
      <c r="A2201" t="s">
        <v>3378</v>
      </c>
      <c r="B2201" t="s">
        <v>1186</v>
      </c>
      <c r="C2201" t="s">
        <v>28</v>
      </c>
      <c r="D2201" t="s">
        <v>95</v>
      </c>
      <c r="E2201" s="1">
        <v>45278</v>
      </c>
      <c r="F2201" t="s">
        <v>65</v>
      </c>
      <c r="G2201" t="s">
        <v>268</v>
      </c>
      <c r="H2201" t="s">
        <v>128</v>
      </c>
      <c r="I2201">
        <v>10</v>
      </c>
      <c r="J2201" t="s">
        <v>150</v>
      </c>
      <c r="K2201">
        <v>2</v>
      </c>
      <c r="L2201" s="3">
        <v>7099</v>
      </c>
      <c r="M2201">
        <v>20</v>
      </c>
      <c r="N2201" s="3">
        <v>5680</v>
      </c>
      <c r="O2201" s="3">
        <v>11360</v>
      </c>
      <c r="P2201" t="s">
        <v>74</v>
      </c>
      <c r="Q2201" t="s">
        <v>51</v>
      </c>
      <c r="R2201" t="s">
        <v>36</v>
      </c>
      <c r="S2201" t="s">
        <v>238</v>
      </c>
      <c r="T2201" t="s">
        <v>239</v>
      </c>
      <c r="U2201" t="s">
        <v>61</v>
      </c>
      <c r="V2201" t="s">
        <v>315</v>
      </c>
      <c r="W2201">
        <v>4.4000000000000004</v>
      </c>
      <c r="X2201" t="s">
        <v>41</v>
      </c>
      <c r="Y2201" t="s">
        <v>55</v>
      </c>
      <c r="Z2201">
        <v>1</v>
      </c>
    </row>
    <row r="2202" spans="1:26">
      <c r="A2202" t="s">
        <v>3379</v>
      </c>
      <c r="B2202" t="s">
        <v>1603</v>
      </c>
      <c r="C2202" t="s">
        <v>28</v>
      </c>
      <c r="D2202" t="s">
        <v>95</v>
      </c>
      <c r="E2202" s="1">
        <v>45278</v>
      </c>
      <c r="F2202" t="s">
        <v>86</v>
      </c>
      <c r="G2202" t="s">
        <v>116</v>
      </c>
      <c r="H2202" t="s">
        <v>49</v>
      </c>
      <c r="I2202">
        <v>11</v>
      </c>
      <c r="J2202" t="s">
        <v>150</v>
      </c>
      <c r="K2202">
        <v>1</v>
      </c>
      <c r="L2202" s="3">
        <v>7299</v>
      </c>
      <c r="M2202">
        <v>10</v>
      </c>
      <c r="N2202" s="3">
        <v>6570</v>
      </c>
      <c r="O2202" s="3">
        <v>6570</v>
      </c>
      <c r="P2202" t="s">
        <v>74</v>
      </c>
      <c r="Q2202" t="s">
        <v>82</v>
      </c>
      <c r="R2202" t="s">
        <v>36</v>
      </c>
      <c r="S2202" t="s">
        <v>358</v>
      </c>
      <c r="T2202" t="s">
        <v>805</v>
      </c>
      <c r="U2202" t="s">
        <v>91</v>
      </c>
      <c r="V2202" t="s">
        <v>969</v>
      </c>
      <c r="W2202">
        <v>4.4000000000000004</v>
      </c>
      <c r="X2202" t="s">
        <v>106</v>
      </c>
      <c r="Y2202" t="s">
        <v>42</v>
      </c>
      <c r="Z2202">
        <v>4</v>
      </c>
    </row>
    <row r="2203" spans="1:26">
      <c r="A2203" t="s">
        <v>3380</v>
      </c>
      <c r="B2203" t="s">
        <v>2174</v>
      </c>
      <c r="C2203" t="s">
        <v>28</v>
      </c>
      <c r="D2203" t="s">
        <v>46</v>
      </c>
      <c r="E2203" s="1">
        <v>45278</v>
      </c>
      <c r="F2203" t="s">
        <v>47</v>
      </c>
      <c r="G2203" t="s">
        <v>402</v>
      </c>
      <c r="H2203" t="s">
        <v>32</v>
      </c>
      <c r="I2203">
        <v>10</v>
      </c>
      <c r="J2203" t="s">
        <v>33</v>
      </c>
      <c r="K2203">
        <v>2</v>
      </c>
      <c r="L2203" s="3">
        <v>4999</v>
      </c>
      <c r="M2203">
        <v>10</v>
      </c>
      <c r="N2203" s="3">
        <v>4500</v>
      </c>
      <c r="O2203" s="3">
        <v>9000</v>
      </c>
      <c r="P2203" t="s">
        <v>74</v>
      </c>
      <c r="Q2203" t="s">
        <v>51</v>
      </c>
      <c r="R2203" t="s">
        <v>36</v>
      </c>
      <c r="S2203" t="s">
        <v>195</v>
      </c>
      <c r="T2203" t="s">
        <v>428</v>
      </c>
      <c r="U2203" t="s">
        <v>54</v>
      </c>
      <c r="V2203" t="s">
        <v>315</v>
      </c>
      <c r="W2203">
        <v>3.9</v>
      </c>
      <c r="X2203" t="s">
        <v>41</v>
      </c>
      <c r="Y2203" t="s">
        <v>42</v>
      </c>
      <c r="Z2203">
        <v>3</v>
      </c>
    </row>
    <row r="2204" spans="1:26">
      <c r="A2204" t="s">
        <v>3381</v>
      </c>
      <c r="B2204" t="s">
        <v>108</v>
      </c>
      <c r="C2204" t="s">
        <v>28</v>
      </c>
      <c r="D2204" t="s">
        <v>29</v>
      </c>
      <c r="E2204" s="1">
        <v>45279</v>
      </c>
      <c r="F2204" t="s">
        <v>65</v>
      </c>
      <c r="G2204" t="s">
        <v>365</v>
      </c>
      <c r="H2204" t="s">
        <v>49</v>
      </c>
      <c r="I2204">
        <v>7</v>
      </c>
      <c r="J2204" t="s">
        <v>33</v>
      </c>
      <c r="K2204">
        <v>1</v>
      </c>
      <c r="L2204" s="3">
        <v>5699</v>
      </c>
      <c r="M2204">
        <v>20</v>
      </c>
      <c r="N2204" s="3">
        <v>4560</v>
      </c>
      <c r="O2204" s="3">
        <v>4560</v>
      </c>
      <c r="P2204" t="s">
        <v>81</v>
      </c>
      <c r="Q2204" t="s">
        <v>51</v>
      </c>
      <c r="R2204" t="s">
        <v>36</v>
      </c>
      <c r="S2204" t="s">
        <v>191</v>
      </c>
      <c r="T2204" t="s">
        <v>521</v>
      </c>
      <c r="U2204" t="s">
        <v>54</v>
      </c>
      <c r="V2204" t="s">
        <v>315</v>
      </c>
      <c r="W2204">
        <v>4.0999999999999996</v>
      </c>
      <c r="X2204" t="s">
        <v>41</v>
      </c>
      <c r="Y2204" t="s">
        <v>42</v>
      </c>
      <c r="Z2204">
        <v>4</v>
      </c>
    </row>
    <row r="2205" spans="1:26">
      <c r="A2205" t="s">
        <v>3382</v>
      </c>
      <c r="B2205" t="s">
        <v>1334</v>
      </c>
      <c r="C2205" t="s">
        <v>28</v>
      </c>
      <c r="D2205" t="s">
        <v>46</v>
      </c>
      <c r="E2205" s="1">
        <v>45279</v>
      </c>
      <c r="F2205" t="s">
        <v>79</v>
      </c>
      <c r="G2205" t="s">
        <v>80</v>
      </c>
      <c r="H2205" t="s">
        <v>59</v>
      </c>
      <c r="I2205">
        <v>7</v>
      </c>
      <c r="J2205" t="s">
        <v>98</v>
      </c>
      <c r="K2205">
        <v>1</v>
      </c>
      <c r="L2205" s="3">
        <v>4199</v>
      </c>
      <c r="M2205">
        <v>10</v>
      </c>
      <c r="N2205" s="3">
        <v>3780</v>
      </c>
      <c r="O2205" s="3">
        <v>3780</v>
      </c>
      <c r="P2205" t="s">
        <v>74</v>
      </c>
      <c r="Q2205" t="s">
        <v>51</v>
      </c>
      <c r="R2205" t="s">
        <v>36</v>
      </c>
      <c r="S2205" t="s">
        <v>68</v>
      </c>
      <c r="T2205" t="s">
        <v>400</v>
      </c>
      <c r="U2205" t="s">
        <v>61</v>
      </c>
      <c r="V2205" t="s">
        <v>315</v>
      </c>
      <c r="W2205">
        <v>5</v>
      </c>
      <c r="X2205" t="s">
        <v>62</v>
      </c>
      <c r="Y2205" t="s">
        <v>42</v>
      </c>
      <c r="Z2205">
        <v>3</v>
      </c>
    </row>
    <row r="2206" spans="1:26">
      <c r="A2206" t="s">
        <v>3383</v>
      </c>
      <c r="B2206" t="s">
        <v>2776</v>
      </c>
      <c r="C2206" t="s">
        <v>28</v>
      </c>
      <c r="D2206" t="s">
        <v>103</v>
      </c>
      <c r="E2206" s="1">
        <v>45279</v>
      </c>
      <c r="F2206" t="s">
        <v>30</v>
      </c>
      <c r="G2206" t="s">
        <v>145</v>
      </c>
      <c r="H2206" t="s">
        <v>59</v>
      </c>
      <c r="I2206">
        <v>8</v>
      </c>
      <c r="J2206" t="s">
        <v>98</v>
      </c>
      <c r="K2206">
        <v>4</v>
      </c>
      <c r="L2206" s="3">
        <v>6199</v>
      </c>
      <c r="M2206">
        <v>20</v>
      </c>
      <c r="N2206" s="3">
        <v>4960</v>
      </c>
      <c r="O2206" s="3">
        <v>19840</v>
      </c>
      <c r="P2206" t="s">
        <v>34</v>
      </c>
      <c r="Q2206" t="s">
        <v>51</v>
      </c>
      <c r="R2206" t="s">
        <v>36</v>
      </c>
      <c r="S2206" t="s">
        <v>129</v>
      </c>
      <c r="T2206" t="s">
        <v>655</v>
      </c>
      <c r="U2206" t="s">
        <v>61</v>
      </c>
      <c r="V2206" t="s">
        <v>315</v>
      </c>
      <c r="W2206">
        <v>3.6</v>
      </c>
      <c r="X2206" t="s">
        <v>41</v>
      </c>
      <c r="Y2206" t="s">
        <v>42</v>
      </c>
      <c r="Z2206">
        <v>2</v>
      </c>
    </row>
    <row r="2207" spans="1:26">
      <c r="A2207" t="s">
        <v>3384</v>
      </c>
      <c r="B2207" t="s">
        <v>3385</v>
      </c>
      <c r="C2207" t="s">
        <v>45</v>
      </c>
      <c r="D2207" t="s">
        <v>109</v>
      </c>
      <c r="E2207" s="1">
        <v>45280</v>
      </c>
      <c r="F2207" t="s">
        <v>30</v>
      </c>
      <c r="G2207" t="s">
        <v>214</v>
      </c>
      <c r="H2207" t="s">
        <v>128</v>
      </c>
      <c r="I2207">
        <v>7</v>
      </c>
      <c r="J2207" t="s">
        <v>73</v>
      </c>
      <c r="K2207">
        <v>1</v>
      </c>
      <c r="L2207" s="3">
        <v>5099</v>
      </c>
      <c r="M2207">
        <v>20</v>
      </c>
      <c r="N2207" s="3">
        <v>4080</v>
      </c>
      <c r="O2207" s="3">
        <v>4080</v>
      </c>
      <c r="P2207" t="s">
        <v>74</v>
      </c>
      <c r="Q2207" t="s">
        <v>51</v>
      </c>
      <c r="R2207" t="s">
        <v>36</v>
      </c>
      <c r="S2207" t="s">
        <v>151</v>
      </c>
      <c r="T2207" t="s">
        <v>152</v>
      </c>
      <c r="U2207" t="s">
        <v>124</v>
      </c>
      <c r="V2207" t="s">
        <v>40</v>
      </c>
      <c r="W2207">
        <v>3.6</v>
      </c>
      <c r="X2207" t="s">
        <v>41</v>
      </c>
      <c r="Y2207" t="s">
        <v>42</v>
      </c>
      <c r="Z2207">
        <v>4</v>
      </c>
    </row>
    <row r="2208" spans="1:26">
      <c r="A2208" t="s">
        <v>3386</v>
      </c>
      <c r="B2208" t="s">
        <v>1378</v>
      </c>
      <c r="C2208" t="s">
        <v>45</v>
      </c>
      <c r="D2208" t="s">
        <v>95</v>
      </c>
      <c r="E2208" s="1">
        <v>45280</v>
      </c>
      <c r="F2208" t="s">
        <v>96</v>
      </c>
      <c r="G2208" t="s">
        <v>323</v>
      </c>
      <c r="H2208" t="s">
        <v>59</v>
      </c>
      <c r="I2208">
        <v>10</v>
      </c>
      <c r="J2208" t="s">
        <v>73</v>
      </c>
      <c r="K2208">
        <v>3</v>
      </c>
      <c r="L2208" s="3">
        <v>9999</v>
      </c>
      <c r="M2208">
        <v>15</v>
      </c>
      <c r="N2208" s="3">
        <v>8500</v>
      </c>
      <c r="O2208" s="3">
        <v>25500</v>
      </c>
      <c r="P2208" t="s">
        <v>74</v>
      </c>
      <c r="Q2208" t="s">
        <v>82</v>
      </c>
      <c r="R2208" t="s">
        <v>36</v>
      </c>
      <c r="S2208" t="s">
        <v>112</v>
      </c>
      <c r="T2208" t="s">
        <v>113</v>
      </c>
      <c r="U2208" t="s">
        <v>54</v>
      </c>
      <c r="V2208" t="s">
        <v>969</v>
      </c>
      <c r="W2208">
        <v>3.5</v>
      </c>
      <c r="X2208" t="s">
        <v>41</v>
      </c>
      <c r="Y2208" t="s">
        <v>42</v>
      </c>
      <c r="Z2208">
        <v>3</v>
      </c>
    </row>
    <row r="2209" spans="1:26">
      <c r="A2209" t="s">
        <v>3387</v>
      </c>
      <c r="B2209" t="s">
        <v>3388</v>
      </c>
      <c r="C2209" t="s">
        <v>28</v>
      </c>
      <c r="D2209" t="s">
        <v>46</v>
      </c>
      <c r="E2209" s="1">
        <v>45280</v>
      </c>
      <c r="F2209" t="s">
        <v>30</v>
      </c>
      <c r="G2209" t="s">
        <v>347</v>
      </c>
      <c r="H2209" t="s">
        <v>49</v>
      </c>
      <c r="I2209">
        <v>7</v>
      </c>
      <c r="J2209" t="s">
        <v>98</v>
      </c>
      <c r="K2209">
        <v>1</v>
      </c>
      <c r="L2209" s="3">
        <v>6399</v>
      </c>
      <c r="M2209">
        <v>5</v>
      </c>
      <c r="N2209" s="3">
        <v>6080</v>
      </c>
      <c r="O2209" s="3">
        <v>6080</v>
      </c>
      <c r="P2209" t="s">
        <v>74</v>
      </c>
      <c r="Q2209" t="s">
        <v>82</v>
      </c>
      <c r="R2209" t="s">
        <v>36</v>
      </c>
      <c r="S2209" t="s">
        <v>182</v>
      </c>
      <c r="T2209" t="s">
        <v>604</v>
      </c>
      <c r="U2209" t="s">
        <v>54</v>
      </c>
      <c r="V2209" t="s">
        <v>40</v>
      </c>
      <c r="W2209">
        <v>3.7</v>
      </c>
      <c r="X2209" t="s">
        <v>41</v>
      </c>
      <c r="Y2209" t="s">
        <v>42</v>
      </c>
      <c r="Z2209">
        <v>4</v>
      </c>
    </row>
    <row r="2210" spans="1:26">
      <c r="A2210" t="s">
        <v>3389</v>
      </c>
      <c r="B2210" t="s">
        <v>330</v>
      </c>
      <c r="C2210" t="s">
        <v>28</v>
      </c>
      <c r="D2210" t="s">
        <v>29</v>
      </c>
      <c r="E2210" s="1">
        <v>45281</v>
      </c>
      <c r="F2210" t="s">
        <v>47</v>
      </c>
      <c r="G2210" t="s">
        <v>402</v>
      </c>
      <c r="H2210" t="s">
        <v>32</v>
      </c>
      <c r="I2210">
        <v>8</v>
      </c>
      <c r="J2210" t="s">
        <v>98</v>
      </c>
      <c r="K2210">
        <v>2</v>
      </c>
      <c r="L2210" s="3">
        <v>6799</v>
      </c>
      <c r="M2210">
        <v>30</v>
      </c>
      <c r="N2210" s="3">
        <v>4760</v>
      </c>
      <c r="O2210" s="3">
        <v>9520</v>
      </c>
      <c r="P2210" t="s">
        <v>81</v>
      </c>
      <c r="Q2210" t="s">
        <v>82</v>
      </c>
      <c r="R2210" t="s">
        <v>36</v>
      </c>
      <c r="S2210" t="s">
        <v>168</v>
      </c>
      <c r="T2210" t="s">
        <v>168</v>
      </c>
      <c r="U2210" t="s">
        <v>91</v>
      </c>
      <c r="V2210" t="s">
        <v>969</v>
      </c>
      <c r="W2210">
        <v>4.7</v>
      </c>
      <c r="X2210" t="s">
        <v>41</v>
      </c>
      <c r="Y2210" t="s">
        <v>42</v>
      </c>
      <c r="Z2210">
        <v>3</v>
      </c>
    </row>
    <row r="2211" spans="1:26">
      <c r="A2211" t="s">
        <v>3390</v>
      </c>
      <c r="B2211" t="s">
        <v>1711</v>
      </c>
      <c r="C2211" t="s">
        <v>94</v>
      </c>
      <c r="D2211" t="s">
        <v>29</v>
      </c>
      <c r="E2211" s="1">
        <v>45281</v>
      </c>
      <c r="F2211" t="s">
        <v>96</v>
      </c>
      <c r="G2211" t="s">
        <v>290</v>
      </c>
      <c r="H2211" t="s">
        <v>32</v>
      </c>
      <c r="I2211">
        <v>7</v>
      </c>
      <c r="J2211" t="s">
        <v>88</v>
      </c>
      <c r="K2211">
        <v>1</v>
      </c>
      <c r="L2211" s="3">
        <v>8599</v>
      </c>
      <c r="M2211">
        <v>5</v>
      </c>
      <c r="N2211" s="3">
        <v>8170</v>
      </c>
      <c r="O2211" s="3">
        <v>8170</v>
      </c>
      <c r="P2211" t="s">
        <v>50</v>
      </c>
      <c r="Q2211" t="s">
        <v>82</v>
      </c>
      <c r="R2211" t="s">
        <v>36</v>
      </c>
      <c r="S2211" t="s">
        <v>286</v>
      </c>
      <c r="T2211" t="s">
        <v>287</v>
      </c>
      <c r="U2211" t="s">
        <v>91</v>
      </c>
      <c r="V2211" t="s">
        <v>315</v>
      </c>
      <c r="W2211">
        <v>4.8</v>
      </c>
      <c r="X2211" t="s">
        <v>62</v>
      </c>
      <c r="Y2211" t="s">
        <v>42</v>
      </c>
      <c r="Z2211">
        <v>5</v>
      </c>
    </row>
    <row r="2212" spans="1:26">
      <c r="A2212" t="s">
        <v>3391</v>
      </c>
      <c r="B2212" t="s">
        <v>3392</v>
      </c>
      <c r="C2212" t="s">
        <v>28</v>
      </c>
      <c r="D2212" t="s">
        <v>46</v>
      </c>
      <c r="E2212" s="1">
        <v>45281</v>
      </c>
      <c r="F2212" t="s">
        <v>47</v>
      </c>
      <c r="G2212" t="s">
        <v>218</v>
      </c>
      <c r="H2212" t="s">
        <v>59</v>
      </c>
      <c r="I2212">
        <v>7</v>
      </c>
      <c r="J2212" t="s">
        <v>73</v>
      </c>
      <c r="K2212">
        <v>3</v>
      </c>
      <c r="L2212" s="3">
        <v>6199</v>
      </c>
      <c r="M2212">
        <v>10</v>
      </c>
      <c r="N2212" s="3">
        <v>5580</v>
      </c>
      <c r="O2212" s="3">
        <v>16740</v>
      </c>
      <c r="P2212" t="s">
        <v>74</v>
      </c>
      <c r="Q2212" t="s">
        <v>51</v>
      </c>
      <c r="R2212" t="s">
        <v>36</v>
      </c>
      <c r="S2212" t="s">
        <v>112</v>
      </c>
      <c r="T2212" t="s">
        <v>113</v>
      </c>
      <c r="U2212" t="s">
        <v>54</v>
      </c>
      <c r="V2212" t="s">
        <v>40</v>
      </c>
      <c r="W2212">
        <v>4.4000000000000004</v>
      </c>
      <c r="X2212" t="s">
        <v>41</v>
      </c>
      <c r="Y2212" t="s">
        <v>55</v>
      </c>
      <c r="Z2212">
        <v>2</v>
      </c>
    </row>
    <row r="2213" spans="1:26">
      <c r="A2213" t="s">
        <v>3393</v>
      </c>
      <c r="B2213" t="s">
        <v>371</v>
      </c>
      <c r="C2213" t="s">
        <v>45</v>
      </c>
      <c r="D2213" t="s">
        <v>29</v>
      </c>
      <c r="E2213" s="1">
        <v>45281</v>
      </c>
      <c r="F2213" t="s">
        <v>96</v>
      </c>
      <c r="G2213" t="s">
        <v>155</v>
      </c>
      <c r="H2213" t="s">
        <v>111</v>
      </c>
      <c r="I2213">
        <v>6</v>
      </c>
      <c r="J2213" t="s">
        <v>73</v>
      </c>
      <c r="K2213">
        <v>2</v>
      </c>
      <c r="L2213" s="3">
        <v>8699</v>
      </c>
      <c r="M2213">
        <v>10</v>
      </c>
      <c r="N2213" s="3">
        <v>7830</v>
      </c>
      <c r="O2213" s="3">
        <v>15660</v>
      </c>
      <c r="P2213" t="s">
        <v>81</v>
      </c>
      <c r="Q2213" t="s">
        <v>35</v>
      </c>
      <c r="R2213" t="s">
        <v>36</v>
      </c>
      <c r="S2213" t="s">
        <v>286</v>
      </c>
      <c r="T2213" t="s">
        <v>287</v>
      </c>
      <c r="U2213" t="s">
        <v>124</v>
      </c>
      <c r="V2213" t="s">
        <v>969</v>
      </c>
      <c r="W2213">
        <v>4</v>
      </c>
      <c r="X2213" t="s">
        <v>41</v>
      </c>
      <c r="Y2213" t="s">
        <v>147</v>
      </c>
      <c r="Z2213">
        <v>1</v>
      </c>
    </row>
    <row r="2214" spans="1:26">
      <c r="A2214" t="s">
        <v>3394</v>
      </c>
      <c r="B2214" t="s">
        <v>1411</v>
      </c>
      <c r="C2214" t="s">
        <v>28</v>
      </c>
      <c r="D2214" t="s">
        <v>29</v>
      </c>
      <c r="E2214" s="1">
        <v>45281</v>
      </c>
      <c r="F2214" t="s">
        <v>86</v>
      </c>
      <c r="G2214" t="s">
        <v>87</v>
      </c>
      <c r="H2214" t="s">
        <v>59</v>
      </c>
      <c r="I2214">
        <v>6</v>
      </c>
      <c r="J2214" t="s">
        <v>73</v>
      </c>
      <c r="K2214">
        <v>1</v>
      </c>
      <c r="L2214" s="3">
        <v>6099</v>
      </c>
      <c r="M2214">
        <v>30</v>
      </c>
      <c r="N2214" s="3">
        <v>4270</v>
      </c>
      <c r="O2214" s="3">
        <v>4270</v>
      </c>
      <c r="P2214" t="s">
        <v>81</v>
      </c>
      <c r="Q2214" t="s">
        <v>35</v>
      </c>
      <c r="R2214" t="s">
        <v>36</v>
      </c>
      <c r="S2214" t="s">
        <v>195</v>
      </c>
      <c r="T2214" t="s">
        <v>196</v>
      </c>
      <c r="U2214" t="s">
        <v>124</v>
      </c>
      <c r="V2214" t="s">
        <v>315</v>
      </c>
      <c r="W2214">
        <v>4.4000000000000004</v>
      </c>
      <c r="X2214" t="s">
        <v>41</v>
      </c>
      <c r="Y2214" t="s">
        <v>55</v>
      </c>
      <c r="Z2214">
        <v>3</v>
      </c>
    </row>
    <row r="2215" spans="1:26">
      <c r="A2215" t="s">
        <v>3395</v>
      </c>
      <c r="B2215" t="s">
        <v>2649</v>
      </c>
      <c r="C2215" t="s">
        <v>45</v>
      </c>
      <c r="D2215" t="s">
        <v>109</v>
      </c>
      <c r="E2215" s="1">
        <v>45281</v>
      </c>
      <c r="F2215" t="s">
        <v>86</v>
      </c>
      <c r="G2215" t="s">
        <v>312</v>
      </c>
      <c r="H2215" t="s">
        <v>59</v>
      </c>
      <c r="I2215">
        <v>7</v>
      </c>
      <c r="J2215" t="s">
        <v>88</v>
      </c>
      <c r="K2215">
        <v>1</v>
      </c>
      <c r="L2215" s="3">
        <v>8599</v>
      </c>
      <c r="M2215">
        <v>5</v>
      </c>
      <c r="N2215" s="3">
        <v>8170</v>
      </c>
      <c r="O2215" s="3">
        <v>8170</v>
      </c>
      <c r="P2215" t="s">
        <v>74</v>
      </c>
      <c r="Q2215" t="s">
        <v>82</v>
      </c>
      <c r="R2215" t="s">
        <v>36</v>
      </c>
      <c r="S2215" t="s">
        <v>460</v>
      </c>
      <c r="T2215" t="s">
        <v>461</v>
      </c>
      <c r="U2215" t="s">
        <v>124</v>
      </c>
      <c r="V2215" t="s">
        <v>315</v>
      </c>
      <c r="W2215">
        <v>3.3</v>
      </c>
      <c r="X2215" t="s">
        <v>106</v>
      </c>
      <c r="Y2215" t="s">
        <v>42</v>
      </c>
      <c r="Z2215">
        <v>4</v>
      </c>
    </row>
    <row r="2216" spans="1:26">
      <c r="A2216" t="s">
        <v>3396</v>
      </c>
      <c r="B2216" t="s">
        <v>1052</v>
      </c>
      <c r="C2216" t="s">
        <v>94</v>
      </c>
      <c r="D2216" t="s">
        <v>29</v>
      </c>
      <c r="E2216" s="1">
        <v>45282</v>
      </c>
      <c r="F2216" t="s">
        <v>86</v>
      </c>
      <c r="G2216" t="s">
        <v>116</v>
      </c>
      <c r="H2216" t="s">
        <v>49</v>
      </c>
      <c r="I2216">
        <v>7</v>
      </c>
      <c r="J2216" t="s">
        <v>73</v>
      </c>
      <c r="K2216">
        <v>1</v>
      </c>
      <c r="L2216" s="3">
        <v>6499</v>
      </c>
      <c r="M2216">
        <v>15</v>
      </c>
      <c r="N2216" s="3">
        <v>5520</v>
      </c>
      <c r="O2216" s="3">
        <v>5520</v>
      </c>
      <c r="P2216" t="s">
        <v>74</v>
      </c>
      <c r="Q2216" t="s">
        <v>51</v>
      </c>
      <c r="R2216" t="s">
        <v>36</v>
      </c>
      <c r="S2216" t="s">
        <v>182</v>
      </c>
      <c r="T2216" t="s">
        <v>503</v>
      </c>
      <c r="U2216" t="s">
        <v>61</v>
      </c>
      <c r="V2216" t="s">
        <v>969</v>
      </c>
      <c r="W2216">
        <v>4.2</v>
      </c>
      <c r="X2216" t="s">
        <v>106</v>
      </c>
      <c r="Y2216" t="s">
        <v>55</v>
      </c>
      <c r="Z2216">
        <v>2</v>
      </c>
    </row>
    <row r="2217" spans="1:26">
      <c r="A2217" t="s">
        <v>3397</v>
      </c>
      <c r="B2217" t="s">
        <v>1100</v>
      </c>
      <c r="C2217" t="s">
        <v>45</v>
      </c>
      <c r="D2217" t="s">
        <v>46</v>
      </c>
      <c r="E2217" s="1">
        <v>45283</v>
      </c>
      <c r="F2217" t="s">
        <v>30</v>
      </c>
      <c r="G2217" t="s">
        <v>110</v>
      </c>
      <c r="H2217" t="s">
        <v>111</v>
      </c>
      <c r="I2217">
        <v>8</v>
      </c>
      <c r="J2217" t="s">
        <v>150</v>
      </c>
      <c r="K2217">
        <v>1</v>
      </c>
      <c r="L2217" s="3">
        <v>9099</v>
      </c>
      <c r="M2217">
        <v>15</v>
      </c>
      <c r="N2217" s="3">
        <v>7730</v>
      </c>
      <c r="O2217" s="3">
        <v>7730</v>
      </c>
      <c r="P2217" t="s">
        <v>74</v>
      </c>
      <c r="Q2217" t="s">
        <v>51</v>
      </c>
      <c r="R2217" t="s">
        <v>36</v>
      </c>
      <c r="S2217" t="s">
        <v>186</v>
      </c>
      <c r="T2217" t="s">
        <v>341</v>
      </c>
      <c r="U2217" t="s">
        <v>54</v>
      </c>
      <c r="V2217" t="s">
        <v>969</v>
      </c>
      <c r="W2217">
        <v>4</v>
      </c>
      <c r="X2217" t="s">
        <v>41</v>
      </c>
      <c r="Y2217" t="s">
        <v>55</v>
      </c>
      <c r="Z2217">
        <v>1</v>
      </c>
    </row>
    <row r="2218" spans="1:26">
      <c r="A2218" t="s">
        <v>3398</v>
      </c>
      <c r="B2218" t="s">
        <v>2649</v>
      </c>
      <c r="C2218" t="s">
        <v>28</v>
      </c>
      <c r="D2218" t="s">
        <v>46</v>
      </c>
      <c r="E2218" s="1">
        <v>45284</v>
      </c>
      <c r="F2218" t="s">
        <v>30</v>
      </c>
      <c r="G2218" t="s">
        <v>31</v>
      </c>
      <c r="H2218" t="s">
        <v>32</v>
      </c>
      <c r="I2218">
        <v>10</v>
      </c>
      <c r="J2218" t="s">
        <v>33</v>
      </c>
      <c r="K2218">
        <v>1</v>
      </c>
      <c r="L2218" s="3">
        <v>4099</v>
      </c>
      <c r="M2218">
        <v>5</v>
      </c>
      <c r="N2218" s="3">
        <v>3890</v>
      </c>
      <c r="O2218" s="3">
        <v>3890</v>
      </c>
      <c r="P2218" t="s">
        <v>74</v>
      </c>
      <c r="Q2218" t="s">
        <v>51</v>
      </c>
      <c r="R2218" t="s">
        <v>36</v>
      </c>
      <c r="S2218" t="s">
        <v>238</v>
      </c>
      <c r="T2218" t="s">
        <v>260</v>
      </c>
      <c r="U2218" t="s">
        <v>54</v>
      </c>
      <c r="V2218" t="s">
        <v>315</v>
      </c>
      <c r="W2218">
        <v>3.9</v>
      </c>
      <c r="X2218" t="s">
        <v>41</v>
      </c>
      <c r="Y2218" t="s">
        <v>42</v>
      </c>
      <c r="Z2218">
        <v>6</v>
      </c>
    </row>
    <row r="2219" spans="1:26">
      <c r="A2219" t="s">
        <v>3399</v>
      </c>
      <c r="B2219" t="s">
        <v>1294</v>
      </c>
      <c r="C2219" t="s">
        <v>28</v>
      </c>
      <c r="D2219" t="s">
        <v>109</v>
      </c>
      <c r="E2219" s="1">
        <v>45284</v>
      </c>
      <c r="F2219" t="s">
        <v>65</v>
      </c>
      <c r="G2219" t="s">
        <v>279</v>
      </c>
      <c r="H2219" t="s">
        <v>111</v>
      </c>
      <c r="I2219">
        <v>8</v>
      </c>
      <c r="J2219" t="s">
        <v>150</v>
      </c>
      <c r="K2219">
        <v>1</v>
      </c>
      <c r="L2219" s="3">
        <v>6099</v>
      </c>
      <c r="M2219">
        <v>10</v>
      </c>
      <c r="N2219" s="3">
        <v>5490</v>
      </c>
      <c r="O2219" s="3">
        <v>5490</v>
      </c>
      <c r="P2219" t="s">
        <v>74</v>
      </c>
      <c r="Q2219" t="s">
        <v>51</v>
      </c>
      <c r="R2219" t="s">
        <v>36</v>
      </c>
      <c r="S2219" t="s">
        <v>99</v>
      </c>
      <c r="T2219" t="s">
        <v>229</v>
      </c>
      <c r="U2219" t="s">
        <v>91</v>
      </c>
      <c r="V2219" t="s">
        <v>969</v>
      </c>
      <c r="W2219">
        <v>4.2</v>
      </c>
      <c r="X2219" t="s">
        <v>106</v>
      </c>
      <c r="Y2219" t="s">
        <v>42</v>
      </c>
      <c r="Z2219">
        <v>1</v>
      </c>
    </row>
    <row r="2220" spans="1:26">
      <c r="A2220" t="s">
        <v>3400</v>
      </c>
      <c r="B2220" t="s">
        <v>568</v>
      </c>
      <c r="C2220" t="s">
        <v>94</v>
      </c>
      <c r="D2220" t="s">
        <v>103</v>
      </c>
      <c r="E2220" s="1">
        <v>45284</v>
      </c>
      <c r="F2220" t="s">
        <v>96</v>
      </c>
      <c r="G2220" t="s">
        <v>97</v>
      </c>
      <c r="H2220" t="s">
        <v>49</v>
      </c>
      <c r="I2220">
        <v>9</v>
      </c>
      <c r="J2220" t="s">
        <v>33</v>
      </c>
      <c r="K2220">
        <v>1</v>
      </c>
      <c r="L2220" s="3">
        <v>7499</v>
      </c>
      <c r="M2220">
        <v>20</v>
      </c>
      <c r="N2220" s="3">
        <v>6000</v>
      </c>
      <c r="O2220" s="3">
        <v>6000</v>
      </c>
      <c r="P2220" t="s">
        <v>74</v>
      </c>
      <c r="Q2220" t="s">
        <v>51</v>
      </c>
      <c r="R2220" t="s">
        <v>36</v>
      </c>
      <c r="S2220" t="s">
        <v>358</v>
      </c>
      <c r="T2220" t="s">
        <v>597</v>
      </c>
      <c r="U2220" t="s">
        <v>124</v>
      </c>
      <c r="V2220" t="s">
        <v>969</v>
      </c>
      <c r="W2220">
        <v>3.3</v>
      </c>
      <c r="X2220" t="s">
        <v>41</v>
      </c>
      <c r="Y2220" t="s">
        <v>42</v>
      </c>
      <c r="Z2220">
        <v>4</v>
      </c>
    </row>
    <row r="2221" spans="1:26">
      <c r="A2221" t="s">
        <v>3401</v>
      </c>
      <c r="B2221" t="s">
        <v>610</v>
      </c>
      <c r="C2221" t="s">
        <v>28</v>
      </c>
      <c r="D2221" t="s">
        <v>95</v>
      </c>
      <c r="E2221" s="1">
        <v>45285</v>
      </c>
      <c r="F2221" t="s">
        <v>65</v>
      </c>
      <c r="G2221" t="s">
        <v>72</v>
      </c>
      <c r="H2221" t="s">
        <v>59</v>
      </c>
      <c r="I2221">
        <v>8</v>
      </c>
      <c r="J2221" t="s">
        <v>73</v>
      </c>
      <c r="K2221">
        <v>1</v>
      </c>
      <c r="L2221" s="3">
        <v>3699</v>
      </c>
      <c r="M2221">
        <v>10</v>
      </c>
      <c r="N2221" s="3">
        <v>3330</v>
      </c>
      <c r="O2221" s="3">
        <v>3330</v>
      </c>
      <c r="P2221" t="s">
        <v>74</v>
      </c>
      <c r="Q2221" t="s">
        <v>82</v>
      </c>
      <c r="R2221" t="s">
        <v>36</v>
      </c>
      <c r="S2221" t="s">
        <v>195</v>
      </c>
      <c r="T2221" t="s">
        <v>215</v>
      </c>
      <c r="U2221" t="s">
        <v>61</v>
      </c>
      <c r="V2221" t="s">
        <v>315</v>
      </c>
      <c r="W2221">
        <v>4</v>
      </c>
      <c r="X2221" t="s">
        <v>41</v>
      </c>
      <c r="Y2221" t="s">
        <v>42</v>
      </c>
      <c r="Z2221">
        <v>4</v>
      </c>
    </row>
    <row r="2222" spans="1:26">
      <c r="A2222" t="s">
        <v>3402</v>
      </c>
      <c r="B2222" t="s">
        <v>3403</v>
      </c>
      <c r="C2222" t="s">
        <v>28</v>
      </c>
      <c r="D2222" t="s">
        <v>29</v>
      </c>
      <c r="E2222" s="1">
        <v>45285</v>
      </c>
      <c r="F2222" t="s">
        <v>96</v>
      </c>
      <c r="G2222" t="s">
        <v>290</v>
      </c>
      <c r="H2222" t="s">
        <v>32</v>
      </c>
      <c r="I2222">
        <v>12</v>
      </c>
      <c r="J2222" t="s">
        <v>98</v>
      </c>
      <c r="K2222">
        <v>1</v>
      </c>
      <c r="L2222" s="3">
        <v>6699</v>
      </c>
      <c r="M2222">
        <v>25</v>
      </c>
      <c r="N2222" s="3">
        <v>5020</v>
      </c>
      <c r="O2222" s="3">
        <v>5020</v>
      </c>
      <c r="P2222" t="s">
        <v>34</v>
      </c>
      <c r="Q2222" t="s">
        <v>35</v>
      </c>
      <c r="R2222" t="s">
        <v>36</v>
      </c>
      <c r="S2222" t="s">
        <v>168</v>
      </c>
      <c r="T2222" t="s">
        <v>168</v>
      </c>
      <c r="U2222" t="s">
        <v>61</v>
      </c>
      <c r="V2222" t="s">
        <v>40</v>
      </c>
      <c r="W2222">
        <v>4</v>
      </c>
      <c r="X2222" t="s">
        <v>41</v>
      </c>
      <c r="Y2222" t="s">
        <v>42</v>
      </c>
      <c r="Z2222">
        <v>3</v>
      </c>
    </row>
    <row r="2223" spans="1:26">
      <c r="A2223" t="s">
        <v>3404</v>
      </c>
      <c r="B2223" t="s">
        <v>3405</v>
      </c>
      <c r="C2223" t="s">
        <v>45</v>
      </c>
      <c r="D2223" t="s">
        <v>103</v>
      </c>
      <c r="E2223" s="1">
        <v>45286</v>
      </c>
      <c r="F2223" t="s">
        <v>86</v>
      </c>
      <c r="G2223" t="s">
        <v>285</v>
      </c>
      <c r="H2223" t="s">
        <v>111</v>
      </c>
      <c r="I2223">
        <v>10</v>
      </c>
      <c r="J2223" t="s">
        <v>150</v>
      </c>
      <c r="K2223">
        <v>1</v>
      </c>
      <c r="L2223" s="3">
        <v>7399</v>
      </c>
      <c r="M2223">
        <v>5</v>
      </c>
      <c r="N2223" s="3">
        <v>7030</v>
      </c>
      <c r="O2223" s="3">
        <v>7030</v>
      </c>
      <c r="P2223" t="s">
        <v>74</v>
      </c>
      <c r="Q2223" t="s">
        <v>51</v>
      </c>
      <c r="R2223" t="s">
        <v>36</v>
      </c>
      <c r="S2223" t="s">
        <v>384</v>
      </c>
      <c r="T2223" t="s">
        <v>481</v>
      </c>
      <c r="U2223" t="s">
        <v>61</v>
      </c>
      <c r="V2223" t="s">
        <v>40</v>
      </c>
      <c r="W2223">
        <v>3</v>
      </c>
      <c r="X2223" t="s">
        <v>41</v>
      </c>
      <c r="Y2223" t="s">
        <v>55</v>
      </c>
      <c r="Z2223">
        <v>1</v>
      </c>
    </row>
    <row r="2224" spans="1:26">
      <c r="A2224" t="s">
        <v>3406</v>
      </c>
      <c r="B2224" t="s">
        <v>893</v>
      </c>
      <c r="C2224" t="s">
        <v>94</v>
      </c>
      <c r="D2224" t="s">
        <v>29</v>
      </c>
      <c r="E2224" s="1">
        <v>45287</v>
      </c>
      <c r="F2224" t="s">
        <v>65</v>
      </c>
      <c r="G2224" t="s">
        <v>66</v>
      </c>
      <c r="H2224" t="s">
        <v>59</v>
      </c>
      <c r="I2224">
        <v>11</v>
      </c>
      <c r="J2224" t="s">
        <v>33</v>
      </c>
      <c r="K2224">
        <v>2</v>
      </c>
      <c r="L2224" s="3">
        <v>7299</v>
      </c>
      <c r="M2224">
        <v>25</v>
      </c>
      <c r="N2224" s="3">
        <v>5470</v>
      </c>
      <c r="O2224" s="3">
        <v>10940</v>
      </c>
      <c r="P2224" t="s">
        <v>34</v>
      </c>
      <c r="Q2224" t="s">
        <v>51</v>
      </c>
      <c r="R2224" t="s">
        <v>36</v>
      </c>
      <c r="S2224" t="s">
        <v>243</v>
      </c>
      <c r="T2224" t="s">
        <v>273</v>
      </c>
      <c r="U2224" t="s">
        <v>54</v>
      </c>
      <c r="V2224" t="s">
        <v>315</v>
      </c>
      <c r="W2224">
        <v>4.7</v>
      </c>
      <c r="X2224" t="s">
        <v>41</v>
      </c>
      <c r="Y2224" t="s">
        <v>55</v>
      </c>
      <c r="Z2224">
        <v>2</v>
      </c>
    </row>
    <row r="2225" spans="1:26">
      <c r="A2225" t="s">
        <v>3407</v>
      </c>
      <c r="B2225" t="s">
        <v>1390</v>
      </c>
      <c r="C2225" t="s">
        <v>28</v>
      </c>
      <c r="D2225" t="s">
        <v>46</v>
      </c>
      <c r="E2225" s="1">
        <v>45287</v>
      </c>
      <c r="F2225" t="s">
        <v>86</v>
      </c>
      <c r="G2225" t="s">
        <v>87</v>
      </c>
      <c r="H2225" t="s">
        <v>59</v>
      </c>
      <c r="I2225">
        <v>8</v>
      </c>
      <c r="J2225" t="s">
        <v>73</v>
      </c>
      <c r="K2225">
        <v>1</v>
      </c>
      <c r="L2225" s="3">
        <v>6099</v>
      </c>
      <c r="M2225">
        <v>15</v>
      </c>
      <c r="N2225" s="3">
        <v>5180</v>
      </c>
      <c r="O2225" s="3">
        <v>5180</v>
      </c>
      <c r="P2225" t="s">
        <v>74</v>
      </c>
      <c r="Q2225" t="s">
        <v>51</v>
      </c>
      <c r="R2225" t="s">
        <v>36</v>
      </c>
      <c r="S2225" t="s">
        <v>141</v>
      </c>
      <c r="T2225" t="s">
        <v>728</v>
      </c>
      <c r="U2225" t="s">
        <v>54</v>
      </c>
      <c r="V2225" t="s">
        <v>969</v>
      </c>
      <c r="W2225">
        <v>3.1</v>
      </c>
      <c r="X2225" t="s">
        <v>41</v>
      </c>
      <c r="Y2225" t="s">
        <v>55</v>
      </c>
      <c r="Z2225">
        <v>1</v>
      </c>
    </row>
    <row r="2226" spans="1:26">
      <c r="A2226" t="s">
        <v>3408</v>
      </c>
      <c r="B2226" t="s">
        <v>3409</v>
      </c>
      <c r="C2226" t="s">
        <v>28</v>
      </c>
      <c r="D2226" t="s">
        <v>109</v>
      </c>
      <c r="E2226" s="1">
        <v>45287</v>
      </c>
      <c r="F2226" t="s">
        <v>47</v>
      </c>
      <c r="G2226" t="s">
        <v>218</v>
      </c>
      <c r="H2226" t="s">
        <v>59</v>
      </c>
      <c r="I2226">
        <v>8</v>
      </c>
      <c r="J2226" t="s">
        <v>67</v>
      </c>
      <c r="K2226">
        <v>1</v>
      </c>
      <c r="L2226" s="3">
        <v>6799</v>
      </c>
      <c r="M2226">
        <v>15</v>
      </c>
      <c r="N2226" s="3">
        <v>5780</v>
      </c>
      <c r="O2226" s="3">
        <v>5780</v>
      </c>
      <c r="P2226" t="s">
        <v>34</v>
      </c>
      <c r="Q2226" t="s">
        <v>51</v>
      </c>
      <c r="R2226" t="s">
        <v>36</v>
      </c>
      <c r="S2226" t="s">
        <v>269</v>
      </c>
      <c r="T2226" t="s">
        <v>961</v>
      </c>
      <c r="U2226" t="s">
        <v>124</v>
      </c>
      <c r="V2226" t="s">
        <v>40</v>
      </c>
      <c r="W2226">
        <v>5</v>
      </c>
      <c r="X2226" t="s">
        <v>41</v>
      </c>
      <c r="Y2226" t="s">
        <v>55</v>
      </c>
      <c r="Z2226">
        <v>2</v>
      </c>
    </row>
    <row r="2227" spans="1:26">
      <c r="A2227" t="s">
        <v>3410</v>
      </c>
      <c r="B2227" t="s">
        <v>2061</v>
      </c>
      <c r="C2227" t="s">
        <v>45</v>
      </c>
      <c r="D2227" t="s">
        <v>46</v>
      </c>
      <c r="E2227" s="1">
        <v>45288</v>
      </c>
      <c r="F2227" t="s">
        <v>30</v>
      </c>
      <c r="G2227" t="s">
        <v>31</v>
      </c>
      <c r="H2227" t="s">
        <v>32</v>
      </c>
      <c r="I2227">
        <v>8</v>
      </c>
      <c r="J2227" t="s">
        <v>88</v>
      </c>
      <c r="K2227">
        <v>2</v>
      </c>
      <c r="L2227" s="3">
        <v>6099</v>
      </c>
      <c r="M2227">
        <v>15</v>
      </c>
      <c r="N2227" s="3">
        <v>5180</v>
      </c>
      <c r="O2227" s="3">
        <v>10360</v>
      </c>
      <c r="P2227" t="s">
        <v>74</v>
      </c>
      <c r="Q2227" t="s">
        <v>51</v>
      </c>
      <c r="R2227" t="s">
        <v>36</v>
      </c>
      <c r="S2227" t="s">
        <v>37</v>
      </c>
      <c r="T2227" t="s">
        <v>509</v>
      </c>
      <c r="U2227" t="s">
        <v>91</v>
      </c>
      <c r="V2227" t="s">
        <v>315</v>
      </c>
      <c r="W2227">
        <v>3.9</v>
      </c>
      <c r="X2227" t="s">
        <v>41</v>
      </c>
      <c r="Y2227" t="s">
        <v>42</v>
      </c>
      <c r="Z2227">
        <v>2</v>
      </c>
    </row>
    <row r="2228" spans="1:26">
      <c r="A2228" t="s">
        <v>3411</v>
      </c>
      <c r="B2228" t="s">
        <v>483</v>
      </c>
      <c r="C2228" t="s">
        <v>94</v>
      </c>
      <c r="D2228" t="s">
        <v>103</v>
      </c>
      <c r="E2228" s="1">
        <v>45288</v>
      </c>
      <c r="F2228" t="s">
        <v>96</v>
      </c>
      <c r="G2228" t="s">
        <v>155</v>
      </c>
      <c r="H2228" t="s">
        <v>111</v>
      </c>
      <c r="I2228">
        <v>11</v>
      </c>
      <c r="J2228" t="s">
        <v>73</v>
      </c>
      <c r="K2228">
        <v>3</v>
      </c>
      <c r="L2228" s="3">
        <v>8199</v>
      </c>
      <c r="M2228">
        <v>20</v>
      </c>
      <c r="N2228" s="3">
        <v>6560</v>
      </c>
      <c r="O2228" s="3">
        <v>19680</v>
      </c>
      <c r="P2228" t="s">
        <v>34</v>
      </c>
      <c r="Q2228" t="s">
        <v>82</v>
      </c>
      <c r="R2228" t="s">
        <v>36</v>
      </c>
      <c r="S2228" t="s">
        <v>238</v>
      </c>
      <c r="T2228" t="s">
        <v>377</v>
      </c>
      <c r="U2228" t="s">
        <v>61</v>
      </c>
      <c r="V2228" t="s">
        <v>969</v>
      </c>
      <c r="W2228">
        <v>5</v>
      </c>
      <c r="X2228" t="s">
        <v>41</v>
      </c>
      <c r="Y2228" t="s">
        <v>42</v>
      </c>
      <c r="Z2228">
        <v>5</v>
      </c>
    </row>
    <row r="2229" spans="1:26">
      <c r="A2229" t="s">
        <v>3412</v>
      </c>
      <c r="B2229" t="s">
        <v>3413</v>
      </c>
      <c r="C2229" t="s">
        <v>94</v>
      </c>
      <c r="D2229" t="s">
        <v>46</v>
      </c>
      <c r="E2229" s="1">
        <v>45288</v>
      </c>
      <c r="F2229" t="s">
        <v>96</v>
      </c>
      <c r="G2229" t="s">
        <v>171</v>
      </c>
      <c r="H2229" t="s">
        <v>128</v>
      </c>
      <c r="I2229">
        <v>10</v>
      </c>
      <c r="J2229" t="s">
        <v>33</v>
      </c>
      <c r="K2229">
        <v>1</v>
      </c>
      <c r="L2229" s="3">
        <v>9199</v>
      </c>
      <c r="M2229">
        <v>20</v>
      </c>
      <c r="N2229" s="3">
        <v>7360</v>
      </c>
      <c r="O2229" s="3">
        <v>7360</v>
      </c>
      <c r="P2229" t="s">
        <v>74</v>
      </c>
      <c r="Q2229" t="s">
        <v>51</v>
      </c>
      <c r="R2229" t="s">
        <v>36</v>
      </c>
      <c r="S2229" t="s">
        <v>75</v>
      </c>
      <c r="T2229" t="s">
        <v>796</v>
      </c>
      <c r="U2229" t="s">
        <v>39</v>
      </c>
      <c r="V2229" t="s">
        <v>40</v>
      </c>
      <c r="W2229">
        <v>3.8</v>
      </c>
      <c r="X2229" t="s">
        <v>41</v>
      </c>
      <c r="Y2229" t="s">
        <v>55</v>
      </c>
      <c r="Z2229">
        <v>2</v>
      </c>
    </row>
    <row r="2230" spans="1:26">
      <c r="A2230" t="s">
        <v>3414</v>
      </c>
      <c r="B2230" t="s">
        <v>3415</v>
      </c>
      <c r="C2230" t="s">
        <v>28</v>
      </c>
      <c r="D2230" t="s">
        <v>95</v>
      </c>
      <c r="E2230" s="1">
        <v>45288</v>
      </c>
      <c r="F2230" t="s">
        <v>65</v>
      </c>
      <c r="G2230" t="s">
        <v>279</v>
      </c>
      <c r="H2230" t="s">
        <v>111</v>
      </c>
      <c r="I2230">
        <v>7</v>
      </c>
      <c r="J2230" t="s">
        <v>33</v>
      </c>
      <c r="K2230">
        <v>1</v>
      </c>
      <c r="L2230" s="3">
        <v>6199</v>
      </c>
      <c r="M2230">
        <v>5</v>
      </c>
      <c r="N2230" s="3">
        <v>5890</v>
      </c>
      <c r="O2230" s="3">
        <v>5890</v>
      </c>
      <c r="P2230" t="s">
        <v>74</v>
      </c>
      <c r="Q2230" t="s">
        <v>35</v>
      </c>
      <c r="R2230" t="s">
        <v>36</v>
      </c>
      <c r="S2230" t="s">
        <v>164</v>
      </c>
      <c r="T2230" t="s">
        <v>348</v>
      </c>
      <c r="U2230" t="s">
        <v>124</v>
      </c>
      <c r="V2230" t="s">
        <v>40</v>
      </c>
      <c r="W2230">
        <v>5</v>
      </c>
      <c r="X2230" t="s">
        <v>41</v>
      </c>
      <c r="Y2230" t="s">
        <v>42</v>
      </c>
      <c r="Z2230">
        <v>5</v>
      </c>
    </row>
    <row r="2231" spans="1:26">
      <c r="A2231" t="s">
        <v>3416</v>
      </c>
      <c r="B2231" t="s">
        <v>657</v>
      </c>
      <c r="C2231" t="s">
        <v>28</v>
      </c>
      <c r="D2231" t="s">
        <v>29</v>
      </c>
      <c r="E2231" s="1">
        <v>45288</v>
      </c>
      <c r="F2231" t="s">
        <v>86</v>
      </c>
      <c r="G2231" t="s">
        <v>242</v>
      </c>
      <c r="H2231" t="s">
        <v>32</v>
      </c>
      <c r="I2231">
        <v>11</v>
      </c>
      <c r="J2231" t="s">
        <v>98</v>
      </c>
      <c r="K2231">
        <v>2</v>
      </c>
      <c r="L2231" s="3">
        <v>8099</v>
      </c>
      <c r="M2231">
        <v>20</v>
      </c>
      <c r="N2231" s="3">
        <v>6480</v>
      </c>
      <c r="O2231" s="3">
        <v>12960</v>
      </c>
      <c r="P2231" t="s">
        <v>74</v>
      </c>
      <c r="Q2231" t="s">
        <v>82</v>
      </c>
      <c r="R2231" t="s">
        <v>36</v>
      </c>
      <c r="S2231" t="s">
        <v>384</v>
      </c>
      <c r="T2231" t="s">
        <v>444</v>
      </c>
      <c r="U2231" t="s">
        <v>61</v>
      </c>
      <c r="V2231" t="s">
        <v>315</v>
      </c>
      <c r="W2231">
        <v>4.5</v>
      </c>
      <c r="X2231" t="s">
        <v>41</v>
      </c>
      <c r="Y2231" t="s">
        <v>55</v>
      </c>
      <c r="Z2231">
        <v>2</v>
      </c>
    </row>
    <row r="2232" spans="1:26">
      <c r="A2232" t="s">
        <v>3417</v>
      </c>
      <c r="B2232" t="s">
        <v>2649</v>
      </c>
      <c r="C2232" t="s">
        <v>45</v>
      </c>
      <c r="D2232" t="s">
        <v>103</v>
      </c>
      <c r="E2232" s="1">
        <v>45292</v>
      </c>
      <c r="F2232" t="s">
        <v>86</v>
      </c>
      <c r="G2232" t="s">
        <v>87</v>
      </c>
      <c r="H2232" t="s">
        <v>59</v>
      </c>
      <c r="I2232">
        <v>8</v>
      </c>
      <c r="J2232" t="s">
        <v>88</v>
      </c>
      <c r="K2232">
        <v>1</v>
      </c>
      <c r="L2232" s="3">
        <v>6399</v>
      </c>
      <c r="M2232">
        <v>20</v>
      </c>
      <c r="N2232" s="3">
        <v>5120</v>
      </c>
      <c r="O2232" s="3">
        <v>5120</v>
      </c>
      <c r="P2232" t="s">
        <v>34</v>
      </c>
      <c r="Q2232" t="s">
        <v>82</v>
      </c>
      <c r="R2232" t="s">
        <v>36</v>
      </c>
      <c r="S2232" t="s">
        <v>168</v>
      </c>
      <c r="T2232" t="s">
        <v>532</v>
      </c>
      <c r="U2232" t="s">
        <v>54</v>
      </c>
      <c r="V2232" t="s">
        <v>969</v>
      </c>
      <c r="W2232">
        <v>4.2</v>
      </c>
      <c r="X2232" t="s">
        <v>62</v>
      </c>
      <c r="Y2232" t="s">
        <v>42</v>
      </c>
      <c r="Z2232">
        <v>3</v>
      </c>
    </row>
    <row r="2233" spans="1:26">
      <c r="A2233" t="s">
        <v>3418</v>
      </c>
      <c r="B2233" t="s">
        <v>1711</v>
      </c>
      <c r="C2233" t="s">
        <v>28</v>
      </c>
      <c r="D2233" t="s">
        <v>46</v>
      </c>
      <c r="E2233" s="1">
        <v>45292</v>
      </c>
      <c r="F2233" t="s">
        <v>65</v>
      </c>
      <c r="G2233" t="s">
        <v>72</v>
      </c>
      <c r="H2233" t="s">
        <v>59</v>
      </c>
      <c r="I2233">
        <v>11</v>
      </c>
      <c r="J2233" t="s">
        <v>73</v>
      </c>
      <c r="K2233">
        <v>2</v>
      </c>
      <c r="L2233" s="3">
        <v>6199</v>
      </c>
      <c r="M2233">
        <v>0</v>
      </c>
      <c r="N2233" s="3">
        <v>6200</v>
      </c>
      <c r="O2233" s="3">
        <v>12400</v>
      </c>
      <c r="P2233" t="s">
        <v>74</v>
      </c>
      <c r="Q2233" t="s">
        <v>35</v>
      </c>
      <c r="R2233" t="s">
        <v>36</v>
      </c>
      <c r="S2233" t="s">
        <v>112</v>
      </c>
      <c r="T2233" t="s">
        <v>250</v>
      </c>
      <c r="U2233" t="s">
        <v>54</v>
      </c>
      <c r="V2233" t="s">
        <v>315</v>
      </c>
      <c r="W2233">
        <v>3.8</v>
      </c>
      <c r="X2233" t="s">
        <v>41</v>
      </c>
      <c r="Y2233" t="s">
        <v>42</v>
      </c>
      <c r="Z2233">
        <v>5</v>
      </c>
    </row>
    <row r="2234" spans="1:26">
      <c r="A2234" t="s">
        <v>3419</v>
      </c>
      <c r="B2234" t="s">
        <v>3260</v>
      </c>
      <c r="C2234" t="s">
        <v>28</v>
      </c>
      <c r="D2234" t="s">
        <v>95</v>
      </c>
      <c r="E2234" s="1">
        <v>45292</v>
      </c>
      <c r="F2234" t="s">
        <v>47</v>
      </c>
      <c r="G2234" t="s">
        <v>121</v>
      </c>
      <c r="H2234" t="s">
        <v>111</v>
      </c>
      <c r="I2234">
        <v>11</v>
      </c>
      <c r="J2234" t="s">
        <v>33</v>
      </c>
      <c r="K2234">
        <v>2</v>
      </c>
      <c r="L2234" s="3">
        <v>7499</v>
      </c>
      <c r="M2234">
        <v>25</v>
      </c>
      <c r="N2234" s="3">
        <v>5620</v>
      </c>
      <c r="O2234" s="3">
        <v>11240</v>
      </c>
      <c r="P2234" t="s">
        <v>74</v>
      </c>
      <c r="Q2234" t="s">
        <v>51</v>
      </c>
      <c r="R2234" t="s">
        <v>36</v>
      </c>
      <c r="S2234" t="s">
        <v>418</v>
      </c>
      <c r="T2234" t="s">
        <v>613</v>
      </c>
      <c r="U2234" t="s">
        <v>39</v>
      </c>
      <c r="V2234" t="s">
        <v>315</v>
      </c>
      <c r="W2234">
        <v>4.4000000000000004</v>
      </c>
      <c r="X2234" t="s">
        <v>106</v>
      </c>
      <c r="Y2234" t="s">
        <v>42</v>
      </c>
      <c r="Z2234">
        <v>6</v>
      </c>
    </row>
    <row r="2235" spans="1:26">
      <c r="A2235" t="s">
        <v>3420</v>
      </c>
      <c r="B2235" t="s">
        <v>3421</v>
      </c>
      <c r="C2235" t="s">
        <v>45</v>
      </c>
      <c r="D2235" t="s">
        <v>29</v>
      </c>
      <c r="E2235" s="1">
        <v>45292</v>
      </c>
      <c r="F2235" t="s">
        <v>86</v>
      </c>
      <c r="G2235" t="s">
        <v>87</v>
      </c>
      <c r="H2235" t="s">
        <v>59</v>
      </c>
      <c r="I2235">
        <v>12</v>
      </c>
      <c r="J2235" t="s">
        <v>98</v>
      </c>
      <c r="K2235">
        <v>1</v>
      </c>
      <c r="L2235" s="3">
        <v>8699</v>
      </c>
      <c r="M2235">
        <v>15</v>
      </c>
      <c r="N2235" s="3">
        <v>7390</v>
      </c>
      <c r="O2235" s="3">
        <v>7390</v>
      </c>
      <c r="P2235" t="s">
        <v>74</v>
      </c>
      <c r="Q2235" t="s">
        <v>35</v>
      </c>
      <c r="R2235" t="s">
        <v>36</v>
      </c>
      <c r="S2235" t="s">
        <v>37</v>
      </c>
      <c r="T2235" t="s">
        <v>38</v>
      </c>
      <c r="U2235" t="s">
        <v>91</v>
      </c>
      <c r="V2235" t="s">
        <v>40</v>
      </c>
      <c r="W2235">
        <v>4.5999999999999996</v>
      </c>
      <c r="X2235" t="s">
        <v>41</v>
      </c>
      <c r="Y2235" t="s">
        <v>42</v>
      </c>
      <c r="Z2235">
        <v>4</v>
      </c>
    </row>
    <row r="2236" spans="1:26">
      <c r="A2236" t="s">
        <v>3422</v>
      </c>
      <c r="B2236" t="s">
        <v>1427</v>
      </c>
      <c r="C2236" t="s">
        <v>45</v>
      </c>
      <c r="D2236" t="s">
        <v>46</v>
      </c>
      <c r="E2236" s="1">
        <v>45292</v>
      </c>
      <c r="F2236" t="s">
        <v>65</v>
      </c>
      <c r="G2236" t="s">
        <v>268</v>
      </c>
      <c r="H2236" t="s">
        <v>128</v>
      </c>
      <c r="I2236">
        <v>11</v>
      </c>
      <c r="J2236" t="s">
        <v>33</v>
      </c>
      <c r="K2236">
        <v>2</v>
      </c>
      <c r="L2236" s="3">
        <v>6199</v>
      </c>
      <c r="M2236">
        <v>15</v>
      </c>
      <c r="N2236" s="3">
        <v>5270</v>
      </c>
      <c r="O2236" s="3">
        <v>10540</v>
      </c>
      <c r="P2236" t="s">
        <v>81</v>
      </c>
      <c r="Q2236" t="s">
        <v>82</v>
      </c>
      <c r="R2236" t="s">
        <v>36</v>
      </c>
      <c r="S2236" t="s">
        <v>89</v>
      </c>
      <c r="T2236" t="s">
        <v>425</v>
      </c>
      <c r="U2236" t="s">
        <v>61</v>
      </c>
      <c r="V2236" t="s">
        <v>315</v>
      </c>
      <c r="W2236">
        <v>5</v>
      </c>
      <c r="X2236" t="s">
        <v>41</v>
      </c>
      <c r="Y2236" t="s">
        <v>42</v>
      </c>
      <c r="Z2236">
        <v>6</v>
      </c>
    </row>
    <row r="2237" spans="1:26">
      <c r="A2237" t="s">
        <v>3423</v>
      </c>
      <c r="B2237" t="s">
        <v>1689</v>
      </c>
      <c r="C2237" t="s">
        <v>45</v>
      </c>
      <c r="D2237" t="s">
        <v>29</v>
      </c>
      <c r="E2237" s="1">
        <v>45293</v>
      </c>
      <c r="F2237" t="s">
        <v>96</v>
      </c>
      <c r="G2237" t="s">
        <v>323</v>
      </c>
      <c r="H2237" t="s">
        <v>59</v>
      </c>
      <c r="I2237">
        <v>10</v>
      </c>
      <c r="J2237" t="s">
        <v>67</v>
      </c>
      <c r="K2237">
        <v>1</v>
      </c>
      <c r="L2237" s="3">
        <v>6599</v>
      </c>
      <c r="M2237">
        <v>20</v>
      </c>
      <c r="N2237" s="3">
        <v>5280</v>
      </c>
      <c r="O2237" s="3">
        <v>5280</v>
      </c>
      <c r="P2237" t="s">
        <v>81</v>
      </c>
      <c r="Q2237" t="s">
        <v>35</v>
      </c>
      <c r="R2237" t="s">
        <v>36</v>
      </c>
      <c r="S2237" t="s">
        <v>191</v>
      </c>
      <c r="T2237" t="s">
        <v>332</v>
      </c>
      <c r="U2237" t="s">
        <v>124</v>
      </c>
      <c r="V2237" t="s">
        <v>315</v>
      </c>
      <c r="W2237">
        <v>3.1</v>
      </c>
      <c r="X2237" t="s">
        <v>41</v>
      </c>
      <c r="Y2237" t="s">
        <v>42</v>
      </c>
      <c r="Z2237">
        <v>4</v>
      </c>
    </row>
    <row r="2238" spans="1:26">
      <c r="A2238" t="s">
        <v>3424</v>
      </c>
      <c r="B2238" t="s">
        <v>2732</v>
      </c>
      <c r="C2238" t="s">
        <v>28</v>
      </c>
      <c r="D2238" t="s">
        <v>103</v>
      </c>
      <c r="E2238" s="1">
        <v>45294</v>
      </c>
      <c r="F2238" t="s">
        <v>65</v>
      </c>
      <c r="G2238" t="s">
        <v>268</v>
      </c>
      <c r="H2238" t="s">
        <v>128</v>
      </c>
      <c r="I2238">
        <v>10</v>
      </c>
      <c r="J2238" t="s">
        <v>150</v>
      </c>
      <c r="K2238">
        <v>2</v>
      </c>
      <c r="L2238" s="3">
        <v>4899</v>
      </c>
      <c r="M2238">
        <v>5</v>
      </c>
      <c r="N2238" s="3">
        <v>4650</v>
      </c>
      <c r="O2238" s="3">
        <v>9300</v>
      </c>
      <c r="P2238" t="s">
        <v>81</v>
      </c>
      <c r="Q2238" t="s">
        <v>51</v>
      </c>
      <c r="R2238" t="s">
        <v>36</v>
      </c>
      <c r="S2238" t="s">
        <v>99</v>
      </c>
      <c r="T2238" t="s">
        <v>335</v>
      </c>
      <c r="U2238" t="s">
        <v>54</v>
      </c>
      <c r="V2238" t="s">
        <v>315</v>
      </c>
      <c r="W2238">
        <v>4.5</v>
      </c>
      <c r="X2238" t="s">
        <v>62</v>
      </c>
      <c r="Y2238" t="s">
        <v>42</v>
      </c>
      <c r="Z2238">
        <v>4</v>
      </c>
    </row>
    <row r="2239" spans="1:26">
      <c r="A2239" t="s">
        <v>3425</v>
      </c>
      <c r="B2239" t="s">
        <v>364</v>
      </c>
      <c r="C2239" t="s">
        <v>28</v>
      </c>
      <c r="D2239" t="s">
        <v>103</v>
      </c>
      <c r="E2239" s="1">
        <v>45295</v>
      </c>
      <c r="F2239" t="s">
        <v>47</v>
      </c>
      <c r="G2239" t="s">
        <v>140</v>
      </c>
      <c r="H2239" t="s">
        <v>128</v>
      </c>
      <c r="I2239">
        <v>11</v>
      </c>
      <c r="J2239" t="s">
        <v>73</v>
      </c>
      <c r="K2239">
        <v>1</v>
      </c>
      <c r="L2239" s="3">
        <v>6099</v>
      </c>
      <c r="M2239">
        <v>15</v>
      </c>
      <c r="N2239" s="3">
        <v>5180</v>
      </c>
      <c r="O2239" s="3">
        <v>5180</v>
      </c>
      <c r="P2239" t="s">
        <v>50</v>
      </c>
      <c r="Q2239" t="s">
        <v>82</v>
      </c>
      <c r="R2239" t="s">
        <v>36</v>
      </c>
      <c r="S2239" t="s">
        <v>168</v>
      </c>
      <c r="T2239" t="s">
        <v>557</v>
      </c>
      <c r="U2239" t="s">
        <v>124</v>
      </c>
      <c r="V2239" t="s">
        <v>969</v>
      </c>
      <c r="W2239">
        <v>3.3</v>
      </c>
      <c r="X2239" t="s">
        <v>106</v>
      </c>
      <c r="Y2239" t="s">
        <v>42</v>
      </c>
      <c r="Z2239">
        <v>4</v>
      </c>
    </row>
    <row r="2240" spans="1:26">
      <c r="A2240" t="s">
        <v>3426</v>
      </c>
      <c r="B2240" t="s">
        <v>1036</v>
      </c>
      <c r="C2240" t="s">
        <v>28</v>
      </c>
      <c r="D2240" t="s">
        <v>109</v>
      </c>
      <c r="E2240" s="1">
        <v>45295</v>
      </c>
      <c r="F2240" t="s">
        <v>47</v>
      </c>
      <c r="G2240" t="s">
        <v>121</v>
      </c>
      <c r="H2240" t="s">
        <v>111</v>
      </c>
      <c r="I2240">
        <v>9</v>
      </c>
      <c r="J2240" t="s">
        <v>67</v>
      </c>
      <c r="K2240">
        <v>1</v>
      </c>
      <c r="L2240" s="3">
        <v>4899</v>
      </c>
      <c r="M2240">
        <v>15</v>
      </c>
      <c r="N2240" s="3">
        <v>4160</v>
      </c>
      <c r="O2240" s="3">
        <v>4160</v>
      </c>
      <c r="P2240" t="s">
        <v>74</v>
      </c>
      <c r="Q2240" t="s">
        <v>82</v>
      </c>
      <c r="R2240" t="s">
        <v>36</v>
      </c>
      <c r="S2240" t="s">
        <v>151</v>
      </c>
      <c r="T2240" t="s">
        <v>452</v>
      </c>
      <c r="U2240" t="s">
        <v>61</v>
      </c>
      <c r="V2240" t="s">
        <v>969</v>
      </c>
      <c r="W2240">
        <v>4.4000000000000004</v>
      </c>
      <c r="X2240" t="s">
        <v>106</v>
      </c>
      <c r="Y2240" t="s">
        <v>55</v>
      </c>
      <c r="Z2240">
        <v>1</v>
      </c>
    </row>
    <row r="2241" spans="1:26">
      <c r="A2241" t="s">
        <v>3427</v>
      </c>
      <c r="B2241" t="s">
        <v>2790</v>
      </c>
      <c r="C2241" t="s">
        <v>28</v>
      </c>
      <c r="D2241" t="s">
        <v>29</v>
      </c>
      <c r="E2241" s="1">
        <v>45296</v>
      </c>
      <c r="F2241" t="s">
        <v>65</v>
      </c>
      <c r="G2241" t="s">
        <v>365</v>
      </c>
      <c r="H2241" t="s">
        <v>49</v>
      </c>
      <c r="I2241">
        <v>7</v>
      </c>
      <c r="J2241" t="s">
        <v>73</v>
      </c>
      <c r="K2241">
        <v>1</v>
      </c>
      <c r="L2241" s="3">
        <v>5999</v>
      </c>
      <c r="M2241">
        <v>15</v>
      </c>
      <c r="N2241" s="3">
        <v>5100</v>
      </c>
      <c r="O2241" s="3">
        <v>5100</v>
      </c>
      <c r="P2241" t="s">
        <v>74</v>
      </c>
      <c r="Q2241" t="s">
        <v>51</v>
      </c>
      <c r="R2241" t="s">
        <v>36</v>
      </c>
      <c r="S2241" t="s">
        <v>37</v>
      </c>
      <c r="T2241" t="s">
        <v>509</v>
      </c>
      <c r="U2241" t="s">
        <v>54</v>
      </c>
      <c r="V2241" t="s">
        <v>315</v>
      </c>
      <c r="W2241">
        <v>3.3</v>
      </c>
      <c r="X2241" t="s">
        <v>106</v>
      </c>
      <c r="Y2241" t="s">
        <v>55</v>
      </c>
      <c r="Z2241">
        <v>2</v>
      </c>
    </row>
    <row r="2242" spans="1:26">
      <c r="A2242" t="s">
        <v>3428</v>
      </c>
      <c r="B2242" t="s">
        <v>3429</v>
      </c>
      <c r="C2242" t="s">
        <v>28</v>
      </c>
      <c r="D2242" t="s">
        <v>95</v>
      </c>
      <c r="E2242" s="1">
        <v>45297</v>
      </c>
      <c r="F2242" t="s">
        <v>96</v>
      </c>
      <c r="G2242" t="s">
        <v>155</v>
      </c>
      <c r="H2242" t="s">
        <v>111</v>
      </c>
      <c r="I2242">
        <v>12</v>
      </c>
      <c r="J2242" t="s">
        <v>67</v>
      </c>
      <c r="K2242">
        <v>1</v>
      </c>
      <c r="L2242" s="3">
        <v>7399</v>
      </c>
      <c r="M2242">
        <v>20</v>
      </c>
      <c r="N2242" s="3">
        <v>5920</v>
      </c>
      <c r="O2242" s="3">
        <v>5920</v>
      </c>
      <c r="P2242" t="s">
        <v>74</v>
      </c>
      <c r="Q2242" t="s">
        <v>51</v>
      </c>
      <c r="R2242" t="s">
        <v>36</v>
      </c>
      <c r="S2242" t="s">
        <v>141</v>
      </c>
      <c r="T2242" t="s">
        <v>142</v>
      </c>
      <c r="U2242" t="s">
        <v>61</v>
      </c>
      <c r="V2242" t="s">
        <v>40</v>
      </c>
      <c r="W2242">
        <v>3.2</v>
      </c>
      <c r="X2242" t="s">
        <v>41</v>
      </c>
      <c r="Y2242" t="s">
        <v>42</v>
      </c>
      <c r="Z2242">
        <v>6</v>
      </c>
    </row>
    <row r="2243" spans="1:26">
      <c r="A2243" t="s">
        <v>3430</v>
      </c>
      <c r="B2243" t="s">
        <v>758</v>
      </c>
      <c r="C2243" t="s">
        <v>45</v>
      </c>
      <c r="D2243" t="s">
        <v>29</v>
      </c>
      <c r="E2243" s="1">
        <v>45299</v>
      </c>
      <c r="F2243" t="s">
        <v>65</v>
      </c>
      <c r="G2243" t="s">
        <v>268</v>
      </c>
      <c r="H2243" t="s">
        <v>128</v>
      </c>
      <c r="I2243">
        <v>11</v>
      </c>
      <c r="J2243" t="s">
        <v>98</v>
      </c>
      <c r="K2243">
        <v>2</v>
      </c>
      <c r="L2243" s="3">
        <v>7799</v>
      </c>
      <c r="M2243">
        <v>0</v>
      </c>
      <c r="N2243" s="3">
        <v>7800</v>
      </c>
      <c r="O2243" s="3">
        <v>15600</v>
      </c>
      <c r="P2243" t="s">
        <v>74</v>
      </c>
      <c r="Q2243" t="s">
        <v>82</v>
      </c>
      <c r="R2243" t="s">
        <v>36</v>
      </c>
      <c r="S2243" t="s">
        <v>358</v>
      </c>
      <c r="T2243" t="s">
        <v>464</v>
      </c>
      <c r="U2243" t="s">
        <v>61</v>
      </c>
      <c r="V2243" t="s">
        <v>315</v>
      </c>
      <c r="W2243">
        <v>4.8</v>
      </c>
      <c r="X2243" t="s">
        <v>41</v>
      </c>
      <c r="Y2243" t="s">
        <v>42</v>
      </c>
      <c r="Z2243">
        <v>3</v>
      </c>
    </row>
    <row r="2244" spans="1:26">
      <c r="A2244" t="s">
        <v>3431</v>
      </c>
      <c r="B2244" t="s">
        <v>1702</v>
      </c>
      <c r="C2244" t="s">
        <v>45</v>
      </c>
      <c r="D2244" t="s">
        <v>95</v>
      </c>
      <c r="E2244" s="1">
        <v>45300</v>
      </c>
      <c r="F2244" t="s">
        <v>47</v>
      </c>
      <c r="G2244" t="s">
        <v>218</v>
      </c>
      <c r="H2244" t="s">
        <v>59</v>
      </c>
      <c r="I2244">
        <v>8</v>
      </c>
      <c r="J2244" t="s">
        <v>73</v>
      </c>
      <c r="K2244">
        <v>3</v>
      </c>
      <c r="L2244" s="3">
        <v>6299</v>
      </c>
      <c r="M2244">
        <v>35</v>
      </c>
      <c r="N2244" s="3">
        <v>4090</v>
      </c>
      <c r="O2244" s="3">
        <v>12270</v>
      </c>
      <c r="P2244" t="s">
        <v>74</v>
      </c>
      <c r="Q2244" t="s">
        <v>51</v>
      </c>
      <c r="R2244" t="s">
        <v>36</v>
      </c>
      <c r="S2244" t="s">
        <v>200</v>
      </c>
      <c r="T2244" t="s">
        <v>232</v>
      </c>
      <c r="U2244" t="s">
        <v>61</v>
      </c>
      <c r="V2244" t="s">
        <v>315</v>
      </c>
      <c r="W2244">
        <v>4.3</v>
      </c>
      <c r="X2244" t="s">
        <v>62</v>
      </c>
      <c r="Y2244" t="s">
        <v>42</v>
      </c>
      <c r="Z2244">
        <v>3</v>
      </c>
    </row>
    <row r="2245" spans="1:26">
      <c r="A2245" t="s">
        <v>3432</v>
      </c>
      <c r="B2245" t="s">
        <v>847</v>
      </c>
      <c r="C2245" t="s">
        <v>45</v>
      </c>
      <c r="D2245" t="s">
        <v>29</v>
      </c>
      <c r="E2245" s="1">
        <v>45301</v>
      </c>
      <c r="F2245" t="s">
        <v>30</v>
      </c>
      <c r="G2245" t="s">
        <v>347</v>
      </c>
      <c r="H2245" t="s">
        <v>49</v>
      </c>
      <c r="I2245">
        <v>6</v>
      </c>
      <c r="J2245" t="s">
        <v>98</v>
      </c>
      <c r="K2245">
        <v>1</v>
      </c>
      <c r="L2245" s="3">
        <v>7299</v>
      </c>
      <c r="M2245">
        <v>5</v>
      </c>
      <c r="N2245" s="3">
        <v>6930</v>
      </c>
      <c r="O2245" s="3">
        <v>6930</v>
      </c>
      <c r="P2245" t="s">
        <v>74</v>
      </c>
      <c r="Q2245" t="s">
        <v>35</v>
      </c>
      <c r="R2245" t="s">
        <v>36</v>
      </c>
      <c r="S2245" t="s">
        <v>358</v>
      </c>
      <c r="T2245" t="s">
        <v>464</v>
      </c>
      <c r="U2245" t="s">
        <v>54</v>
      </c>
      <c r="V2245" t="s">
        <v>969</v>
      </c>
      <c r="W2245">
        <v>3.6</v>
      </c>
      <c r="X2245" t="s">
        <v>106</v>
      </c>
      <c r="Y2245" t="s">
        <v>42</v>
      </c>
      <c r="Z2245">
        <v>6</v>
      </c>
    </row>
    <row r="2246" spans="1:26">
      <c r="A2246" t="s">
        <v>3433</v>
      </c>
      <c r="B2246" t="s">
        <v>2790</v>
      </c>
      <c r="C2246" t="s">
        <v>28</v>
      </c>
      <c r="D2246" t="s">
        <v>46</v>
      </c>
      <c r="E2246" s="1">
        <v>45301</v>
      </c>
      <c r="F2246" t="s">
        <v>47</v>
      </c>
      <c r="G2246" t="s">
        <v>48</v>
      </c>
      <c r="H2246" t="s">
        <v>49</v>
      </c>
      <c r="I2246">
        <v>10</v>
      </c>
      <c r="J2246" t="s">
        <v>73</v>
      </c>
      <c r="K2246">
        <v>1</v>
      </c>
      <c r="L2246" s="3">
        <v>8999</v>
      </c>
      <c r="M2246">
        <v>25</v>
      </c>
      <c r="N2246" s="3">
        <v>6750</v>
      </c>
      <c r="O2246" s="3">
        <v>6750</v>
      </c>
      <c r="P2246" t="s">
        <v>74</v>
      </c>
      <c r="Q2246" t="s">
        <v>51</v>
      </c>
      <c r="R2246" t="s">
        <v>36</v>
      </c>
      <c r="S2246" t="s">
        <v>129</v>
      </c>
      <c r="T2246" t="s">
        <v>130</v>
      </c>
      <c r="U2246" t="s">
        <v>54</v>
      </c>
      <c r="V2246" t="s">
        <v>315</v>
      </c>
      <c r="W2246">
        <v>3.2</v>
      </c>
      <c r="X2246" t="s">
        <v>41</v>
      </c>
      <c r="Y2246" t="s">
        <v>147</v>
      </c>
      <c r="Z2246">
        <v>1</v>
      </c>
    </row>
    <row r="2247" spans="1:26">
      <c r="A2247" t="s">
        <v>3434</v>
      </c>
      <c r="B2247" t="s">
        <v>599</v>
      </c>
      <c r="C2247" t="s">
        <v>45</v>
      </c>
      <c r="D2247" t="s">
        <v>29</v>
      </c>
      <c r="E2247" s="1">
        <v>45302</v>
      </c>
      <c r="F2247" t="s">
        <v>79</v>
      </c>
      <c r="G2247" t="s">
        <v>480</v>
      </c>
      <c r="H2247" t="s">
        <v>111</v>
      </c>
      <c r="I2247">
        <v>8</v>
      </c>
      <c r="J2247" t="s">
        <v>33</v>
      </c>
      <c r="K2247">
        <v>1</v>
      </c>
      <c r="L2247" s="3">
        <v>3199</v>
      </c>
      <c r="M2247">
        <v>15</v>
      </c>
      <c r="N2247" s="3">
        <v>2720</v>
      </c>
      <c r="O2247" s="3">
        <v>2720</v>
      </c>
      <c r="P2247" t="s">
        <v>74</v>
      </c>
      <c r="Q2247" t="s">
        <v>51</v>
      </c>
      <c r="R2247" t="s">
        <v>36</v>
      </c>
      <c r="S2247" t="s">
        <v>200</v>
      </c>
      <c r="T2247" t="s">
        <v>204</v>
      </c>
      <c r="U2247" t="s">
        <v>54</v>
      </c>
      <c r="V2247" t="s">
        <v>315</v>
      </c>
      <c r="W2247">
        <v>3.8</v>
      </c>
      <c r="X2247" t="s">
        <v>41</v>
      </c>
      <c r="Y2247" t="s">
        <v>42</v>
      </c>
      <c r="Z2247">
        <v>3</v>
      </c>
    </row>
    <row r="2248" spans="1:26">
      <c r="A2248" t="s">
        <v>3435</v>
      </c>
      <c r="B2248" t="s">
        <v>860</v>
      </c>
      <c r="C2248" t="s">
        <v>28</v>
      </c>
      <c r="D2248" t="s">
        <v>29</v>
      </c>
      <c r="E2248" s="1">
        <v>45302</v>
      </c>
      <c r="F2248" t="s">
        <v>65</v>
      </c>
      <c r="G2248" t="s">
        <v>268</v>
      </c>
      <c r="H2248" t="s">
        <v>128</v>
      </c>
      <c r="I2248">
        <v>11</v>
      </c>
      <c r="J2248" t="s">
        <v>150</v>
      </c>
      <c r="K2248">
        <v>1</v>
      </c>
      <c r="L2248" s="3">
        <v>4499</v>
      </c>
      <c r="M2248">
        <v>0</v>
      </c>
      <c r="N2248" s="3">
        <v>4500</v>
      </c>
      <c r="O2248" s="3">
        <v>4500</v>
      </c>
      <c r="P2248" t="s">
        <v>74</v>
      </c>
      <c r="Q2248" t="s">
        <v>35</v>
      </c>
      <c r="R2248" t="s">
        <v>36</v>
      </c>
      <c r="S2248" t="s">
        <v>358</v>
      </c>
      <c r="T2248" t="s">
        <v>597</v>
      </c>
      <c r="U2248" t="s">
        <v>39</v>
      </c>
      <c r="V2248" t="s">
        <v>969</v>
      </c>
      <c r="W2248">
        <v>4.2</v>
      </c>
      <c r="X2248" t="s">
        <v>41</v>
      </c>
      <c r="Y2248" t="s">
        <v>42</v>
      </c>
      <c r="Z2248">
        <v>2</v>
      </c>
    </row>
    <row r="2249" spans="1:26">
      <c r="A2249" t="s">
        <v>3436</v>
      </c>
      <c r="B2249" t="s">
        <v>3309</v>
      </c>
      <c r="C2249" t="s">
        <v>28</v>
      </c>
      <c r="D2249" t="s">
        <v>29</v>
      </c>
      <c r="E2249" s="1">
        <v>45302</v>
      </c>
      <c r="F2249" t="s">
        <v>30</v>
      </c>
      <c r="G2249" t="s">
        <v>110</v>
      </c>
      <c r="H2249" t="s">
        <v>111</v>
      </c>
      <c r="I2249">
        <v>11</v>
      </c>
      <c r="J2249" t="s">
        <v>98</v>
      </c>
      <c r="K2249">
        <v>1</v>
      </c>
      <c r="L2249" s="3">
        <v>8799</v>
      </c>
      <c r="M2249">
        <v>25</v>
      </c>
      <c r="N2249" s="3">
        <v>6600</v>
      </c>
      <c r="O2249" s="3">
        <v>6600</v>
      </c>
      <c r="P2249" t="s">
        <v>34</v>
      </c>
      <c r="Q2249" t="s">
        <v>51</v>
      </c>
      <c r="R2249" t="s">
        <v>36</v>
      </c>
      <c r="S2249" t="s">
        <v>243</v>
      </c>
      <c r="T2249" t="s">
        <v>276</v>
      </c>
      <c r="U2249" t="s">
        <v>91</v>
      </c>
      <c r="V2249" t="s">
        <v>315</v>
      </c>
      <c r="W2249">
        <v>3.9</v>
      </c>
      <c r="X2249" t="s">
        <v>41</v>
      </c>
      <c r="Y2249" t="s">
        <v>42</v>
      </c>
      <c r="Z2249">
        <v>4</v>
      </c>
    </row>
    <row r="2250" spans="1:26">
      <c r="A2250" t="s">
        <v>3437</v>
      </c>
      <c r="B2250" t="s">
        <v>1842</v>
      </c>
      <c r="C2250" t="s">
        <v>28</v>
      </c>
      <c r="D2250" t="s">
        <v>46</v>
      </c>
      <c r="E2250" s="1">
        <v>45302</v>
      </c>
      <c r="F2250" t="s">
        <v>65</v>
      </c>
      <c r="G2250" t="s">
        <v>66</v>
      </c>
      <c r="H2250" t="s">
        <v>59</v>
      </c>
      <c r="I2250">
        <v>9</v>
      </c>
      <c r="J2250" t="s">
        <v>150</v>
      </c>
      <c r="K2250">
        <v>2</v>
      </c>
      <c r="L2250" s="3">
        <v>3399</v>
      </c>
      <c r="M2250">
        <v>10</v>
      </c>
      <c r="N2250" s="3">
        <v>3060</v>
      </c>
      <c r="O2250" s="3">
        <v>6120</v>
      </c>
      <c r="P2250" t="s">
        <v>34</v>
      </c>
      <c r="Q2250" t="s">
        <v>35</v>
      </c>
      <c r="R2250" t="s">
        <v>36</v>
      </c>
      <c r="S2250" t="s">
        <v>104</v>
      </c>
      <c r="T2250" t="s">
        <v>1048</v>
      </c>
      <c r="U2250" t="s">
        <v>124</v>
      </c>
      <c r="V2250" t="s">
        <v>315</v>
      </c>
      <c r="W2250">
        <v>4.3</v>
      </c>
      <c r="X2250" t="s">
        <v>41</v>
      </c>
      <c r="Y2250" t="s">
        <v>42</v>
      </c>
      <c r="Z2250">
        <v>4</v>
      </c>
    </row>
    <row r="2251" spans="1:26">
      <c r="A2251" t="s">
        <v>3438</v>
      </c>
      <c r="B2251" t="s">
        <v>3084</v>
      </c>
      <c r="C2251" t="s">
        <v>28</v>
      </c>
      <c r="D2251" t="s">
        <v>46</v>
      </c>
      <c r="E2251" s="1">
        <v>45304</v>
      </c>
      <c r="F2251" t="s">
        <v>79</v>
      </c>
      <c r="G2251" t="s">
        <v>301</v>
      </c>
      <c r="H2251" t="s">
        <v>49</v>
      </c>
      <c r="I2251">
        <v>10</v>
      </c>
      <c r="J2251" t="s">
        <v>98</v>
      </c>
      <c r="K2251">
        <v>1</v>
      </c>
      <c r="L2251" s="3">
        <v>8299</v>
      </c>
      <c r="M2251">
        <v>25</v>
      </c>
      <c r="N2251" s="3">
        <v>6220</v>
      </c>
      <c r="O2251" s="3">
        <v>6220</v>
      </c>
      <c r="P2251" t="s">
        <v>50</v>
      </c>
      <c r="Q2251" t="s">
        <v>35</v>
      </c>
      <c r="R2251" t="s">
        <v>36</v>
      </c>
      <c r="S2251" t="s">
        <v>297</v>
      </c>
      <c r="T2251" t="s">
        <v>566</v>
      </c>
      <c r="U2251" t="s">
        <v>39</v>
      </c>
      <c r="V2251" t="s">
        <v>315</v>
      </c>
      <c r="W2251">
        <v>3.3</v>
      </c>
      <c r="X2251" t="s">
        <v>41</v>
      </c>
      <c r="Y2251" t="s">
        <v>55</v>
      </c>
      <c r="Z2251">
        <v>2</v>
      </c>
    </row>
    <row r="2252" spans="1:26">
      <c r="A2252" t="s">
        <v>3439</v>
      </c>
      <c r="B2252" t="s">
        <v>1574</v>
      </c>
      <c r="C2252" t="s">
        <v>45</v>
      </c>
      <c r="D2252" t="s">
        <v>46</v>
      </c>
      <c r="E2252" s="1">
        <v>45305</v>
      </c>
      <c r="F2252" t="s">
        <v>65</v>
      </c>
      <c r="G2252" t="s">
        <v>365</v>
      </c>
      <c r="H2252" t="s">
        <v>49</v>
      </c>
      <c r="I2252">
        <v>12</v>
      </c>
      <c r="J2252" t="s">
        <v>98</v>
      </c>
      <c r="K2252">
        <v>1</v>
      </c>
      <c r="L2252" s="3">
        <v>2799</v>
      </c>
      <c r="M2252">
        <v>15</v>
      </c>
      <c r="N2252" s="3">
        <v>2380</v>
      </c>
      <c r="O2252" s="3">
        <v>2380</v>
      </c>
      <c r="P2252" t="s">
        <v>74</v>
      </c>
      <c r="Q2252" t="s">
        <v>82</v>
      </c>
      <c r="R2252" t="s">
        <v>36</v>
      </c>
      <c r="S2252" t="s">
        <v>175</v>
      </c>
      <c r="T2252" t="s">
        <v>437</v>
      </c>
      <c r="U2252" t="s">
        <v>91</v>
      </c>
      <c r="V2252" t="s">
        <v>315</v>
      </c>
      <c r="W2252">
        <v>3</v>
      </c>
      <c r="X2252" t="s">
        <v>41</v>
      </c>
      <c r="Y2252" t="s">
        <v>42</v>
      </c>
      <c r="Z2252">
        <v>3</v>
      </c>
    </row>
    <row r="2253" spans="1:26">
      <c r="A2253" t="s">
        <v>3440</v>
      </c>
      <c r="B2253" t="s">
        <v>947</v>
      </c>
      <c r="C2253" t="s">
        <v>28</v>
      </c>
      <c r="D2253" t="s">
        <v>103</v>
      </c>
      <c r="E2253" s="1">
        <v>45305</v>
      </c>
      <c r="F2253" t="s">
        <v>96</v>
      </c>
      <c r="G2253" t="s">
        <v>228</v>
      </c>
      <c r="H2253" t="s">
        <v>59</v>
      </c>
      <c r="I2253">
        <v>12</v>
      </c>
      <c r="J2253" t="s">
        <v>73</v>
      </c>
      <c r="K2253">
        <v>1</v>
      </c>
      <c r="L2253" s="3">
        <v>5299</v>
      </c>
      <c r="M2253">
        <v>0</v>
      </c>
      <c r="N2253" s="3">
        <v>5300</v>
      </c>
      <c r="O2253" s="3">
        <v>5300</v>
      </c>
      <c r="P2253" t="s">
        <v>74</v>
      </c>
      <c r="Q2253" t="s">
        <v>35</v>
      </c>
      <c r="R2253" t="s">
        <v>36</v>
      </c>
      <c r="S2253" t="s">
        <v>384</v>
      </c>
      <c r="T2253" t="s">
        <v>1217</v>
      </c>
      <c r="U2253" t="s">
        <v>124</v>
      </c>
      <c r="V2253" t="s">
        <v>969</v>
      </c>
      <c r="W2253">
        <v>4.3</v>
      </c>
      <c r="X2253" t="s">
        <v>41</v>
      </c>
      <c r="Y2253" t="s">
        <v>42</v>
      </c>
      <c r="Z2253">
        <v>4</v>
      </c>
    </row>
    <row r="2254" spans="1:26">
      <c r="A2254" t="s">
        <v>3441</v>
      </c>
      <c r="B2254" t="s">
        <v>1369</v>
      </c>
      <c r="C2254" t="s">
        <v>28</v>
      </c>
      <c r="D2254" t="s">
        <v>95</v>
      </c>
      <c r="E2254" s="1">
        <v>45306</v>
      </c>
      <c r="F2254" t="s">
        <v>47</v>
      </c>
      <c r="G2254" t="s">
        <v>218</v>
      </c>
      <c r="H2254" t="s">
        <v>59</v>
      </c>
      <c r="I2254">
        <v>11</v>
      </c>
      <c r="J2254" t="s">
        <v>150</v>
      </c>
      <c r="K2254">
        <v>1</v>
      </c>
      <c r="L2254" s="3">
        <v>9299</v>
      </c>
      <c r="M2254">
        <v>10</v>
      </c>
      <c r="N2254" s="3">
        <v>8370</v>
      </c>
      <c r="O2254" s="3">
        <v>8370</v>
      </c>
      <c r="P2254" t="s">
        <v>34</v>
      </c>
      <c r="Q2254" t="s">
        <v>82</v>
      </c>
      <c r="R2254" t="s">
        <v>36</v>
      </c>
      <c r="S2254" t="s">
        <v>269</v>
      </c>
      <c r="T2254" t="s">
        <v>961</v>
      </c>
      <c r="U2254" t="s">
        <v>91</v>
      </c>
      <c r="V2254" t="s">
        <v>315</v>
      </c>
      <c r="W2254">
        <v>4.8</v>
      </c>
      <c r="X2254" t="s">
        <v>62</v>
      </c>
      <c r="Y2254" t="s">
        <v>42</v>
      </c>
      <c r="Z2254">
        <v>6</v>
      </c>
    </row>
    <row r="2255" spans="1:26">
      <c r="A2255" t="s">
        <v>3442</v>
      </c>
      <c r="B2255" t="s">
        <v>3443</v>
      </c>
      <c r="C2255" t="s">
        <v>45</v>
      </c>
      <c r="D2255" t="s">
        <v>95</v>
      </c>
      <c r="E2255" s="1">
        <v>45307</v>
      </c>
      <c r="F2255" t="s">
        <v>65</v>
      </c>
      <c r="G2255" t="s">
        <v>268</v>
      </c>
      <c r="H2255" t="s">
        <v>128</v>
      </c>
      <c r="I2255">
        <v>6</v>
      </c>
      <c r="J2255" t="s">
        <v>98</v>
      </c>
      <c r="K2255">
        <v>1</v>
      </c>
      <c r="L2255" s="3">
        <v>7799</v>
      </c>
      <c r="M2255">
        <v>15</v>
      </c>
      <c r="N2255" s="3">
        <v>6630</v>
      </c>
      <c r="O2255" s="3">
        <v>6630</v>
      </c>
      <c r="P2255" t="s">
        <v>34</v>
      </c>
      <c r="Q2255" t="s">
        <v>51</v>
      </c>
      <c r="R2255" t="s">
        <v>36</v>
      </c>
      <c r="S2255" t="s">
        <v>75</v>
      </c>
      <c r="T2255" t="s">
        <v>318</v>
      </c>
      <c r="U2255" t="s">
        <v>54</v>
      </c>
      <c r="V2255" t="s">
        <v>40</v>
      </c>
      <c r="W2255">
        <v>4.8</v>
      </c>
      <c r="X2255" t="s">
        <v>41</v>
      </c>
      <c r="Y2255" t="s">
        <v>55</v>
      </c>
      <c r="Z2255">
        <v>2</v>
      </c>
    </row>
    <row r="2256" spans="1:26">
      <c r="A2256" t="s">
        <v>3444</v>
      </c>
      <c r="B2256" t="s">
        <v>1828</v>
      </c>
      <c r="C2256" t="s">
        <v>45</v>
      </c>
      <c r="D2256" t="s">
        <v>46</v>
      </c>
      <c r="E2256" s="1">
        <v>45309</v>
      </c>
      <c r="F2256" t="s">
        <v>86</v>
      </c>
      <c r="G2256" t="s">
        <v>87</v>
      </c>
      <c r="H2256" t="s">
        <v>59</v>
      </c>
      <c r="I2256">
        <v>7</v>
      </c>
      <c r="J2256" t="s">
        <v>73</v>
      </c>
      <c r="K2256">
        <v>1</v>
      </c>
      <c r="L2256" s="3">
        <v>9899</v>
      </c>
      <c r="M2256">
        <v>30</v>
      </c>
      <c r="N2256" s="3">
        <v>6930</v>
      </c>
      <c r="O2256" s="3">
        <v>6930</v>
      </c>
      <c r="P2256" t="s">
        <v>34</v>
      </c>
      <c r="Q2256" t="s">
        <v>35</v>
      </c>
      <c r="R2256" t="s">
        <v>36</v>
      </c>
      <c r="S2256" t="s">
        <v>68</v>
      </c>
      <c r="T2256" t="s">
        <v>400</v>
      </c>
      <c r="U2256" t="s">
        <v>54</v>
      </c>
      <c r="V2256" t="s">
        <v>315</v>
      </c>
      <c r="W2256">
        <v>3.6</v>
      </c>
      <c r="X2256" t="s">
        <v>41</v>
      </c>
      <c r="Y2256" t="s">
        <v>55</v>
      </c>
      <c r="Z2256">
        <v>3</v>
      </c>
    </row>
    <row r="2257" spans="1:26">
      <c r="A2257" t="s">
        <v>3445</v>
      </c>
      <c r="B2257" t="s">
        <v>1007</v>
      </c>
      <c r="C2257" t="s">
        <v>45</v>
      </c>
      <c r="D2257" t="s">
        <v>46</v>
      </c>
      <c r="E2257" s="1">
        <v>45309</v>
      </c>
      <c r="F2257" t="s">
        <v>65</v>
      </c>
      <c r="G2257" t="s">
        <v>268</v>
      </c>
      <c r="H2257" t="s">
        <v>128</v>
      </c>
      <c r="I2257">
        <v>8</v>
      </c>
      <c r="J2257" t="s">
        <v>73</v>
      </c>
      <c r="K2257">
        <v>1</v>
      </c>
      <c r="L2257" s="3">
        <v>2899</v>
      </c>
      <c r="M2257">
        <v>10</v>
      </c>
      <c r="N2257" s="3">
        <v>2610</v>
      </c>
      <c r="O2257" s="3">
        <v>2610</v>
      </c>
      <c r="P2257" t="s">
        <v>34</v>
      </c>
      <c r="Q2257" t="s">
        <v>51</v>
      </c>
      <c r="R2257" t="s">
        <v>36</v>
      </c>
      <c r="S2257" t="s">
        <v>52</v>
      </c>
      <c r="T2257" t="s">
        <v>60</v>
      </c>
      <c r="U2257" t="s">
        <v>61</v>
      </c>
      <c r="V2257" t="s">
        <v>969</v>
      </c>
      <c r="W2257">
        <v>4.2</v>
      </c>
      <c r="X2257" t="s">
        <v>41</v>
      </c>
      <c r="Y2257" t="s">
        <v>42</v>
      </c>
      <c r="Z2257">
        <v>3</v>
      </c>
    </row>
    <row r="2258" spans="1:26">
      <c r="A2258" t="s">
        <v>3446</v>
      </c>
      <c r="B2258" t="s">
        <v>224</v>
      </c>
      <c r="C2258" t="s">
        <v>45</v>
      </c>
      <c r="D2258" t="s">
        <v>95</v>
      </c>
      <c r="E2258" s="1">
        <v>45311</v>
      </c>
      <c r="F2258" t="s">
        <v>96</v>
      </c>
      <c r="G2258" t="s">
        <v>97</v>
      </c>
      <c r="H2258" t="s">
        <v>49</v>
      </c>
      <c r="I2258">
        <v>7</v>
      </c>
      <c r="J2258" t="s">
        <v>150</v>
      </c>
      <c r="K2258">
        <v>1</v>
      </c>
      <c r="L2258" s="3">
        <v>9299</v>
      </c>
      <c r="M2258">
        <v>0</v>
      </c>
      <c r="N2258" s="3">
        <v>9300</v>
      </c>
      <c r="O2258" s="3">
        <v>9300</v>
      </c>
      <c r="P2258" t="s">
        <v>34</v>
      </c>
      <c r="Q2258" t="s">
        <v>82</v>
      </c>
      <c r="R2258" t="s">
        <v>36</v>
      </c>
      <c r="S2258" t="s">
        <v>460</v>
      </c>
      <c r="T2258" t="s">
        <v>580</v>
      </c>
      <c r="U2258" t="s">
        <v>54</v>
      </c>
      <c r="V2258" t="s">
        <v>315</v>
      </c>
      <c r="W2258">
        <v>3.2</v>
      </c>
      <c r="X2258" t="s">
        <v>62</v>
      </c>
      <c r="Y2258" t="s">
        <v>42</v>
      </c>
      <c r="Z2258">
        <v>3</v>
      </c>
    </row>
    <row r="2259" spans="1:26">
      <c r="A2259" t="s">
        <v>3447</v>
      </c>
      <c r="B2259" t="s">
        <v>1836</v>
      </c>
      <c r="C2259" t="s">
        <v>28</v>
      </c>
      <c r="D2259" t="s">
        <v>29</v>
      </c>
      <c r="E2259" s="1">
        <v>45313</v>
      </c>
      <c r="F2259" t="s">
        <v>47</v>
      </c>
      <c r="G2259" t="s">
        <v>48</v>
      </c>
      <c r="H2259" t="s">
        <v>49</v>
      </c>
      <c r="I2259">
        <v>9</v>
      </c>
      <c r="J2259" t="s">
        <v>73</v>
      </c>
      <c r="K2259">
        <v>1</v>
      </c>
      <c r="L2259" s="3">
        <v>6599</v>
      </c>
      <c r="M2259">
        <v>15</v>
      </c>
      <c r="N2259" s="3">
        <v>5610</v>
      </c>
      <c r="O2259" s="3">
        <v>5610</v>
      </c>
      <c r="P2259" t="s">
        <v>74</v>
      </c>
      <c r="Q2259" t="s">
        <v>82</v>
      </c>
      <c r="R2259" t="s">
        <v>36</v>
      </c>
      <c r="S2259" t="s">
        <v>243</v>
      </c>
      <c r="T2259" t="s">
        <v>328</v>
      </c>
      <c r="U2259" t="s">
        <v>91</v>
      </c>
      <c r="V2259" t="s">
        <v>969</v>
      </c>
      <c r="W2259">
        <v>4.3</v>
      </c>
      <c r="X2259" t="s">
        <v>41</v>
      </c>
      <c r="Y2259" t="s">
        <v>42</v>
      </c>
      <c r="Z2259">
        <v>3</v>
      </c>
    </row>
    <row r="2260" spans="1:26">
      <c r="A2260" t="s">
        <v>3448</v>
      </c>
      <c r="B2260" t="s">
        <v>1749</v>
      </c>
      <c r="C2260" t="s">
        <v>45</v>
      </c>
      <c r="D2260" t="s">
        <v>29</v>
      </c>
      <c r="E2260" s="1">
        <v>45314</v>
      </c>
      <c r="F2260" t="s">
        <v>86</v>
      </c>
      <c r="G2260" t="s">
        <v>285</v>
      </c>
      <c r="H2260" t="s">
        <v>111</v>
      </c>
      <c r="I2260">
        <v>11</v>
      </c>
      <c r="J2260" t="s">
        <v>67</v>
      </c>
      <c r="K2260">
        <v>1</v>
      </c>
      <c r="L2260" s="3">
        <v>6999</v>
      </c>
      <c r="M2260">
        <v>5</v>
      </c>
      <c r="N2260" s="3">
        <v>6650</v>
      </c>
      <c r="O2260" s="3">
        <v>6650</v>
      </c>
      <c r="P2260" t="s">
        <v>74</v>
      </c>
      <c r="Q2260" t="s">
        <v>51</v>
      </c>
      <c r="R2260" t="s">
        <v>36</v>
      </c>
      <c r="S2260" t="s">
        <v>286</v>
      </c>
      <c r="T2260" t="s">
        <v>366</v>
      </c>
      <c r="U2260" t="s">
        <v>124</v>
      </c>
      <c r="V2260" t="s">
        <v>315</v>
      </c>
      <c r="W2260">
        <v>4</v>
      </c>
      <c r="X2260" t="s">
        <v>41</v>
      </c>
      <c r="Y2260" t="s">
        <v>42</v>
      </c>
      <c r="Z2260">
        <v>3</v>
      </c>
    </row>
    <row r="2261" spans="1:26">
      <c r="A2261" t="s">
        <v>3449</v>
      </c>
      <c r="B2261" t="s">
        <v>1059</v>
      </c>
      <c r="C2261" t="s">
        <v>45</v>
      </c>
      <c r="D2261" t="s">
        <v>95</v>
      </c>
      <c r="E2261" s="1">
        <v>45314</v>
      </c>
      <c r="F2261" t="s">
        <v>86</v>
      </c>
      <c r="G2261" t="s">
        <v>190</v>
      </c>
      <c r="H2261" t="s">
        <v>128</v>
      </c>
      <c r="I2261">
        <v>10</v>
      </c>
      <c r="J2261" t="s">
        <v>73</v>
      </c>
      <c r="K2261">
        <v>1</v>
      </c>
      <c r="L2261" s="3">
        <v>5699</v>
      </c>
      <c r="M2261">
        <v>10</v>
      </c>
      <c r="N2261" s="3">
        <v>5130</v>
      </c>
      <c r="O2261" s="3">
        <v>5130</v>
      </c>
      <c r="P2261" t="s">
        <v>74</v>
      </c>
      <c r="Q2261" t="s">
        <v>51</v>
      </c>
      <c r="R2261" t="s">
        <v>36</v>
      </c>
      <c r="S2261" t="s">
        <v>195</v>
      </c>
      <c r="T2261" t="s">
        <v>215</v>
      </c>
      <c r="U2261" t="s">
        <v>124</v>
      </c>
      <c r="V2261" t="s">
        <v>969</v>
      </c>
      <c r="W2261">
        <v>3.6</v>
      </c>
      <c r="X2261" t="s">
        <v>41</v>
      </c>
      <c r="Y2261" t="s">
        <v>55</v>
      </c>
      <c r="Z2261">
        <v>3</v>
      </c>
    </row>
    <row r="2262" spans="1:26">
      <c r="A2262" t="s">
        <v>3450</v>
      </c>
      <c r="B2262" t="s">
        <v>1511</v>
      </c>
      <c r="C2262" t="s">
        <v>45</v>
      </c>
      <c r="D2262" t="s">
        <v>95</v>
      </c>
      <c r="E2262" s="1">
        <v>45315</v>
      </c>
      <c r="F2262" t="s">
        <v>65</v>
      </c>
      <c r="G2262" t="s">
        <v>279</v>
      </c>
      <c r="H2262" t="s">
        <v>111</v>
      </c>
      <c r="I2262">
        <v>12</v>
      </c>
      <c r="J2262" t="s">
        <v>73</v>
      </c>
      <c r="K2262">
        <v>2</v>
      </c>
      <c r="L2262" s="3">
        <v>6499</v>
      </c>
      <c r="M2262">
        <v>10</v>
      </c>
      <c r="N2262" s="3">
        <v>5850</v>
      </c>
      <c r="O2262" s="3">
        <v>11700</v>
      </c>
      <c r="P2262" t="s">
        <v>74</v>
      </c>
      <c r="Q2262" t="s">
        <v>82</v>
      </c>
      <c r="R2262" t="s">
        <v>36</v>
      </c>
      <c r="S2262" t="s">
        <v>112</v>
      </c>
      <c r="T2262" t="s">
        <v>265</v>
      </c>
      <c r="U2262" t="s">
        <v>61</v>
      </c>
      <c r="V2262" t="s">
        <v>315</v>
      </c>
      <c r="W2262">
        <v>3.3</v>
      </c>
      <c r="X2262" t="s">
        <v>41</v>
      </c>
      <c r="Y2262" t="s">
        <v>42</v>
      </c>
      <c r="Z2262">
        <v>5</v>
      </c>
    </row>
    <row r="2263" spans="1:26">
      <c r="A2263" t="s">
        <v>3451</v>
      </c>
      <c r="B2263" t="s">
        <v>1780</v>
      </c>
      <c r="C2263" t="s">
        <v>28</v>
      </c>
      <c r="D2263" t="s">
        <v>29</v>
      </c>
      <c r="E2263" s="1">
        <v>45317</v>
      </c>
      <c r="F2263" t="s">
        <v>47</v>
      </c>
      <c r="G2263" t="s">
        <v>48</v>
      </c>
      <c r="H2263" t="s">
        <v>49</v>
      </c>
      <c r="I2263">
        <v>9</v>
      </c>
      <c r="J2263" t="s">
        <v>150</v>
      </c>
      <c r="K2263">
        <v>1</v>
      </c>
      <c r="L2263" s="3">
        <v>5699</v>
      </c>
      <c r="M2263">
        <v>10</v>
      </c>
      <c r="N2263" s="3">
        <v>5130</v>
      </c>
      <c r="O2263" s="3">
        <v>5130</v>
      </c>
      <c r="P2263" t="s">
        <v>74</v>
      </c>
      <c r="Q2263" t="s">
        <v>51</v>
      </c>
      <c r="R2263" t="s">
        <v>36</v>
      </c>
      <c r="S2263" t="s">
        <v>68</v>
      </c>
      <c r="T2263" t="s">
        <v>400</v>
      </c>
      <c r="U2263" t="s">
        <v>61</v>
      </c>
      <c r="V2263" t="s">
        <v>315</v>
      </c>
      <c r="W2263">
        <v>4.0999999999999996</v>
      </c>
      <c r="X2263" t="s">
        <v>62</v>
      </c>
      <c r="Y2263" t="s">
        <v>147</v>
      </c>
      <c r="Z2263">
        <v>1</v>
      </c>
    </row>
    <row r="2264" spans="1:26">
      <c r="A2264" t="s">
        <v>3452</v>
      </c>
      <c r="B2264" t="s">
        <v>2909</v>
      </c>
      <c r="C2264" t="s">
        <v>94</v>
      </c>
      <c r="D2264" t="s">
        <v>46</v>
      </c>
      <c r="E2264" s="1">
        <v>45318</v>
      </c>
      <c r="F2264" t="s">
        <v>30</v>
      </c>
      <c r="G2264" t="s">
        <v>58</v>
      </c>
      <c r="H2264" t="s">
        <v>59</v>
      </c>
      <c r="I2264">
        <v>7</v>
      </c>
      <c r="J2264" t="s">
        <v>73</v>
      </c>
      <c r="K2264">
        <v>1</v>
      </c>
      <c r="L2264" s="3">
        <v>8399</v>
      </c>
      <c r="M2264">
        <v>35</v>
      </c>
      <c r="N2264" s="3">
        <v>5460</v>
      </c>
      <c r="O2264" s="3">
        <v>5460</v>
      </c>
      <c r="P2264" t="s">
        <v>34</v>
      </c>
      <c r="Q2264" t="s">
        <v>35</v>
      </c>
      <c r="R2264" t="s">
        <v>36</v>
      </c>
      <c r="S2264" t="s">
        <v>99</v>
      </c>
      <c r="T2264" t="s">
        <v>100</v>
      </c>
      <c r="U2264" t="s">
        <v>54</v>
      </c>
      <c r="V2264" t="s">
        <v>315</v>
      </c>
      <c r="W2264">
        <v>4.3</v>
      </c>
      <c r="X2264" t="s">
        <v>106</v>
      </c>
      <c r="Y2264" t="s">
        <v>55</v>
      </c>
      <c r="Z2264">
        <v>1</v>
      </c>
    </row>
    <row r="2265" spans="1:26">
      <c r="A2265" t="s">
        <v>3453</v>
      </c>
      <c r="B2265" t="s">
        <v>3211</v>
      </c>
      <c r="C2265" t="s">
        <v>28</v>
      </c>
      <c r="D2265" t="s">
        <v>95</v>
      </c>
      <c r="E2265" s="1">
        <v>45319</v>
      </c>
      <c r="F2265" t="s">
        <v>30</v>
      </c>
      <c r="G2265" t="s">
        <v>58</v>
      </c>
      <c r="H2265" t="s">
        <v>59</v>
      </c>
      <c r="I2265">
        <v>7</v>
      </c>
      <c r="J2265" t="s">
        <v>150</v>
      </c>
      <c r="K2265">
        <v>1</v>
      </c>
      <c r="L2265" s="3">
        <v>8899</v>
      </c>
      <c r="M2265">
        <v>20</v>
      </c>
      <c r="N2265" s="3">
        <v>7120</v>
      </c>
      <c r="O2265" s="3">
        <v>7120</v>
      </c>
      <c r="P2265" t="s">
        <v>74</v>
      </c>
      <c r="Q2265" t="s">
        <v>35</v>
      </c>
      <c r="R2265" t="s">
        <v>36</v>
      </c>
      <c r="S2265" t="s">
        <v>243</v>
      </c>
      <c r="T2265" t="s">
        <v>273</v>
      </c>
      <c r="U2265" t="s">
        <v>124</v>
      </c>
      <c r="V2265" t="s">
        <v>315</v>
      </c>
      <c r="W2265">
        <v>3.2</v>
      </c>
      <c r="X2265" t="s">
        <v>62</v>
      </c>
      <c r="Y2265" t="s">
        <v>147</v>
      </c>
      <c r="Z2265">
        <v>1</v>
      </c>
    </row>
    <row r="2266" spans="1:26">
      <c r="A2266" t="s">
        <v>3454</v>
      </c>
      <c r="B2266" t="s">
        <v>2200</v>
      </c>
      <c r="C2266" t="s">
        <v>28</v>
      </c>
      <c r="D2266" t="s">
        <v>95</v>
      </c>
      <c r="E2266" s="1">
        <v>45327</v>
      </c>
      <c r="F2266" t="s">
        <v>96</v>
      </c>
      <c r="G2266" t="s">
        <v>228</v>
      </c>
      <c r="H2266" t="s">
        <v>59</v>
      </c>
      <c r="I2266">
        <v>9</v>
      </c>
      <c r="J2266" t="s">
        <v>73</v>
      </c>
      <c r="K2266">
        <v>1</v>
      </c>
      <c r="L2266" s="3">
        <v>9899</v>
      </c>
      <c r="M2266">
        <v>35</v>
      </c>
      <c r="N2266" s="3">
        <v>6430</v>
      </c>
      <c r="O2266" s="3">
        <v>6430</v>
      </c>
      <c r="P2266" t="s">
        <v>74</v>
      </c>
      <c r="Q2266" t="s">
        <v>51</v>
      </c>
      <c r="R2266" t="s">
        <v>36</v>
      </c>
      <c r="S2266" t="s">
        <v>384</v>
      </c>
      <c r="T2266" t="s">
        <v>1217</v>
      </c>
      <c r="U2266" t="s">
        <v>39</v>
      </c>
      <c r="V2266" t="s">
        <v>969</v>
      </c>
      <c r="W2266">
        <v>4.7</v>
      </c>
      <c r="X2266" t="s">
        <v>41</v>
      </c>
      <c r="Y2266" t="s">
        <v>55</v>
      </c>
      <c r="Z2266">
        <v>1</v>
      </c>
    </row>
    <row r="2267" spans="1:26">
      <c r="A2267" t="s">
        <v>3455</v>
      </c>
      <c r="B2267" t="s">
        <v>2224</v>
      </c>
      <c r="C2267" t="s">
        <v>28</v>
      </c>
      <c r="D2267" t="s">
        <v>29</v>
      </c>
      <c r="E2267" s="1">
        <v>45328</v>
      </c>
      <c r="F2267" t="s">
        <v>65</v>
      </c>
      <c r="G2267" t="s">
        <v>279</v>
      </c>
      <c r="H2267" t="s">
        <v>111</v>
      </c>
      <c r="I2267">
        <v>8</v>
      </c>
      <c r="J2267" t="s">
        <v>67</v>
      </c>
      <c r="K2267">
        <v>2</v>
      </c>
      <c r="L2267" s="3">
        <v>4499</v>
      </c>
      <c r="M2267">
        <v>20</v>
      </c>
      <c r="N2267" s="3">
        <v>3600</v>
      </c>
      <c r="O2267" s="3">
        <v>7200</v>
      </c>
      <c r="P2267" t="s">
        <v>34</v>
      </c>
      <c r="Q2267" t="s">
        <v>51</v>
      </c>
      <c r="R2267" t="s">
        <v>36</v>
      </c>
      <c r="S2267" t="s">
        <v>168</v>
      </c>
      <c r="T2267" t="s">
        <v>532</v>
      </c>
      <c r="U2267" t="s">
        <v>124</v>
      </c>
      <c r="V2267" t="s">
        <v>315</v>
      </c>
      <c r="W2267">
        <v>3.7</v>
      </c>
      <c r="X2267" t="s">
        <v>41</v>
      </c>
      <c r="Y2267" t="s">
        <v>42</v>
      </c>
      <c r="Z2267">
        <v>5</v>
      </c>
    </row>
    <row r="2268" spans="1:26">
      <c r="A2268" t="s">
        <v>3456</v>
      </c>
      <c r="B2268" t="s">
        <v>1882</v>
      </c>
      <c r="C2268" t="s">
        <v>28</v>
      </c>
      <c r="D2268" t="s">
        <v>46</v>
      </c>
      <c r="E2268" s="1">
        <v>45331</v>
      </c>
      <c r="F2268" t="s">
        <v>30</v>
      </c>
      <c r="G2268" t="s">
        <v>214</v>
      </c>
      <c r="H2268" t="s">
        <v>128</v>
      </c>
      <c r="I2268">
        <v>7</v>
      </c>
      <c r="J2268" t="s">
        <v>73</v>
      </c>
      <c r="K2268">
        <v>1</v>
      </c>
      <c r="L2268" s="3">
        <v>5899</v>
      </c>
      <c r="M2268">
        <v>15</v>
      </c>
      <c r="N2268" s="3">
        <v>5010</v>
      </c>
      <c r="O2268" s="3">
        <v>5010</v>
      </c>
      <c r="P2268" t="s">
        <v>74</v>
      </c>
      <c r="Q2268" t="s">
        <v>35</v>
      </c>
      <c r="R2268" t="s">
        <v>36</v>
      </c>
      <c r="S2268" t="s">
        <v>182</v>
      </c>
      <c r="T2268" t="s">
        <v>309</v>
      </c>
      <c r="U2268" t="s">
        <v>124</v>
      </c>
      <c r="V2268" t="s">
        <v>969</v>
      </c>
      <c r="W2268">
        <v>5</v>
      </c>
      <c r="X2268" t="s">
        <v>41</v>
      </c>
      <c r="Y2268" t="s">
        <v>42</v>
      </c>
      <c r="Z2268">
        <v>3</v>
      </c>
    </row>
    <row r="2269" spans="1:26">
      <c r="A2269" t="s">
        <v>3457</v>
      </c>
      <c r="B2269" t="s">
        <v>3458</v>
      </c>
      <c r="C2269" t="s">
        <v>45</v>
      </c>
      <c r="D2269" t="s">
        <v>46</v>
      </c>
      <c r="E2269" s="1">
        <v>45332</v>
      </c>
      <c r="F2269" t="s">
        <v>47</v>
      </c>
      <c r="G2269" t="s">
        <v>218</v>
      </c>
      <c r="H2269" t="s">
        <v>59</v>
      </c>
      <c r="I2269">
        <v>10</v>
      </c>
      <c r="J2269" t="s">
        <v>98</v>
      </c>
      <c r="K2269">
        <v>1</v>
      </c>
      <c r="L2269" s="3">
        <v>8799</v>
      </c>
      <c r="M2269">
        <v>15</v>
      </c>
      <c r="N2269" s="3">
        <v>7480</v>
      </c>
      <c r="O2269" s="3">
        <v>7480</v>
      </c>
      <c r="P2269" t="s">
        <v>74</v>
      </c>
      <c r="Q2269" t="s">
        <v>82</v>
      </c>
      <c r="R2269" t="s">
        <v>36</v>
      </c>
      <c r="S2269" t="s">
        <v>117</v>
      </c>
      <c r="T2269" t="s">
        <v>253</v>
      </c>
      <c r="U2269" t="s">
        <v>54</v>
      </c>
      <c r="V2269" t="s">
        <v>40</v>
      </c>
      <c r="W2269">
        <v>4.5999999999999996</v>
      </c>
      <c r="X2269" t="s">
        <v>41</v>
      </c>
      <c r="Y2269" t="s">
        <v>42</v>
      </c>
      <c r="Z2269">
        <v>4</v>
      </c>
    </row>
    <row r="2270" spans="1:26">
      <c r="A2270" t="s">
        <v>3459</v>
      </c>
      <c r="B2270" t="s">
        <v>713</v>
      </c>
      <c r="C2270" t="s">
        <v>28</v>
      </c>
      <c r="D2270" t="s">
        <v>29</v>
      </c>
      <c r="E2270" s="1">
        <v>45333</v>
      </c>
      <c r="F2270" t="s">
        <v>96</v>
      </c>
      <c r="G2270" t="s">
        <v>290</v>
      </c>
      <c r="H2270" t="s">
        <v>32</v>
      </c>
      <c r="I2270">
        <v>9</v>
      </c>
      <c r="J2270" t="s">
        <v>150</v>
      </c>
      <c r="K2270">
        <v>1</v>
      </c>
      <c r="L2270" s="3">
        <v>5399</v>
      </c>
      <c r="M2270">
        <v>5</v>
      </c>
      <c r="N2270" s="3">
        <v>5130</v>
      </c>
      <c r="O2270" s="3">
        <v>5130</v>
      </c>
      <c r="P2270" t="s">
        <v>74</v>
      </c>
      <c r="Q2270" t="s">
        <v>51</v>
      </c>
      <c r="R2270" t="s">
        <v>36</v>
      </c>
      <c r="S2270" t="s">
        <v>191</v>
      </c>
      <c r="T2270" t="s">
        <v>192</v>
      </c>
      <c r="U2270" t="s">
        <v>91</v>
      </c>
      <c r="V2270" t="s">
        <v>315</v>
      </c>
      <c r="W2270">
        <v>4</v>
      </c>
      <c r="X2270" t="s">
        <v>41</v>
      </c>
      <c r="Y2270" t="s">
        <v>42</v>
      </c>
      <c r="Z2270">
        <v>5</v>
      </c>
    </row>
    <row r="2271" spans="1:26">
      <c r="A2271" t="s">
        <v>3460</v>
      </c>
      <c r="B2271" t="s">
        <v>433</v>
      </c>
      <c r="C2271" t="s">
        <v>28</v>
      </c>
      <c r="D2271" t="s">
        <v>46</v>
      </c>
      <c r="E2271" s="1">
        <v>45333</v>
      </c>
      <c r="F2271" t="s">
        <v>47</v>
      </c>
      <c r="G2271" t="s">
        <v>121</v>
      </c>
      <c r="H2271" t="s">
        <v>111</v>
      </c>
      <c r="I2271">
        <v>10</v>
      </c>
      <c r="J2271" t="s">
        <v>67</v>
      </c>
      <c r="K2271">
        <v>2</v>
      </c>
      <c r="L2271" s="3">
        <v>3799</v>
      </c>
      <c r="M2271">
        <v>5</v>
      </c>
      <c r="N2271" s="3">
        <v>3610</v>
      </c>
      <c r="O2271" s="3">
        <v>7220</v>
      </c>
      <c r="P2271" t="s">
        <v>34</v>
      </c>
      <c r="Q2271" t="s">
        <v>35</v>
      </c>
      <c r="R2271" t="s">
        <v>36</v>
      </c>
      <c r="S2271" t="s">
        <v>151</v>
      </c>
      <c r="T2271" t="s">
        <v>890</v>
      </c>
      <c r="U2271" t="s">
        <v>124</v>
      </c>
      <c r="V2271" t="s">
        <v>969</v>
      </c>
      <c r="W2271">
        <v>4.8</v>
      </c>
      <c r="X2271" t="s">
        <v>41</v>
      </c>
      <c r="Y2271" t="s">
        <v>42</v>
      </c>
      <c r="Z2271">
        <v>3</v>
      </c>
    </row>
    <row r="2272" spans="1:26">
      <c r="A2272" t="s">
        <v>3461</v>
      </c>
      <c r="B2272" t="s">
        <v>154</v>
      </c>
      <c r="C2272" t="s">
        <v>28</v>
      </c>
      <c r="D2272" t="s">
        <v>46</v>
      </c>
      <c r="E2272" s="1">
        <v>45333</v>
      </c>
      <c r="F2272" t="s">
        <v>30</v>
      </c>
      <c r="G2272" t="s">
        <v>110</v>
      </c>
      <c r="H2272" t="s">
        <v>111</v>
      </c>
      <c r="I2272">
        <v>9</v>
      </c>
      <c r="J2272" t="s">
        <v>98</v>
      </c>
      <c r="K2272">
        <v>2</v>
      </c>
      <c r="L2272" s="3">
        <v>3799</v>
      </c>
      <c r="M2272">
        <v>30</v>
      </c>
      <c r="N2272" s="3">
        <v>2660</v>
      </c>
      <c r="O2272" s="3">
        <v>5320</v>
      </c>
      <c r="P2272" t="s">
        <v>81</v>
      </c>
      <c r="Q2272" t="s">
        <v>51</v>
      </c>
      <c r="R2272" t="s">
        <v>36</v>
      </c>
      <c r="S2272" t="s">
        <v>117</v>
      </c>
      <c r="T2272" t="s">
        <v>253</v>
      </c>
      <c r="U2272" t="s">
        <v>54</v>
      </c>
      <c r="V2272" t="s">
        <v>969</v>
      </c>
      <c r="W2272">
        <v>3.3</v>
      </c>
      <c r="X2272" t="s">
        <v>41</v>
      </c>
      <c r="Y2272" t="s">
        <v>55</v>
      </c>
      <c r="Z2272">
        <v>1</v>
      </c>
    </row>
    <row r="2273" spans="1:26">
      <c r="A2273" t="s">
        <v>3462</v>
      </c>
      <c r="B2273" t="s">
        <v>808</v>
      </c>
      <c r="C2273" t="s">
        <v>28</v>
      </c>
      <c r="D2273" t="s">
        <v>46</v>
      </c>
      <c r="E2273" s="1">
        <v>45334</v>
      </c>
      <c r="F2273" t="s">
        <v>79</v>
      </c>
      <c r="G2273" t="s">
        <v>174</v>
      </c>
      <c r="H2273" t="s">
        <v>32</v>
      </c>
      <c r="I2273">
        <v>7</v>
      </c>
      <c r="J2273" t="s">
        <v>98</v>
      </c>
      <c r="K2273">
        <v>3</v>
      </c>
      <c r="L2273" s="3">
        <v>5999</v>
      </c>
      <c r="M2273">
        <v>15</v>
      </c>
      <c r="N2273" s="3">
        <v>5100</v>
      </c>
      <c r="O2273" s="3">
        <v>15300</v>
      </c>
      <c r="P2273" t="s">
        <v>34</v>
      </c>
      <c r="Q2273" t="s">
        <v>51</v>
      </c>
      <c r="R2273" t="s">
        <v>36</v>
      </c>
      <c r="S2273" t="s">
        <v>104</v>
      </c>
      <c r="T2273" t="s">
        <v>291</v>
      </c>
      <c r="U2273" t="s">
        <v>39</v>
      </c>
      <c r="V2273" t="s">
        <v>969</v>
      </c>
      <c r="W2273">
        <v>3.7</v>
      </c>
      <c r="X2273" t="s">
        <v>41</v>
      </c>
      <c r="Y2273" t="s">
        <v>42</v>
      </c>
      <c r="Z2273">
        <v>3</v>
      </c>
    </row>
    <row r="2274" spans="1:26">
      <c r="A2274" t="s">
        <v>3463</v>
      </c>
      <c r="B2274" t="s">
        <v>3181</v>
      </c>
      <c r="C2274" t="s">
        <v>45</v>
      </c>
      <c r="D2274" t="s">
        <v>46</v>
      </c>
      <c r="E2274" s="1">
        <v>45334</v>
      </c>
      <c r="F2274" t="s">
        <v>30</v>
      </c>
      <c r="G2274" t="s">
        <v>31</v>
      </c>
      <c r="H2274" t="s">
        <v>32</v>
      </c>
      <c r="I2274">
        <v>11</v>
      </c>
      <c r="J2274" t="s">
        <v>33</v>
      </c>
      <c r="K2274">
        <v>1</v>
      </c>
      <c r="L2274" s="3">
        <v>7099</v>
      </c>
      <c r="M2274">
        <v>25</v>
      </c>
      <c r="N2274" s="3">
        <v>5320</v>
      </c>
      <c r="O2274" s="3">
        <v>5320</v>
      </c>
      <c r="P2274" t="s">
        <v>74</v>
      </c>
      <c r="Q2274" t="s">
        <v>51</v>
      </c>
      <c r="R2274" t="s">
        <v>36</v>
      </c>
      <c r="S2274" t="s">
        <v>164</v>
      </c>
      <c r="T2274" t="s">
        <v>409</v>
      </c>
      <c r="U2274" t="s">
        <v>39</v>
      </c>
      <c r="V2274" t="s">
        <v>315</v>
      </c>
      <c r="W2274">
        <v>3.7</v>
      </c>
      <c r="X2274" t="s">
        <v>62</v>
      </c>
      <c r="Y2274" t="s">
        <v>147</v>
      </c>
      <c r="Z2274">
        <v>1</v>
      </c>
    </row>
    <row r="2275" spans="1:26">
      <c r="A2275" t="s">
        <v>3464</v>
      </c>
      <c r="B2275" t="s">
        <v>505</v>
      </c>
      <c r="C2275" t="s">
        <v>28</v>
      </c>
      <c r="D2275" t="s">
        <v>29</v>
      </c>
      <c r="E2275" s="1">
        <v>45337</v>
      </c>
      <c r="F2275" t="s">
        <v>96</v>
      </c>
      <c r="G2275" t="s">
        <v>171</v>
      </c>
      <c r="H2275" t="s">
        <v>128</v>
      </c>
      <c r="I2275">
        <v>10</v>
      </c>
      <c r="J2275" t="s">
        <v>98</v>
      </c>
      <c r="K2275">
        <v>2</v>
      </c>
      <c r="L2275" s="3">
        <v>8399</v>
      </c>
      <c r="M2275">
        <v>15</v>
      </c>
      <c r="N2275" s="3">
        <v>7140</v>
      </c>
      <c r="O2275" s="3">
        <v>14280</v>
      </c>
      <c r="P2275" t="s">
        <v>74</v>
      </c>
      <c r="Q2275" t="s">
        <v>82</v>
      </c>
      <c r="R2275" t="s">
        <v>36</v>
      </c>
      <c r="S2275" t="s">
        <v>136</v>
      </c>
      <c r="T2275" t="s">
        <v>225</v>
      </c>
      <c r="U2275" t="s">
        <v>91</v>
      </c>
      <c r="V2275" t="s">
        <v>315</v>
      </c>
      <c r="W2275">
        <v>4.4000000000000004</v>
      </c>
      <c r="X2275" t="s">
        <v>62</v>
      </c>
      <c r="Y2275" t="s">
        <v>42</v>
      </c>
      <c r="Z2275">
        <v>5</v>
      </c>
    </row>
    <row r="2276" spans="1:26">
      <c r="A2276" t="s">
        <v>3465</v>
      </c>
      <c r="B2276" t="s">
        <v>899</v>
      </c>
      <c r="C2276" t="s">
        <v>28</v>
      </c>
      <c r="D2276" t="s">
        <v>103</v>
      </c>
      <c r="E2276" s="1">
        <v>45337</v>
      </c>
      <c r="F2276" t="s">
        <v>65</v>
      </c>
      <c r="G2276" t="s">
        <v>279</v>
      </c>
      <c r="H2276" t="s">
        <v>111</v>
      </c>
      <c r="I2276">
        <v>8</v>
      </c>
      <c r="J2276" t="s">
        <v>98</v>
      </c>
      <c r="K2276">
        <v>1</v>
      </c>
      <c r="L2276" s="3">
        <v>8499</v>
      </c>
      <c r="M2276">
        <v>10</v>
      </c>
      <c r="N2276" s="3">
        <v>7650</v>
      </c>
      <c r="O2276" s="3">
        <v>7650</v>
      </c>
      <c r="P2276" t="s">
        <v>74</v>
      </c>
      <c r="Q2276" t="s">
        <v>35</v>
      </c>
      <c r="R2276" t="s">
        <v>36</v>
      </c>
      <c r="S2276" t="s">
        <v>122</v>
      </c>
      <c r="T2276" t="s">
        <v>123</v>
      </c>
      <c r="U2276" t="s">
        <v>39</v>
      </c>
      <c r="V2276" t="s">
        <v>969</v>
      </c>
      <c r="W2276">
        <v>4.5</v>
      </c>
      <c r="X2276" t="s">
        <v>106</v>
      </c>
      <c r="Y2276" t="s">
        <v>42</v>
      </c>
      <c r="Z2276">
        <v>4</v>
      </c>
    </row>
    <row r="2277" spans="1:26">
      <c r="A2277" t="s">
        <v>3466</v>
      </c>
      <c r="B2277" t="s">
        <v>1376</v>
      </c>
      <c r="C2277" t="s">
        <v>28</v>
      </c>
      <c r="D2277" t="s">
        <v>103</v>
      </c>
      <c r="E2277" s="1">
        <v>45338</v>
      </c>
      <c r="F2277" t="s">
        <v>30</v>
      </c>
      <c r="G2277" t="s">
        <v>58</v>
      </c>
      <c r="H2277" t="s">
        <v>59</v>
      </c>
      <c r="I2277">
        <v>8</v>
      </c>
      <c r="J2277" t="s">
        <v>88</v>
      </c>
      <c r="K2277">
        <v>1</v>
      </c>
      <c r="L2277" s="3">
        <v>6799</v>
      </c>
      <c r="M2277">
        <v>20</v>
      </c>
      <c r="N2277" s="3">
        <v>5440</v>
      </c>
      <c r="O2277" s="3">
        <v>5440</v>
      </c>
      <c r="P2277" t="s">
        <v>74</v>
      </c>
      <c r="Q2277" t="s">
        <v>51</v>
      </c>
      <c r="R2277" t="s">
        <v>36</v>
      </c>
      <c r="S2277" t="s">
        <v>52</v>
      </c>
      <c r="T2277" t="s">
        <v>53</v>
      </c>
      <c r="U2277" t="s">
        <v>54</v>
      </c>
      <c r="V2277" t="s">
        <v>969</v>
      </c>
      <c r="W2277">
        <v>4.8</v>
      </c>
      <c r="X2277" t="s">
        <v>62</v>
      </c>
      <c r="Y2277" t="s">
        <v>55</v>
      </c>
      <c r="Z2277">
        <v>3</v>
      </c>
    </row>
    <row r="2278" spans="1:26">
      <c r="A2278" t="s">
        <v>3467</v>
      </c>
      <c r="B2278" t="s">
        <v>1572</v>
      </c>
      <c r="C2278" t="s">
        <v>28</v>
      </c>
      <c r="D2278" t="s">
        <v>46</v>
      </c>
      <c r="E2278" s="1">
        <v>45339</v>
      </c>
      <c r="F2278" t="s">
        <v>47</v>
      </c>
      <c r="G2278" t="s">
        <v>402</v>
      </c>
      <c r="H2278" t="s">
        <v>32</v>
      </c>
      <c r="I2278">
        <v>9</v>
      </c>
      <c r="J2278" t="s">
        <v>73</v>
      </c>
      <c r="K2278">
        <v>2</v>
      </c>
      <c r="L2278" s="3">
        <v>9099</v>
      </c>
      <c r="M2278">
        <v>10</v>
      </c>
      <c r="N2278" s="3">
        <v>8190</v>
      </c>
      <c r="O2278" s="3">
        <v>16380</v>
      </c>
      <c r="P2278" t="s">
        <v>74</v>
      </c>
      <c r="Q2278" t="s">
        <v>82</v>
      </c>
      <c r="R2278" t="s">
        <v>36</v>
      </c>
      <c r="S2278" t="s">
        <v>68</v>
      </c>
      <c r="T2278" t="s">
        <v>207</v>
      </c>
      <c r="U2278" t="s">
        <v>61</v>
      </c>
      <c r="V2278" t="s">
        <v>969</v>
      </c>
      <c r="W2278">
        <v>5</v>
      </c>
      <c r="X2278" t="s">
        <v>41</v>
      </c>
      <c r="Y2278" t="s">
        <v>55</v>
      </c>
      <c r="Z2278">
        <v>4</v>
      </c>
    </row>
    <row r="2279" spans="1:26">
      <c r="A2279" t="s">
        <v>3468</v>
      </c>
      <c r="B2279" t="s">
        <v>1485</v>
      </c>
      <c r="C2279" t="s">
        <v>28</v>
      </c>
      <c r="D2279" t="s">
        <v>46</v>
      </c>
      <c r="E2279" s="1">
        <v>45340</v>
      </c>
      <c r="F2279" t="s">
        <v>79</v>
      </c>
      <c r="G2279" t="s">
        <v>517</v>
      </c>
      <c r="H2279" t="s">
        <v>59</v>
      </c>
      <c r="I2279">
        <v>10</v>
      </c>
      <c r="J2279" t="s">
        <v>98</v>
      </c>
      <c r="K2279">
        <v>1</v>
      </c>
      <c r="L2279" s="3">
        <v>6899</v>
      </c>
      <c r="M2279">
        <v>30</v>
      </c>
      <c r="N2279" s="3">
        <v>4830</v>
      </c>
      <c r="O2279" s="3">
        <v>4830</v>
      </c>
      <c r="P2279" t="s">
        <v>74</v>
      </c>
      <c r="Q2279" t="s">
        <v>51</v>
      </c>
      <c r="R2279" t="s">
        <v>36</v>
      </c>
      <c r="S2279" t="s">
        <v>297</v>
      </c>
      <c r="T2279" t="s">
        <v>390</v>
      </c>
      <c r="U2279" t="s">
        <v>61</v>
      </c>
      <c r="V2279" t="s">
        <v>969</v>
      </c>
      <c r="W2279">
        <v>4</v>
      </c>
      <c r="X2279" t="s">
        <v>41</v>
      </c>
      <c r="Y2279" t="s">
        <v>55</v>
      </c>
      <c r="Z2279">
        <v>1</v>
      </c>
    </row>
    <row r="2280" spans="1:26">
      <c r="A2280" t="s">
        <v>3469</v>
      </c>
      <c r="B2280" t="s">
        <v>1689</v>
      </c>
      <c r="C2280" t="s">
        <v>45</v>
      </c>
      <c r="D2280" t="s">
        <v>46</v>
      </c>
      <c r="E2280" s="1">
        <v>45340</v>
      </c>
      <c r="F2280" t="s">
        <v>86</v>
      </c>
      <c r="G2280" t="s">
        <v>190</v>
      </c>
      <c r="H2280" t="s">
        <v>128</v>
      </c>
      <c r="I2280">
        <v>9</v>
      </c>
      <c r="J2280" t="s">
        <v>33</v>
      </c>
      <c r="K2280">
        <v>1</v>
      </c>
      <c r="L2280" s="3">
        <v>8199</v>
      </c>
      <c r="M2280">
        <v>15</v>
      </c>
      <c r="N2280" s="3">
        <v>6970</v>
      </c>
      <c r="O2280" s="3">
        <v>6970</v>
      </c>
      <c r="P2280" t="s">
        <v>34</v>
      </c>
      <c r="Q2280" t="s">
        <v>51</v>
      </c>
      <c r="R2280" t="s">
        <v>36</v>
      </c>
      <c r="S2280" t="s">
        <v>99</v>
      </c>
      <c r="T2280" t="s">
        <v>335</v>
      </c>
      <c r="U2280" t="s">
        <v>124</v>
      </c>
      <c r="V2280" t="s">
        <v>315</v>
      </c>
      <c r="W2280">
        <v>5</v>
      </c>
      <c r="X2280" t="s">
        <v>41</v>
      </c>
      <c r="Y2280" t="s">
        <v>42</v>
      </c>
      <c r="Z2280">
        <v>5</v>
      </c>
    </row>
    <row r="2281" spans="1:26">
      <c r="A2281" t="s">
        <v>3470</v>
      </c>
      <c r="B2281" t="s">
        <v>1113</v>
      </c>
      <c r="C2281" t="s">
        <v>28</v>
      </c>
      <c r="D2281" t="s">
        <v>46</v>
      </c>
      <c r="E2281" s="1">
        <v>45340</v>
      </c>
      <c r="F2281" t="s">
        <v>86</v>
      </c>
      <c r="G2281" t="s">
        <v>285</v>
      </c>
      <c r="H2281" t="s">
        <v>111</v>
      </c>
      <c r="I2281">
        <v>9</v>
      </c>
      <c r="J2281" t="s">
        <v>33</v>
      </c>
      <c r="K2281">
        <v>1</v>
      </c>
      <c r="L2281" s="3">
        <v>9699</v>
      </c>
      <c r="M2281">
        <v>0</v>
      </c>
      <c r="N2281" s="3">
        <v>9700</v>
      </c>
      <c r="O2281" s="3">
        <v>9700</v>
      </c>
      <c r="P2281" t="s">
        <v>34</v>
      </c>
      <c r="Q2281" t="s">
        <v>51</v>
      </c>
      <c r="R2281" t="s">
        <v>36</v>
      </c>
      <c r="S2281" t="s">
        <v>418</v>
      </c>
      <c r="T2281" t="s">
        <v>549</v>
      </c>
      <c r="U2281" t="s">
        <v>61</v>
      </c>
      <c r="V2281" t="s">
        <v>315</v>
      </c>
      <c r="W2281">
        <v>3.9</v>
      </c>
      <c r="X2281" t="s">
        <v>41</v>
      </c>
      <c r="Y2281" t="s">
        <v>42</v>
      </c>
      <c r="Z2281">
        <v>3</v>
      </c>
    </row>
    <row r="2282" spans="1:26">
      <c r="A2282" t="s">
        <v>3471</v>
      </c>
      <c r="B2282" t="s">
        <v>2744</v>
      </c>
      <c r="C2282" t="s">
        <v>28</v>
      </c>
      <c r="D2282" t="s">
        <v>46</v>
      </c>
      <c r="E2282" s="1">
        <v>45342</v>
      </c>
      <c r="F2282" t="s">
        <v>96</v>
      </c>
      <c r="G2282" t="s">
        <v>290</v>
      </c>
      <c r="H2282" t="s">
        <v>32</v>
      </c>
      <c r="I2282">
        <v>11</v>
      </c>
      <c r="J2282" t="s">
        <v>150</v>
      </c>
      <c r="K2282">
        <v>1</v>
      </c>
      <c r="L2282" s="3">
        <v>6599</v>
      </c>
      <c r="M2282">
        <v>20</v>
      </c>
      <c r="N2282" s="3">
        <v>5280</v>
      </c>
      <c r="O2282" s="3">
        <v>5280</v>
      </c>
      <c r="P2282" t="s">
        <v>81</v>
      </c>
      <c r="Q2282" t="s">
        <v>82</v>
      </c>
      <c r="R2282" t="s">
        <v>36</v>
      </c>
      <c r="S2282" t="s">
        <v>269</v>
      </c>
      <c r="T2282" t="s">
        <v>652</v>
      </c>
      <c r="U2282" t="s">
        <v>39</v>
      </c>
      <c r="V2282" t="s">
        <v>315</v>
      </c>
      <c r="W2282">
        <v>5</v>
      </c>
      <c r="X2282" t="s">
        <v>41</v>
      </c>
      <c r="Y2282" t="s">
        <v>55</v>
      </c>
      <c r="Z2282">
        <v>1</v>
      </c>
    </row>
    <row r="2283" spans="1:26">
      <c r="A2283" t="s">
        <v>3472</v>
      </c>
      <c r="B2283" t="s">
        <v>1405</v>
      </c>
      <c r="C2283" t="s">
        <v>28</v>
      </c>
      <c r="D2283" t="s">
        <v>95</v>
      </c>
      <c r="E2283" s="1">
        <v>45342</v>
      </c>
      <c r="F2283" t="s">
        <v>79</v>
      </c>
      <c r="G2283" t="s">
        <v>517</v>
      </c>
      <c r="H2283" t="s">
        <v>59</v>
      </c>
      <c r="I2283">
        <v>10</v>
      </c>
      <c r="J2283" t="s">
        <v>150</v>
      </c>
      <c r="K2283">
        <v>2</v>
      </c>
      <c r="L2283" s="3">
        <v>4799</v>
      </c>
      <c r="M2283">
        <v>5</v>
      </c>
      <c r="N2283" s="3">
        <v>4560</v>
      </c>
      <c r="O2283" s="3">
        <v>9120</v>
      </c>
      <c r="P2283" t="s">
        <v>74</v>
      </c>
      <c r="Q2283" t="s">
        <v>51</v>
      </c>
      <c r="R2283" t="s">
        <v>36</v>
      </c>
      <c r="S2283" t="s">
        <v>99</v>
      </c>
      <c r="T2283" t="s">
        <v>229</v>
      </c>
      <c r="U2283" t="s">
        <v>91</v>
      </c>
      <c r="V2283" t="s">
        <v>315</v>
      </c>
      <c r="W2283">
        <v>4.2</v>
      </c>
      <c r="X2283" t="s">
        <v>41</v>
      </c>
      <c r="Y2283" t="s">
        <v>42</v>
      </c>
      <c r="Z2283">
        <v>3</v>
      </c>
    </row>
    <row r="2284" spans="1:26">
      <c r="A2284" t="s">
        <v>3473</v>
      </c>
      <c r="B2284" t="s">
        <v>2664</v>
      </c>
      <c r="C2284" t="s">
        <v>45</v>
      </c>
      <c r="D2284" t="s">
        <v>95</v>
      </c>
      <c r="E2284" s="1">
        <v>45342</v>
      </c>
      <c r="F2284" t="s">
        <v>96</v>
      </c>
      <c r="G2284" t="s">
        <v>290</v>
      </c>
      <c r="H2284" t="s">
        <v>32</v>
      </c>
      <c r="I2284">
        <v>11</v>
      </c>
      <c r="J2284" t="s">
        <v>150</v>
      </c>
      <c r="K2284">
        <v>2</v>
      </c>
      <c r="L2284" s="3">
        <v>5699</v>
      </c>
      <c r="M2284">
        <v>5</v>
      </c>
      <c r="N2284" s="3">
        <v>5410</v>
      </c>
      <c r="O2284" s="3">
        <v>10820</v>
      </c>
      <c r="P2284" t="s">
        <v>74</v>
      </c>
      <c r="Q2284" t="s">
        <v>35</v>
      </c>
      <c r="R2284" t="s">
        <v>36</v>
      </c>
      <c r="S2284" t="s">
        <v>52</v>
      </c>
      <c r="T2284" t="s">
        <v>60</v>
      </c>
      <c r="U2284" t="s">
        <v>91</v>
      </c>
      <c r="V2284" t="s">
        <v>969</v>
      </c>
      <c r="W2284">
        <v>3.5</v>
      </c>
      <c r="X2284" t="s">
        <v>41</v>
      </c>
      <c r="Y2284" t="s">
        <v>42</v>
      </c>
      <c r="Z2284">
        <v>5</v>
      </c>
    </row>
    <row r="2285" spans="1:26">
      <c r="A2285" t="s">
        <v>3474</v>
      </c>
      <c r="B2285" t="s">
        <v>3475</v>
      </c>
      <c r="C2285" t="s">
        <v>94</v>
      </c>
      <c r="D2285" t="s">
        <v>46</v>
      </c>
      <c r="E2285" s="1">
        <v>45343</v>
      </c>
      <c r="F2285" t="s">
        <v>47</v>
      </c>
      <c r="G2285" t="s">
        <v>48</v>
      </c>
      <c r="H2285" t="s">
        <v>49</v>
      </c>
      <c r="I2285">
        <v>7</v>
      </c>
      <c r="J2285" t="s">
        <v>150</v>
      </c>
      <c r="K2285">
        <v>1</v>
      </c>
      <c r="L2285" s="3">
        <v>8499</v>
      </c>
      <c r="M2285">
        <v>15</v>
      </c>
      <c r="N2285" s="3">
        <v>7220</v>
      </c>
      <c r="O2285" s="3">
        <v>7220</v>
      </c>
      <c r="P2285" t="s">
        <v>74</v>
      </c>
      <c r="Q2285" t="s">
        <v>51</v>
      </c>
      <c r="R2285" t="s">
        <v>36</v>
      </c>
      <c r="S2285" t="s">
        <v>112</v>
      </c>
      <c r="T2285" t="s">
        <v>113</v>
      </c>
      <c r="U2285" t="s">
        <v>61</v>
      </c>
      <c r="V2285" t="s">
        <v>40</v>
      </c>
      <c r="W2285">
        <v>4.5</v>
      </c>
      <c r="X2285" t="s">
        <v>41</v>
      </c>
      <c r="Y2285" t="s">
        <v>42</v>
      </c>
      <c r="Z2285">
        <v>3</v>
      </c>
    </row>
    <row r="2286" spans="1:26">
      <c r="A2286" t="s">
        <v>3476</v>
      </c>
      <c r="B2286" t="s">
        <v>2357</v>
      </c>
      <c r="C2286" t="s">
        <v>28</v>
      </c>
      <c r="D2286" t="s">
        <v>46</v>
      </c>
      <c r="E2286" s="1">
        <v>45345</v>
      </c>
      <c r="F2286" t="s">
        <v>30</v>
      </c>
      <c r="G2286" t="s">
        <v>58</v>
      </c>
      <c r="H2286" t="s">
        <v>59</v>
      </c>
      <c r="I2286">
        <v>8</v>
      </c>
      <c r="J2286" t="s">
        <v>88</v>
      </c>
      <c r="K2286">
        <v>1</v>
      </c>
      <c r="L2286" s="3">
        <v>4999</v>
      </c>
      <c r="M2286">
        <v>25</v>
      </c>
      <c r="N2286" s="3">
        <v>3750</v>
      </c>
      <c r="O2286" s="3">
        <v>3750</v>
      </c>
      <c r="P2286" t="s">
        <v>34</v>
      </c>
      <c r="Q2286" t="s">
        <v>82</v>
      </c>
      <c r="R2286" t="s">
        <v>36</v>
      </c>
      <c r="S2286" t="s">
        <v>191</v>
      </c>
      <c r="T2286" t="s">
        <v>192</v>
      </c>
      <c r="U2286" t="s">
        <v>61</v>
      </c>
      <c r="V2286" t="s">
        <v>315</v>
      </c>
      <c r="W2286">
        <v>5</v>
      </c>
      <c r="X2286" t="s">
        <v>41</v>
      </c>
      <c r="Y2286" t="s">
        <v>42</v>
      </c>
      <c r="Z2286">
        <v>4</v>
      </c>
    </row>
    <row r="2287" spans="1:26">
      <c r="A2287" t="s">
        <v>3477</v>
      </c>
      <c r="B2287" t="s">
        <v>284</v>
      </c>
      <c r="C2287" t="s">
        <v>94</v>
      </c>
      <c r="D2287" t="s">
        <v>103</v>
      </c>
      <c r="E2287" s="1">
        <v>45345</v>
      </c>
      <c r="F2287" t="s">
        <v>47</v>
      </c>
      <c r="G2287" t="s">
        <v>121</v>
      </c>
      <c r="H2287" t="s">
        <v>111</v>
      </c>
      <c r="I2287">
        <v>10</v>
      </c>
      <c r="J2287" t="s">
        <v>67</v>
      </c>
      <c r="K2287">
        <v>1</v>
      </c>
      <c r="L2287" s="3">
        <v>4099</v>
      </c>
      <c r="M2287">
        <v>25</v>
      </c>
      <c r="N2287" s="3">
        <v>3070</v>
      </c>
      <c r="O2287" s="3">
        <v>3070</v>
      </c>
      <c r="P2287" t="s">
        <v>74</v>
      </c>
      <c r="Q2287" t="s">
        <v>82</v>
      </c>
      <c r="R2287" t="s">
        <v>36</v>
      </c>
      <c r="S2287" t="s">
        <v>460</v>
      </c>
      <c r="T2287" t="s">
        <v>1868</v>
      </c>
      <c r="U2287" t="s">
        <v>91</v>
      </c>
      <c r="V2287" t="s">
        <v>969</v>
      </c>
      <c r="W2287">
        <v>5</v>
      </c>
      <c r="X2287" t="s">
        <v>106</v>
      </c>
      <c r="Y2287" t="s">
        <v>42</v>
      </c>
      <c r="Z2287">
        <v>4</v>
      </c>
    </row>
    <row r="2288" spans="1:26">
      <c r="A2288" t="s">
        <v>3478</v>
      </c>
      <c r="B2288" t="s">
        <v>923</v>
      </c>
      <c r="C2288" t="s">
        <v>45</v>
      </c>
      <c r="D2288" t="s">
        <v>29</v>
      </c>
      <c r="E2288" s="1">
        <v>45346</v>
      </c>
      <c r="F2288" t="s">
        <v>30</v>
      </c>
      <c r="G2288" t="s">
        <v>347</v>
      </c>
      <c r="H2288" t="s">
        <v>49</v>
      </c>
      <c r="I2288">
        <v>8</v>
      </c>
      <c r="J2288" t="s">
        <v>67</v>
      </c>
      <c r="K2288">
        <v>1</v>
      </c>
      <c r="L2288" s="3">
        <v>3699</v>
      </c>
      <c r="M2288">
        <v>5</v>
      </c>
      <c r="N2288" s="3">
        <v>3510</v>
      </c>
      <c r="O2288" s="3">
        <v>3510</v>
      </c>
      <c r="P2288" t="s">
        <v>34</v>
      </c>
      <c r="Q2288" t="s">
        <v>82</v>
      </c>
      <c r="R2288" t="s">
        <v>36</v>
      </c>
      <c r="S2288" t="s">
        <v>175</v>
      </c>
      <c r="T2288" t="s">
        <v>437</v>
      </c>
      <c r="U2288" t="s">
        <v>91</v>
      </c>
      <c r="V2288" t="s">
        <v>969</v>
      </c>
      <c r="W2288">
        <v>4.2</v>
      </c>
      <c r="X2288" t="s">
        <v>41</v>
      </c>
      <c r="Y2288" t="s">
        <v>42</v>
      </c>
      <c r="Z2288">
        <v>2</v>
      </c>
    </row>
    <row r="2289" spans="1:26">
      <c r="A2289" t="s">
        <v>3479</v>
      </c>
      <c r="B2289" t="s">
        <v>772</v>
      </c>
      <c r="C2289" t="s">
        <v>94</v>
      </c>
      <c r="D2289" t="s">
        <v>46</v>
      </c>
      <c r="E2289" s="1">
        <v>45348</v>
      </c>
      <c r="F2289" t="s">
        <v>86</v>
      </c>
      <c r="G2289" t="s">
        <v>87</v>
      </c>
      <c r="H2289" t="s">
        <v>59</v>
      </c>
      <c r="I2289">
        <v>9</v>
      </c>
      <c r="J2289" t="s">
        <v>73</v>
      </c>
      <c r="K2289">
        <v>1</v>
      </c>
      <c r="L2289" s="3">
        <v>6999</v>
      </c>
      <c r="M2289">
        <v>10</v>
      </c>
      <c r="N2289" s="3">
        <v>6300</v>
      </c>
      <c r="O2289" s="3">
        <v>6300</v>
      </c>
      <c r="P2289" t="s">
        <v>34</v>
      </c>
      <c r="Q2289" t="s">
        <v>51</v>
      </c>
      <c r="R2289" t="s">
        <v>36</v>
      </c>
      <c r="S2289" t="s">
        <v>200</v>
      </c>
      <c r="T2289" t="s">
        <v>232</v>
      </c>
      <c r="U2289" t="s">
        <v>61</v>
      </c>
      <c r="V2289" t="s">
        <v>969</v>
      </c>
      <c r="W2289">
        <v>3.9</v>
      </c>
      <c r="X2289" t="s">
        <v>62</v>
      </c>
      <c r="Y2289" t="s">
        <v>147</v>
      </c>
      <c r="Z2289">
        <v>1</v>
      </c>
    </row>
    <row r="2290" spans="1:26">
      <c r="A2290" t="s">
        <v>3480</v>
      </c>
      <c r="B2290" t="s">
        <v>2128</v>
      </c>
      <c r="C2290" t="s">
        <v>28</v>
      </c>
      <c r="D2290" t="s">
        <v>95</v>
      </c>
      <c r="E2290" s="1">
        <v>45349</v>
      </c>
      <c r="F2290" t="s">
        <v>79</v>
      </c>
      <c r="G2290" t="s">
        <v>517</v>
      </c>
      <c r="H2290" t="s">
        <v>59</v>
      </c>
      <c r="I2290">
        <v>9</v>
      </c>
      <c r="J2290" t="s">
        <v>88</v>
      </c>
      <c r="K2290">
        <v>1</v>
      </c>
      <c r="L2290" s="3">
        <v>6099</v>
      </c>
      <c r="M2290">
        <v>25</v>
      </c>
      <c r="N2290" s="3">
        <v>4570</v>
      </c>
      <c r="O2290" s="3">
        <v>4570</v>
      </c>
      <c r="P2290" t="s">
        <v>74</v>
      </c>
      <c r="Q2290" t="s">
        <v>51</v>
      </c>
      <c r="R2290" t="s">
        <v>36</v>
      </c>
      <c r="S2290" t="s">
        <v>129</v>
      </c>
      <c r="T2290" t="s">
        <v>282</v>
      </c>
      <c r="U2290" t="s">
        <v>124</v>
      </c>
      <c r="V2290" t="s">
        <v>315</v>
      </c>
      <c r="W2290">
        <v>4.4000000000000004</v>
      </c>
      <c r="X2290" t="s">
        <v>41</v>
      </c>
      <c r="Y2290" t="s">
        <v>42</v>
      </c>
      <c r="Z2290">
        <v>4</v>
      </c>
    </row>
    <row r="2291" spans="1:26">
      <c r="A2291" t="s">
        <v>3481</v>
      </c>
      <c r="B2291" t="s">
        <v>3009</v>
      </c>
      <c r="C2291" t="s">
        <v>94</v>
      </c>
      <c r="D2291" t="s">
        <v>95</v>
      </c>
      <c r="E2291" s="1">
        <v>45352</v>
      </c>
      <c r="F2291" t="s">
        <v>86</v>
      </c>
      <c r="G2291" t="s">
        <v>312</v>
      </c>
      <c r="H2291" t="s">
        <v>59</v>
      </c>
      <c r="I2291">
        <v>12</v>
      </c>
      <c r="J2291" t="s">
        <v>98</v>
      </c>
      <c r="K2291">
        <v>1</v>
      </c>
      <c r="L2291" s="3">
        <v>6699</v>
      </c>
      <c r="M2291">
        <v>20</v>
      </c>
      <c r="N2291" s="3">
        <v>5360</v>
      </c>
      <c r="O2291" s="3">
        <v>5360</v>
      </c>
      <c r="P2291" t="s">
        <v>74</v>
      </c>
      <c r="Q2291" t="s">
        <v>35</v>
      </c>
      <c r="R2291" t="s">
        <v>36</v>
      </c>
      <c r="S2291" t="s">
        <v>358</v>
      </c>
      <c r="T2291" t="s">
        <v>805</v>
      </c>
      <c r="U2291" t="s">
        <v>54</v>
      </c>
      <c r="V2291" t="s">
        <v>315</v>
      </c>
      <c r="W2291">
        <v>3.4</v>
      </c>
      <c r="X2291" t="s">
        <v>41</v>
      </c>
      <c r="Y2291" t="s">
        <v>147</v>
      </c>
      <c r="Z2291">
        <v>2</v>
      </c>
    </row>
    <row r="2292" spans="1:26">
      <c r="A2292" t="s">
        <v>3482</v>
      </c>
      <c r="B2292" t="s">
        <v>2359</v>
      </c>
      <c r="C2292" t="s">
        <v>28</v>
      </c>
      <c r="D2292" t="s">
        <v>46</v>
      </c>
      <c r="E2292" s="1">
        <v>45353</v>
      </c>
      <c r="F2292" t="s">
        <v>30</v>
      </c>
      <c r="G2292" t="s">
        <v>110</v>
      </c>
      <c r="H2292" t="s">
        <v>111</v>
      </c>
      <c r="I2292">
        <v>7</v>
      </c>
      <c r="J2292" t="s">
        <v>73</v>
      </c>
      <c r="K2292">
        <v>1</v>
      </c>
      <c r="L2292" s="3">
        <v>8299</v>
      </c>
      <c r="M2292">
        <v>10</v>
      </c>
      <c r="N2292" s="3">
        <v>7470</v>
      </c>
      <c r="O2292" s="3">
        <v>7470</v>
      </c>
      <c r="P2292" t="s">
        <v>74</v>
      </c>
      <c r="Q2292" t="s">
        <v>35</v>
      </c>
      <c r="R2292" t="s">
        <v>36</v>
      </c>
      <c r="S2292" t="s">
        <v>210</v>
      </c>
      <c r="T2292" t="s">
        <v>211</v>
      </c>
      <c r="U2292" t="s">
        <v>54</v>
      </c>
      <c r="V2292" t="s">
        <v>315</v>
      </c>
      <c r="W2292">
        <v>3.9</v>
      </c>
      <c r="X2292" t="s">
        <v>41</v>
      </c>
      <c r="Y2292" t="s">
        <v>42</v>
      </c>
      <c r="Z2292">
        <v>6</v>
      </c>
    </row>
    <row r="2293" spans="1:26">
      <c r="A2293" t="s">
        <v>3483</v>
      </c>
      <c r="B2293" t="s">
        <v>468</v>
      </c>
      <c r="C2293" t="s">
        <v>45</v>
      </c>
      <c r="D2293" t="s">
        <v>109</v>
      </c>
      <c r="E2293" s="1">
        <v>45353</v>
      </c>
      <c r="F2293" t="s">
        <v>47</v>
      </c>
      <c r="G2293" t="s">
        <v>402</v>
      </c>
      <c r="H2293" t="s">
        <v>32</v>
      </c>
      <c r="I2293">
        <v>10</v>
      </c>
      <c r="J2293" t="s">
        <v>98</v>
      </c>
      <c r="K2293">
        <v>1</v>
      </c>
      <c r="L2293" s="3">
        <v>7399</v>
      </c>
      <c r="M2293">
        <v>15</v>
      </c>
      <c r="N2293" s="3">
        <v>6290</v>
      </c>
      <c r="O2293" s="3">
        <v>6290</v>
      </c>
      <c r="P2293" t="s">
        <v>74</v>
      </c>
      <c r="Q2293" t="s">
        <v>51</v>
      </c>
      <c r="R2293" t="s">
        <v>36</v>
      </c>
      <c r="S2293" t="s">
        <v>151</v>
      </c>
      <c r="T2293" t="s">
        <v>452</v>
      </c>
      <c r="U2293" t="s">
        <v>124</v>
      </c>
      <c r="V2293" t="s">
        <v>969</v>
      </c>
      <c r="W2293">
        <v>3.6</v>
      </c>
      <c r="X2293" t="s">
        <v>41</v>
      </c>
      <c r="Y2293" t="s">
        <v>42</v>
      </c>
      <c r="Z2293">
        <v>4</v>
      </c>
    </row>
    <row r="2294" spans="1:26">
      <c r="A2294" t="s">
        <v>3484</v>
      </c>
      <c r="B2294" t="s">
        <v>2231</v>
      </c>
      <c r="C2294" t="s">
        <v>28</v>
      </c>
      <c r="D2294" t="s">
        <v>29</v>
      </c>
      <c r="E2294" s="1">
        <v>45354</v>
      </c>
      <c r="F2294" t="s">
        <v>47</v>
      </c>
      <c r="G2294" t="s">
        <v>218</v>
      </c>
      <c r="H2294" t="s">
        <v>59</v>
      </c>
      <c r="I2294">
        <v>10</v>
      </c>
      <c r="J2294" t="s">
        <v>67</v>
      </c>
      <c r="K2294">
        <v>1</v>
      </c>
      <c r="L2294" s="3">
        <v>4299</v>
      </c>
      <c r="M2294">
        <v>0</v>
      </c>
      <c r="N2294" s="3">
        <v>4300</v>
      </c>
      <c r="O2294" s="3">
        <v>4300</v>
      </c>
      <c r="P2294" t="s">
        <v>74</v>
      </c>
      <c r="Q2294" t="s">
        <v>35</v>
      </c>
      <c r="R2294" t="s">
        <v>36</v>
      </c>
      <c r="S2294" t="s">
        <v>164</v>
      </c>
      <c r="T2294" t="s">
        <v>409</v>
      </c>
      <c r="U2294" t="s">
        <v>91</v>
      </c>
      <c r="V2294" t="s">
        <v>969</v>
      </c>
      <c r="W2294">
        <v>4</v>
      </c>
      <c r="X2294" t="s">
        <v>41</v>
      </c>
      <c r="Y2294" t="s">
        <v>42</v>
      </c>
      <c r="Z2294">
        <v>4</v>
      </c>
    </row>
    <row r="2295" spans="1:26">
      <c r="A2295" t="s">
        <v>3485</v>
      </c>
      <c r="B2295" t="s">
        <v>778</v>
      </c>
      <c r="C2295" t="s">
        <v>28</v>
      </c>
      <c r="D2295" t="s">
        <v>95</v>
      </c>
      <c r="E2295" s="1">
        <v>45357</v>
      </c>
      <c r="F2295" t="s">
        <v>65</v>
      </c>
      <c r="G2295" t="s">
        <v>72</v>
      </c>
      <c r="H2295" t="s">
        <v>59</v>
      </c>
      <c r="I2295">
        <v>8</v>
      </c>
      <c r="J2295" t="s">
        <v>73</v>
      </c>
      <c r="K2295">
        <v>3</v>
      </c>
      <c r="L2295" s="3">
        <v>5999</v>
      </c>
      <c r="M2295">
        <v>5</v>
      </c>
      <c r="N2295" s="3">
        <v>5700</v>
      </c>
      <c r="O2295" s="3">
        <v>17100</v>
      </c>
      <c r="P2295" t="s">
        <v>74</v>
      </c>
      <c r="Q2295" t="s">
        <v>82</v>
      </c>
      <c r="R2295" t="s">
        <v>36</v>
      </c>
      <c r="S2295" t="s">
        <v>156</v>
      </c>
      <c r="T2295" t="s">
        <v>324</v>
      </c>
      <c r="U2295" t="s">
        <v>124</v>
      </c>
      <c r="V2295" t="s">
        <v>969</v>
      </c>
      <c r="W2295">
        <v>3.3</v>
      </c>
      <c r="X2295" t="s">
        <v>106</v>
      </c>
      <c r="Y2295" t="s">
        <v>55</v>
      </c>
      <c r="Z2295">
        <v>3</v>
      </c>
    </row>
    <row r="2296" spans="1:26">
      <c r="A2296" t="s">
        <v>3486</v>
      </c>
      <c r="B2296" t="s">
        <v>552</v>
      </c>
      <c r="C2296" t="s">
        <v>28</v>
      </c>
      <c r="D2296" t="s">
        <v>95</v>
      </c>
      <c r="E2296" s="1">
        <v>45357</v>
      </c>
      <c r="F2296" t="s">
        <v>30</v>
      </c>
      <c r="G2296" t="s">
        <v>110</v>
      </c>
      <c r="H2296" t="s">
        <v>111</v>
      </c>
      <c r="I2296">
        <v>7</v>
      </c>
      <c r="J2296" t="s">
        <v>88</v>
      </c>
      <c r="K2296">
        <v>1</v>
      </c>
      <c r="L2296" s="3">
        <v>6299</v>
      </c>
      <c r="M2296">
        <v>15</v>
      </c>
      <c r="N2296" s="3">
        <v>5350</v>
      </c>
      <c r="O2296" s="3">
        <v>5350</v>
      </c>
      <c r="P2296" t="s">
        <v>81</v>
      </c>
      <c r="Q2296" t="s">
        <v>51</v>
      </c>
      <c r="R2296" t="s">
        <v>36</v>
      </c>
      <c r="S2296" t="s">
        <v>210</v>
      </c>
      <c r="T2296" t="s">
        <v>412</v>
      </c>
      <c r="U2296" t="s">
        <v>124</v>
      </c>
      <c r="V2296" t="s">
        <v>969</v>
      </c>
      <c r="W2296">
        <v>3.4</v>
      </c>
      <c r="X2296" t="s">
        <v>41</v>
      </c>
      <c r="Y2296" t="s">
        <v>55</v>
      </c>
      <c r="Z2296">
        <v>2</v>
      </c>
    </row>
    <row r="2297" spans="1:26">
      <c r="A2297" t="s">
        <v>3487</v>
      </c>
      <c r="B2297" t="s">
        <v>3488</v>
      </c>
      <c r="C2297" t="s">
        <v>45</v>
      </c>
      <c r="D2297" t="s">
        <v>103</v>
      </c>
      <c r="E2297" s="1">
        <v>45358</v>
      </c>
      <c r="F2297" t="s">
        <v>47</v>
      </c>
      <c r="G2297" t="s">
        <v>199</v>
      </c>
      <c r="H2297" t="s">
        <v>59</v>
      </c>
      <c r="I2297">
        <v>7</v>
      </c>
      <c r="J2297" t="s">
        <v>67</v>
      </c>
      <c r="K2297">
        <v>1</v>
      </c>
      <c r="L2297" s="3">
        <v>9299</v>
      </c>
      <c r="M2297">
        <v>15</v>
      </c>
      <c r="N2297" s="3">
        <v>7900</v>
      </c>
      <c r="O2297" s="3">
        <v>7900</v>
      </c>
      <c r="P2297" t="s">
        <v>34</v>
      </c>
      <c r="Q2297" t="s">
        <v>51</v>
      </c>
      <c r="R2297" t="s">
        <v>36</v>
      </c>
      <c r="S2297" t="s">
        <v>99</v>
      </c>
      <c r="T2297" t="s">
        <v>335</v>
      </c>
      <c r="U2297" t="s">
        <v>61</v>
      </c>
      <c r="V2297" t="s">
        <v>40</v>
      </c>
      <c r="W2297">
        <v>5</v>
      </c>
      <c r="X2297" t="s">
        <v>41</v>
      </c>
      <c r="Y2297" t="s">
        <v>42</v>
      </c>
      <c r="Z2297">
        <v>3</v>
      </c>
    </row>
    <row r="2298" spans="1:26">
      <c r="A2298" t="s">
        <v>3489</v>
      </c>
      <c r="B2298" t="s">
        <v>198</v>
      </c>
      <c r="C2298" t="s">
        <v>28</v>
      </c>
      <c r="D2298" t="s">
        <v>29</v>
      </c>
      <c r="E2298" s="1">
        <v>45358</v>
      </c>
      <c r="F2298" t="s">
        <v>96</v>
      </c>
      <c r="G2298" t="s">
        <v>155</v>
      </c>
      <c r="H2298" t="s">
        <v>111</v>
      </c>
      <c r="I2298">
        <v>10</v>
      </c>
      <c r="J2298" t="s">
        <v>73</v>
      </c>
      <c r="K2298">
        <v>1</v>
      </c>
      <c r="L2298" s="3">
        <v>4599</v>
      </c>
      <c r="M2298">
        <v>35</v>
      </c>
      <c r="N2298" s="3">
        <v>2990</v>
      </c>
      <c r="O2298" s="3">
        <v>2990</v>
      </c>
      <c r="P2298" t="s">
        <v>74</v>
      </c>
      <c r="Q2298" t="s">
        <v>51</v>
      </c>
      <c r="R2298" t="s">
        <v>36</v>
      </c>
      <c r="S2298" t="s">
        <v>156</v>
      </c>
      <c r="T2298" t="s">
        <v>324</v>
      </c>
      <c r="U2298" t="s">
        <v>124</v>
      </c>
      <c r="V2298" t="s">
        <v>969</v>
      </c>
      <c r="W2298">
        <v>4.0999999999999996</v>
      </c>
      <c r="X2298" t="s">
        <v>106</v>
      </c>
      <c r="Y2298" t="s">
        <v>42</v>
      </c>
      <c r="Z2298">
        <v>4</v>
      </c>
    </row>
    <row r="2299" spans="1:26">
      <c r="A2299" t="s">
        <v>3490</v>
      </c>
      <c r="B2299" t="s">
        <v>3491</v>
      </c>
      <c r="C2299" t="s">
        <v>45</v>
      </c>
      <c r="D2299" t="s">
        <v>46</v>
      </c>
      <c r="E2299" s="1">
        <v>45363</v>
      </c>
      <c r="F2299" t="s">
        <v>79</v>
      </c>
      <c r="G2299" t="s">
        <v>517</v>
      </c>
      <c r="H2299" t="s">
        <v>59</v>
      </c>
      <c r="I2299">
        <v>8</v>
      </c>
      <c r="J2299" t="s">
        <v>98</v>
      </c>
      <c r="K2299">
        <v>1</v>
      </c>
      <c r="L2299" s="3">
        <v>7299</v>
      </c>
      <c r="M2299">
        <v>20</v>
      </c>
      <c r="N2299" s="3">
        <v>5840</v>
      </c>
      <c r="O2299" s="3">
        <v>5840</v>
      </c>
      <c r="P2299" t="s">
        <v>74</v>
      </c>
      <c r="Q2299" t="s">
        <v>51</v>
      </c>
      <c r="R2299" t="s">
        <v>36</v>
      </c>
      <c r="S2299" t="s">
        <v>238</v>
      </c>
      <c r="T2299" t="s">
        <v>377</v>
      </c>
      <c r="U2299" t="s">
        <v>61</v>
      </c>
      <c r="V2299" t="s">
        <v>40</v>
      </c>
      <c r="W2299">
        <v>4.0999999999999996</v>
      </c>
      <c r="X2299" t="s">
        <v>62</v>
      </c>
      <c r="Y2299" t="s">
        <v>55</v>
      </c>
      <c r="Z2299">
        <v>1</v>
      </c>
    </row>
    <row r="2300" spans="1:26">
      <c r="A2300" t="s">
        <v>3492</v>
      </c>
      <c r="B2300" t="s">
        <v>486</v>
      </c>
      <c r="C2300" t="s">
        <v>45</v>
      </c>
      <c r="D2300" t="s">
        <v>46</v>
      </c>
      <c r="E2300" s="1">
        <v>45363</v>
      </c>
      <c r="F2300" t="s">
        <v>65</v>
      </c>
      <c r="G2300" t="s">
        <v>365</v>
      </c>
      <c r="H2300" t="s">
        <v>49</v>
      </c>
      <c r="I2300">
        <v>8</v>
      </c>
      <c r="J2300" t="s">
        <v>98</v>
      </c>
      <c r="K2300">
        <v>1</v>
      </c>
      <c r="L2300" s="3">
        <v>4099</v>
      </c>
      <c r="M2300">
        <v>30</v>
      </c>
      <c r="N2300" s="3">
        <v>2870</v>
      </c>
      <c r="O2300" s="3">
        <v>2870</v>
      </c>
      <c r="P2300" t="s">
        <v>74</v>
      </c>
      <c r="Q2300" t="s">
        <v>82</v>
      </c>
      <c r="R2300" t="s">
        <v>36</v>
      </c>
      <c r="S2300" t="s">
        <v>286</v>
      </c>
      <c r="T2300" t="s">
        <v>287</v>
      </c>
      <c r="U2300" t="s">
        <v>39</v>
      </c>
      <c r="V2300" t="s">
        <v>969</v>
      </c>
      <c r="W2300">
        <v>5</v>
      </c>
      <c r="X2300" t="s">
        <v>62</v>
      </c>
      <c r="Y2300" t="s">
        <v>55</v>
      </c>
      <c r="Z2300">
        <v>2</v>
      </c>
    </row>
    <row r="2301" spans="1:26">
      <c r="A2301" t="s">
        <v>3493</v>
      </c>
      <c r="B2301" t="s">
        <v>306</v>
      </c>
      <c r="C2301" t="s">
        <v>28</v>
      </c>
      <c r="D2301" t="s">
        <v>103</v>
      </c>
      <c r="E2301" s="1">
        <v>45363</v>
      </c>
      <c r="F2301" t="s">
        <v>86</v>
      </c>
      <c r="G2301" t="s">
        <v>312</v>
      </c>
      <c r="H2301" t="s">
        <v>59</v>
      </c>
      <c r="I2301">
        <v>7</v>
      </c>
      <c r="J2301" t="s">
        <v>33</v>
      </c>
      <c r="K2301">
        <v>1</v>
      </c>
      <c r="L2301" s="3">
        <v>5399</v>
      </c>
      <c r="M2301">
        <v>25</v>
      </c>
      <c r="N2301" s="3">
        <v>4050</v>
      </c>
      <c r="O2301" s="3">
        <v>4050</v>
      </c>
      <c r="P2301" t="s">
        <v>81</v>
      </c>
      <c r="Q2301" t="s">
        <v>35</v>
      </c>
      <c r="R2301" t="s">
        <v>36</v>
      </c>
      <c r="S2301" t="s">
        <v>151</v>
      </c>
      <c r="T2301" t="s">
        <v>152</v>
      </c>
      <c r="U2301" t="s">
        <v>91</v>
      </c>
      <c r="V2301" t="s">
        <v>315</v>
      </c>
      <c r="W2301">
        <v>4.0999999999999996</v>
      </c>
      <c r="X2301" t="s">
        <v>41</v>
      </c>
      <c r="Y2301" t="s">
        <v>42</v>
      </c>
      <c r="Z2301">
        <v>5</v>
      </c>
    </row>
    <row r="2302" spans="1:26">
      <c r="A2302" t="s">
        <v>3494</v>
      </c>
      <c r="B2302" t="s">
        <v>2516</v>
      </c>
      <c r="C2302" t="s">
        <v>94</v>
      </c>
      <c r="D2302" t="s">
        <v>109</v>
      </c>
      <c r="E2302" s="1">
        <v>45364</v>
      </c>
      <c r="F2302" t="s">
        <v>47</v>
      </c>
      <c r="G2302" t="s">
        <v>402</v>
      </c>
      <c r="H2302" t="s">
        <v>32</v>
      </c>
      <c r="I2302">
        <v>9</v>
      </c>
      <c r="J2302" t="s">
        <v>33</v>
      </c>
      <c r="K2302">
        <v>1</v>
      </c>
      <c r="L2302" s="3">
        <v>6399</v>
      </c>
      <c r="M2302">
        <v>0</v>
      </c>
      <c r="N2302" s="3">
        <v>6400</v>
      </c>
      <c r="O2302" s="3">
        <v>6400</v>
      </c>
      <c r="P2302" t="s">
        <v>74</v>
      </c>
      <c r="Q2302" t="s">
        <v>51</v>
      </c>
      <c r="R2302" t="s">
        <v>36</v>
      </c>
      <c r="S2302" t="s">
        <v>175</v>
      </c>
      <c r="T2302" t="s">
        <v>495</v>
      </c>
      <c r="U2302" t="s">
        <v>39</v>
      </c>
      <c r="V2302" t="s">
        <v>315</v>
      </c>
      <c r="W2302">
        <v>4.0999999999999996</v>
      </c>
      <c r="X2302" t="s">
        <v>41</v>
      </c>
      <c r="Y2302" t="s">
        <v>42</v>
      </c>
      <c r="Z2302">
        <v>3</v>
      </c>
    </row>
    <row r="2303" spans="1:26">
      <c r="A2303" t="s">
        <v>3495</v>
      </c>
      <c r="B2303" t="s">
        <v>3496</v>
      </c>
      <c r="C2303" t="s">
        <v>28</v>
      </c>
      <c r="D2303" t="s">
        <v>29</v>
      </c>
      <c r="E2303" s="1">
        <v>45365</v>
      </c>
      <c r="F2303" t="s">
        <v>96</v>
      </c>
      <c r="G2303" t="s">
        <v>171</v>
      </c>
      <c r="H2303" t="s">
        <v>128</v>
      </c>
      <c r="I2303">
        <v>8</v>
      </c>
      <c r="J2303" t="s">
        <v>150</v>
      </c>
      <c r="K2303">
        <v>1</v>
      </c>
      <c r="L2303" s="3">
        <v>5099</v>
      </c>
      <c r="M2303">
        <v>10</v>
      </c>
      <c r="N2303" s="3">
        <v>4590</v>
      </c>
      <c r="O2303" s="3">
        <v>4590</v>
      </c>
      <c r="P2303" t="s">
        <v>74</v>
      </c>
      <c r="Q2303" t="s">
        <v>82</v>
      </c>
      <c r="R2303" t="s">
        <v>36</v>
      </c>
      <c r="S2303" t="s">
        <v>160</v>
      </c>
      <c r="T2303" t="s">
        <v>161</v>
      </c>
      <c r="U2303" t="s">
        <v>39</v>
      </c>
      <c r="V2303" t="s">
        <v>40</v>
      </c>
      <c r="W2303">
        <v>3.7</v>
      </c>
      <c r="X2303" t="s">
        <v>41</v>
      </c>
      <c r="Y2303" t="s">
        <v>42</v>
      </c>
      <c r="Z2303">
        <v>4</v>
      </c>
    </row>
    <row r="2304" spans="1:26">
      <c r="A2304" t="s">
        <v>3497</v>
      </c>
      <c r="B2304" t="s">
        <v>2098</v>
      </c>
      <c r="C2304" t="s">
        <v>45</v>
      </c>
      <c r="D2304" t="s">
        <v>46</v>
      </c>
      <c r="E2304" s="1">
        <v>45366</v>
      </c>
      <c r="F2304" t="s">
        <v>30</v>
      </c>
      <c r="G2304" t="s">
        <v>58</v>
      </c>
      <c r="H2304" t="s">
        <v>59</v>
      </c>
      <c r="I2304">
        <v>6</v>
      </c>
      <c r="J2304" t="s">
        <v>98</v>
      </c>
      <c r="K2304">
        <v>1</v>
      </c>
      <c r="L2304" s="3">
        <v>9099</v>
      </c>
      <c r="M2304">
        <v>0</v>
      </c>
      <c r="N2304" s="3">
        <v>9100</v>
      </c>
      <c r="O2304" s="3">
        <v>9100</v>
      </c>
      <c r="P2304" t="s">
        <v>74</v>
      </c>
      <c r="Q2304" t="s">
        <v>82</v>
      </c>
      <c r="R2304" t="s">
        <v>36</v>
      </c>
      <c r="S2304" t="s">
        <v>243</v>
      </c>
      <c r="T2304" t="s">
        <v>273</v>
      </c>
      <c r="U2304" t="s">
        <v>91</v>
      </c>
      <c r="V2304" t="s">
        <v>315</v>
      </c>
      <c r="W2304">
        <v>3.6</v>
      </c>
      <c r="X2304" t="s">
        <v>41</v>
      </c>
      <c r="Y2304" t="s">
        <v>42</v>
      </c>
      <c r="Z2304">
        <v>3</v>
      </c>
    </row>
    <row r="2305" spans="1:26">
      <c r="A2305" t="s">
        <v>3498</v>
      </c>
      <c r="B2305" t="s">
        <v>955</v>
      </c>
      <c r="C2305" t="s">
        <v>94</v>
      </c>
      <c r="D2305" t="s">
        <v>46</v>
      </c>
      <c r="E2305" s="1">
        <v>45367</v>
      </c>
      <c r="F2305" t="s">
        <v>30</v>
      </c>
      <c r="G2305" t="s">
        <v>110</v>
      </c>
      <c r="H2305" t="s">
        <v>111</v>
      </c>
      <c r="I2305">
        <v>12</v>
      </c>
      <c r="J2305" t="s">
        <v>67</v>
      </c>
      <c r="K2305">
        <v>1</v>
      </c>
      <c r="L2305" s="3">
        <v>8899</v>
      </c>
      <c r="M2305">
        <v>25</v>
      </c>
      <c r="N2305" s="3">
        <v>6670</v>
      </c>
      <c r="O2305" s="3">
        <v>6670</v>
      </c>
      <c r="P2305" t="s">
        <v>34</v>
      </c>
      <c r="Q2305" t="s">
        <v>35</v>
      </c>
      <c r="R2305" t="s">
        <v>36</v>
      </c>
      <c r="S2305" t="s">
        <v>75</v>
      </c>
      <c r="T2305" t="s">
        <v>796</v>
      </c>
      <c r="U2305" t="s">
        <v>54</v>
      </c>
      <c r="V2305" t="s">
        <v>315</v>
      </c>
      <c r="W2305">
        <v>4.8</v>
      </c>
      <c r="X2305" t="s">
        <v>41</v>
      </c>
      <c r="Y2305" t="s">
        <v>55</v>
      </c>
      <c r="Z2305">
        <v>2</v>
      </c>
    </row>
    <row r="2306" spans="1:26">
      <c r="A2306" t="s">
        <v>3499</v>
      </c>
      <c r="B2306" t="s">
        <v>490</v>
      </c>
      <c r="C2306" t="s">
        <v>28</v>
      </c>
      <c r="D2306" t="s">
        <v>103</v>
      </c>
      <c r="E2306" s="1">
        <v>45367</v>
      </c>
      <c r="F2306" t="s">
        <v>65</v>
      </c>
      <c r="G2306" t="s">
        <v>268</v>
      </c>
      <c r="H2306" t="s">
        <v>128</v>
      </c>
      <c r="I2306">
        <v>6</v>
      </c>
      <c r="J2306" t="s">
        <v>33</v>
      </c>
      <c r="K2306">
        <v>1</v>
      </c>
      <c r="L2306" s="3">
        <v>3099</v>
      </c>
      <c r="M2306">
        <v>15</v>
      </c>
      <c r="N2306" s="3">
        <v>2630</v>
      </c>
      <c r="O2306" s="3">
        <v>2630</v>
      </c>
      <c r="P2306" t="s">
        <v>74</v>
      </c>
      <c r="Q2306" t="s">
        <v>82</v>
      </c>
      <c r="R2306" t="s">
        <v>36</v>
      </c>
      <c r="S2306" t="s">
        <v>75</v>
      </c>
      <c r="T2306" t="s">
        <v>318</v>
      </c>
      <c r="U2306" t="s">
        <v>124</v>
      </c>
      <c r="V2306" t="s">
        <v>969</v>
      </c>
      <c r="W2306">
        <v>4.5</v>
      </c>
      <c r="X2306" t="s">
        <v>41</v>
      </c>
      <c r="Y2306" t="s">
        <v>55</v>
      </c>
      <c r="Z2306">
        <v>3</v>
      </c>
    </row>
    <row r="2307" spans="1:26">
      <c r="A2307" t="s">
        <v>3500</v>
      </c>
      <c r="B2307" t="s">
        <v>1129</v>
      </c>
      <c r="C2307" t="s">
        <v>94</v>
      </c>
      <c r="D2307" t="s">
        <v>46</v>
      </c>
      <c r="E2307" s="1">
        <v>45367</v>
      </c>
      <c r="F2307" t="s">
        <v>96</v>
      </c>
      <c r="G2307" t="s">
        <v>97</v>
      </c>
      <c r="H2307" t="s">
        <v>49</v>
      </c>
      <c r="I2307">
        <v>8</v>
      </c>
      <c r="J2307" t="s">
        <v>88</v>
      </c>
      <c r="K2307">
        <v>1</v>
      </c>
      <c r="L2307" s="3">
        <v>7999</v>
      </c>
      <c r="M2307">
        <v>35</v>
      </c>
      <c r="N2307" s="3">
        <v>5200</v>
      </c>
      <c r="O2307" s="3">
        <v>5200</v>
      </c>
      <c r="P2307" t="s">
        <v>34</v>
      </c>
      <c r="Q2307" t="s">
        <v>82</v>
      </c>
      <c r="R2307" t="s">
        <v>36</v>
      </c>
      <c r="S2307" t="s">
        <v>460</v>
      </c>
      <c r="T2307" t="s">
        <v>580</v>
      </c>
      <c r="U2307" t="s">
        <v>91</v>
      </c>
      <c r="V2307" t="s">
        <v>969</v>
      </c>
      <c r="W2307">
        <v>4.7</v>
      </c>
      <c r="X2307" t="s">
        <v>106</v>
      </c>
      <c r="Y2307" t="s">
        <v>55</v>
      </c>
      <c r="Z2307">
        <v>2</v>
      </c>
    </row>
    <row r="2308" spans="1:26">
      <c r="A2308" t="s">
        <v>3501</v>
      </c>
      <c r="B2308" t="s">
        <v>2884</v>
      </c>
      <c r="C2308" t="s">
        <v>45</v>
      </c>
      <c r="D2308" t="s">
        <v>29</v>
      </c>
      <c r="E2308" s="1">
        <v>45367</v>
      </c>
      <c r="F2308" t="s">
        <v>96</v>
      </c>
      <c r="G2308" t="s">
        <v>155</v>
      </c>
      <c r="H2308" t="s">
        <v>111</v>
      </c>
      <c r="I2308">
        <v>7</v>
      </c>
      <c r="J2308" t="s">
        <v>150</v>
      </c>
      <c r="K2308">
        <v>2</v>
      </c>
      <c r="L2308" s="3">
        <v>5099</v>
      </c>
      <c r="M2308">
        <v>10</v>
      </c>
      <c r="N2308" s="3">
        <v>4590</v>
      </c>
      <c r="O2308" s="3">
        <v>9180</v>
      </c>
      <c r="P2308" t="s">
        <v>34</v>
      </c>
      <c r="Q2308" t="s">
        <v>82</v>
      </c>
      <c r="R2308" t="s">
        <v>36</v>
      </c>
      <c r="S2308" t="s">
        <v>122</v>
      </c>
      <c r="T2308" t="s">
        <v>382</v>
      </c>
      <c r="U2308" t="s">
        <v>39</v>
      </c>
      <c r="V2308" t="s">
        <v>969</v>
      </c>
      <c r="W2308">
        <v>4.7</v>
      </c>
      <c r="X2308" t="s">
        <v>41</v>
      </c>
      <c r="Y2308" t="s">
        <v>147</v>
      </c>
      <c r="Z2308">
        <v>1</v>
      </c>
    </row>
    <row r="2309" spans="1:26">
      <c r="A2309" t="s">
        <v>3502</v>
      </c>
      <c r="B2309" t="s">
        <v>2055</v>
      </c>
      <c r="C2309" t="s">
        <v>28</v>
      </c>
      <c r="D2309" t="s">
        <v>109</v>
      </c>
      <c r="E2309" s="1">
        <v>45367</v>
      </c>
      <c r="F2309" t="s">
        <v>47</v>
      </c>
      <c r="G2309" t="s">
        <v>199</v>
      </c>
      <c r="H2309" t="s">
        <v>59</v>
      </c>
      <c r="I2309">
        <v>8</v>
      </c>
      <c r="J2309" t="s">
        <v>88</v>
      </c>
      <c r="K2309">
        <v>2</v>
      </c>
      <c r="L2309" s="3">
        <v>7499</v>
      </c>
      <c r="M2309">
        <v>0</v>
      </c>
      <c r="N2309" s="3">
        <v>7500</v>
      </c>
      <c r="O2309" s="3">
        <v>15000</v>
      </c>
      <c r="P2309" t="s">
        <v>74</v>
      </c>
      <c r="Q2309" t="s">
        <v>82</v>
      </c>
      <c r="R2309" t="s">
        <v>36</v>
      </c>
      <c r="S2309" t="s">
        <v>286</v>
      </c>
      <c r="T2309" t="s">
        <v>287</v>
      </c>
      <c r="U2309" t="s">
        <v>61</v>
      </c>
      <c r="V2309" t="s">
        <v>315</v>
      </c>
      <c r="W2309">
        <v>4.3</v>
      </c>
      <c r="X2309" t="s">
        <v>41</v>
      </c>
      <c r="Y2309" t="s">
        <v>42</v>
      </c>
      <c r="Z2309">
        <v>4</v>
      </c>
    </row>
    <row r="2310" spans="1:26">
      <c r="A2310" t="s">
        <v>3503</v>
      </c>
      <c r="B2310" t="s">
        <v>2238</v>
      </c>
      <c r="C2310" t="s">
        <v>45</v>
      </c>
      <c r="D2310" t="s">
        <v>29</v>
      </c>
      <c r="E2310" s="1">
        <v>45368</v>
      </c>
      <c r="F2310" t="s">
        <v>86</v>
      </c>
      <c r="G2310" t="s">
        <v>116</v>
      </c>
      <c r="H2310" t="s">
        <v>49</v>
      </c>
      <c r="I2310">
        <v>7</v>
      </c>
      <c r="J2310" t="s">
        <v>98</v>
      </c>
      <c r="K2310">
        <v>1</v>
      </c>
      <c r="L2310" s="3">
        <v>8599</v>
      </c>
      <c r="M2310">
        <v>25</v>
      </c>
      <c r="N2310" s="3">
        <v>6450</v>
      </c>
      <c r="O2310" s="3">
        <v>6450</v>
      </c>
      <c r="P2310" t="s">
        <v>34</v>
      </c>
      <c r="Q2310" t="s">
        <v>35</v>
      </c>
      <c r="R2310" t="s">
        <v>36</v>
      </c>
      <c r="S2310" t="s">
        <v>186</v>
      </c>
      <c r="T2310" t="s">
        <v>397</v>
      </c>
      <c r="U2310" t="s">
        <v>124</v>
      </c>
      <c r="V2310" t="s">
        <v>969</v>
      </c>
      <c r="W2310">
        <v>4.0999999999999996</v>
      </c>
      <c r="X2310" t="s">
        <v>41</v>
      </c>
      <c r="Y2310" t="s">
        <v>42</v>
      </c>
      <c r="Z2310">
        <v>6</v>
      </c>
    </row>
    <row r="2311" spans="1:26">
      <c r="A2311" t="s">
        <v>3504</v>
      </c>
      <c r="B2311" t="s">
        <v>2618</v>
      </c>
      <c r="C2311" t="s">
        <v>94</v>
      </c>
      <c r="D2311" t="s">
        <v>109</v>
      </c>
      <c r="E2311" s="1">
        <v>45370</v>
      </c>
      <c r="F2311" t="s">
        <v>30</v>
      </c>
      <c r="G2311" t="s">
        <v>145</v>
      </c>
      <c r="H2311" t="s">
        <v>59</v>
      </c>
      <c r="I2311">
        <v>10</v>
      </c>
      <c r="J2311" t="s">
        <v>150</v>
      </c>
      <c r="K2311">
        <v>1</v>
      </c>
      <c r="L2311" s="3">
        <v>5199</v>
      </c>
      <c r="M2311">
        <v>25</v>
      </c>
      <c r="N2311" s="3">
        <v>3900</v>
      </c>
      <c r="O2311" s="3">
        <v>3900</v>
      </c>
      <c r="P2311" t="s">
        <v>74</v>
      </c>
      <c r="Q2311" t="s">
        <v>51</v>
      </c>
      <c r="R2311" t="s">
        <v>36</v>
      </c>
      <c r="S2311" t="s">
        <v>338</v>
      </c>
      <c r="T2311" t="s">
        <v>449</v>
      </c>
      <c r="U2311" t="s">
        <v>124</v>
      </c>
      <c r="V2311" t="s">
        <v>315</v>
      </c>
      <c r="W2311">
        <v>5</v>
      </c>
      <c r="X2311" t="s">
        <v>41</v>
      </c>
      <c r="Y2311" t="s">
        <v>42</v>
      </c>
      <c r="Z2311">
        <v>2</v>
      </c>
    </row>
    <row r="2312" spans="1:26">
      <c r="A2312" t="s">
        <v>3505</v>
      </c>
      <c r="B2312" t="s">
        <v>2465</v>
      </c>
      <c r="C2312" t="s">
        <v>45</v>
      </c>
      <c r="D2312" t="s">
        <v>103</v>
      </c>
      <c r="E2312" s="1">
        <v>45371</v>
      </c>
      <c r="F2312" t="s">
        <v>79</v>
      </c>
      <c r="G2312" t="s">
        <v>301</v>
      </c>
      <c r="H2312" t="s">
        <v>49</v>
      </c>
      <c r="I2312">
        <v>7</v>
      </c>
      <c r="J2312" t="s">
        <v>98</v>
      </c>
      <c r="K2312">
        <v>3</v>
      </c>
      <c r="L2312" s="3">
        <v>3599</v>
      </c>
      <c r="M2312">
        <v>10</v>
      </c>
      <c r="N2312" s="3">
        <v>3240</v>
      </c>
      <c r="O2312" s="3">
        <v>9720</v>
      </c>
      <c r="P2312" t="s">
        <v>74</v>
      </c>
      <c r="Q2312" t="s">
        <v>82</v>
      </c>
      <c r="R2312" t="s">
        <v>36</v>
      </c>
      <c r="S2312" t="s">
        <v>75</v>
      </c>
      <c r="T2312" t="s">
        <v>318</v>
      </c>
      <c r="U2312" t="s">
        <v>124</v>
      </c>
      <c r="V2312" t="s">
        <v>315</v>
      </c>
      <c r="W2312">
        <v>3.1</v>
      </c>
      <c r="X2312" t="s">
        <v>41</v>
      </c>
      <c r="Y2312" t="s">
        <v>55</v>
      </c>
      <c r="Z2312">
        <v>2</v>
      </c>
    </row>
    <row r="2313" spans="1:26">
      <c r="A2313" t="s">
        <v>3506</v>
      </c>
      <c r="B2313" t="s">
        <v>3507</v>
      </c>
      <c r="C2313" t="s">
        <v>28</v>
      </c>
      <c r="D2313" t="s">
        <v>46</v>
      </c>
      <c r="E2313" s="1">
        <v>45371</v>
      </c>
      <c r="F2313" t="s">
        <v>86</v>
      </c>
      <c r="G2313" t="s">
        <v>285</v>
      </c>
      <c r="H2313" t="s">
        <v>111</v>
      </c>
      <c r="I2313">
        <v>7</v>
      </c>
      <c r="J2313" t="s">
        <v>98</v>
      </c>
      <c r="K2313">
        <v>1</v>
      </c>
      <c r="L2313" s="3">
        <v>8999</v>
      </c>
      <c r="M2313">
        <v>15</v>
      </c>
      <c r="N2313" s="3">
        <v>7650</v>
      </c>
      <c r="O2313" s="3">
        <v>7650</v>
      </c>
      <c r="P2313" t="s">
        <v>74</v>
      </c>
      <c r="Q2313" t="s">
        <v>82</v>
      </c>
      <c r="R2313" t="s">
        <v>36</v>
      </c>
      <c r="S2313" t="s">
        <v>182</v>
      </c>
      <c r="T2313" t="s">
        <v>604</v>
      </c>
      <c r="U2313" t="s">
        <v>54</v>
      </c>
      <c r="V2313" t="s">
        <v>40</v>
      </c>
      <c r="W2313">
        <v>3.6</v>
      </c>
      <c r="X2313" t="s">
        <v>41</v>
      </c>
      <c r="Y2313" t="s">
        <v>42</v>
      </c>
      <c r="Z2313">
        <v>4</v>
      </c>
    </row>
    <row r="2314" spans="1:26">
      <c r="A2314" t="s">
        <v>3508</v>
      </c>
      <c r="B2314" t="s">
        <v>561</v>
      </c>
      <c r="C2314" t="s">
        <v>28</v>
      </c>
      <c r="D2314" t="s">
        <v>29</v>
      </c>
      <c r="E2314" s="1">
        <v>45372</v>
      </c>
      <c r="F2314" t="s">
        <v>65</v>
      </c>
      <c r="G2314" t="s">
        <v>279</v>
      </c>
      <c r="H2314" t="s">
        <v>111</v>
      </c>
      <c r="I2314">
        <v>9</v>
      </c>
      <c r="J2314" t="s">
        <v>150</v>
      </c>
      <c r="K2314">
        <v>1</v>
      </c>
      <c r="L2314" s="3">
        <v>8599</v>
      </c>
      <c r="M2314">
        <v>10</v>
      </c>
      <c r="N2314" s="3">
        <v>7740</v>
      </c>
      <c r="O2314" s="3">
        <v>7740</v>
      </c>
      <c r="P2314" t="s">
        <v>34</v>
      </c>
      <c r="Q2314" t="s">
        <v>35</v>
      </c>
      <c r="R2314" t="s">
        <v>36</v>
      </c>
      <c r="S2314" t="s">
        <v>243</v>
      </c>
      <c r="T2314" t="s">
        <v>273</v>
      </c>
      <c r="U2314" t="s">
        <v>39</v>
      </c>
      <c r="V2314" t="s">
        <v>969</v>
      </c>
      <c r="W2314">
        <v>3.9</v>
      </c>
      <c r="X2314" t="s">
        <v>41</v>
      </c>
      <c r="Y2314" t="s">
        <v>42</v>
      </c>
      <c r="Z2314">
        <v>3</v>
      </c>
    </row>
    <row r="2315" spans="1:26">
      <c r="A2315" t="s">
        <v>3509</v>
      </c>
      <c r="B2315" t="s">
        <v>3510</v>
      </c>
      <c r="C2315" t="s">
        <v>28</v>
      </c>
      <c r="D2315" t="s">
        <v>103</v>
      </c>
      <c r="E2315" s="1">
        <v>45373</v>
      </c>
      <c r="F2315" t="s">
        <v>47</v>
      </c>
      <c r="G2315" t="s">
        <v>218</v>
      </c>
      <c r="H2315" t="s">
        <v>59</v>
      </c>
      <c r="I2315">
        <v>11</v>
      </c>
      <c r="J2315" t="s">
        <v>73</v>
      </c>
      <c r="K2315">
        <v>1</v>
      </c>
      <c r="L2315" s="3">
        <v>6799</v>
      </c>
      <c r="M2315">
        <v>15</v>
      </c>
      <c r="N2315" s="3">
        <v>5780</v>
      </c>
      <c r="O2315" s="3">
        <v>5780</v>
      </c>
      <c r="P2315" t="s">
        <v>74</v>
      </c>
      <c r="Q2315" t="s">
        <v>51</v>
      </c>
      <c r="R2315" t="s">
        <v>36</v>
      </c>
      <c r="S2315" t="s">
        <v>269</v>
      </c>
      <c r="T2315" t="s">
        <v>575</v>
      </c>
      <c r="U2315" t="s">
        <v>124</v>
      </c>
      <c r="V2315" t="s">
        <v>40</v>
      </c>
      <c r="W2315">
        <v>5</v>
      </c>
      <c r="X2315" t="s">
        <v>41</v>
      </c>
      <c r="Y2315" t="s">
        <v>55</v>
      </c>
      <c r="Z2315">
        <v>2</v>
      </c>
    </row>
    <row r="2316" spans="1:26">
      <c r="A2316" t="s">
        <v>3511</v>
      </c>
      <c r="B2316" t="s">
        <v>1067</v>
      </c>
      <c r="C2316" t="s">
        <v>28</v>
      </c>
      <c r="D2316" t="s">
        <v>103</v>
      </c>
      <c r="E2316" s="1">
        <v>45376</v>
      </c>
      <c r="F2316" t="s">
        <v>30</v>
      </c>
      <c r="G2316" t="s">
        <v>214</v>
      </c>
      <c r="H2316" t="s">
        <v>128</v>
      </c>
      <c r="I2316">
        <v>7</v>
      </c>
      <c r="J2316" t="s">
        <v>67</v>
      </c>
      <c r="K2316">
        <v>1</v>
      </c>
      <c r="L2316" s="3">
        <v>5199</v>
      </c>
      <c r="M2316">
        <v>20</v>
      </c>
      <c r="N2316" s="3">
        <v>4160</v>
      </c>
      <c r="O2316" s="3">
        <v>4160</v>
      </c>
      <c r="P2316" t="s">
        <v>74</v>
      </c>
      <c r="Q2316" t="s">
        <v>51</v>
      </c>
      <c r="R2316" t="s">
        <v>36</v>
      </c>
      <c r="S2316" t="s">
        <v>384</v>
      </c>
      <c r="T2316" t="s">
        <v>385</v>
      </c>
      <c r="U2316" t="s">
        <v>39</v>
      </c>
      <c r="V2316" t="s">
        <v>315</v>
      </c>
      <c r="W2316">
        <v>4.8</v>
      </c>
      <c r="X2316" t="s">
        <v>41</v>
      </c>
      <c r="Y2316" t="s">
        <v>42</v>
      </c>
      <c r="Z2316">
        <v>5</v>
      </c>
    </row>
    <row r="2317" spans="1:26">
      <c r="A2317" t="s">
        <v>3512</v>
      </c>
      <c r="B2317" t="s">
        <v>1973</v>
      </c>
      <c r="C2317" t="s">
        <v>45</v>
      </c>
      <c r="D2317" t="s">
        <v>29</v>
      </c>
      <c r="E2317" s="1">
        <v>45377</v>
      </c>
      <c r="F2317" t="s">
        <v>86</v>
      </c>
      <c r="G2317" t="s">
        <v>312</v>
      </c>
      <c r="H2317" t="s">
        <v>59</v>
      </c>
      <c r="I2317">
        <v>9</v>
      </c>
      <c r="J2317" t="s">
        <v>73</v>
      </c>
      <c r="K2317">
        <v>2</v>
      </c>
      <c r="L2317" s="3">
        <v>7799</v>
      </c>
      <c r="M2317">
        <v>0</v>
      </c>
      <c r="N2317" s="3">
        <v>7800</v>
      </c>
      <c r="O2317" s="3">
        <v>15600</v>
      </c>
      <c r="P2317" t="s">
        <v>74</v>
      </c>
      <c r="Q2317" t="s">
        <v>51</v>
      </c>
      <c r="R2317" t="s">
        <v>36</v>
      </c>
      <c r="S2317" t="s">
        <v>117</v>
      </c>
      <c r="T2317" t="s">
        <v>544</v>
      </c>
      <c r="U2317" t="s">
        <v>124</v>
      </c>
      <c r="V2317" t="s">
        <v>315</v>
      </c>
      <c r="W2317">
        <v>3.1</v>
      </c>
      <c r="X2317" t="s">
        <v>41</v>
      </c>
      <c r="Y2317" t="s">
        <v>42</v>
      </c>
      <c r="Z2317">
        <v>2</v>
      </c>
    </row>
    <row r="2318" spans="1:26">
      <c r="A2318" t="s">
        <v>3513</v>
      </c>
      <c r="B2318" t="s">
        <v>1225</v>
      </c>
      <c r="C2318" t="s">
        <v>94</v>
      </c>
      <c r="D2318" t="s">
        <v>103</v>
      </c>
      <c r="E2318" s="1">
        <v>45378</v>
      </c>
      <c r="F2318" t="s">
        <v>30</v>
      </c>
      <c r="G2318" t="s">
        <v>214</v>
      </c>
      <c r="H2318" t="s">
        <v>128</v>
      </c>
      <c r="I2318">
        <v>8</v>
      </c>
      <c r="J2318" t="s">
        <v>67</v>
      </c>
      <c r="K2318">
        <v>1</v>
      </c>
      <c r="L2318" s="3">
        <v>5799</v>
      </c>
      <c r="M2318">
        <v>25</v>
      </c>
      <c r="N2318" s="3">
        <v>4350</v>
      </c>
      <c r="O2318" s="3">
        <v>4350</v>
      </c>
      <c r="P2318" t="s">
        <v>34</v>
      </c>
      <c r="Q2318" t="s">
        <v>51</v>
      </c>
      <c r="R2318" t="s">
        <v>36</v>
      </c>
      <c r="S2318" t="s">
        <v>210</v>
      </c>
      <c r="T2318" t="s">
        <v>211</v>
      </c>
      <c r="U2318" t="s">
        <v>91</v>
      </c>
      <c r="V2318" t="s">
        <v>315</v>
      </c>
      <c r="W2318">
        <v>3.6</v>
      </c>
      <c r="X2318" t="s">
        <v>41</v>
      </c>
      <c r="Y2318" t="s">
        <v>55</v>
      </c>
      <c r="Z2318">
        <v>3</v>
      </c>
    </row>
    <row r="2319" spans="1:26">
      <c r="A2319" t="s">
        <v>3514</v>
      </c>
      <c r="B2319" t="s">
        <v>1932</v>
      </c>
      <c r="C2319" t="s">
        <v>28</v>
      </c>
      <c r="D2319" t="s">
        <v>29</v>
      </c>
      <c r="E2319" s="1">
        <v>45378</v>
      </c>
      <c r="F2319" t="s">
        <v>47</v>
      </c>
      <c r="G2319" t="s">
        <v>218</v>
      </c>
      <c r="H2319" t="s">
        <v>59</v>
      </c>
      <c r="I2319">
        <v>7</v>
      </c>
      <c r="J2319" t="s">
        <v>33</v>
      </c>
      <c r="K2319">
        <v>1</v>
      </c>
      <c r="L2319" s="3">
        <v>4499</v>
      </c>
      <c r="M2319">
        <v>25</v>
      </c>
      <c r="N2319" s="3">
        <v>3370</v>
      </c>
      <c r="O2319" s="3">
        <v>3370</v>
      </c>
      <c r="P2319" t="s">
        <v>74</v>
      </c>
      <c r="Q2319" t="s">
        <v>51</v>
      </c>
      <c r="R2319" t="s">
        <v>36</v>
      </c>
      <c r="S2319" t="s">
        <v>160</v>
      </c>
      <c r="T2319" t="s">
        <v>344</v>
      </c>
      <c r="U2319" t="s">
        <v>124</v>
      </c>
      <c r="V2319" t="s">
        <v>315</v>
      </c>
      <c r="W2319">
        <v>4.4000000000000004</v>
      </c>
      <c r="X2319" t="s">
        <v>62</v>
      </c>
      <c r="Y2319" t="s">
        <v>147</v>
      </c>
      <c r="Z2319">
        <v>2</v>
      </c>
    </row>
    <row r="2320" spans="1:26">
      <c r="A2320" t="s">
        <v>3515</v>
      </c>
      <c r="B2320" t="s">
        <v>772</v>
      </c>
      <c r="C2320" t="s">
        <v>28</v>
      </c>
      <c r="D2320" t="s">
        <v>46</v>
      </c>
      <c r="E2320" s="1">
        <v>45383</v>
      </c>
      <c r="F2320" t="s">
        <v>30</v>
      </c>
      <c r="G2320" t="s">
        <v>347</v>
      </c>
      <c r="H2320" t="s">
        <v>49</v>
      </c>
      <c r="I2320">
        <v>6</v>
      </c>
      <c r="J2320" t="s">
        <v>88</v>
      </c>
      <c r="K2320">
        <v>1</v>
      </c>
      <c r="L2320" s="3">
        <v>6799</v>
      </c>
      <c r="M2320">
        <v>5</v>
      </c>
      <c r="N2320" s="3">
        <v>6460</v>
      </c>
      <c r="O2320" s="3">
        <v>6460</v>
      </c>
      <c r="P2320" t="s">
        <v>34</v>
      </c>
      <c r="Q2320" t="s">
        <v>82</v>
      </c>
      <c r="R2320" t="s">
        <v>36</v>
      </c>
      <c r="S2320" t="s">
        <v>175</v>
      </c>
      <c r="T2320" t="s">
        <v>437</v>
      </c>
      <c r="U2320" t="s">
        <v>54</v>
      </c>
      <c r="V2320" t="s">
        <v>969</v>
      </c>
      <c r="W2320">
        <v>3.4</v>
      </c>
      <c r="X2320" t="s">
        <v>62</v>
      </c>
      <c r="Y2320" t="s">
        <v>55</v>
      </c>
      <c r="Z2320">
        <v>3</v>
      </c>
    </row>
    <row r="2321" spans="1:26">
      <c r="A2321" t="s">
        <v>3516</v>
      </c>
      <c r="B2321" t="s">
        <v>831</v>
      </c>
      <c r="C2321" t="s">
        <v>28</v>
      </c>
      <c r="D2321" t="s">
        <v>109</v>
      </c>
      <c r="E2321" s="1">
        <v>45384</v>
      </c>
      <c r="F2321" t="s">
        <v>79</v>
      </c>
      <c r="G2321" t="s">
        <v>80</v>
      </c>
      <c r="H2321" t="s">
        <v>59</v>
      </c>
      <c r="I2321">
        <v>9</v>
      </c>
      <c r="J2321" t="s">
        <v>98</v>
      </c>
      <c r="K2321">
        <v>1</v>
      </c>
      <c r="L2321" s="3">
        <v>4699</v>
      </c>
      <c r="M2321">
        <v>10</v>
      </c>
      <c r="N2321" s="3">
        <v>4230</v>
      </c>
      <c r="O2321" s="3">
        <v>4230</v>
      </c>
      <c r="P2321" t="s">
        <v>74</v>
      </c>
      <c r="Q2321" t="s">
        <v>51</v>
      </c>
      <c r="R2321" t="s">
        <v>36</v>
      </c>
      <c r="S2321" t="s">
        <v>168</v>
      </c>
      <c r="T2321" t="s">
        <v>557</v>
      </c>
      <c r="U2321" t="s">
        <v>61</v>
      </c>
      <c r="V2321" t="s">
        <v>969</v>
      </c>
      <c r="W2321">
        <v>3.7</v>
      </c>
      <c r="X2321" t="s">
        <v>41</v>
      </c>
      <c r="Y2321" t="s">
        <v>42</v>
      </c>
      <c r="Z2321">
        <v>4</v>
      </c>
    </row>
    <row r="2322" spans="1:26">
      <c r="A2322" t="s">
        <v>3517</v>
      </c>
      <c r="B2322" t="s">
        <v>577</v>
      </c>
      <c r="C2322" t="s">
        <v>28</v>
      </c>
      <c r="D2322" t="s">
        <v>95</v>
      </c>
      <c r="E2322" s="1">
        <v>45384</v>
      </c>
      <c r="F2322" t="s">
        <v>96</v>
      </c>
      <c r="G2322" t="s">
        <v>290</v>
      </c>
      <c r="H2322" t="s">
        <v>32</v>
      </c>
      <c r="I2322">
        <v>8</v>
      </c>
      <c r="J2322" t="s">
        <v>150</v>
      </c>
      <c r="K2322">
        <v>1</v>
      </c>
      <c r="L2322" s="3">
        <v>9999</v>
      </c>
      <c r="M2322">
        <v>25</v>
      </c>
      <c r="N2322" s="3">
        <v>7500</v>
      </c>
      <c r="O2322" s="3">
        <v>7500</v>
      </c>
      <c r="P2322" t="s">
        <v>74</v>
      </c>
      <c r="Q2322" t="s">
        <v>51</v>
      </c>
      <c r="R2322" t="s">
        <v>36</v>
      </c>
      <c r="S2322" t="s">
        <v>168</v>
      </c>
      <c r="T2322" t="s">
        <v>714</v>
      </c>
      <c r="U2322" t="s">
        <v>124</v>
      </c>
      <c r="V2322" t="s">
        <v>315</v>
      </c>
      <c r="W2322">
        <v>4.8</v>
      </c>
      <c r="X2322" t="s">
        <v>41</v>
      </c>
      <c r="Y2322" t="s">
        <v>55</v>
      </c>
      <c r="Z2322">
        <v>3</v>
      </c>
    </row>
    <row r="2323" spans="1:26">
      <c r="A2323" t="s">
        <v>3518</v>
      </c>
      <c r="B2323" t="s">
        <v>2269</v>
      </c>
      <c r="C2323" t="s">
        <v>45</v>
      </c>
      <c r="D2323" t="s">
        <v>103</v>
      </c>
      <c r="E2323" s="1">
        <v>45384</v>
      </c>
      <c r="F2323" t="s">
        <v>65</v>
      </c>
      <c r="G2323" t="s">
        <v>66</v>
      </c>
      <c r="H2323" t="s">
        <v>59</v>
      </c>
      <c r="I2323">
        <v>10</v>
      </c>
      <c r="J2323" t="s">
        <v>88</v>
      </c>
      <c r="K2323">
        <v>2</v>
      </c>
      <c r="L2323" s="3">
        <v>7899</v>
      </c>
      <c r="M2323">
        <v>25</v>
      </c>
      <c r="N2323" s="3">
        <v>5920</v>
      </c>
      <c r="O2323" s="3">
        <v>11840</v>
      </c>
      <c r="P2323" t="s">
        <v>74</v>
      </c>
      <c r="Q2323" t="s">
        <v>35</v>
      </c>
      <c r="R2323" t="s">
        <v>36</v>
      </c>
      <c r="S2323" t="s">
        <v>168</v>
      </c>
      <c r="T2323" t="s">
        <v>714</v>
      </c>
      <c r="U2323" t="s">
        <v>54</v>
      </c>
      <c r="V2323" t="s">
        <v>969</v>
      </c>
      <c r="W2323">
        <v>3.4</v>
      </c>
      <c r="X2323" t="s">
        <v>41</v>
      </c>
      <c r="Y2323" t="s">
        <v>42</v>
      </c>
      <c r="Z2323">
        <v>3</v>
      </c>
    </row>
    <row r="2324" spans="1:26">
      <c r="A2324" t="s">
        <v>3519</v>
      </c>
      <c r="B2324" t="s">
        <v>1719</v>
      </c>
      <c r="C2324" t="s">
        <v>45</v>
      </c>
      <c r="D2324" t="s">
        <v>103</v>
      </c>
      <c r="E2324" s="1">
        <v>45386</v>
      </c>
      <c r="F2324" t="s">
        <v>65</v>
      </c>
      <c r="G2324" t="s">
        <v>268</v>
      </c>
      <c r="H2324" t="s">
        <v>128</v>
      </c>
      <c r="I2324">
        <v>7</v>
      </c>
      <c r="J2324" t="s">
        <v>98</v>
      </c>
      <c r="K2324">
        <v>2</v>
      </c>
      <c r="L2324" s="3">
        <v>3299</v>
      </c>
      <c r="M2324">
        <v>15</v>
      </c>
      <c r="N2324" s="3">
        <v>2800</v>
      </c>
      <c r="O2324" s="3">
        <v>5600</v>
      </c>
      <c r="P2324" t="s">
        <v>74</v>
      </c>
      <c r="Q2324" t="s">
        <v>51</v>
      </c>
      <c r="R2324" t="s">
        <v>36</v>
      </c>
      <c r="S2324" t="s">
        <v>460</v>
      </c>
      <c r="T2324" t="s">
        <v>580</v>
      </c>
      <c r="U2324" t="s">
        <v>54</v>
      </c>
      <c r="V2324" t="s">
        <v>969</v>
      </c>
      <c r="W2324">
        <v>4.5</v>
      </c>
      <c r="X2324" t="s">
        <v>41</v>
      </c>
      <c r="Y2324" t="s">
        <v>42</v>
      </c>
      <c r="Z2324">
        <v>1</v>
      </c>
    </row>
    <row r="2325" spans="1:26">
      <c r="A2325" t="s">
        <v>3520</v>
      </c>
      <c r="B2325" t="s">
        <v>1085</v>
      </c>
      <c r="C2325" t="s">
        <v>28</v>
      </c>
      <c r="D2325" t="s">
        <v>29</v>
      </c>
      <c r="E2325" s="1">
        <v>45386</v>
      </c>
      <c r="F2325" t="s">
        <v>86</v>
      </c>
      <c r="G2325" t="s">
        <v>116</v>
      </c>
      <c r="H2325" t="s">
        <v>49</v>
      </c>
      <c r="I2325">
        <v>7</v>
      </c>
      <c r="J2325" t="s">
        <v>33</v>
      </c>
      <c r="K2325">
        <v>1</v>
      </c>
      <c r="L2325" s="3">
        <v>8399</v>
      </c>
      <c r="M2325">
        <v>15</v>
      </c>
      <c r="N2325" s="3">
        <v>7140</v>
      </c>
      <c r="O2325" s="3">
        <v>7140</v>
      </c>
      <c r="P2325" t="s">
        <v>74</v>
      </c>
      <c r="Q2325" t="s">
        <v>82</v>
      </c>
      <c r="R2325" t="s">
        <v>36</v>
      </c>
      <c r="S2325" t="s">
        <v>243</v>
      </c>
      <c r="T2325" t="s">
        <v>244</v>
      </c>
      <c r="U2325" t="s">
        <v>39</v>
      </c>
      <c r="V2325" t="s">
        <v>969</v>
      </c>
      <c r="W2325">
        <v>4.4000000000000004</v>
      </c>
      <c r="X2325" t="s">
        <v>62</v>
      </c>
      <c r="Y2325" t="s">
        <v>42</v>
      </c>
      <c r="Z2325">
        <v>2</v>
      </c>
    </row>
    <row r="2326" spans="1:26">
      <c r="A2326" t="s">
        <v>3521</v>
      </c>
      <c r="B2326" t="s">
        <v>1431</v>
      </c>
      <c r="C2326" t="s">
        <v>45</v>
      </c>
      <c r="D2326" t="s">
        <v>29</v>
      </c>
      <c r="E2326" s="1">
        <v>45387</v>
      </c>
      <c r="F2326" t="s">
        <v>65</v>
      </c>
      <c r="G2326" t="s">
        <v>365</v>
      </c>
      <c r="H2326" t="s">
        <v>49</v>
      </c>
      <c r="I2326">
        <v>10</v>
      </c>
      <c r="J2326" t="s">
        <v>73</v>
      </c>
      <c r="K2326">
        <v>1</v>
      </c>
      <c r="L2326" s="3">
        <v>3999</v>
      </c>
      <c r="M2326">
        <v>15</v>
      </c>
      <c r="N2326" s="3">
        <v>3400</v>
      </c>
      <c r="O2326" s="3">
        <v>3400</v>
      </c>
      <c r="P2326" t="s">
        <v>74</v>
      </c>
      <c r="Q2326" t="s">
        <v>51</v>
      </c>
      <c r="R2326" t="s">
        <v>36</v>
      </c>
      <c r="S2326" t="s">
        <v>68</v>
      </c>
      <c r="T2326" t="s">
        <v>400</v>
      </c>
      <c r="U2326" t="s">
        <v>61</v>
      </c>
      <c r="V2326" t="s">
        <v>969</v>
      </c>
      <c r="W2326">
        <v>4</v>
      </c>
      <c r="X2326" t="s">
        <v>41</v>
      </c>
      <c r="Y2326" t="s">
        <v>42</v>
      </c>
      <c r="Z2326">
        <v>1</v>
      </c>
    </row>
    <row r="2327" spans="1:26">
      <c r="A2327" t="s">
        <v>3522</v>
      </c>
      <c r="B2327" t="s">
        <v>293</v>
      </c>
      <c r="C2327" t="s">
        <v>45</v>
      </c>
      <c r="D2327" t="s">
        <v>103</v>
      </c>
      <c r="E2327" s="1">
        <v>45388</v>
      </c>
      <c r="F2327" t="s">
        <v>79</v>
      </c>
      <c r="G2327" t="s">
        <v>127</v>
      </c>
      <c r="H2327" t="s">
        <v>128</v>
      </c>
      <c r="I2327">
        <v>8</v>
      </c>
      <c r="J2327" t="s">
        <v>73</v>
      </c>
      <c r="K2327">
        <v>1</v>
      </c>
      <c r="L2327" s="3">
        <v>4199</v>
      </c>
      <c r="M2327">
        <v>20</v>
      </c>
      <c r="N2327" s="3">
        <v>3360</v>
      </c>
      <c r="O2327" s="3">
        <v>3360</v>
      </c>
      <c r="P2327" t="s">
        <v>74</v>
      </c>
      <c r="Q2327" t="s">
        <v>51</v>
      </c>
      <c r="R2327" t="s">
        <v>36</v>
      </c>
      <c r="S2327" t="s">
        <v>210</v>
      </c>
      <c r="T2327" t="s">
        <v>415</v>
      </c>
      <c r="U2327" t="s">
        <v>54</v>
      </c>
      <c r="V2327" t="s">
        <v>969</v>
      </c>
      <c r="W2327">
        <v>3.7</v>
      </c>
      <c r="X2327" t="s">
        <v>62</v>
      </c>
      <c r="Y2327" t="s">
        <v>42</v>
      </c>
      <c r="Z2327">
        <v>3</v>
      </c>
    </row>
    <row r="2328" spans="1:26">
      <c r="A2328" t="s">
        <v>3523</v>
      </c>
      <c r="B2328" t="s">
        <v>3524</v>
      </c>
      <c r="C2328" t="s">
        <v>28</v>
      </c>
      <c r="D2328" t="s">
        <v>46</v>
      </c>
      <c r="E2328" s="1">
        <v>45389</v>
      </c>
      <c r="F2328" t="s">
        <v>47</v>
      </c>
      <c r="G2328" t="s">
        <v>48</v>
      </c>
      <c r="H2328" t="s">
        <v>49</v>
      </c>
      <c r="I2328">
        <v>8</v>
      </c>
      <c r="J2328" t="s">
        <v>98</v>
      </c>
      <c r="K2328">
        <v>2</v>
      </c>
      <c r="L2328" s="3">
        <v>6799</v>
      </c>
      <c r="M2328">
        <v>0</v>
      </c>
      <c r="N2328" s="3">
        <v>6800</v>
      </c>
      <c r="O2328" s="3">
        <v>13600</v>
      </c>
      <c r="P2328" t="s">
        <v>74</v>
      </c>
      <c r="Q2328" t="s">
        <v>51</v>
      </c>
      <c r="R2328" t="s">
        <v>36</v>
      </c>
      <c r="S2328" t="s">
        <v>104</v>
      </c>
      <c r="T2328" t="s">
        <v>105</v>
      </c>
      <c r="U2328" t="s">
        <v>91</v>
      </c>
      <c r="V2328" t="s">
        <v>40</v>
      </c>
      <c r="W2328">
        <v>4</v>
      </c>
      <c r="X2328" t="s">
        <v>41</v>
      </c>
      <c r="Y2328" t="s">
        <v>147</v>
      </c>
      <c r="Z2328">
        <v>1</v>
      </c>
    </row>
    <row r="2329" spans="1:26">
      <c r="A2329" t="s">
        <v>3525</v>
      </c>
      <c r="B2329" t="s">
        <v>2542</v>
      </c>
      <c r="C2329" t="s">
        <v>45</v>
      </c>
      <c r="D2329" t="s">
        <v>103</v>
      </c>
      <c r="E2329" s="1">
        <v>45389</v>
      </c>
      <c r="F2329" t="s">
        <v>96</v>
      </c>
      <c r="G2329" t="s">
        <v>228</v>
      </c>
      <c r="H2329" t="s">
        <v>59</v>
      </c>
      <c r="I2329">
        <v>10</v>
      </c>
      <c r="J2329" t="s">
        <v>73</v>
      </c>
      <c r="K2329">
        <v>1</v>
      </c>
      <c r="L2329" s="3">
        <v>9699</v>
      </c>
      <c r="M2329">
        <v>5</v>
      </c>
      <c r="N2329" s="3">
        <v>9210</v>
      </c>
      <c r="O2329" s="3">
        <v>9210</v>
      </c>
      <c r="P2329" t="s">
        <v>34</v>
      </c>
      <c r="Q2329" t="s">
        <v>35</v>
      </c>
      <c r="R2329" t="s">
        <v>36</v>
      </c>
      <c r="S2329" t="s">
        <v>354</v>
      </c>
      <c r="T2329" t="s">
        <v>431</v>
      </c>
      <c r="U2329" t="s">
        <v>61</v>
      </c>
      <c r="V2329" t="s">
        <v>315</v>
      </c>
      <c r="W2329">
        <v>4</v>
      </c>
      <c r="X2329" t="s">
        <v>41</v>
      </c>
      <c r="Y2329" t="s">
        <v>42</v>
      </c>
      <c r="Z2329">
        <v>5</v>
      </c>
    </row>
    <row r="2330" spans="1:26">
      <c r="A2330" t="s">
        <v>3526</v>
      </c>
      <c r="B2330" t="s">
        <v>3527</v>
      </c>
      <c r="C2330" t="s">
        <v>28</v>
      </c>
      <c r="D2330" t="s">
        <v>95</v>
      </c>
      <c r="E2330" s="1">
        <v>45389</v>
      </c>
      <c r="F2330" t="s">
        <v>96</v>
      </c>
      <c r="G2330" t="s">
        <v>171</v>
      </c>
      <c r="H2330" t="s">
        <v>128</v>
      </c>
      <c r="I2330">
        <v>8</v>
      </c>
      <c r="J2330" t="s">
        <v>98</v>
      </c>
      <c r="K2330">
        <v>1</v>
      </c>
      <c r="L2330" s="3">
        <v>3899</v>
      </c>
      <c r="M2330">
        <v>10</v>
      </c>
      <c r="N2330" s="3">
        <v>3510</v>
      </c>
      <c r="O2330" s="3">
        <v>3510</v>
      </c>
      <c r="P2330" t="s">
        <v>74</v>
      </c>
      <c r="Q2330" t="s">
        <v>51</v>
      </c>
      <c r="R2330" t="s">
        <v>36</v>
      </c>
      <c r="S2330" t="s">
        <v>191</v>
      </c>
      <c r="T2330" t="s">
        <v>192</v>
      </c>
      <c r="U2330" t="s">
        <v>124</v>
      </c>
      <c r="V2330" t="s">
        <v>40</v>
      </c>
      <c r="W2330">
        <v>4</v>
      </c>
      <c r="X2330" t="s">
        <v>41</v>
      </c>
      <c r="Y2330" t="s">
        <v>42</v>
      </c>
      <c r="Z2330">
        <v>6</v>
      </c>
    </row>
    <row r="2331" spans="1:26">
      <c r="A2331" t="s">
        <v>3528</v>
      </c>
      <c r="B2331" t="s">
        <v>927</v>
      </c>
      <c r="C2331" t="s">
        <v>28</v>
      </c>
      <c r="D2331" t="s">
        <v>109</v>
      </c>
      <c r="E2331" s="1">
        <v>45390</v>
      </c>
      <c r="F2331" t="s">
        <v>96</v>
      </c>
      <c r="G2331" t="s">
        <v>323</v>
      </c>
      <c r="H2331" t="s">
        <v>59</v>
      </c>
      <c r="I2331">
        <v>11</v>
      </c>
      <c r="J2331" t="s">
        <v>98</v>
      </c>
      <c r="K2331">
        <v>2</v>
      </c>
      <c r="L2331" s="3">
        <v>5999</v>
      </c>
      <c r="M2331">
        <v>10</v>
      </c>
      <c r="N2331" s="3">
        <v>5400</v>
      </c>
      <c r="O2331" s="3">
        <v>10800</v>
      </c>
      <c r="P2331" t="s">
        <v>34</v>
      </c>
      <c r="Q2331" t="s">
        <v>35</v>
      </c>
      <c r="R2331" t="s">
        <v>36</v>
      </c>
      <c r="S2331" t="s">
        <v>37</v>
      </c>
      <c r="T2331" t="s">
        <v>1122</v>
      </c>
      <c r="U2331" t="s">
        <v>124</v>
      </c>
      <c r="V2331" t="s">
        <v>969</v>
      </c>
      <c r="W2331">
        <v>5</v>
      </c>
      <c r="X2331" t="s">
        <v>41</v>
      </c>
      <c r="Y2331" t="s">
        <v>55</v>
      </c>
      <c r="Z2331">
        <v>1</v>
      </c>
    </row>
    <row r="2332" spans="1:26">
      <c r="A2332" t="s">
        <v>3529</v>
      </c>
      <c r="B2332" t="s">
        <v>1027</v>
      </c>
      <c r="C2332" t="s">
        <v>45</v>
      </c>
      <c r="D2332" t="s">
        <v>103</v>
      </c>
      <c r="E2332" s="1">
        <v>45390</v>
      </c>
      <c r="F2332" t="s">
        <v>65</v>
      </c>
      <c r="G2332" t="s">
        <v>279</v>
      </c>
      <c r="H2332" t="s">
        <v>111</v>
      </c>
      <c r="I2332">
        <v>12</v>
      </c>
      <c r="J2332" t="s">
        <v>98</v>
      </c>
      <c r="K2332">
        <v>3</v>
      </c>
      <c r="L2332" s="3">
        <v>3099</v>
      </c>
      <c r="M2332">
        <v>20</v>
      </c>
      <c r="N2332" s="3">
        <v>2480</v>
      </c>
      <c r="O2332" s="3">
        <v>7440</v>
      </c>
      <c r="P2332" t="s">
        <v>34</v>
      </c>
      <c r="Q2332" t="s">
        <v>51</v>
      </c>
      <c r="R2332" t="s">
        <v>36</v>
      </c>
      <c r="S2332" t="s">
        <v>52</v>
      </c>
      <c r="T2332" t="s">
        <v>60</v>
      </c>
      <c r="U2332" t="s">
        <v>39</v>
      </c>
      <c r="V2332" t="s">
        <v>969</v>
      </c>
      <c r="W2332">
        <v>3.8</v>
      </c>
      <c r="X2332" t="s">
        <v>106</v>
      </c>
      <c r="Y2332" t="s">
        <v>55</v>
      </c>
      <c r="Z2332">
        <v>2</v>
      </c>
    </row>
    <row r="2333" spans="1:26">
      <c r="A2333" t="s">
        <v>3530</v>
      </c>
      <c r="B2333" t="s">
        <v>798</v>
      </c>
      <c r="C2333" t="s">
        <v>28</v>
      </c>
      <c r="D2333" t="s">
        <v>29</v>
      </c>
      <c r="E2333" s="1">
        <v>45391</v>
      </c>
      <c r="F2333" t="s">
        <v>96</v>
      </c>
      <c r="G2333" t="s">
        <v>97</v>
      </c>
      <c r="H2333" t="s">
        <v>49</v>
      </c>
      <c r="I2333">
        <v>9</v>
      </c>
      <c r="J2333" t="s">
        <v>150</v>
      </c>
      <c r="K2333">
        <v>1</v>
      </c>
      <c r="L2333" s="3">
        <v>7499</v>
      </c>
      <c r="M2333">
        <v>20</v>
      </c>
      <c r="N2333" s="3">
        <v>6000</v>
      </c>
      <c r="O2333" s="3">
        <v>6000</v>
      </c>
      <c r="P2333" t="s">
        <v>74</v>
      </c>
      <c r="Q2333" t="s">
        <v>82</v>
      </c>
      <c r="R2333" t="s">
        <v>36</v>
      </c>
      <c r="S2333" t="s">
        <v>175</v>
      </c>
      <c r="T2333" t="s">
        <v>495</v>
      </c>
      <c r="U2333" t="s">
        <v>91</v>
      </c>
      <c r="V2333" t="s">
        <v>315</v>
      </c>
      <c r="W2333">
        <v>5</v>
      </c>
      <c r="X2333" t="s">
        <v>41</v>
      </c>
      <c r="Y2333" t="s">
        <v>42</v>
      </c>
      <c r="Z2333">
        <v>5</v>
      </c>
    </row>
    <row r="2334" spans="1:26">
      <c r="A2334" t="s">
        <v>3531</v>
      </c>
      <c r="B2334" t="s">
        <v>2709</v>
      </c>
      <c r="C2334" t="s">
        <v>28</v>
      </c>
      <c r="D2334" t="s">
        <v>46</v>
      </c>
      <c r="E2334" s="1">
        <v>45392</v>
      </c>
      <c r="F2334" t="s">
        <v>65</v>
      </c>
      <c r="G2334" t="s">
        <v>268</v>
      </c>
      <c r="H2334" t="s">
        <v>128</v>
      </c>
      <c r="I2334">
        <v>7</v>
      </c>
      <c r="J2334" t="s">
        <v>88</v>
      </c>
      <c r="K2334">
        <v>2</v>
      </c>
      <c r="L2334" s="3">
        <v>3499</v>
      </c>
      <c r="M2334">
        <v>20</v>
      </c>
      <c r="N2334" s="3">
        <v>2800</v>
      </c>
      <c r="O2334" s="3">
        <v>5600</v>
      </c>
      <c r="P2334" t="s">
        <v>81</v>
      </c>
      <c r="Q2334" t="s">
        <v>35</v>
      </c>
      <c r="R2334" t="s">
        <v>36</v>
      </c>
      <c r="S2334" t="s">
        <v>151</v>
      </c>
      <c r="T2334" t="s">
        <v>452</v>
      </c>
      <c r="U2334" t="s">
        <v>54</v>
      </c>
      <c r="V2334" t="s">
        <v>315</v>
      </c>
      <c r="W2334">
        <v>4.9000000000000004</v>
      </c>
      <c r="X2334" t="s">
        <v>41</v>
      </c>
      <c r="Y2334" t="s">
        <v>42</v>
      </c>
      <c r="Z2334">
        <v>1</v>
      </c>
    </row>
    <row r="2335" spans="1:26">
      <c r="A2335" t="s">
        <v>3532</v>
      </c>
      <c r="B2335" t="s">
        <v>2330</v>
      </c>
      <c r="C2335" t="s">
        <v>45</v>
      </c>
      <c r="D2335" t="s">
        <v>103</v>
      </c>
      <c r="E2335" s="1">
        <v>45392</v>
      </c>
      <c r="F2335" t="s">
        <v>30</v>
      </c>
      <c r="G2335" t="s">
        <v>347</v>
      </c>
      <c r="H2335" t="s">
        <v>49</v>
      </c>
      <c r="I2335">
        <v>7</v>
      </c>
      <c r="J2335" t="s">
        <v>67</v>
      </c>
      <c r="K2335">
        <v>2</v>
      </c>
      <c r="L2335" s="3">
        <v>6099</v>
      </c>
      <c r="M2335">
        <v>15</v>
      </c>
      <c r="N2335" s="3">
        <v>5180</v>
      </c>
      <c r="O2335" s="3">
        <v>10360</v>
      </c>
      <c r="P2335" t="s">
        <v>34</v>
      </c>
      <c r="Q2335" t="s">
        <v>35</v>
      </c>
      <c r="R2335" t="s">
        <v>36</v>
      </c>
      <c r="S2335" t="s">
        <v>354</v>
      </c>
      <c r="T2335" t="s">
        <v>355</v>
      </c>
      <c r="U2335" t="s">
        <v>54</v>
      </c>
      <c r="V2335" t="s">
        <v>315</v>
      </c>
      <c r="W2335">
        <v>4.3</v>
      </c>
      <c r="X2335" t="s">
        <v>41</v>
      </c>
      <c r="Y2335" t="s">
        <v>42</v>
      </c>
      <c r="Z2335">
        <v>5</v>
      </c>
    </row>
    <row r="2336" spans="1:26">
      <c r="A2336" t="s">
        <v>3533</v>
      </c>
      <c r="B2336" t="s">
        <v>340</v>
      </c>
      <c r="C2336" t="s">
        <v>94</v>
      </c>
      <c r="D2336" t="s">
        <v>103</v>
      </c>
      <c r="E2336" s="1">
        <v>45393</v>
      </c>
      <c r="F2336" t="s">
        <v>79</v>
      </c>
      <c r="G2336" t="s">
        <v>127</v>
      </c>
      <c r="H2336" t="s">
        <v>128</v>
      </c>
      <c r="I2336">
        <v>10</v>
      </c>
      <c r="J2336" t="s">
        <v>33</v>
      </c>
      <c r="K2336">
        <v>1</v>
      </c>
      <c r="L2336" s="3">
        <v>3899</v>
      </c>
      <c r="M2336">
        <v>20</v>
      </c>
      <c r="N2336" s="3">
        <v>3120</v>
      </c>
      <c r="O2336" s="3">
        <v>3120</v>
      </c>
      <c r="P2336" t="s">
        <v>74</v>
      </c>
      <c r="Q2336" t="s">
        <v>82</v>
      </c>
      <c r="R2336" t="s">
        <v>36</v>
      </c>
      <c r="S2336" t="s">
        <v>99</v>
      </c>
      <c r="T2336" t="s">
        <v>100</v>
      </c>
      <c r="U2336" t="s">
        <v>91</v>
      </c>
      <c r="V2336" t="s">
        <v>969</v>
      </c>
      <c r="W2336">
        <v>3.5</v>
      </c>
      <c r="X2336" t="s">
        <v>41</v>
      </c>
      <c r="Y2336" t="s">
        <v>42</v>
      </c>
      <c r="Z2336">
        <v>2</v>
      </c>
    </row>
    <row r="2337" spans="1:26">
      <c r="A2337" t="s">
        <v>3534</v>
      </c>
      <c r="B2337" t="s">
        <v>213</v>
      </c>
      <c r="C2337" t="s">
        <v>28</v>
      </c>
      <c r="D2337" t="s">
        <v>103</v>
      </c>
      <c r="E2337" s="1">
        <v>45394</v>
      </c>
      <c r="F2337" t="s">
        <v>30</v>
      </c>
      <c r="G2337" t="s">
        <v>347</v>
      </c>
      <c r="H2337" t="s">
        <v>49</v>
      </c>
      <c r="I2337">
        <v>11</v>
      </c>
      <c r="J2337" t="s">
        <v>33</v>
      </c>
      <c r="K2337">
        <v>3</v>
      </c>
      <c r="L2337" s="3">
        <v>6499</v>
      </c>
      <c r="M2337">
        <v>25</v>
      </c>
      <c r="N2337" s="3">
        <v>4870</v>
      </c>
      <c r="O2337" s="3">
        <v>14610</v>
      </c>
      <c r="P2337" t="s">
        <v>74</v>
      </c>
      <c r="Q2337" t="s">
        <v>51</v>
      </c>
      <c r="R2337" t="s">
        <v>36</v>
      </c>
      <c r="S2337" t="s">
        <v>418</v>
      </c>
      <c r="T2337" t="s">
        <v>549</v>
      </c>
      <c r="U2337" t="s">
        <v>61</v>
      </c>
      <c r="V2337" t="s">
        <v>315</v>
      </c>
      <c r="W2337">
        <v>4.4000000000000004</v>
      </c>
      <c r="X2337" t="s">
        <v>106</v>
      </c>
      <c r="Y2337" t="s">
        <v>42</v>
      </c>
      <c r="Z2337">
        <v>4</v>
      </c>
    </row>
    <row r="2338" spans="1:26">
      <c r="A2338" t="s">
        <v>3535</v>
      </c>
      <c r="B2338" t="s">
        <v>1932</v>
      </c>
      <c r="C2338" t="s">
        <v>28</v>
      </c>
      <c r="D2338" t="s">
        <v>46</v>
      </c>
      <c r="E2338" s="1">
        <v>45395</v>
      </c>
      <c r="F2338" t="s">
        <v>47</v>
      </c>
      <c r="G2338" t="s">
        <v>218</v>
      </c>
      <c r="H2338" t="s">
        <v>59</v>
      </c>
      <c r="I2338">
        <v>8</v>
      </c>
      <c r="J2338" t="s">
        <v>67</v>
      </c>
      <c r="K2338">
        <v>2</v>
      </c>
      <c r="L2338" s="3">
        <v>4199</v>
      </c>
      <c r="M2338">
        <v>5</v>
      </c>
      <c r="N2338" s="3">
        <v>3990</v>
      </c>
      <c r="O2338" s="3">
        <v>7980</v>
      </c>
      <c r="P2338" t="s">
        <v>74</v>
      </c>
      <c r="Q2338" t="s">
        <v>51</v>
      </c>
      <c r="R2338" t="s">
        <v>36</v>
      </c>
      <c r="S2338" t="s">
        <v>99</v>
      </c>
      <c r="T2338" t="s">
        <v>229</v>
      </c>
      <c r="U2338" t="s">
        <v>91</v>
      </c>
      <c r="V2338" t="s">
        <v>315</v>
      </c>
      <c r="W2338">
        <v>4.2</v>
      </c>
      <c r="X2338" t="s">
        <v>41</v>
      </c>
      <c r="Y2338" t="s">
        <v>42</v>
      </c>
      <c r="Z2338">
        <v>6</v>
      </c>
    </row>
    <row r="2339" spans="1:26">
      <c r="A2339" t="s">
        <v>3536</v>
      </c>
      <c r="B2339" t="s">
        <v>2659</v>
      </c>
      <c r="C2339" t="s">
        <v>45</v>
      </c>
      <c r="D2339" t="s">
        <v>95</v>
      </c>
      <c r="E2339" s="1">
        <v>45396</v>
      </c>
      <c r="F2339" t="s">
        <v>30</v>
      </c>
      <c r="G2339" t="s">
        <v>58</v>
      </c>
      <c r="H2339" t="s">
        <v>59</v>
      </c>
      <c r="I2339">
        <v>11</v>
      </c>
      <c r="J2339" t="s">
        <v>98</v>
      </c>
      <c r="K2339">
        <v>1</v>
      </c>
      <c r="L2339" s="3">
        <v>4099</v>
      </c>
      <c r="M2339">
        <v>10</v>
      </c>
      <c r="N2339" s="3">
        <v>3690</v>
      </c>
      <c r="O2339" s="3">
        <v>3690</v>
      </c>
      <c r="P2339" t="s">
        <v>74</v>
      </c>
      <c r="Q2339" t="s">
        <v>82</v>
      </c>
      <c r="R2339" t="s">
        <v>36</v>
      </c>
      <c r="S2339" t="s">
        <v>175</v>
      </c>
      <c r="T2339" t="s">
        <v>495</v>
      </c>
      <c r="U2339" t="s">
        <v>54</v>
      </c>
      <c r="V2339" t="s">
        <v>315</v>
      </c>
      <c r="W2339">
        <v>4.5999999999999996</v>
      </c>
      <c r="X2339" t="s">
        <v>41</v>
      </c>
      <c r="Y2339" t="s">
        <v>147</v>
      </c>
      <c r="Z2339">
        <v>1</v>
      </c>
    </row>
    <row r="2340" spans="1:26">
      <c r="A2340" t="s">
        <v>3537</v>
      </c>
      <c r="B2340" t="s">
        <v>2103</v>
      </c>
      <c r="C2340" t="s">
        <v>45</v>
      </c>
      <c r="D2340" t="s">
        <v>29</v>
      </c>
      <c r="E2340" s="1">
        <v>45397</v>
      </c>
      <c r="F2340" t="s">
        <v>79</v>
      </c>
      <c r="G2340" t="s">
        <v>517</v>
      </c>
      <c r="H2340" t="s">
        <v>59</v>
      </c>
      <c r="I2340">
        <v>6</v>
      </c>
      <c r="J2340" t="s">
        <v>98</v>
      </c>
      <c r="K2340">
        <v>4</v>
      </c>
      <c r="L2340" s="3">
        <v>3599</v>
      </c>
      <c r="M2340">
        <v>5</v>
      </c>
      <c r="N2340" s="3">
        <v>3420</v>
      </c>
      <c r="O2340" s="3">
        <v>13680</v>
      </c>
      <c r="P2340" t="s">
        <v>34</v>
      </c>
      <c r="Q2340" t="s">
        <v>35</v>
      </c>
      <c r="R2340" t="s">
        <v>36</v>
      </c>
      <c r="S2340" t="s">
        <v>160</v>
      </c>
      <c r="T2340" t="s">
        <v>161</v>
      </c>
      <c r="U2340" t="s">
        <v>124</v>
      </c>
      <c r="V2340" t="s">
        <v>315</v>
      </c>
      <c r="W2340">
        <v>3.7</v>
      </c>
      <c r="X2340" t="s">
        <v>41</v>
      </c>
      <c r="Y2340" t="s">
        <v>55</v>
      </c>
      <c r="Z2340">
        <v>2</v>
      </c>
    </row>
    <row r="2341" spans="1:26">
      <c r="A2341" t="s">
        <v>3538</v>
      </c>
      <c r="B2341" t="s">
        <v>3539</v>
      </c>
      <c r="C2341" t="s">
        <v>28</v>
      </c>
      <c r="D2341" t="s">
        <v>46</v>
      </c>
      <c r="E2341" s="1">
        <v>45398</v>
      </c>
      <c r="F2341" t="s">
        <v>86</v>
      </c>
      <c r="G2341" t="s">
        <v>285</v>
      </c>
      <c r="H2341" t="s">
        <v>111</v>
      </c>
      <c r="I2341">
        <v>12</v>
      </c>
      <c r="J2341" t="s">
        <v>73</v>
      </c>
      <c r="K2341">
        <v>1</v>
      </c>
      <c r="L2341" s="3">
        <v>8799</v>
      </c>
      <c r="M2341">
        <v>15</v>
      </c>
      <c r="N2341" s="3">
        <v>7480</v>
      </c>
      <c r="O2341" s="3">
        <v>7480</v>
      </c>
      <c r="P2341" t="s">
        <v>74</v>
      </c>
      <c r="Q2341" t="s">
        <v>82</v>
      </c>
      <c r="R2341" t="s">
        <v>36</v>
      </c>
      <c r="S2341" t="s">
        <v>136</v>
      </c>
      <c r="T2341" t="s">
        <v>137</v>
      </c>
      <c r="U2341" t="s">
        <v>39</v>
      </c>
      <c r="V2341" t="s">
        <v>40</v>
      </c>
      <c r="W2341">
        <v>5</v>
      </c>
      <c r="X2341" t="s">
        <v>62</v>
      </c>
      <c r="Y2341" t="s">
        <v>42</v>
      </c>
      <c r="Z2341">
        <v>5</v>
      </c>
    </row>
    <row r="2342" spans="1:26">
      <c r="A2342" t="s">
        <v>3540</v>
      </c>
      <c r="B2342" t="s">
        <v>1798</v>
      </c>
      <c r="C2342" t="s">
        <v>28</v>
      </c>
      <c r="D2342" t="s">
        <v>29</v>
      </c>
      <c r="E2342" s="1">
        <v>45398</v>
      </c>
      <c r="F2342" t="s">
        <v>86</v>
      </c>
      <c r="G2342" t="s">
        <v>285</v>
      </c>
      <c r="H2342" t="s">
        <v>111</v>
      </c>
      <c r="I2342">
        <v>8</v>
      </c>
      <c r="J2342" t="s">
        <v>73</v>
      </c>
      <c r="K2342">
        <v>1</v>
      </c>
      <c r="L2342" s="3">
        <v>6899</v>
      </c>
      <c r="M2342">
        <v>20</v>
      </c>
      <c r="N2342" s="3">
        <v>5520</v>
      </c>
      <c r="O2342" s="3">
        <v>5520</v>
      </c>
      <c r="P2342" t="s">
        <v>74</v>
      </c>
      <c r="Q2342" t="s">
        <v>51</v>
      </c>
      <c r="R2342" t="s">
        <v>36</v>
      </c>
      <c r="S2342" t="s">
        <v>68</v>
      </c>
      <c r="T2342" t="s">
        <v>207</v>
      </c>
      <c r="U2342" t="s">
        <v>124</v>
      </c>
      <c r="V2342" t="s">
        <v>315</v>
      </c>
      <c r="W2342">
        <v>4.4000000000000004</v>
      </c>
      <c r="X2342" t="s">
        <v>41</v>
      </c>
      <c r="Y2342" t="s">
        <v>55</v>
      </c>
      <c r="Z2342">
        <v>2</v>
      </c>
    </row>
    <row r="2343" spans="1:26">
      <c r="A2343" t="s">
        <v>3541</v>
      </c>
      <c r="B2343" t="s">
        <v>1537</v>
      </c>
      <c r="C2343" t="s">
        <v>94</v>
      </c>
      <c r="D2343" t="s">
        <v>46</v>
      </c>
      <c r="E2343" s="1">
        <v>45399</v>
      </c>
      <c r="F2343" t="s">
        <v>65</v>
      </c>
      <c r="G2343" t="s">
        <v>268</v>
      </c>
      <c r="H2343" t="s">
        <v>128</v>
      </c>
      <c r="I2343">
        <v>9</v>
      </c>
      <c r="J2343" t="s">
        <v>67</v>
      </c>
      <c r="K2343">
        <v>1</v>
      </c>
      <c r="L2343" s="3">
        <v>7799</v>
      </c>
      <c r="M2343">
        <v>20</v>
      </c>
      <c r="N2343" s="3">
        <v>6240</v>
      </c>
      <c r="O2343" s="3">
        <v>6240</v>
      </c>
      <c r="P2343" t="s">
        <v>34</v>
      </c>
      <c r="Q2343" t="s">
        <v>51</v>
      </c>
      <c r="R2343" t="s">
        <v>36</v>
      </c>
      <c r="S2343" t="s">
        <v>186</v>
      </c>
      <c r="T2343" t="s">
        <v>222</v>
      </c>
      <c r="U2343" t="s">
        <v>91</v>
      </c>
      <c r="V2343" t="s">
        <v>969</v>
      </c>
      <c r="W2343">
        <v>2.9</v>
      </c>
      <c r="X2343" t="s">
        <v>41</v>
      </c>
      <c r="Y2343" t="s">
        <v>42</v>
      </c>
      <c r="Z2343">
        <v>3</v>
      </c>
    </row>
    <row r="2344" spans="1:26">
      <c r="A2344" t="s">
        <v>3542</v>
      </c>
      <c r="B2344" t="s">
        <v>839</v>
      </c>
      <c r="C2344" t="s">
        <v>28</v>
      </c>
      <c r="D2344" t="s">
        <v>109</v>
      </c>
      <c r="E2344" s="1">
        <v>45400</v>
      </c>
      <c r="F2344" t="s">
        <v>65</v>
      </c>
      <c r="G2344" t="s">
        <v>66</v>
      </c>
      <c r="H2344" t="s">
        <v>59</v>
      </c>
      <c r="I2344">
        <v>9</v>
      </c>
      <c r="J2344" t="s">
        <v>98</v>
      </c>
      <c r="K2344">
        <v>2</v>
      </c>
      <c r="L2344" s="3">
        <v>4799</v>
      </c>
      <c r="M2344">
        <v>20</v>
      </c>
      <c r="N2344" s="3">
        <v>3840</v>
      </c>
      <c r="O2344" s="3">
        <v>7680</v>
      </c>
      <c r="P2344" t="s">
        <v>74</v>
      </c>
      <c r="Q2344" t="s">
        <v>51</v>
      </c>
      <c r="R2344" t="s">
        <v>36</v>
      </c>
      <c r="S2344" t="s">
        <v>156</v>
      </c>
      <c r="T2344" t="s">
        <v>324</v>
      </c>
      <c r="U2344" t="s">
        <v>54</v>
      </c>
      <c r="V2344" t="s">
        <v>969</v>
      </c>
      <c r="W2344">
        <v>3.7</v>
      </c>
      <c r="X2344" t="s">
        <v>41</v>
      </c>
      <c r="Y2344" t="s">
        <v>55</v>
      </c>
      <c r="Z2344">
        <v>4</v>
      </c>
    </row>
    <row r="2345" spans="1:26">
      <c r="A2345" t="s">
        <v>3543</v>
      </c>
      <c r="B2345" t="s">
        <v>1231</v>
      </c>
      <c r="C2345" t="s">
        <v>45</v>
      </c>
      <c r="D2345" t="s">
        <v>103</v>
      </c>
      <c r="E2345" s="1">
        <v>45401</v>
      </c>
      <c r="F2345" t="s">
        <v>96</v>
      </c>
      <c r="G2345" t="s">
        <v>171</v>
      </c>
      <c r="H2345" t="s">
        <v>128</v>
      </c>
      <c r="I2345">
        <v>8</v>
      </c>
      <c r="J2345" t="s">
        <v>88</v>
      </c>
      <c r="K2345">
        <v>3</v>
      </c>
      <c r="L2345" s="3">
        <v>9199</v>
      </c>
      <c r="M2345">
        <v>0</v>
      </c>
      <c r="N2345" s="3">
        <v>9200</v>
      </c>
      <c r="O2345" s="3">
        <v>27600</v>
      </c>
      <c r="P2345" t="s">
        <v>34</v>
      </c>
      <c r="Q2345" t="s">
        <v>51</v>
      </c>
      <c r="R2345" t="s">
        <v>36</v>
      </c>
      <c r="S2345" t="s">
        <v>156</v>
      </c>
      <c r="T2345" t="s">
        <v>257</v>
      </c>
      <c r="U2345" t="s">
        <v>124</v>
      </c>
      <c r="V2345" t="s">
        <v>969</v>
      </c>
      <c r="W2345">
        <v>3.7</v>
      </c>
      <c r="X2345" t="s">
        <v>41</v>
      </c>
      <c r="Y2345" t="s">
        <v>42</v>
      </c>
      <c r="Z2345">
        <v>3</v>
      </c>
    </row>
    <row r="2346" spans="1:26">
      <c r="A2346" t="s">
        <v>3544</v>
      </c>
      <c r="B2346" t="s">
        <v>1435</v>
      </c>
      <c r="C2346" t="s">
        <v>28</v>
      </c>
      <c r="D2346" t="s">
        <v>103</v>
      </c>
      <c r="E2346" s="1">
        <v>45401</v>
      </c>
      <c r="F2346" t="s">
        <v>65</v>
      </c>
      <c r="G2346" t="s">
        <v>66</v>
      </c>
      <c r="H2346" t="s">
        <v>59</v>
      </c>
      <c r="I2346">
        <v>9</v>
      </c>
      <c r="J2346" t="s">
        <v>73</v>
      </c>
      <c r="K2346">
        <v>1</v>
      </c>
      <c r="L2346" s="3">
        <v>3299</v>
      </c>
      <c r="M2346">
        <v>20</v>
      </c>
      <c r="N2346" s="3">
        <v>2640</v>
      </c>
      <c r="O2346" s="3">
        <v>2640</v>
      </c>
      <c r="P2346" t="s">
        <v>34</v>
      </c>
      <c r="Q2346" t="s">
        <v>35</v>
      </c>
      <c r="R2346" t="s">
        <v>36</v>
      </c>
      <c r="S2346" t="s">
        <v>200</v>
      </c>
      <c r="T2346" t="s">
        <v>204</v>
      </c>
      <c r="U2346" t="s">
        <v>39</v>
      </c>
      <c r="V2346" t="s">
        <v>315</v>
      </c>
      <c r="W2346">
        <v>3.7</v>
      </c>
      <c r="X2346" t="s">
        <v>106</v>
      </c>
      <c r="Y2346" t="s">
        <v>42</v>
      </c>
      <c r="Z2346">
        <v>3</v>
      </c>
    </row>
    <row r="2347" spans="1:26">
      <c r="A2347" t="s">
        <v>3545</v>
      </c>
      <c r="B2347" t="s">
        <v>2395</v>
      </c>
      <c r="C2347" t="s">
        <v>28</v>
      </c>
      <c r="D2347" t="s">
        <v>46</v>
      </c>
      <c r="E2347" s="1">
        <v>45401</v>
      </c>
      <c r="F2347" t="s">
        <v>65</v>
      </c>
      <c r="G2347" t="s">
        <v>66</v>
      </c>
      <c r="H2347" t="s">
        <v>59</v>
      </c>
      <c r="I2347">
        <v>7</v>
      </c>
      <c r="J2347" t="s">
        <v>33</v>
      </c>
      <c r="K2347">
        <v>1</v>
      </c>
      <c r="L2347" s="3">
        <v>3799</v>
      </c>
      <c r="M2347">
        <v>30</v>
      </c>
      <c r="N2347" s="3">
        <v>2660</v>
      </c>
      <c r="O2347" s="3">
        <v>2660</v>
      </c>
      <c r="P2347" t="s">
        <v>34</v>
      </c>
      <c r="Q2347" t="s">
        <v>82</v>
      </c>
      <c r="R2347" t="s">
        <v>36</v>
      </c>
      <c r="S2347" t="s">
        <v>129</v>
      </c>
      <c r="T2347" t="s">
        <v>282</v>
      </c>
      <c r="U2347" t="s">
        <v>39</v>
      </c>
      <c r="V2347" t="s">
        <v>315</v>
      </c>
      <c r="W2347">
        <v>3.8</v>
      </c>
      <c r="X2347" t="s">
        <v>41</v>
      </c>
      <c r="Y2347" t="s">
        <v>42</v>
      </c>
      <c r="Z2347">
        <v>5</v>
      </c>
    </row>
    <row r="2348" spans="1:26">
      <c r="A2348" t="s">
        <v>3546</v>
      </c>
      <c r="B2348" t="s">
        <v>306</v>
      </c>
      <c r="C2348" t="s">
        <v>94</v>
      </c>
      <c r="D2348" t="s">
        <v>95</v>
      </c>
      <c r="E2348" s="1">
        <v>45401</v>
      </c>
      <c r="F2348" t="s">
        <v>30</v>
      </c>
      <c r="G2348" t="s">
        <v>58</v>
      </c>
      <c r="H2348" t="s">
        <v>59</v>
      </c>
      <c r="I2348">
        <v>10</v>
      </c>
      <c r="J2348" t="s">
        <v>98</v>
      </c>
      <c r="K2348">
        <v>2</v>
      </c>
      <c r="L2348" s="3">
        <v>8399</v>
      </c>
      <c r="M2348">
        <v>15</v>
      </c>
      <c r="N2348" s="3">
        <v>7140</v>
      </c>
      <c r="O2348" s="3">
        <v>14280</v>
      </c>
      <c r="P2348" t="s">
        <v>74</v>
      </c>
      <c r="Q2348" t="s">
        <v>35</v>
      </c>
      <c r="R2348" t="s">
        <v>36</v>
      </c>
      <c r="S2348" t="s">
        <v>151</v>
      </c>
      <c r="T2348" t="s">
        <v>506</v>
      </c>
      <c r="U2348" t="s">
        <v>124</v>
      </c>
      <c r="V2348" t="s">
        <v>315</v>
      </c>
      <c r="W2348">
        <v>5</v>
      </c>
      <c r="X2348" t="s">
        <v>41</v>
      </c>
      <c r="Y2348" t="s">
        <v>42</v>
      </c>
      <c r="Z2348">
        <v>2</v>
      </c>
    </row>
    <row r="2349" spans="1:26">
      <c r="A2349" t="s">
        <v>3547</v>
      </c>
      <c r="B2349" t="s">
        <v>3548</v>
      </c>
      <c r="C2349" t="s">
        <v>45</v>
      </c>
      <c r="D2349" t="s">
        <v>46</v>
      </c>
      <c r="E2349" s="1">
        <v>45402</v>
      </c>
      <c r="F2349" t="s">
        <v>86</v>
      </c>
      <c r="G2349" t="s">
        <v>285</v>
      </c>
      <c r="H2349" t="s">
        <v>111</v>
      </c>
      <c r="I2349">
        <v>12</v>
      </c>
      <c r="J2349" t="s">
        <v>73</v>
      </c>
      <c r="K2349">
        <v>1</v>
      </c>
      <c r="L2349" s="3">
        <v>6499</v>
      </c>
      <c r="M2349">
        <v>15</v>
      </c>
      <c r="N2349" s="3">
        <v>5520</v>
      </c>
      <c r="O2349" s="3">
        <v>5520</v>
      </c>
      <c r="P2349" t="s">
        <v>81</v>
      </c>
      <c r="Q2349" t="s">
        <v>51</v>
      </c>
      <c r="R2349" t="s">
        <v>36</v>
      </c>
      <c r="S2349" t="s">
        <v>338</v>
      </c>
      <c r="T2349" t="s">
        <v>449</v>
      </c>
      <c r="U2349" t="s">
        <v>54</v>
      </c>
      <c r="V2349" t="s">
        <v>40</v>
      </c>
      <c r="W2349">
        <v>4.7</v>
      </c>
      <c r="X2349" t="s">
        <v>41</v>
      </c>
      <c r="Y2349" t="s">
        <v>55</v>
      </c>
      <c r="Z2349">
        <v>3</v>
      </c>
    </row>
    <row r="2350" spans="1:26">
      <c r="A2350" t="s">
        <v>3549</v>
      </c>
      <c r="B2350" t="s">
        <v>599</v>
      </c>
      <c r="C2350" t="s">
        <v>45</v>
      </c>
      <c r="D2350" t="s">
        <v>46</v>
      </c>
      <c r="E2350" s="1">
        <v>45402</v>
      </c>
      <c r="F2350" t="s">
        <v>96</v>
      </c>
      <c r="G2350" t="s">
        <v>323</v>
      </c>
      <c r="H2350" t="s">
        <v>59</v>
      </c>
      <c r="I2350">
        <v>9</v>
      </c>
      <c r="J2350" t="s">
        <v>73</v>
      </c>
      <c r="K2350">
        <v>1</v>
      </c>
      <c r="L2350" s="3">
        <v>9899</v>
      </c>
      <c r="M2350">
        <v>15</v>
      </c>
      <c r="N2350" s="3">
        <v>8410</v>
      </c>
      <c r="O2350" s="3">
        <v>8410</v>
      </c>
      <c r="P2350" t="s">
        <v>74</v>
      </c>
      <c r="Q2350" t="s">
        <v>51</v>
      </c>
      <c r="R2350" t="s">
        <v>36</v>
      </c>
      <c r="S2350" t="s">
        <v>269</v>
      </c>
      <c r="T2350" t="s">
        <v>575</v>
      </c>
      <c r="U2350" t="s">
        <v>124</v>
      </c>
      <c r="V2350" t="s">
        <v>969</v>
      </c>
      <c r="W2350">
        <v>5</v>
      </c>
      <c r="X2350" t="s">
        <v>106</v>
      </c>
      <c r="Y2350" t="s">
        <v>147</v>
      </c>
      <c r="Z2350">
        <v>1</v>
      </c>
    </row>
    <row r="2351" spans="1:26">
      <c r="A2351" t="s">
        <v>3550</v>
      </c>
      <c r="B2351" t="s">
        <v>2332</v>
      </c>
      <c r="C2351" t="s">
        <v>28</v>
      </c>
      <c r="D2351" t="s">
        <v>46</v>
      </c>
      <c r="E2351" s="1">
        <v>45402</v>
      </c>
      <c r="F2351" t="s">
        <v>47</v>
      </c>
      <c r="G2351" t="s">
        <v>140</v>
      </c>
      <c r="H2351" t="s">
        <v>128</v>
      </c>
      <c r="I2351">
        <v>7</v>
      </c>
      <c r="J2351" t="s">
        <v>73</v>
      </c>
      <c r="K2351">
        <v>3</v>
      </c>
      <c r="L2351" s="3">
        <v>4499</v>
      </c>
      <c r="M2351">
        <v>0</v>
      </c>
      <c r="N2351" s="3">
        <v>4500</v>
      </c>
      <c r="O2351" s="3">
        <v>13500</v>
      </c>
      <c r="P2351" t="s">
        <v>34</v>
      </c>
      <c r="Q2351" t="s">
        <v>35</v>
      </c>
      <c r="R2351" t="s">
        <v>36</v>
      </c>
      <c r="S2351" t="s">
        <v>286</v>
      </c>
      <c r="T2351" t="s">
        <v>287</v>
      </c>
      <c r="U2351" t="s">
        <v>61</v>
      </c>
      <c r="V2351" t="s">
        <v>315</v>
      </c>
      <c r="W2351">
        <v>3.7</v>
      </c>
      <c r="X2351" t="s">
        <v>41</v>
      </c>
      <c r="Y2351" t="s">
        <v>147</v>
      </c>
      <c r="Z2351">
        <v>1</v>
      </c>
    </row>
    <row r="2352" spans="1:26">
      <c r="A2352" t="s">
        <v>3551</v>
      </c>
      <c r="B2352" t="s">
        <v>1560</v>
      </c>
      <c r="C2352" t="s">
        <v>28</v>
      </c>
      <c r="D2352" t="s">
        <v>103</v>
      </c>
      <c r="E2352" s="1">
        <v>45404</v>
      </c>
      <c r="F2352" t="s">
        <v>96</v>
      </c>
      <c r="G2352" t="s">
        <v>228</v>
      </c>
      <c r="H2352" t="s">
        <v>59</v>
      </c>
      <c r="I2352">
        <v>8</v>
      </c>
      <c r="J2352" t="s">
        <v>33</v>
      </c>
      <c r="K2352">
        <v>2</v>
      </c>
      <c r="L2352" s="3">
        <v>5599</v>
      </c>
      <c r="M2352">
        <v>0</v>
      </c>
      <c r="N2352" s="3">
        <v>5600</v>
      </c>
      <c r="O2352" s="3">
        <v>11200</v>
      </c>
      <c r="P2352" t="s">
        <v>74</v>
      </c>
      <c r="Q2352" t="s">
        <v>35</v>
      </c>
      <c r="R2352" t="s">
        <v>36</v>
      </c>
      <c r="S2352" t="s">
        <v>37</v>
      </c>
      <c r="T2352" t="s">
        <v>1122</v>
      </c>
      <c r="U2352" t="s">
        <v>61</v>
      </c>
      <c r="V2352" t="s">
        <v>969</v>
      </c>
      <c r="W2352">
        <v>4.2</v>
      </c>
      <c r="X2352" t="s">
        <v>41</v>
      </c>
      <c r="Y2352" t="s">
        <v>55</v>
      </c>
      <c r="Z2352">
        <v>2</v>
      </c>
    </row>
    <row r="2353" spans="1:26">
      <c r="A2353" t="s">
        <v>3552</v>
      </c>
      <c r="B2353" t="s">
        <v>628</v>
      </c>
      <c r="C2353" t="s">
        <v>28</v>
      </c>
      <c r="D2353" t="s">
        <v>103</v>
      </c>
      <c r="E2353" s="1">
        <v>45407</v>
      </c>
      <c r="F2353" t="s">
        <v>79</v>
      </c>
      <c r="G2353" t="s">
        <v>301</v>
      </c>
      <c r="H2353" t="s">
        <v>49</v>
      </c>
      <c r="I2353">
        <v>10</v>
      </c>
      <c r="J2353" t="s">
        <v>67</v>
      </c>
      <c r="K2353">
        <v>2</v>
      </c>
      <c r="L2353" s="3">
        <v>5099</v>
      </c>
      <c r="M2353">
        <v>15</v>
      </c>
      <c r="N2353" s="3">
        <v>4330</v>
      </c>
      <c r="O2353" s="3">
        <v>8660</v>
      </c>
      <c r="P2353" t="s">
        <v>34</v>
      </c>
      <c r="Q2353" t="s">
        <v>51</v>
      </c>
      <c r="R2353" t="s">
        <v>36</v>
      </c>
      <c r="S2353" t="s">
        <v>117</v>
      </c>
      <c r="T2353" t="s">
        <v>544</v>
      </c>
      <c r="U2353" t="s">
        <v>91</v>
      </c>
      <c r="V2353" t="s">
        <v>315</v>
      </c>
      <c r="W2353">
        <v>4.5999999999999996</v>
      </c>
      <c r="X2353" t="s">
        <v>62</v>
      </c>
      <c r="Y2353" t="s">
        <v>42</v>
      </c>
      <c r="Z2353">
        <v>7</v>
      </c>
    </row>
    <row r="2354" spans="1:26">
      <c r="A2354" t="s">
        <v>3553</v>
      </c>
      <c r="B2354" t="s">
        <v>3405</v>
      </c>
      <c r="C2354" t="s">
        <v>45</v>
      </c>
      <c r="D2354" t="s">
        <v>103</v>
      </c>
      <c r="E2354" s="1">
        <v>45408</v>
      </c>
      <c r="F2354" t="s">
        <v>47</v>
      </c>
      <c r="G2354" t="s">
        <v>402</v>
      </c>
      <c r="H2354" t="s">
        <v>32</v>
      </c>
      <c r="I2354">
        <v>8</v>
      </c>
      <c r="J2354" t="s">
        <v>98</v>
      </c>
      <c r="K2354">
        <v>2</v>
      </c>
      <c r="L2354" s="3">
        <v>4299</v>
      </c>
      <c r="M2354">
        <v>10</v>
      </c>
      <c r="N2354" s="3">
        <v>3870</v>
      </c>
      <c r="O2354" s="3">
        <v>7740</v>
      </c>
      <c r="P2354" t="s">
        <v>74</v>
      </c>
      <c r="Q2354" t="s">
        <v>35</v>
      </c>
      <c r="R2354" t="s">
        <v>36</v>
      </c>
      <c r="S2354" t="s">
        <v>460</v>
      </c>
      <c r="T2354" t="s">
        <v>461</v>
      </c>
      <c r="U2354" t="s">
        <v>39</v>
      </c>
      <c r="V2354" t="s">
        <v>315</v>
      </c>
      <c r="W2354">
        <v>3.8</v>
      </c>
      <c r="X2354" t="s">
        <v>41</v>
      </c>
      <c r="Y2354" t="s">
        <v>55</v>
      </c>
      <c r="Z2354">
        <v>2</v>
      </c>
    </row>
    <row r="2355" spans="1:26">
      <c r="A2355" t="s">
        <v>3554</v>
      </c>
      <c r="B2355" t="s">
        <v>3555</v>
      </c>
      <c r="C2355" t="s">
        <v>45</v>
      </c>
      <c r="D2355" t="s">
        <v>103</v>
      </c>
      <c r="E2355" s="1">
        <v>45408</v>
      </c>
      <c r="F2355" t="s">
        <v>96</v>
      </c>
      <c r="G2355" t="s">
        <v>171</v>
      </c>
      <c r="H2355" t="s">
        <v>128</v>
      </c>
      <c r="I2355">
        <v>8</v>
      </c>
      <c r="J2355" t="s">
        <v>98</v>
      </c>
      <c r="K2355">
        <v>1</v>
      </c>
      <c r="L2355" s="3">
        <v>6899</v>
      </c>
      <c r="M2355">
        <v>15</v>
      </c>
      <c r="N2355" s="3">
        <v>5860</v>
      </c>
      <c r="O2355" s="3">
        <v>5860</v>
      </c>
      <c r="P2355" t="s">
        <v>74</v>
      </c>
      <c r="Q2355" t="s">
        <v>51</v>
      </c>
      <c r="R2355" t="s">
        <v>36</v>
      </c>
      <c r="S2355" t="s">
        <v>358</v>
      </c>
      <c r="T2355" t="s">
        <v>597</v>
      </c>
      <c r="U2355" t="s">
        <v>39</v>
      </c>
      <c r="V2355" t="s">
        <v>40</v>
      </c>
      <c r="W2355">
        <v>4.2</v>
      </c>
      <c r="X2355" t="s">
        <v>41</v>
      </c>
      <c r="Y2355" t="s">
        <v>42</v>
      </c>
      <c r="Z2355">
        <v>5</v>
      </c>
    </row>
    <row r="2356" spans="1:26">
      <c r="A2356" t="s">
        <v>3556</v>
      </c>
      <c r="B2356" t="s">
        <v>2063</v>
      </c>
      <c r="C2356" t="s">
        <v>45</v>
      </c>
      <c r="D2356" t="s">
        <v>29</v>
      </c>
      <c r="E2356" s="1">
        <v>45409</v>
      </c>
      <c r="F2356" t="s">
        <v>30</v>
      </c>
      <c r="G2356" t="s">
        <v>110</v>
      </c>
      <c r="H2356" t="s">
        <v>111</v>
      </c>
      <c r="I2356">
        <v>8</v>
      </c>
      <c r="J2356" t="s">
        <v>73</v>
      </c>
      <c r="K2356">
        <v>2</v>
      </c>
      <c r="L2356" s="3">
        <v>7399</v>
      </c>
      <c r="M2356">
        <v>15</v>
      </c>
      <c r="N2356" s="3">
        <v>6290</v>
      </c>
      <c r="O2356" s="3">
        <v>12580</v>
      </c>
      <c r="P2356" t="s">
        <v>34</v>
      </c>
      <c r="Q2356" t="s">
        <v>51</v>
      </c>
      <c r="R2356" t="s">
        <v>36</v>
      </c>
      <c r="S2356" t="s">
        <v>384</v>
      </c>
      <c r="T2356" t="s">
        <v>444</v>
      </c>
      <c r="U2356" t="s">
        <v>91</v>
      </c>
      <c r="V2356" t="s">
        <v>969</v>
      </c>
      <c r="W2356">
        <v>3.4</v>
      </c>
      <c r="X2356" t="s">
        <v>41</v>
      </c>
      <c r="Y2356" t="s">
        <v>42</v>
      </c>
      <c r="Z2356">
        <v>5</v>
      </c>
    </row>
    <row r="2357" spans="1:26">
      <c r="A2357" t="s">
        <v>3557</v>
      </c>
      <c r="B2357" t="s">
        <v>3558</v>
      </c>
      <c r="C2357" t="s">
        <v>28</v>
      </c>
      <c r="D2357" t="s">
        <v>103</v>
      </c>
      <c r="E2357" s="1">
        <v>45413</v>
      </c>
      <c r="F2357" t="s">
        <v>30</v>
      </c>
      <c r="G2357" t="s">
        <v>214</v>
      </c>
      <c r="H2357" t="s">
        <v>128</v>
      </c>
      <c r="I2357">
        <v>12</v>
      </c>
      <c r="J2357" t="s">
        <v>73</v>
      </c>
      <c r="K2357">
        <v>2</v>
      </c>
      <c r="L2357" s="3">
        <v>8299</v>
      </c>
      <c r="M2357">
        <v>10</v>
      </c>
      <c r="N2357" s="3">
        <v>7470</v>
      </c>
      <c r="O2357" s="3">
        <v>14940</v>
      </c>
      <c r="P2357" t="s">
        <v>34</v>
      </c>
      <c r="Q2357" t="s">
        <v>51</v>
      </c>
      <c r="R2357" t="s">
        <v>36</v>
      </c>
      <c r="S2357" t="s">
        <v>182</v>
      </c>
      <c r="T2357" t="s">
        <v>309</v>
      </c>
      <c r="U2357" t="s">
        <v>39</v>
      </c>
      <c r="V2357" t="s">
        <v>40</v>
      </c>
      <c r="W2357">
        <v>3.7</v>
      </c>
      <c r="X2357" t="s">
        <v>41</v>
      </c>
      <c r="Y2357" t="s">
        <v>55</v>
      </c>
      <c r="Z2357">
        <v>2</v>
      </c>
    </row>
    <row r="2358" spans="1:26">
      <c r="A2358" t="s">
        <v>3559</v>
      </c>
      <c r="B2358" t="s">
        <v>3560</v>
      </c>
      <c r="C2358" t="s">
        <v>28</v>
      </c>
      <c r="D2358" t="s">
        <v>29</v>
      </c>
      <c r="E2358" s="1">
        <v>45414</v>
      </c>
      <c r="F2358" t="s">
        <v>47</v>
      </c>
      <c r="G2358" t="s">
        <v>402</v>
      </c>
      <c r="H2358" t="s">
        <v>32</v>
      </c>
      <c r="I2358">
        <v>10</v>
      </c>
      <c r="J2358" t="s">
        <v>73</v>
      </c>
      <c r="K2358">
        <v>3</v>
      </c>
      <c r="L2358" s="3">
        <v>6799</v>
      </c>
      <c r="M2358">
        <v>30</v>
      </c>
      <c r="N2358" s="3">
        <v>4760</v>
      </c>
      <c r="O2358" s="3">
        <v>14280</v>
      </c>
      <c r="P2358" t="s">
        <v>34</v>
      </c>
      <c r="Q2358" t="s">
        <v>35</v>
      </c>
      <c r="R2358" t="s">
        <v>36</v>
      </c>
      <c r="S2358" t="s">
        <v>99</v>
      </c>
      <c r="T2358" t="s">
        <v>100</v>
      </c>
      <c r="U2358" t="s">
        <v>39</v>
      </c>
      <c r="V2358" t="s">
        <v>40</v>
      </c>
      <c r="W2358">
        <v>3.8</v>
      </c>
      <c r="X2358" t="s">
        <v>41</v>
      </c>
      <c r="Y2358" t="s">
        <v>42</v>
      </c>
      <c r="Z2358">
        <v>5</v>
      </c>
    </row>
    <row r="2359" spans="1:26">
      <c r="A2359" t="s">
        <v>3561</v>
      </c>
      <c r="B2359" t="s">
        <v>3562</v>
      </c>
      <c r="C2359" t="s">
        <v>45</v>
      </c>
      <c r="D2359" t="s">
        <v>29</v>
      </c>
      <c r="E2359" s="1">
        <v>45415</v>
      </c>
      <c r="F2359" t="s">
        <v>86</v>
      </c>
      <c r="G2359" t="s">
        <v>190</v>
      </c>
      <c r="H2359" t="s">
        <v>128</v>
      </c>
      <c r="I2359">
        <v>9</v>
      </c>
      <c r="J2359" t="s">
        <v>73</v>
      </c>
      <c r="K2359">
        <v>2</v>
      </c>
      <c r="L2359" s="3">
        <v>4199</v>
      </c>
      <c r="M2359">
        <v>10</v>
      </c>
      <c r="N2359" s="3">
        <v>3780</v>
      </c>
      <c r="O2359" s="3">
        <v>7560</v>
      </c>
      <c r="P2359" t="s">
        <v>74</v>
      </c>
      <c r="Q2359" t="s">
        <v>35</v>
      </c>
      <c r="R2359" t="s">
        <v>36</v>
      </c>
      <c r="S2359" t="s">
        <v>297</v>
      </c>
      <c r="T2359" t="s">
        <v>566</v>
      </c>
      <c r="U2359" t="s">
        <v>61</v>
      </c>
      <c r="V2359" t="s">
        <v>40</v>
      </c>
      <c r="W2359">
        <v>4.2</v>
      </c>
      <c r="X2359" t="s">
        <v>41</v>
      </c>
      <c r="Y2359" t="s">
        <v>42</v>
      </c>
      <c r="Z2359">
        <v>4</v>
      </c>
    </row>
    <row r="2360" spans="1:26">
      <c r="A2360" t="s">
        <v>3563</v>
      </c>
      <c r="B2360" t="s">
        <v>1233</v>
      </c>
      <c r="C2360" t="s">
        <v>28</v>
      </c>
      <c r="D2360" t="s">
        <v>46</v>
      </c>
      <c r="E2360" s="1">
        <v>45415</v>
      </c>
      <c r="F2360" t="s">
        <v>47</v>
      </c>
      <c r="G2360" t="s">
        <v>121</v>
      </c>
      <c r="H2360" t="s">
        <v>111</v>
      </c>
      <c r="I2360">
        <v>11</v>
      </c>
      <c r="J2360" t="s">
        <v>150</v>
      </c>
      <c r="K2360">
        <v>1</v>
      </c>
      <c r="L2360" s="3">
        <v>8699</v>
      </c>
      <c r="M2360">
        <v>10</v>
      </c>
      <c r="N2360" s="3">
        <v>7830</v>
      </c>
      <c r="O2360" s="3">
        <v>7830</v>
      </c>
      <c r="P2360" t="s">
        <v>74</v>
      </c>
      <c r="Q2360" t="s">
        <v>51</v>
      </c>
      <c r="R2360" t="s">
        <v>36</v>
      </c>
      <c r="S2360" t="s">
        <v>210</v>
      </c>
      <c r="T2360" t="s">
        <v>680</v>
      </c>
      <c r="U2360" t="s">
        <v>54</v>
      </c>
      <c r="V2360" t="s">
        <v>315</v>
      </c>
      <c r="W2360">
        <v>5</v>
      </c>
      <c r="X2360" t="s">
        <v>41</v>
      </c>
      <c r="Y2360" t="s">
        <v>42</v>
      </c>
      <c r="Z2360">
        <v>3</v>
      </c>
    </row>
    <row r="2361" spans="1:26">
      <c r="A2361" t="s">
        <v>3564</v>
      </c>
      <c r="B2361" t="s">
        <v>1201</v>
      </c>
      <c r="C2361" t="s">
        <v>45</v>
      </c>
      <c r="D2361" t="s">
        <v>29</v>
      </c>
      <c r="E2361" s="1">
        <v>45416</v>
      </c>
      <c r="F2361" t="s">
        <v>86</v>
      </c>
      <c r="G2361" t="s">
        <v>242</v>
      </c>
      <c r="H2361" t="s">
        <v>32</v>
      </c>
      <c r="I2361">
        <v>8</v>
      </c>
      <c r="J2361" t="s">
        <v>88</v>
      </c>
      <c r="K2361">
        <v>1</v>
      </c>
      <c r="L2361" s="3">
        <v>7899</v>
      </c>
      <c r="M2361">
        <v>25</v>
      </c>
      <c r="N2361" s="3">
        <v>5920</v>
      </c>
      <c r="O2361" s="3">
        <v>5920</v>
      </c>
      <c r="P2361" t="s">
        <v>34</v>
      </c>
      <c r="Q2361" t="s">
        <v>82</v>
      </c>
      <c r="R2361" t="s">
        <v>36</v>
      </c>
      <c r="S2361" t="s">
        <v>286</v>
      </c>
      <c r="T2361" t="s">
        <v>768</v>
      </c>
      <c r="U2361" t="s">
        <v>39</v>
      </c>
      <c r="V2361" t="s">
        <v>969</v>
      </c>
      <c r="W2361">
        <v>3.8</v>
      </c>
      <c r="X2361" t="s">
        <v>106</v>
      </c>
      <c r="Y2361" t="s">
        <v>42</v>
      </c>
      <c r="Z2361">
        <v>3</v>
      </c>
    </row>
    <row r="2362" spans="1:26">
      <c r="A2362" t="s">
        <v>3565</v>
      </c>
      <c r="B2362" t="s">
        <v>974</v>
      </c>
      <c r="C2362" t="s">
        <v>28</v>
      </c>
      <c r="D2362" t="s">
        <v>46</v>
      </c>
      <c r="E2362" s="1">
        <v>45419</v>
      </c>
      <c r="F2362" t="s">
        <v>47</v>
      </c>
      <c r="G2362" t="s">
        <v>121</v>
      </c>
      <c r="H2362" t="s">
        <v>111</v>
      </c>
      <c r="I2362">
        <v>11</v>
      </c>
      <c r="J2362" t="s">
        <v>150</v>
      </c>
      <c r="K2362">
        <v>1</v>
      </c>
      <c r="L2362" s="3">
        <v>7699</v>
      </c>
      <c r="M2362">
        <v>5</v>
      </c>
      <c r="N2362" s="3">
        <v>7310</v>
      </c>
      <c r="O2362" s="3">
        <v>7310</v>
      </c>
      <c r="P2362" t="s">
        <v>74</v>
      </c>
      <c r="Q2362" t="s">
        <v>51</v>
      </c>
      <c r="R2362" t="s">
        <v>36</v>
      </c>
      <c r="S2362" t="s">
        <v>168</v>
      </c>
      <c r="T2362" t="s">
        <v>168</v>
      </c>
      <c r="U2362" t="s">
        <v>54</v>
      </c>
      <c r="V2362" t="s">
        <v>969</v>
      </c>
      <c r="W2362">
        <v>4.5999999999999996</v>
      </c>
      <c r="X2362" t="s">
        <v>106</v>
      </c>
      <c r="Y2362" t="s">
        <v>147</v>
      </c>
      <c r="Z2362">
        <v>1</v>
      </c>
    </row>
    <row r="2363" spans="1:26">
      <c r="A2363" t="s">
        <v>3566</v>
      </c>
      <c r="B2363" t="s">
        <v>953</v>
      </c>
      <c r="C2363" t="s">
        <v>94</v>
      </c>
      <c r="D2363" t="s">
        <v>46</v>
      </c>
      <c r="E2363" s="1">
        <v>45419</v>
      </c>
      <c r="F2363" t="s">
        <v>47</v>
      </c>
      <c r="G2363" t="s">
        <v>48</v>
      </c>
      <c r="H2363" t="s">
        <v>49</v>
      </c>
      <c r="I2363">
        <v>10</v>
      </c>
      <c r="J2363" t="s">
        <v>88</v>
      </c>
      <c r="K2363">
        <v>2</v>
      </c>
      <c r="L2363" s="3">
        <v>5999</v>
      </c>
      <c r="M2363">
        <v>10</v>
      </c>
      <c r="N2363" s="3">
        <v>5400</v>
      </c>
      <c r="O2363" s="3">
        <v>10800</v>
      </c>
      <c r="P2363" t="s">
        <v>74</v>
      </c>
      <c r="Q2363" t="s">
        <v>51</v>
      </c>
      <c r="R2363" t="s">
        <v>36</v>
      </c>
      <c r="S2363" t="s">
        <v>175</v>
      </c>
      <c r="T2363" t="s">
        <v>437</v>
      </c>
      <c r="U2363" t="s">
        <v>91</v>
      </c>
      <c r="V2363" t="s">
        <v>969</v>
      </c>
      <c r="W2363">
        <v>4.4000000000000004</v>
      </c>
      <c r="X2363" t="s">
        <v>41</v>
      </c>
      <c r="Y2363" t="s">
        <v>55</v>
      </c>
      <c r="Z2363">
        <v>4</v>
      </c>
    </row>
    <row r="2364" spans="1:26">
      <c r="A2364" t="s">
        <v>3567</v>
      </c>
      <c r="B2364" t="s">
        <v>2874</v>
      </c>
      <c r="C2364" t="s">
        <v>28</v>
      </c>
      <c r="D2364" t="s">
        <v>46</v>
      </c>
      <c r="E2364" s="1">
        <v>45420</v>
      </c>
      <c r="F2364" t="s">
        <v>96</v>
      </c>
      <c r="G2364" t="s">
        <v>171</v>
      </c>
      <c r="H2364" t="s">
        <v>128</v>
      </c>
      <c r="I2364">
        <v>9</v>
      </c>
      <c r="J2364" t="s">
        <v>33</v>
      </c>
      <c r="K2364">
        <v>3</v>
      </c>
      <c r="L2364" s="3">
        <v>7699</v>
      </c>
      <c r="M2364">
        <v>15</v>
      </c>
      <c r="N2364" s="3">
        <v>6540</v>
      </c>
      <c r="O2364" s="3">
        <v>19620</v>
      </c>
      <c r="P2364" t="s">
        <v>74</v>
      </c>
      <c r="Q2364" t="s">
        <v>51</v>
      </c>
      <c r="R2364" t="s">
        <v>36</v>
      </c>
      <c r="S2364" t="s">
        <v>117</v>
      </c>
      <c r="T2364" t="s">
        <v>118</v>
      </c>
      <c r="U2364" t="s">
        <v>61</v>
      </c>
      <c r="V2364" t="s">
        <v>315</v>
      </c>
      <c r="W2364">
        <v>4.4000000000000004</v>
      </c>
      <c r="X2364" t="s">
        <v>41</v>
      </c>
      <c r="Y2364" t="s">
        <v>42</v>
      </c>
      <c r="Z2364">
        <v>3</v>
      </c>
    </row>
    <row r="2365" spans="1:26">
      <c r="A2365" t="s">
        <v>3568</v>
      </c>
      <c r="B2365" t="s">
        <v>486</v>
      </c>
      <c r="C2365" t="s">
        <v>28</v>
      </c>
      <c r="D2365" t="s">
        <v>46</v>
      </c>
      <c r="E2365" s="1">
        <v>45422</v>
      </c>
      <c r="F2365" t="s">
        <v>30</v>
      </c>
      <c r="G2365" t="s">
        <v>214</v>
      </c>
      <c r="H2365" t="s">
        <v>128</v>
      </c>
      <c r="I2365">
        <v>11</v>
      </c>
      <c r="J2365" t="s">
        <v>98</v>
      </c>
      <c r="K2365">
        <v>1</v>
      </c>
      <c r="L2365" s="3">
        <v>4599</v>
      </c>
      <c r="M2365">
        <v>10</v>
      </c>
      <c r="N2365" s="3">
        <v>4140</v>
      </c>
      <c r="O2365" s="3">
        <v>4140</v>
      </c>
      <c r="P2365" t="s">
        <v>74</v>
      </c>
      <c r="Q2365" t="s">
        <v>51</v>
      </c>
      <c r="R2365" t="s">
        <v>36</v>
      </c>
      <c r="S2365" t="s">
        <v>297</v>
      </c>
      <c r="T2365" t="s">
        <v>298</v>
      </c>
      <c r="U2365" t="s">
        <v>124</v>
      </c>
      <c r="V2365" t="s">
        <v>969</v>
      </c>
      <c r="W2365">
        <v>4.0999999999999996</v>
      </c>
      <c r="X2365" t="s">
        <v>41</v>
      </c>
      <c r="Y2365" t="s">
        <v>42</v>
      </c>
      <c r="Z2365">
        <v>5</v>
      </c>
    </row>
    <row r="2366" spans="1:26">
      <c r="A2366" t="s">
        <v>3569</v>
      </c>
      <c r="B2366" t="s">
        <v>1392</v>
      </c>
      <c r="C2366" t="s">
        <v>94</v>
      </c>
      <c r="D2366" t="s">
        <v>29</v>
      </c>
      <c r="E2366" s="1">
        <v>45423</v>
      </c>
      <c r="F2366" t="s">
        <v>86</v>
      </c>
      <c r="G2366" t="s">
        <v>285</v>
      </c>
      <c r="H2366" t="s">
        <v>111</v>
      </c>
      <c r="I2366">
        <v>9</v>
      </c>
      <c r="J2366" t="s">
        <v>150</v>
      </c>
      <c r="K2366">
        <v>1</v>
      </c>
      <c r="L2366" s="3">
        <v>6799</v>
      </c>
      <c r="M2366">
        <v>30</v>
      </c>
      <c r="N2366" s="3">
        <v>4760</v>
      </c>
      <c r="O2366" s="3">
        <v>4760</v>
      </c>
      <c r="P2366" t="s">
        <v>74</v>
      </c>
      <c r="Q2366" t="s">
        <v>82</v>
      </c>
      <c r="R2366" t="s">
        <v>36</v>
      </c>
      <c r="S2366" t="s">
        <v>418</v>
      </c>
      <c r="T2366" t="s">
        <v>549</v>
      </c>
      <c r="U2366" t="s">
        <v>91</v>
      </c>
      <c r="V2366" t="s">
        <v>969</v>
      </c>
      <c r="W2366">
        <v>4.9000000000000004</v>
      </c>
      <c r="X2366" t="s">
        <v>41</v>
      </c>
      <c r="Y2366" t="s">
        <v>55</v>
      </c>
      <c r="Z2366">
        <v>4</v>
      </c>
    </row>
    <row r="2367" spans="1:26">
      <c r="A2367" t="s">
        <v>3570</v>
      </c>
      <c r="B2367" t="s">
        <v>1535</v>
      </c>
      <c r="C2367" t="s">
        <v>28</v>
      </c>
      <c r="D2367" t="s">
        <v>103</v>
      </c>
      <c r="E2367" s="1">
        <v>45423</v>
      </c>
      <c r="F2367" t="s">
        <v>47</v>
      </c>
      <c r="G2367" t="s">
        <v>218</v>
      </c>
      <c r="H2367" t="s">
        <v>59</v>
      </c>
      <c r="I2367">
        <v>8</v>
      </c>
      <c r="J2367" t="s">
        <v>67</v>
      </c>
      <c r="K2367">
        <v>1</v>
      </c>
      <c r="L2367" s="3">
        <v>9499</v>
      </c>
      <c r="M2367">
        <v>35</v>
      </c>
      <c r="N2367" s="3">
        <v>6170</v>
      </c>
      <c r="O2367" s="3">
        <v>6170</v>
      </c>
      <c r="P2367" t="s">
        <v>34</v>
      </c>
      <c r="Q2367" t="s">
        <v>51</v>
      </c>
      <c r="R2367" t="s">
        <v>36</v>
      </c>
      <c r="S2367" t="s">
        <v>156</v>
      </c>
      <c r="T2367" t="s">
        <v>369</v>
      </c>
      <c r="U2367" t="s">
        <v>39</v>
      </c>
      <c r="V2367" t="s">
        <v>315</v>
      </c>
      <c r="W2367">
        <v>3.8</v>
      </c>
      <c r="X2367" t="s">
        <v>41</v>
      </c>
      <c r="Y2367" t="s">
        <v>42</v>
      </c>
      <c r="Z2367">
        <v>2</v>
      </c>
    </row>
    <row r="2368" spans="1:26">
      <c r="A2368" t="s">
        <v>3571</v>
      </c>
      <c r="B2368" t="s">
        <v>686</v>
      </c>
      <c r="C2368" t="s">
        <v>28</v>
      </c>
      <c r="D2368" t="s">
        <v>46</v>
      </c>
      <c r="E2368" s="1">
        <v>45424</v>
      </c>
      <c r="F2368" t="s">
        <v>96</v>
      </c>
      <c r="G2368" t="s">
        <v>97</v>
      </c>
      <c r="H2368" t="s">
        <v>49</v>
      </c>
      <c r="I2368">
        <v>9</v>
      </c>
      <c r="J2368" t="s">
        <v>88</v>
      </c>
      <c r="K2368">
        <v>1</v>
      </c>
      <c r="L2368" s="3">
        <v>5799</v>
      </c>
      <c r="M2368">
        <v>10</v>
      </c>
      <c r="N2368" s="3">
        <v>5220</v>
      </c>
      <c r="O2368" s="3">
        <v>5220</v>
      </c>
      <c r="P2368" t="s">
        <v>74</v>
      </c>
      <c r="Q2368" t="s">
        <v>51</v>
      </c>
      <c r="R2368" t="s">
        <v>36</v>
      </c>
      <c r="S2368" t="s">
        <v>112</v>
      </c>
      <c r="T2368" t="s">
        <v>133</v>
      </c>
      <c r="U2368" t="s">
        <v>54</v>
      </c>
      <c r="V2368" t="s">
        <v>969</v>
      </c>
      <c r="W2368">
        <v>5</v>
      </c>
      <c r="X2368" t="s">
        <v>41</v>
      </c>
      <c r="Y2368" t="s">
        <v>42</v>
      </c>
      <c r="Z2368">
        <v>3</v>
      </c>
    </row>
    <row r="2369" spans="1:26">
      <c r="A2369" t="s">
        <v>3572</v>
      </c>
      <c r="B2369" t="s">
        <v>3573</v>
      </c>
      <c r="C2369" t="s">
        <v>28</v>
      </c>
      <c r="D2369" t="s">
        <v>103</v>
      </c>
      <c r="E2369" s="1">
        <v>45424</v>
      </c>
      <c r="F2369" t="s">
        <v>79</v>
      </c>
      <c r="G2369" t="s">
        <v>480</v>
      </c>
      <c r="H2369" t="s">
        <v>111</v>
      </c>
      <c r="I2369">
        <v>11</v>
      </c>
      <c r="J2369" t="s">
        <v>33</v>
      </c>
      <c r="K2369">
        <v>1</v>
      </c>
      <c r="L2369" s="3">
        <v>7599</v>
      </c>
      <c r="M2369">
        <v>20</v>
      </c>
      <c r="N2369" s="3">
        <v>6080</v>
      </c>
      <c r="O2369" s="3">
        <v>6080</v>
      </c>
      <c r="P2369" t="s">
        <v>34</v>
      </c>
      <c r="Q2369" t="s">
        <v>82</v>
      </c>
      <c r="R2369" t="s">
        <v>36</v>
      </c>
      <c r="S2369" t="s">
        <v>156</v>
      </c>
      <c r="T2369" t="s">
        <v>157</v>
      </c>
      <c r="U2369" t="s">
        <v>61</v>
      </c>
      <c r="V2369" t="s">
        <v>40</v>
      </c>
      <c r="W2369">
        <v>3.7</v>
      </c>
      <c r="X2369" t="s">
        <v>41</v>
      </c>
      <c r="Y2369" t="s">
        <v>42</v>
      </c>
      <c r="Z2369">
        <v>4</v>
      </c>
    </row>
    <row r="2370" spans="1:26">
      <c r="A2370" t="s">
        <v>3574</v>
      </c>
      <c r="B2370" t="s">
        <v>2443</v>
      </c>
      <c r="C2370" t="s">
        <v>45</v>
      </c>
      <c r="D2370" t="s">
        <v>29</v>
      </c>
      <c r="E2370" s="1">
        <v>45424</v>
      </c>
      <c r="F2370" t="s">
        <v>79</v>
      </c>
      <c r="G2370" t="s">
        <v>301</v>
      </c>
      <c r="H2370" t="s">
        <v>49</v>
      </c>
      <c r="I2370">
        <v>9</v>
      </c>
      <c r="J2370" t="s">
        <v>98</v>
      </c>
      <c r="K2370">
        <v>1</v>
      </c>
      <c r="L2370" s="3">
        <v>3699</v>
      </c>
      <c r="M2370">
        <v>30</v>
      </c>
      <c r="N2370" s="3">
        <v>2590</v>
      </c>
      <c r="O2370" s="3">
        <v>2590</v>
      </c>
      <c r="P2370" t="s">
        <v>34</v>
      </c>
      <c r="Q2370" t="s">
        <v>51</v>
      </c>
      <c r="R2370" t="s">
        <v>36</v>
      </c>
      <c r="S2370" t="s">
        <v>418</v>
      </c>
      <c r="T2370" t="s">
        <v>549</v>
      </c>
      <c r="U2370" t="s">
        <v>39</v>
      </c>
      <c r="V2370" t="s">
        <v>315</v>
      </c>
      <c r="W2370">
        <v>4.0999999999999996</v>
      </c>
      <c r="X2370" t="s">
        <v>41</v>
      </c>
      <c r="Y2370" t="s">
        <v>42</v>
      </c>
      <c r="Z2370">
        <v>6</v>
      </c>
    </row>
    <row r="2371" spans="1:26">
      <c r="A2371" t="s">
        <v>3575</v>
      </c>
      <c r="B2371" t="s">
        <v>3576</v>
      </c>
      <c r="C2371" t="s">
        <v>45</v>
      </c>
      <c r="D2371" t="s">
        <v>29</v>
      </c>
      <c r="E2371" s="1">
        <v>45425</v>
      </c>
      <c r="F2371" t="s">
        <v>79</v>
      </c>
      <c r="G2371" t="s">
        <v>301</v>
      </c>
      <c r="H2371" t="s">
        <v>49</v>
      </c>
      <c r="I2371">
        <v>9</v>
      </c>
      <c r="J2371" t="s">
        <v>98</v>
      </c>
      <c r="K2371">
        <v>3</v>
      </c>
      <c r="L2371" s="3">
        <v>6199</v>
      </c>
      <c r="M2371">
        <v>20</v>
      </c>
      <c r="N2371" s="3">
        <v>4960</v>
      </c>
      <c r="O2371" s="3">
        <v>14880</v>
      </c>
      <c r="P2371" t="s">
        <v>74</v>
      </c>
      <c r="Q2371" t="s">
        <v>82</v>
      </c>
      <c r="R2371" t="s">
        <v>36</v>
      </c>
      <c r="S2371" t="s">
        <v>338</v>
      </c>
      <c r="T2371" t="s">
        <v>449</v>
      </c>
      <c r="U2371" t="s">
        <v>54</v>
      </c>
      <c r="V2371" t="s">
        <v>40</v>
      </c>
      <c r="W2371">
        <v>3.4</v>
      </c>
      <c r="X2371" t="s">
        <v>62</v>
      </c>
      <c r="Y2371" t="s">
        <v>147</v>
      </c>
      <c r="Z2371">
        <v>1</v>
      </c>
    </row>
    <row r="2372" spans="1:26">
      <c r="A2372" t="s">
        <v>3577</v>
      </c>
      <c r="B2372" t="s">
        <v>511</v>
      </c>
      <c r="C2372" t="s">
        <v>45</v>
      </c>
      <c r="D2372" t="s">
        <v>95</v>
      </c>
      <c r="E2372" s="1">
        <v>45425</v>
      </c>
      <c r="F2372" t="s">
        <v>96</v>
      </c>
      <c r="G2372" t="s">
        <v>228</v>
      </c>
      <c r="H2372" t="s">
        <v>59</v>
      </c>
      <c r="I2372">
        <v>7</v>
      </c>
      <c r="J2372" t="s">
        <v>67</v>
      </c>
      <c r="K2372">
        <v>1</v>
      </c>
      <c r="L2372" s="3">
        <v>8999</v>
      </c>
      <c r="M2372">
        <v>5</v>
      </c>
      <c r="N2372" s="3">
        <v>8550</v>
      </c>
      <c r="O2372" s="3">
        <v>8550</v>
      </c>
      <c r="P2372" t="s">
        <v>74</v>
      </c>
      <c r="Q2372" t="s">
        <v>51</v>
      </c>
      <c r="R2372" t="s">
        <v>36</v>
      </c>
      <c r="S2372" t="s">
        <v>104</v>
      </c>
      <c r="T2372" t="s">
        <v>291</v>
      </c>
      <c r="U2372" t="s">
        <v>124</v>
      </c>
      <c r="V2372" t="s">
        <v>969</v>
      </c>
      <c r="W2372">
        <v>3.3</v>
      </c>
      <c r="X2372" t="s">
        <v>41</v>
      </c>
      <c r="Y2372" t="s">
        <v>42</v>
      </c>
      <c r="Z2372">
        <v>3</v>
      </c>
    </row>
    <row r="2373" spans="1:26">
      <c r="A2373" t="s">
        <v>3578</v>
      </c>
      <c r="B2373" t="s">
        <v>941</v>
      </c>
      <c r="C2373" t="s">
        <v>28</v>
      </c>
      <c r="D2373" t="s">
        <v>95</v>
      </c>
      <c r="E2373" s="1">
        <v>45427</v>
      </c>
      <c r="F2373" t="s">
        <v>79</v>
      </c>
      <c r="G2373" t="s">
        <v>517</v>
      </c>
      <c r="H2373" t="s">
        <v>59</v>
      </c>
      <c r="I2373">
        <v>9</v>
      </c>
      <c r="J2373" t="s">
        <v>67</v>
      </c>
      <c r="K2373">
        <v>1</v>
      </c>
      <c r="L2373" s="3">
        <v>6299</v>
      </c>
      <c r="M2373">
        <v>20</v>
      </c>
      <c r="N2373" s="3">
        <v>5040</v>
      </c>
      <c r="O2373" s="3">
        <v>5040</v>
      </c>
      <c r="P2373" t="s">
        <v>74</v>
      </c>
      <c r="Q2373" t="s">
        <v>82</v>
      </c>
      <c r="R2373" t="s">
        <v>36</v>
      </c>
      <c r="S2373" t="s">
        <v>238</v>
      </c>
      <c r="T2373" t="s">
        <v>239</v>
      </c>
      <c r="U2373" t="s">
        <v>124</v>
      </c>
      <c r="V2373" t="s">
        <v>969</v>
      </c>
      <c r="W2373">
        <v>4</v>
      </c>
      <c r="X2373" t="s">
        <v>41</v>
      </c>
      <c r="Y2373" t="s">
        <v>147</v>
      </c>
      <c r="Z2373">
        <v>1</v>
      </c>
    </row>
    <row r="2374" spans="1:26">
      <c r="A2374" t="s">
        <v>3579</v>
      </c>
      <c r="B2374" t="s">
        <v>1616</v>
      </c>
      <c r="C2374" t="s">
        <v>28</v>
      </c>
      <c r="D2374" t="s">
        <v>103</v>
      </c>
      <c r="E2374" s="1">
        <v>45428</v>
      </c>
      <c r="F2374" t="s">
        <v>30</v>
      </c>
      <c r="G2374" t="s">
        <v>214</v>
      </c>
      <c r="H2374" t="s">
        <v>128</v>
      </c>
      <c r="I2374">
        <v>6</v>
      </c>
      <c r="J2374" t="s">
        <v>67</v>
      </c>
      <c r="K2374">
        <v>1</v>
      </c>
      <c r="L2374" s="3">
        <v>5999</v>
      </c>
      <c r="M2374">
        <v>0</v>
      </c>
      <c r="N2374" s="3">
        <v>6000</v>
      </c>
      <c r="O2374" s="3">
        <v>6000</v>
      </c>
      <c r="P2374" t="s">
        <v>74</v>
      </c>
      <c r="Q2374" t="s">
        <v>82</v>
      </c>
      <c r="R2374" t="s">
        <v>36</v>
      </c>
      <c r="S2374" t="s">
        <v>164</v>
      </c>
      <c r="T2374" t="s">
        <v>314</v>
      </c>
      <c r="U2374" t="s">
        <v>61</v>
      </c>
      <c r="V2374" t="s">
        <v>315</v>
      </c>
      <c r="W2374">
        <v>4</v>
      </c>
      <c r="X2374" t="s">
        <v>41</v>
      </c>
      <c r="Y2374" t="s">
        <v>42</v>
      </c>
      <c r="Z2374">
        <v>3</v>
      </c>
    </row>
    <row r="2375" spans="1:26">
      <c r="A2375" t="s">
        <v>3580</v>
      </c>
      <c r="B2375" t="s">
        <v>2372</v>
      </c>
      <c r="C2375" t="s">
        <v>28</v>
      </c>
      <c r="D2375" t="s">
        <v>103</v>
      </c>
      <c r="E2375" s="1">
        <v>45428</v>
      </c>
      <c r="F2375" t="s">
        <v>30</v>
      </c>
      <c r="G2375" t="s">
        <v>347</v>
      </c>
      <c r="H2375" t="s">
        <v>49</v>
      </c>
      <c r="I2375">
        <v>9</v>
      </c>
      <c r="J2375" t="s">
        <v>33</v>
      </c>
      <c r="K2375">
        <v>2</v>
      </c>
      <c r="L2375" s="3">
        <v>4699</v>
      </c>
      <c r="M2375">
        <v>10</v>
      </c>
      <c r="N2375" s="3">
        <v>4230</v>
      </c>
      <c r="O2375" s="3">
        <v>8460</v>
      </c>
      <c r="P2375" t="s">
        <v>74</v>
      </c>
      <c r="Q2375" t="s">
        <v>35</v>
      </c>
      <c r="R2375" t="s">
        <v>36</v>
      </c>
      <c r="S2375" t="s">
        <v>297</v>
      </c>
      <c r="T2375" t="s">
        <v>390</v>
      </c>
      <c r="U2375" t="s">
        <v>91</v>
      </c>
      <c r="V2375" t="s">
        <v>315</v>
      </c>
      <c r="W2375">
        <v>3.4</v>
      </c>
      <c r="X2375" t="s">
        <v>106</v>
      </c>
      <c r="Y2375" t="s">
        <v>42</v>
      </c>
      <c r="Z2375">
        <v>3</v>
      </c>
    </row>
    <row r="2376" spans="1:26">
      <c r="A2376" t="s">
        <v>3581</v>
      </c>
      <c r="B2376" t="s">
        <v>1551</v>
      </c>
      <c r="C2376" t="s">
        <v>45</v>
      </c>
      <c r="D2376" t="s">
        <v>46</v>
      </c>
      <c r="E2376" s="1">
        <v>45429</v>
      </c>
      <c r="F2376" t="s">
        <v>96</v>
      </c>
      <c r="G2376" t="s">
        <v>228</v>
      </c>
      <c r="H2376" t="s">
        <v>59</v>
      </c>
      <c r="I2376">
        <v>7</v>
      </c>
      <c r="J2376" t="s">
        <v>73</v>
      </c>
      <c r="K2376">
        <v>1</v>
      </c>
      <c r="L2376" s="3">
        <v>7899</v>
      </c>
      <c r="M2376">
        <v>20</v>
      </c>
      <c r="N2376" s="3">
        <v>6320</v>
      </c>
      <c r="O2376" s="3">
        <v>6320</v>
      </c>
      <c r="P2376" t="s">
        <v>50</v>
      </c>
      <c r="Q2376" t="s">
        <v>51</v>
      </c>
      <c r="R2376" t="s">
        <v>36</v>
      </c>
      <c r="S2376" t="s">
        <v>269</v>
      </c>
      <c r="T2376" t="s">
        <v>961</v>
      </c>
      <c r="U2376" t="s">
        <v>91</v>
      </c>
      <c r="V2376" t="s">
        <v>315</v>
      </c>
      <c r="W2376">
        <v>4.7</v>
      </c>
      <c r="X2376" t="s">
        <v>41</v>
      </c>
      <c r="Y2376" t="s">
        <v>42</v>
      </c>
      <c r="Z2376">
        <v>6</v>
      </c>
    </row>
    <row r="2377" spans="1:26">
      <c r="A2377" t="s">
        <v>3582</v>
      </c>
      <c r="B2377" t="s">
        <v>662</v>
      </c>
      <c r="C2377" t="s">
        <v>45</v>
      </c>
      <c r="D2377" t="s">
        <v>103</v>
      </c>
      <c r="E2377" s="1">
        <v>45430</v>
      </c>
      <c r="F2377" t="s">
        <v>79</v>
      </c>
      <c r="G2377" t="s">
        <v>127</v>
      </c>
      <c r="H2377" t="s">
        <v>128</v>
      </c>
      <c r="I2377">
        <v>8</v>
      </c>
      <c r="J2377" t="s">
        <v>150</v>
      </c>
      <c r="K2377">
        <v>1</v>
      </c>
      <c r="L2377" s="3">
        <v>6599</v>
      </c>
      <c r="M2377">
        <v>15</v>
      </c>
      <c r="N2377" s="3">
        <v>5610</v>
      </c>
      <c r="O2377" s="3">
        <v>5610</v>
      </c>
      <c r="P2377" t="s">
        <v>74</v>
      </c>
      <c r="Q2377" t="s">
        <v>35</v>
      </c>
      <c r="R2377" t="s">
        <v>36</v>
      </c>
      <c r="S2377" t="s">
        <v>37</v>
      </c>
      <c r="T2377" t="s">
        <v>38</v>
      </c>
      <c r="U2377" t="s">
        <v>61</v>
      </c>
      <c r="V2377" t="s">
        <v>969</v>
      </c>
      <c r="W2377">
        <v>3.7</v>
      </c>
      <c r="X2377" t="s">
        <v>41</v>
      </c>
      <c r="Y2377" t="s">
        <v>42</v>
      </c>
      <c r="Z2377">
        <v>4</v>
      </c>
    </row>
    <row r="2378" spans="1:26">
      <c r="A2378" t="s">
        <v>3583</v>
      </c>
      <c r="B2378" t="s">
        <v>713</v>
      </c>
      <c r="C2378" t="s">
        <v>28</v>
      </c>
      <c r="D2378" t="s">
        <v>103</v>
      </c>
      <c r="E2378" s="1">
        <v>45430</v>
      </c>
      <c r="F2378" t="s">
        <v>65</v>
      </c>
      <c r="G2378" t="s">
        <v>66</v>
      </c>
      <c r="H2378" t="s">
        <v>59</v>
      </c>
      <c r="I2378">
        <v>7</v>
      </c>
      <c r="J2378" t="s">
        <v>73</v>
      </c>
      <c r="K2378">
        <v>1</v>
      </c>
      <c r="L2378" s="3">
        <v>3999</v>
      </c>
      <c r="M2378">
        <v>10</v>
      </c>
      <c r="N2378" s="3">
        <v>3600</v>
      </c>
      <c r="O2378" s="3">
        <v>3600</v>
      </c>
      <c r="P2378" t="s">
        <v>34</v>
      </c>
      <c r="Q2378" t="s">
        <v>51</v>
      </c>
      <c r="R2378" t="s">
        <v>36</v>
      </c>
      <c r="S2378" t="s">
        <v>195</v>
      </c>
      <c r="T2378" t="s">
        <v>196</v>
      </c>
      <c r="U2378" t="s">
        <v>61</v>
      </c>
      <c r="V2378" t="s">
        <v>969</v>
      </c>
      <c r="W2378">
        <v>3.5</v>
      </c>
      <c r="X2378" t="s">
        <v>41</v>
      </c>
      <c r="Y2378" t="s">
        <v>55</v>
      </c>
      <c r="Z2378">
        <v>4</v>
      </c>
    </row>
    <row r="2379" spans="1:26">
      <c r="A2379" t="s">
        <v>3584</v>
      </c>
      <c r="B2379" t="s">
        <v>1739</v>
      </c>
      <c r="C2379" t="s">
        <v>28</v>
      </c>
      <c r="D2379" t="s">
        <v>29</v>
      </c>
      <c r="E2379" s="1">
        <v>45430</v>
      </c>
      <c r="F2379" t="s">
        <v>30</v>
      </c>
      <c r="G2379" t="s">
        <v>58</v>
      </c>
      <c r="H2379" t="s">
        <v>59</v>
      </c>
      <c r="I2379">
        <v>8</v>
      </c>
      <c r="J2379" t="s">
        <v>98</v>
      </c>
      <c r="K2379">
        <v>1</v>
      </c>
      <c r="L2379" s="3">
        <v>5899</v>
      </c>
      <c r="M2379">
        <v>20</v>
      </c>
      <c r="N2379" s="3">
        <v>4720</v>
      </c>
      <c r="O2379" s="3">
        <v>4720</v>
      </c>
      <c r="P2379" t="s">
        <v>34</v>
      </c>
      <c r="Q2379" t="s">
        <v>51</v>
      </c>
      <c r="R2379" t="s">
        <v>36</v>
      </c>
      <c r="S2379" t="s">
        <v>151</v>
      </c>
      <c r="T2379" t="s">
        <v>506</v>
      </c>
      <c r="U2379" t="s">
        <v>54</v>
      </c>
      <c r="V2379" t="s">
        <v>315</v>
      </c>
      <c r="W2379">
        <v>3.5</v>
      </c>
      <c r="X2379" t="s">
        <v>62</v>
      </c>
      <c r="Y2379" t="s">
        <v>42</v>
      </c>
      <c r="Z2379">
        <v>4</v>
      </c>
    </row>
    <row r="2380" spans="1:26">
      <c r="A2380" t="s">
        <v>3585</v>
      </c>
      <c r="B2380" t="s">
        <v>1139</v>
      </c>
      <c r="C2380" t="s">
        <v>45</v>
      </c>
      <c r="D2380" t="s">
        <v>29</v>
      </c>
      <c r="E2380" s="1">
        <v>45431</v>
      </c>
      <c r="F2380" t="s">
        <v>30</v>
      </c>
      <c r="G2380" t="s">
        <v>31</v>
      </c>
      <c r="H2380" t="s">
        <v>32</v>
      </c>
      <c r="I2380">
        <v>9</v>
      </c>
      <c r="J2380" t="s">
        <v>33</v>
      </c>
      <c r="K2380">
        <v>2</v>
      </c>
      <c r="L2380" s="3">
        <v>4699</v>
      </c>
      <c r="M2380">
        <v>20</v>
      </c>
      <c r="N2380" s="3">
        <v>3760</v>
      </c>
      <c r="O2380" s="3">
        <v>7520</v>
      </c>
      <c r="P2380" t="s">
        <v>74</v>
      </c>
      <c r="Q2380" t="s">
        <v>51</v>
      </c>
      <c r="R2380" t="s">
        <v>36</v>
      </c>
      <c r="S2380" t="s">
        <v>418</v>
      </c>
      <c r="T2380" t="s">
        <v>419</v>
      </c>
      <c r="U2380" t="s">
        <v>124</v>
      </c>
      <c r="V2380" t="s">
        <v>969</v>
      </c>
      <c r="W2380">
        <v>3.9</v>
      </c>
      <c r="X2380" t="s">
        <v>62</v>
      </c>
      <c r="Y2380" t="s">
        <v>55</v>
      </c>
      <c r="Z2380">
        <v>4</v>
      </c>
    </row>
    <row r="2381" spans="1:26">
      <c r="A2381" t="s">
        <v>3586</v>
      </c>
      <c r="B2381" t="s">
        <v>707</v>
      </c>
      <c r="C2381" t="s">
        <v>45</v>
      </c>
      <c r="D2381" t="s">
        <v>103</v>
      </c>
      <c r="E2381" s="1">
        <v>45432</v>
      </c>
      <c r="F2381" t="s">
        <v>86</v>
      </c>
      <c r="G2381" t="s">
        <v>190</v>
      </c>
      <c r="H2381" t="s">
        <v>128</v>
      </c>
      <c r="I2381">
        <v>8</v>
      </c>
      <c r="J2381" t="s">
        <v>33</v>
      </c>
      <c r="K2381">
        <v>2</v>
      </c>
      <c r="L2381" s="3">
        <v>6199</v>
      </c>
      <c r="M2381">
        <v>20</v>
      </c>
      <c r="N2381" s="3">
        <v>4960</v>
      </c>
      <c r="O2381" s="3">
        <v>9920</v>
      </c>
      <c r="P2381" t="s">
        <v>34</v>
      </c>
      <c r="Q2381" t="s">
        <v>51</v>
      </c>
      <c r="R2381" t="s">
        <v>36</v>
      </c>
      <c r="S2381" t="s">
        <v>460</v>
      </c>
      <c r="T2381" t="s">
        <v>580</v>
      </c>
      <c r="U2381" t="s">
        <v>54</v>
      </c>
      <c r="V2381" t="s">
        <v>315</v>
      </c>
      <c r="W2381">
        <v>4.8</v>
      </c>
      <c r="X2381" t="s">
        <v>41</v>
      </c>
      <c r="Y2381" t="s">
        <v>42</v>
      </c>
      <c r="Z2381">
        <v>3</v>
      </c>
    </row>
    <row r="2382" spans="1:26">
      <c r="A2382" t="s">
        <v>3587</v>
      </c>
      <c r="B2382" t="s">
        <v>523</v>
      </c>
      <c r="C2382" t="s">
        <v>45</v>
      </c>
      <c r="D2382" t="s">
        <v>103</v>
      </c>
      <c r="E2382" s="1">
        <v>45433</v>
      </c>
      <c r="F2382" t="s">
        <v>79</v>
      </c>
      <c r="G2382" t="s">
        <v>517</v>
      </c>
      <c r="H2382" t="s">
        <v>59</v>
      </c>
      <c r="I2382">
        <v>7</v>
      </c>
      <c r="J2382" t="s">
        <v>73</v>
      </c>
      <c r="K2382">
        <v>1</v>
      </c>
      <c r="L2382" s="3">
        <v>6799</v>
      </c>
      <c r="M2382">
        <v>10</v>
      </c>
      <c r="N2382" s="3">
        <v>6120</v>
      </c>
      <c r="O2382" s="3">
        <v>6120</v>
      </c>
      <c r="P2382" t="s">
        <v>81</v>
      </c>
      <c r="Q2382" t="s">
        <v>82</v>
      </c>
      <c r="R2382" t="s">
        <v>36</v>
      </c>
      <c r="S2382" t="s">
        <v>136</v>
      </c>
      <c r="T2382" t="s">
        <v>137</v>
      </c>
      <c r="U2382" t="s">
        <v>91</v>
      </c>
      <c r="V2382" t="s">
        <v>315</v>
      </c>
      <c r="W2382">
        <v>4.7</v>
      </c>
      <c r="X2382" t="s">
        <v>41</v>
      </c>
      <c r="Y2382" t="s">
        <v>55</v>
      </c>
      <c r="Z2382">
        <v>4</v>
      </c>
    </row>
    <row r="2383" spans="1:26">
      <c r="A2383" t="s">
        <v>3588</v>
      </c>
      <c r="B2383" t="s">
        <v>651</v>
      </c>
      <c r="C2383" t="s">
        <v>45</v>
      </c>
      <c r="D2383" t="s">
        <v>103</v>
      </c>
      <c r="E2383" s="1">
        <v>45433</v>
      </c>
      <c r="F2383" t="s">
        <v>86</v>
      </c>
      <c r="G2383" t="s">
        <v>242</v>
      </c>
      <c r="H2383" t="s">
        <v>32</v>
      </c>
      <c r="I2383">
        <v>7</v>
      </c>
      <c r="J2383" t="s">
        <v>33</v>
      </c>
      <c r="K2383">
        <v>1</v>
      </c>
      <c r="L2383" s="3">
        <v>6199</v>
      </c>
      <c r="M2383">
        <v>15</v>
      </c>
      <c r="N2383" s="3">
        <v>5270</v>
      </c>
      <c r="O2383" s="3">
        <v>5270</v>
      </c>
      <c r="P2383" t="s">
        <v>81</v>
      </c>
      <c r="Q2383" t="s">
        <v>51</v>
      </c>
      <c r="R2383" t="s">
        <v>36</v>
      </c>
      <c r="S2383" t="s">
        <v>200</v>
      </c>
      <c r="T2383" t="s">
        <v>219</v>
      </c>
      <c r="U2383" t="s">
        <v>61</v>
      </c>
      <c r="V2383" t="s">
        <v>315</v>
      </c>
      <c r="W2383">
        <v>2.2999999999999998</v>
      </c>
      <c r="X2383" t="s">
        <v>106</v>
      </c>
      <c r="Y2383" t="s">
        <v>42</v>
      </c>
      <c r="Z2383">
        <v>4</v>
      </c>
    </row>
    <row r="2384" spans="1:26">
      <c r="A2384" t="s">
        <v>3589</v>
      </c>
      <c r="B2384" t="s">
        <v>3309</v>
      </c>
      <c r="C2384" t="s">
        <v>28</v>
      </c>
      <c r="D2384" t="s">
        <v>103</v>
      </c>
      <c r="E2384" s="1">
        <v>45433</v>
      </c>
      <c r="F2384" t="s">
        <v>96</v>
      </c>
      <c r="G2384" t="s">
        <v>290</v>
      </c>
      <c r="H2384" t="s">
        <v>32</v>
      </c>
      <c r="I2384">
        <v>9</v>
      </c>
      <c r="J2384" t="s">
        <v>88</v>
      </c>
      <c r="K2384">
        <v>1</v>
      </c>
      <c r="L2384" s="3">
        <v>4699</v>
      </c>
      <c r="M2384">
        <v>5</v>
      </c>
      <c r="N2384" s="3">
        <v>4460</v>
      </c>
      <c r="O2384" s="3">
        <v>4460</v>
      </c>
      <c r="P2384" t="s">
        <v>34</v>
      </c>
      <c r="Q2384" t="s">
        <v>51</v>
      </c>
      <c r="R2384" t="s">
        <v>36</v>
      </c>
      <c r="S2384" t="s">
        <v>160</v>
      </c>
      <c r="T2384" t="s">
        <v>160</v>
      </c>
      <c r="U2384" t="s">
        <v>54</v>
      </c>
      <c r="V2384" t="s">
        <v>315</v>
      </c>
      <c r="W2384">
        <v>3.5</v>
      </c>
      <c r="X2384" t="s">
        <v>62</v>
      </c>
      <c r="Y2384" t="s">
        <v>147</v>
      </c>
      <c r="Z2384">
        <v>1</v>
      </c>
    </row>
    <row r="2385" spans="1:26">
      <c r="A2385" t="s">
        <v>3590</v>
      </c>
      <c r="B2385" t="s">
        <v>858</v>
      </c>
      <c r="C2385" t="s">
        <v>45</v>
      </c>
      <c r="D2385" t="s">
        <v>46</v>
      </c>
      <c r="E2385" s="1">
        <v>45434</v>
      </c>
      <c r="F2385" t="s">
        <v>96</v>
      </c>
      <c r="G2385" t="s">
        <v>228</v>
      </c>
      <c r="H2385" t="s">
        <v>59</v>
      </c>
      <c r="I2385">
        <v>9</v>
      </c>
      <c r="J2385" t="s">
        <v>98</v>
      </c>
      <c r="K2385">
        <v>1</v>
      </c>
      <c r="L2385" s="3">
        <v>9499</v>
      </c>
      <c r="M2385">
        <v>15</v>
      </c>
      <c r="N2385" s="3">
        <v>8070</v>
      </c>
      <c r="O2385" s="3">
        <v>8070</v>
      </c>
      <c r="P2385" t="s">
        <v>74</v>
      </c>
      <c r="Q2385" t="s">
        <v>51</v>
      </c>
      <c r="R2385" t="s">
        <v>36</v>
      </c>
      <c r="S2385" t="s">
        <v>68</v>
      </c>
      <c r="T2385" t="s">
        <v>69</v>
      </c>
      <c r="U2385" t="s">
        <v>61</v>
      </c>
      <c r="V2385" t="s">
        <v>315</v>
      </c>
      <c r="W2385">
        <v>3</v>
      </c>
      <c r="X2385" t="s">
        <v>41</v>
      </c>
      <c r="Y2385" t="s">
        <v>55</v>
      </c>
      <c r="Z2385">
        <v>2</v>
      </c>
    </row>
    <row r="2386" spans="1:26">
      <c r="A2386" t="s">
        <v>3591</v>
      </c>
      <c r="B2386" t="s">
        <v>513</v>
      </c>
      <c r="C2386" t="s">
        <v>28</v>
      </c>
      <c r="D2386" t="s">
        <v>103</v>
      </c>
      <c r="E2386" s="1">
        <v>45434</v>
      </c>
      <c r="F2386" t="s">
        <v>30</v>
      </c>
      <c r="G2386" t="s">
        <v>110</v>
      </c>
      <c r="H2386" t="s">
        <v>111</v>
      </c>
      <c r="I2386">
        <v>9</v>
      </c>
      <c r="J2386" t="s">
        <v>150</v>
      </c>
      <c r="K2386">
        <v>1</v>
      </c>
      <c r="L2386" s="3">
        <v>8199</v>
      </c>
      <c r="M2386">
        <v>20</v>
      </c>
      <c r="N2386" s="3">
        <v>6560</v>
      </c>
      <c r="O2386" s="3">
        <v>6560</v>
      </c>
      <c r="P2386" t="s">
        <v>34</v>
      </c>
      <c r="Q2386" t="s">
        <v>51</v>
      </c>
      <c r="R2386" t="s">
        <v>36</v>
      </c>
      <c r="S2386" t="s">
        <v>191</v>
      </c>
      <c r="T2386" t="s">
        <v>521</v>
      </c>
      <c r="U2386" t="s">
        <v>61</v>
      </c>
      <c r="V2386" t="s">
        <v>315</v>
      </c>
      <c r="W2386">
        <v>5</v>
      </c>
      <c r="X2386" t="s">
        <v>41</v>
      </c>
      <c r="Y2386" t="s">
        <v>42</v>
      </c>
      <c r="Z2386">
        <v>4</v>
      </c>
    </row>
    <row r="2387" spans="1:26">
      <c r="A2387" t="s">
        <v>3592</v>
      </c>
      <c r="B2387" t="s">
        <v>711</v>
      </c>
      <c r="C2387" t="s">
        <v>28</v>
      </c>
      <c r="D2387" t="s">
        <v>103</v>
      </c>
      <c r="E2387" s="1">
        <v>45434</v>
      </c>
      <c r="F2387" t="s">
        <v>86</v>
      </c>
      <c r="G2387" t="s">
        <v>242</v>
      </c>
      <c r="H2387" t="s">
        <v>32</v>
      </c>
      <c r="I2387">
        <v>8</v>
      </c>
      <c r="J2387" t="s">
        <v>33</v>
      </c>
      <c r="K2387">
        <v>1</v>
      </c>
      <c r="L2387" s="3">
        <v>9299</v>
      </c>
      <c r="M2387">
        <v>10</v>
      </c>
      <c r="N2387" s="3">
        <v>8370</v>
      </c>
      <c r="O2387" s="3">
        <v>8370</v>
      </c>
      <c r="P2387" t="s">
        <v>74</v>
      </c>
      <c r="Q2387" t="s">
        <v>51</v>
      </c>
      <c r="R2387" t="s">
        <v>36</v>
      </c>
      <c r="S2387" t="s">
        <v>168</v>
      </c>
      <c r="T2387" t="s">
        <v>714</v>
      </c>
      <c r="U2387" t="s">
        <v>39</v>
      </c>
      <c r="V2387" t="s">
        <v>969</v>
      </c>
      <c r="W2387">
        <v>4.0999999999999996</v>
      </c>
      <c r="X2387" t="s">
        <v>41</v>
      </c>
      <c r="Y2387" t="s">
        <v>42</v>
      </c>
      <c r="Z2387">
        <v>1</v>
      </c>
    </row>
    <row r="2388" spans="1:26">
      <c r="A2388" t="s">
        <v>3593</v>
      </c>
      <c r="B2388" t="s">
        <v>565</v>
      </c>
      <c r="C2388" t="s">
        <v>28</v>
      </c>
      <c r="D2388" t="s">
        <v>103</v>
      </c>
      <c r="E2388" s="1">
        <v>45435</v>
      </c>
      <c r="F2388" t="s">
        <v>79</v>
      </c>
      <c r="G2388" t="s">
        <v>517</v>
      </c>
      <c r="H2388" t="s">
        <v>59</v>
      </c>
      <c r="I2388">
        <v>8</v>
      </c>
      <c r="J2388" t="s">
        <v>73</v>
      </c>
      <c r="K2388">
        <v>4</v>
      </c>
      <c r="L2388" s="3">
        <v>7199</v>
      </c>
      <c r="M2388">
        <v>25</v>
      </c>
      <c r="N2388" s="3">
        <v>5400</v>
      </c>
      <c r="O2388" s="3">
        <v>21600</v>
      </c>
      <c r="P2388" t="s">
        <v>74</v>
      </c>
      <c r="Q2388" t="s">
        <v>51</v>
      </c>
      <c r="R2388" t="s">
        <v>36</v>
      </c>
      <c r="S2388" t="s">
        <v>68</v>
      </c>
      <c r="T2388" t="s">
        <v>400</v>
      </c>
      <c r="U2388" t="s">
        <v>91</v>
      </c>
      <c r="V2388" t="s">
        <v>969</v>
      </c>
      <c r="W2388">
        <v>4.7</v>
      </c>
      <c r="X2388" t="s">
        <v>41</v>
      </c>
      <c r="Y2388" t="s">
        <v>42</v>
      </c>
      <c r="Z2388">
        <v>7</v>
      </c>
    </row>
    <row r="2389" spans="1:26">
      <c r="A2389" t="s">
        <v>3594</v>
      </c>
      <c r="B2389" t="s">
        <v>746</v>
      </c>
      <c r="C2389" t="s">
        <v>45</v>
      </c>
      <c r="D2389" t="s">
        <v>103</v>
      </c>
      <c r="E2389" s="1">
        <v>45435</v>
      </c>
      <c r="F2389" t="s">
        <v>65</v>
      </c>
      <c r="G2389" t="s">
        <v>72</v>
      </c>
      <c r="H2389" t="s">
        <v>59</v>
      </c>
      <c r="I2389">
        <v>9</v>
      </c>
      <c r="J2389" t="s">
        <v>73</v>
      </c>
      <c r="K2389">
        <v>2</v>
      </c>
      <c r="L2389" s="3">
        <v>8099</v>
      </c>
      <c r="M2389">
        <v>30</v>
      </c>
      <c r="N2389" s="3">
        <v>5670</v>
      </c>
      <c r="O2389" s="3">
        <v>11340</v>
      </c>
      <c r="P2389" t="s">
        <v>74</v>
      </c>
      <c r="Q2389" t="s">
        <v>51</v>
      </c>
      <c r="R2389" t="s">
        <v>36</v>
      </c>
      <c r="S2389" t="s">
        <v>354</v>
      </c>
      <c r="T2389" t="s">
        <v>434</v>
      </c>
      <c r="U2389" t="s">
        <v>39</v>
      </c>
      <c r="V2389" t="s">
        <v>315</v>
      </c>
      <c r="W2389">
        <v>4.7</v>
      </c>
      <c r="X2389" t="s">
        <v>41</v>
      </c>
      <c r="Y2389" t="s">
        <v>42</v>
      </c>
      <c r="Z2389">
        <v>3</v>
      </c>
    </row>
    <row r="2390" spans="1:26">
      <c r="A2390" t="s">
        <v>3595</v>
      </c>
      <c r="B2390" t="s">
        <v>1044</v>
      </c>
      <c r="C2390" t="s">
        <v>28</v>
      </c>
      <c r="D2390" t="s">
        <v>46</v>
      </c>
      <c r="E2390" s="1">
        <v>45436</v>
      </c>
      <c r="F2390" t="s">
        <v>47</v>
      </c>
      <c r="G2390" t="s">
        <v>199</v>
      </c>
      <c r="H2390" t="s">
        <v>59</v>
      </c>
      <c r="I2390">
        <v>8</v>
      </c>
      <c r="J2390" t="s">
        <v>150</v>
      </c>
      <c r="K2390">
        <v>1</v>
      </c>
      <c r="L2390" s="3">
        <v>6999</v>
      </c>
      <c r="M2390">
        <v>10</v>
      </c>
      <c r="N2390" s="3">
        <v>6300</v>
      </c>
      <c r="O2390" s="3">
        <v>6300</v>
      </c>
      <c r="P2390" t="s">
        <v>74</v>
      </c>
      <c r="Q2390" t="s">
        <v>51</v>
      </c>
      <c r="R2390" t="s">
        <v>36</v>
      </c>
      <c r="S2390" t="s">
        <v>117</v>
      </c>
      <c r="T2390" t="s">
        <v>253</v>
      </c>
      <c r="U2390" t="s">
        <v>39</v>
      </c>
      <c r="V2390" t="s">
        <v>969</v>
      </c>
      <c r="W2390">
        <v>5</v>
      </c>
      <c r="X2390" t="s">
        <v>41</v>
      </c>
      <c r="Y2390" t="s">
        <v>42</v>
      </c>
      <c r="Z2390">
        <v>3</v>
      </c>
    </row>
    <row r="2391" spans="1:26">
      <c r="A2391" t="s">
        <v>3596</v>
      </c>
      <c r="B2391" t="s">
        <v>3597</v>
      </c>
      <c r="C2391" t="s">
        <v>28</v>
      </c>
      <c r="D2391" t="s">
        <v>46</v>
      </c>
      <c r="E2391" s="1">
        <v>45437</v>
      </c>
      <c r="F2391" t="s">
        <v>79</v>
      </c>
      <c r="G2391" t="s">
        <v>480</v>
      </c>
      <c r="H2391" t="s">
        <v>111</v>
      </c>
      <c r="I2391">
        <v>6</v>
      </c>
      <c r="J2391" t="s">
        <v>150</v>
      </c>
      <c r="K2391">
        <v>3</v>
      </c>
      <c r="L2391" s="3">
        <v>7999</v>
      </c>
      <c r="M2391">
        <v>15</v>
      </c>
      <c r="N2391" s="3">
        <v>6800</v>
      </c>
      <c r="O2391" s="3">
        <v>20400</v>
      </c>
      <c r="P2391" t="s">
        <v>81</v>
      </c>
      <c r="Q2391" t="s">
        <v>51</v>
      </c>
      <c r="R2391" t="s">
        <v>36</v>
      </c>
      <c r="S2391" t="s">
        <v>68</v>
      </c>
      <c r="T2391" t="s">
        <v>400</v>
      </c>
      <c r="U2391" t="s">
        <v>39</v>
      </c>
      <c r="V2391" t="s">
        <v>40</v>
      </c>
      <c r="W2391">
        <v>4.0999999999999996</v>
      </c>
      <c r="X2391" t="s">
        <v>41</v>
      </c>
      <c r="Y2391" t="s">
        <v>42</v>
      </c>
      <c r="Z2391">
        <v>6</v>
      </c>
    </row>
    <row r="2392" spans="1:26">
      <c r="A2392" t="s">
        <v>3598</v>
      </c>
      <c r="B2392" t="s">
        <v>3599</v>
      </c>
      <c r="C2392" t="s">
        <v>28</v>
      </c>
      <c r="D2392" t="s">
        <v>103</v>
      </c>
      <c r="E2392" s="1">
        <v>45438</v>
      </c>
      <c r="F2392" t="s">
        <v>86</v>
      </c>
      <c r="G2392" t="s">
        <v>285</v>
      </c>
      <c r="H2392" t="s">
        <v>111</v>
      </c>
      <c r="I2392">
        <v>6</v>
      </c>
      <c r="J2392" t="s">
        <v>67</v>
      </c>
      <c r="K2392">
        <v>1</v>
      </c>
      <c r="L2392" s="3">
        <v>5599</v>
      </c>
      <c r="M2392">
        <v>5</v>
      </c>
      <c r="N2392" s="3">
        <v>5320</v>
      </c>
      <c r="O2392" s="3">
        <v>5320</v>
      </c>
      <c r="P2392" t="s">
        <v>74</v>
      </c>
      <c r="Q2392" t="s">
        <v>51</v>
      </c>
      <c r="R2392" t="s">
        <v>36</v>
      </c>
      <c r="S2392" t="s">
        <v>156</v>
      </c>
      <c r="T2392" t="s">
        <v>324</v>
      </c>
      <c r="U2392" t="s">
        <v>61</v>
      </c>
      <c r="V2392" t="s">
        <v>40</v>
      </c>
      <c r="W2392">
        <v>4.5999999999999996</v>
      </c>
      <c r="X2392" t="s">
        <v>62</v>
      </c>
      <c r="Y2392" t="s">
        <v>42</v>
      </c>
      <c r="Z2392">
        <v>3</v>
      </c>
    </row>
    <row r="2393" spans="1:26">
      <c r="A2393" t="s">
        <v>3600</v>
      </c>
      <c r="B2393" t="s">
        <v>3555</v>
      </c>
      <c r="C2393" t="s">
        <v>45</v>
      </c>
      <c r="D2393" t="s">
        <v>46</v>
      </c>
      <c r="E2393" s="1">
        <v>45440</v>
      </c>
      <c r="F2393" t="s">
        <v>79</v>
      </c>
      <c r="G2393" t="s">
        <v>480</v>
      </c>
      <c r="H2393" t="s">
        <v>111</v>
      </c>
      <c r="I2393">
        <v>8</v>
      </c>
      <c r="J2393" t="s">
        <v>33</v>
      </c>
      <c r="K2393">
        <v>1</v>
      </c>
      <c r="L2393" s="3">
        <v>6399</v>
      </c>
      <c r="M2393">
        <v>15</v>
      </c>
      <c r="N2393" s="3">
        <v>5440</v>
      </c>
      <c r="O2393" s="3">
        <v>5440</v>
      </c>
      <c r="P2393" t="s">
        <v>74</v>
      </c>
      <c r="Q2393" t="s">
        <v>51</v>
      </c>
      <c r="R2393" t="s">
        <v>36</v>
      </c>
      <c r="S2393" t="s">
        <v>269</v>
      </c>
      <c r="T2393" t="s">
        <v>270</v>
      </c>
      <c r="U2393" t="s">
        <v>54</v>
      </c>
      <c r="V2393" t="s">
        <v>315</v>
      </c>
      <c r="W2393">
        <v>4.9000000000000004</v>
      </c>
      <c r="X2393" t="s">
        <v>41</v>
      </c>
      <c r="Y2393" t="s">
        <v>42</v>
      </c>
      <c r="Z2393">
        <v>6</v>
      </c>
    </row>
    <row r="2394" spans="1:26">
      <c r="A2394" t="s">
        <v>3601</v>
      </c>
      <c r="B2394" t="s">
        <v>2027</v>
      </c>
      <c r="C2394" t="s">
        <v>28</v>
      </c>
      <c r="D2394" t="s">
        <v>95</v>
      </c>
      <c r="E2394" s="1">
        <v>45444</v>
      </c>
      <c r="F2394" t="s">
        <v>86</v>
      </c>
      <c r="G2394" t="s">
        <v>312</v>
      </c>
      <c r="H2394" t="s">
        <v>59</v>
      </c>
      <c r="I2394">
        <v>9</v>
      </c>
      <c r="J2394" t="s">
        <v>73</v>
      </c>
      <c r="K2394">
        <v>2</v>
      </c>
      <c r="L2394" s="3">
        <v>7999</v>
      </c>
      <c r="M2394">
        <v>20</v>
      </c>
      <c r="N2394" s="3">
        <v>6400</v>
      </c>
      <c r="O2394" s="3">
        <v>12800</v>
      </c>
      <c r="P2394" t="s">
        <v>34</v>
      </c>
      <c r="Q2394" t="s">
        <v>35</v>
      </c>
      <c r="R2394" t="s">
        <v>36</v>
      </c>
      <c r="S2394" t="s">
        <v>164</v>
      </c>
      <c r="T2394" t="s">
        <v>409</v>
      </c>
      <c r="U2394" t="s">
        <v>124</v>
      </c>
      <c r="V2394" t="s">
        <v>315</v>
      </c>
      <c r="W2394">
        <v>4</v>
      </c>
      <c r="X2394" t="s">
        <v>41</v>
      </c>
      <c r="Y2394" t="s">
        <v>55</v>
      </c>
      <c r="Z2394">
        <v>2</v>
      </c>
    </row>
    <row r="2395" spans="1:26">
      <c r="A2395" t="s">
        <v>3602</v>
      </c>
      <c r="B2395" t="s">
        <v>953</v>
      </c>
      <c r="C2395" t="s">
        <v>45</v>
      </c>
      <c r="D2395" t="s">
        <v>46</v>
      </c>
      <c r="E2395" s="1">
        <v>45444</v>
      </c>
      <c r="F2395" t="s">
        <v>47</v>
      </c>
      <c r="G2395" t="s">
        <v>402</v>
      </c>
      <c r="H2395" t="s">
        <v>32</v>
      </c>
      <c r="I2395">
        <v>9</v>
      </c>
      <c r="J2395" t="s">
        <v>88</v>
      </c>
      <c r="K2395">
        <v>1</v>
      </c>
      <c r="L2395" s="3">
        <v>8699</v>
      </c>
      <c r="M2395">
        <v>0</v>
      </c>
      <c r="N2395" s="3">
        <v>8700</v>
      </c>
      <c r="O2395" s="3">
        <v>8700</v>
      </c>
      <c r="P2395" t="s">
        <v>34</v>
      </c>
      <c r="Q2395" t="s">
        <v>51</v>
      </c>
      <c r="R2395" t="s">
        <v>36</v>
      </c>
      <c r="S2395" t="s">
        <v>358</v>
      </c>
      <c r="T2395" t="s">
        <v>805</v>
      </c>
      <c r="U2395" t="s">
        <v>124</v>
      </c>
      <c r="V2395" t="s">
        <v>969</v>
      </c>
      <c r="W2395">
        <v>4.5999999999999996</v>
      </c>
      <c r="X2395" t="s">
        <v>41</v>
      </c>
      <c r="Y2395" t="s">
        <v>55</v>
      </c>
      <c r="Z2395">
        <v>2</v>
      </c>
    </row>
    <row r="2396" spans="1:26">
      <c r="A2396" t="s">
        <v>3603</v>
      </c>
      <c r="B2396" t="s">
        <v>1624</v>
      </c>
      <c r="C2396" t="s">
        <v>45</v>
      </c>
      <c r="D2396" t="s">
        <v>29</v>
      </c>
      <c r="E2396" s="1">
        <v>45445</v>
      </c>
      <c r="F2396" t="s">
        <v>65</v>
      </c>
      <c r="G2396" t="s">
        <v>72</v>
      </c>
      <c r="H2396" t="s">
        <v>59</v>
      </c>
      <c r="I2396">
        <v>9</v>
      </c>
      <c r="J2396" t="s">
        <v>73</v>
      </c>
      <c r="K2396">
        <v>1</v>
      </c>
      <c r="L2396" s="3">
        <v>5699</v>
      </c>
      <c r="M2396">
        <v>10</v>
      </c>
      <c r="N2396" s="3">
        <v>5130</v>
      </c>
      <c r="O2396" s="3">
        <v>5130</v>
      </c>
      <c r="P2396" t="s">
        <v>74</v>
      </c>
      <c r="Q2396" t="s">
        <v>51</v>
      </c>
      <c r="R2396" t="s">
        <v>36</v>
      </c>
      <c r="S2396" t="s">
        <v>175</v>
      </c>
      <c r="T2396" t="s">
        <v>437</v>
      </c>
      <c r="U2396" t="s">
        <v>91</v>
      </c>
      <c r="V2396" t="s">
        <v>315</v>
      </c>
      <c r="W2396">
        <v>3.3</v>
      </c>
      <c r="X2396" t="s">
        <v>41</v>
      </c>
      <c r="Y2396" t="s">
        <v>42</v>
      </c>
      <c r="Z2396">
        <v>5</v>
      </c>
    </row>
    <row r="2397" spans="1:26">
      <c r="A2397" t="s">
        <v>3604</v>
      </c>
      <c r="B2397" t="s">
        <v>1074</v>
      </c>
      <c r="C2397" t="s">
        <v>28</v>
      </c>
      <c r="D2397" t="s">
        <v>103</v>
      </c>
      <c r="E2397" s="1">
        <v>45447</v>
      </c>
      <c r="F2397" t="s">
        <v>47</v>
      </c>
      <c r="G2397" t="s">
        <v>402</v>
      </c>
      <c r="H2397" t="s">
        <v>32</v>
      </c>
      <c r="I2397">
        <v>10</v>
      </c>
      <c r="J2397" t="s">
        <v>98</v>
      </c>
      <c r="K2397">
        <v>2</v>
      </c>
      <c r="L2397" s="3">
        <v>5299</v>
      </c>
      <c r="M2397">
        <v>15</v>
      </c>
      <c r="N2397" s="3">
        <v>4500</v>
      </c>
      <c r="O2397" s="3">
        <v>9000</v>
      </c>
      <c r="P2397" t="s">
        <v>34</v>
      </c>
      <c r="Q2397" t="s">
        <v>51</v>
      </c>
      <c r="R2397" t="s">
        <v>36</v>
      </c>
      <c r="S2397" t="s">
        <v>89</v>
      </c>
      <c r="T2397" t="s">
        <v>90</v>
      </c>
      <c r="U2397" t="s">
        <v>39</v>
      </c>
      <c r="V2397" t="s">
        <v>315</v>
      </c>
      <c r="W2397">
        <v>3.9</v>
      </c>
      <c r="X2397" t="s">
        <v>62</v>
      </c>
      <c r="Y2397" t="s">
        <v>42</v>
      </c>
      <c r="Z2397">
        <v>6</v>
      </c>
    </row>
    <row r="2398" spans="1:26">
      <c r="A2398" t="s">
        <v>3605</v>
      </c>
      <c r="B2398" t="s">
        <v>1271</v>
      </c>
      <c r="C2398" t="s">
        <v>28</v>
      </c>
      <c r="D2398" t="s">
        <v>46</v>
      </c>
      <c r="E2398" s="1">
        <v>45449</v>
      </c>
      <c r="F2398" t="s">
        <v>96</v>
      </c>
      <c r="G2398" t="s">
        <v>228</v>
      </c>
      <c r="H2398" t="s">
        <v>59</v>
      </c>
      <c r="I2398">
        <v>7</v>
      </c>
      <c r="J2398" t="s">
        <v>98</v>
      </c>
      <c r="K2398">
        <v>3</v>
      </c>
      <c r="L2398" s="3">
        <v>4899</v>
      </c>
      <c r="M2398">
        <v>25</v>
      </c>
      <c r="N2398" s="3">
        <v>3670</v>
      </c>
      <c r="O2398" s="3">
        <v>11010</v>
      </c>
      <c r="P2398" t="s">
        <v>74</v>
      </c>
      <c r="Q2398" t="s">
        <v>82</v>
      </c>
      <c r="R2398" t="s">
        <v>36</v>
      </c>
      <c r="S2398" t="s">
        <v>104</v>
      </c>
      <c r="T2398" t="s">
        <v>105</v>
      </c>
      <c r="U2398" t="s">
        <v>91</v>
      </c>
      <c r="V2398" t="s">
        <v>969</v>
      </c>
      <c r="W2398">
        <v>3.4</v>
      </c>
      <c r="X2398" t="s">
        <v>62</v>
      </c>
      <c r="Y2398" t="s">
        <v>42</v>
      </c>
      <c r="Z2398">
        <v>3</v>
      </c>
    </row>
    <row r="2399" spans="1:26">
      <c r="A2399" t="s">
        <v>3606</v>
      </c>
      <c r="B2399" t="s">
        <v>2655</v>
      </c>
      <c r="C2399" t="s">
        <v>94</v>
      </c>
      <c r="D2399" t="s">
        <v>103</v>
      </c>
      <c r="E2399" s="1">
        <v>45449</v>
      </c>
      <c r="F2399" t="s">
        <v>30</v>
      </c>
      <c r="G2399" t="s">
        <v>31</v>
      </c>
      <c r="H2399" t="s">
        <v>32</v>
      </c>
      <c r="I2399">
        <v>10</v>
      </c>
      <c r="J2399" t="s">
        <v>73</v>
      </c>
      <c r="K2399">
        <v>1</v>
      </c>
      <c r="L2399" s="3">
        <v>5499</v>
      </c>
      <c r="M2399">
        <v>20</v>
      </c>
      <c r="N2399" s="3">
        <v>4400</v>
      </c>
      <c r="O2399" s="3">
        <v>4400</v>
      </c>
      <c r="P2399" t="s">
        <v>74</v>
      </c>
      <c r="Q2399" t="s">
        <v>51</v>
      </c>
      <c r="R2399" t="s">
        <v>36</v>
      </c>
      <c r="S2399" t="s">
        <v>141</v>
      </c>
      <c r="T2399" t="s">
        <v>728</v>
      </c>
      <c r="U2399" t="s">
        <v>61</v>
      </c>
      <c r="V2399" t="s">
        <v>315</v>
      </c>
      <c r="W2399">
        <v>4.4000000000000004</v>
      </c>
      <c r="X2399" t="s">
        <v>41</v>
      </c>
      <c r="Y2399" t="s">
        <v>42</v>
      </c>
      <c r="Z2399">
        <v>3</v>
      </c>
    </row>
    <row r="2400" spans="1:26">
      <c r="A2400" t="s">
        <v>3607</v>
      </c>
      <c r="B2400" t="s">
        <v>381</v>
      </c>
      <c r="C2400" t="s">
        <v>45</v>
      </c>
      <c r="D2400" t="s">
        <v>103</v>
      </c>
      <c r="E2400" s="1">
        <v>45450</v>
      </c>
      <c r="F2400" t="s">
        <v>86</v>
      </c>
      <c r="G2400" t="s">
        <v>87</v>
      </c>
      <c r="H2400" t="s">
        <v>59</v>
      </c>
      <c r="I2400">
        <v>8</v>
      </c>
      <c r="J2400" t="s">
        <v>98</v>
      </c>
      <c r="K2400">
        <v>1</v>
      </c>
      <c r="L2400" s="3">
        <v>5099</v>
      </c>
      <c r="M2400">
        <v>0</v>
      </c>
      <c r="N2400" s="3">
        <v>5100</v>
      </c>
      <c r="O2400" s="3">
        <v>5100</v>
      </c>
      <c r="P2400" t="s">
        <v>74</v>
      </c>
      <c r="Q2400" t="s">
        <v>51</v>
      </c>
      <c r="R2400" t="s">
        <v>36</v>
      </c>
      <c r="S2400" t="s">
        <v>210</v>
      </c>
      <c r="T2400" t="s">
        <v>415</v>
      </c>
      <c r="U2400" t="s">
        <v>61</v>
      </c>
      <c r="V2400" t="s">
        <v>969</v>
      </c>
      <c r="W2400">
        <v>4.2</v>
      </c>
      <c r="X2400" t="s">
        <v>41</v>
      </c>
      <c r="Y2400" t="s">
        <v>42</v>
      </c>
      <c r="Z2400">
        <v>5</v>
      </c>
    </row>
    <row r="2401" spans="1:26">
      <c r="A2401" t="s">
        <v>3608</v>
      </c>
      <c r="B2401" t="s">
        <v>3609</v>
      </c>
      <c r="C2401" t="s">
        <v>28</v>
      </c>
      <c r="D2401" t="s">
        <v>46</v>
      </c>
      <c r="E2401" s="1">
        <v>45451</v>
      </c>
      <c r="F2401" t="s">
        <v>47</v>
      </c>
      <c r="G2401" t="s">
        <v>48</v>
      </c>
      <c r="H2401" t="s">
        <v>49</v>
      </c>
      <c r="I2401">
        <v>11</v>
      </c>
      <c r="J2401" t="s">
        <v>88</v>
      </c>
      <c r="K2401">
        <v>1</v>
      </c>
      <c r="L2401" s="3">
        <v>7899</v>
      </c>
      <c r="M2401">
        <v>25</v>
      </c>
      <c r="N2401" s="3">
        <v>5920</v>
      </c>
      <c r="O2401" s="3">
        <v>5920</v>
      </c>
      <c r="P2401" t="s">
        <v>74</v>
      </c>
      <c r="Q2401" t="s">
        <v>35</v>
      </c>
      <c r="R2401" t="s">
        <v>36</v>
      </c>
      <c r="S2401" t="s">
        <v>384</v>
      </c>
      <c r="T2401" t="s">
        <v>1217</v>
      </c>
      <c r="U2401" t="s">
        <v>91</v>
      </c>
      <c r="V2401" t="s">
        <v>40</v>
      </c>
      <c r="W2401">
        <v>4.2</v>
      </c>
      <c r="X2401" t="s">
        <v>41</v>
      </c>
      <c r="Y2401" t="s">
        <v>42</v>
      </c>
      <c r="Z2401">
        <v>4</v>
      </c>
    </row>
    <row r="2402" spans="1:26">
      <c r="A2402" t="s">
        <v>3610</v>
      </c>
      <c r="B2402" t="s">
        <v>1591</v>
      </c>
      <c r="C2402" t="s">
        <v>45</v>
      </c>
      <c r="D2402" t="s">
        <v>103</v>
      </c>
      <c r="E2402" s="1">
        <v>45452</v>
      </c>
      <c r="F2402" t="s">
        <v>65</v>
      </c>
      <c r="G2402" t="s">
        <v>72</v>
      </c>
      <c r="H2402" t="s">
        <v>59</v>
      </c>
      <c r="I2402">
        <v>10</v>
      </c>
      <c r="J2402" t="s">
        <v>33</v>
      </c>
      <c r="K2402">
        <v>1</v>
      </c>
      <c r="L2402" s="3">
        <v>4899</v>
      </c>
      <c r="M2402">
        <v>30</v>
      </c>
      <c r="N2402" s="3">
        <v>3430</v>
      </c>
      <c r="O2402" s="3">
        <v>3430</v>
      </c>
      <c r="P2402" t="s">
        <v>34</v>
      </c>
      <c r="Q2402" t="s">
        <v>35</v>
      </c>
      <c r="R2402" t="s">
        <v>36</v>
      </c>
      <c r="S2402" t="s">
        <v>160</v>
      </c>
      <c r="T2402" t="s">
        <v>161</v>
      </c>
      <c r="U2402" t="s">
        <v>54</v>
      </c>
      <c r="V2402" t="s">
        <v>315</v>
      </c>
      <c r="W2402">
        <v>2.4</v>
      </c>
      <c r="X2402" t="s">
        <v>41</v>
      </c>
      <c r="Y2402" t="s">
        <v>42</v>
      </c>
      <c r="Z2402">
        <v>6</v>
      </c>
    </row>
    <row r="2403" spans="1:26">
      <c r="A2403" t="s">
        <v>3611</v>
      </c>
      <c r="B2403" t="s">
        <v>1995</v>
      </c>
      <c r="C2403" t="s">
        <v>28</v>
      </c>
      <c r="D2403" t="s">
        <v>103</v>
      </c>
      <c r="E2403" s="1">
        <v>45455</v>
      </c>
      <c r="F2403" t="s">
        <v>65</v>
      </c>
      <c r="G2403" t="s">
        <v>256</v>
      </c>
      <c r="H2403" t="s">
        <v>32</v>
      </c>
      <c r="I2403">
        <v>10</v>
      </c>
      <c r="J2403" t="s">
        <v>150</v>
      </c>
      <c r="K2403">
        <v>1</v>
      </c>
      <c r="L2403" s="3">
        <v>7099</v>
      </c>
      <c r="M2403">
        <v>20</v>
      </c>
      <c r="N2403" s="3">
        <v>5680</v>
      </c>
      <c r="O2403" s="3">
        <v>5680</v>
      </c>
      <c r="P2403" t="s">
        <v>74</v>
      </c>
      <c r="Q2403" t="s">
        <v>51</v>
      </c>
      <c r="R2403" t="s">
        <v>36</v>
      </c>
      <c r="S2403" t="s">
        <v>129</v>
      </c>
      <c r="T2403" t="s">
        <v>130</v>
      </c>
      <c r="U2403" t="s">
        <v>54</v>
      </c>
      <c r="V2403" t="s">
        <v>969</v>
      </c>
      <c r="W2403">
        <v>3.2</v>
      </c>
      <c r="X2403" t="s">
        <v>41</v>
      </c>
      <c r="Y2403" t="s">
        <v>55</v>
      </c>
      <c r="Z2403">
        <v>2</v>
      </c>
    </row>
    <row r="2404" spans="1:26">
      <c r="A2404" t="s">
        <v>3612</v>
      </c>
      <c r="B2404" t="s">
        <v>2416</v>
      </c>
      <c r="C2404" t="s">
        <v>45</v>
      </c>
      <c r="D2404" t="s">
        <v>29</v>
      </c>
      <c r="E2404" s="1">
        <v>45455</v>
      </c>
      <c r="F2404" t="s">
        <v>30</v>
      </c>
      <c r="G2404" t="s">
        <v>145</v>
      </c>
      <c r="H2404" t="s">
        <v>59</v>
      </c>
      <c r="I2404">
        <v>9</v>
      </c>
      <c r="J2404" t="s">
        <v>150</v>
      </c>
      <c r="K2404">
        <v>1</v>
      </c>
      <c r="L2404" s="3">
        <v>7799</v>
      </c>
      <c r="M2404">
        <v>5</v>
      </c>
      <c r="N2404" s="3">
        <v>7410</v>
      </c>
      <c r="O2404" s="3">
        <v>7410</v>
      </c>
      <c r="P2404" t="s">
        <v>74</v>
      </c>
      <c r="Q2404" t="s">
        <v>82</v>
      </c>
      <c r="R2404" t="s">
        <v>36</v>
      </c>
      <c r="S2404" t="s">
        <v>354</v>
      </c>
      <c r="T2404" t="s">
        <v>431</v>
      </c>
      <c r="U2404" t="s">
        <v>91</v>
      </c>
      <c r="V2404" t="s">
        <v>969</v>
      </c>
      <c r="W2404">
        <v>4.2</v>
      </c>
      <c r="X2404" t="s">
        <v>41</v>
      </c>
      <c r="Y2404" t="s">
        <v>42</v>
      </c>
      <c r="Z2404">
        <v>3</v>
      </c>
    </row>
    <row r="2405" spans="1:26">
      <c r="A2405" t="s">
        <v>3613</v>
      </c>
      <c r="B2405" t="s">
        <v>1359</v>
      </c>
      <c r="C2405" t="s">
        <v>94</v>
      </c>
      <c r="D2405" t="s">
        <v>109</v>
      </c>
      <c r="E2405" s="1">
        <v>45456</v>
      </c>
      <c r="F2405" t="s">
        <v>96</v>
      </c>
      <c r="G2405" t="s">
        <v>228</v>
      </c>
      <c r="H2405" t="s">
        <v>59</v>
      </c>
      <c r="I2405">
        <v>11</v>
      </c>
      <c r="J2405" t="s">
        <v>67</v>
      </c>
      <c r="K2405">
        <v>3</v>
      </c>
      <c r="L2405" s="3">
        <v>5199</v>
      </c>
      <c r="M2405">
        <v>5</v>
      </c>
      <c r="N2405" s="3">
        <v>4940</v>
      </c>
      <c r="O2405" s="3">
        <v>14820</v>
      </c>
      <c r="P2405" t="s">
        <v>74</v>
      </c>
      <c r="Q2405" t="s">
        <v>82</v>
      </c>
      <c r="R2405" t="s">
        <v>36</v>
      </c>
      <c r="S2405" t="s">
        <v>354</v>
      </c>
      <c r="T2405" t="s">
        <v>434</v>
      </c>
      <c r="U2405" t="s">
        <v>61</v>
      </c>
      <c r="V2405" t="s">
        <v>315</v>
      </c>
      <c r="W2405">
        <v>2.7</v>
      </c>
      <c r="X2405" t="s">
        <v>106</v>
      </c>
      <c r="Y2405" t="s">
        <v>42</v>
      </c>
      <c r="Z2405">
        <v>6</v>
      </c>
    </row>
    <row r="2406" spans="1:26">
      <c r="A2406" t="s">
        <v>3614</v>
      </c>
      <c r="B2406" t="s">
        <v>1775</v>
      </c>
      <c r="C2406" t="s">
        <v>28</v>
      </c>
      <c r="D2406" t="s">
        <v>46</v>
      </c>
      <c r="E2406" s="1">
        <v>45456</v>
      </c>
      <c r="F2406" t="s">
        <v>47</v>
      </c>
      <c r="G2406" t="s">
        <v>48</v>
      </c>
      <c r="H2406" t="s">
        <v>49</v>
      </c>
      <c r="I2406">
        <v>11</v>
      </c>
      <c r="J2406" t="s">
        <v>88</v>
      </c>
      <c r="K2406">
        <v>1</v>
      </c>
      <c r="L2406" s="3">
        <v>4499</v>
      </c>
      <c r="M2406">
        <v>20</v>
      </c>
      <c r="N2406" s="3">
        <v>3600</v>
      </c>
      <c r="O2406" s="3">
        <v>3600</v>
      </c>
      <c r="P2406" t="s">
        <v>74</v>
      </c>
      <c r="Q2406" t="s">
        <v>82</v>
      </c>
      <c r="R2406" t="s">
        <v>36</v>
      </c>
      <c r="S2406" t="s">
        <v>104</v>
      </c>
      <c r="T2406" t="s">
        <v>291</v>
      </c>
      <c r="U2406" t="s">
        <v>124</v>
      </c>
      <c r="V2406" t="s">
        <v>969</v>
      </c>
      <c r="W2406">
        <v>4.3</v>
      </c>
      <c r="X2406" t="s">
        <v>62</v>
      </c>
      <c r="Y2406" t="s">
        <v>42</v>
      </c>
      <c r="Z2406">
        <v>5</v>
      </c>
    </row>
    <row r="2407" spans="1:26">
      <c r="A2407" t="s">
        <v>3615</v>
      </c>
      <c r="B2407" t="s">
        <v>711</v>
      </c>
      <c r="C2407" t="s">
        <v>94</v>
      </c>
      <c r="D2407" t="s">
        <v>103</v>
      </c>
      <c r="E2407" s="1">
        <v>45456</v>
      </c>
      <c r="F2407" t="s">
        <v>86</v>
      </c>
      <c r="G2407" t="s">
        <v>116</v>
      </c>
      <c r="H2407" t="s">
        <v>49</v>
      </c>
      <c r="I2407">
        <v>10</v>
      </c>
      <c r="J2407" t="s">
        <v>98</v>
      </c>
      <c r="K2407">
        <v>1</v>
      </c>
      <c r="L2407" s="3">
        <v>8699</v>
      </c>
      <c r="M2407">
        <v>25</v>
      </c>
      <c r="N2407" s="3">
        <v>6520</v>
      </c>
      <c r="O2407" s="3">
        <v>6520</v>
      </c>
      <c r="P2407" t="s">
        <v>74</v>
      </c>
      <c r="Q2407" t="s">
        <v>51</v>
      </c>
      <c r="R2407" t="s">
        <v>36</v>
      </c>
      <c r="S2407" t="s">
        <v>37</v>
      </c>
      <c r="T2407" t="s">
        <v>38</v>
      </c>
      <c r="U2407" t="s">
        <v>61</v>
      </c>
      <c r="V2407" t="s">
        <v>969</v>
      </c>
      <c r="W2407">
        <v>3.3</v>
      </c>
      <c r="X2407" t="s">
        <v>106</v>
      </c>
      <c r="Y2407" t="s">
        <v>55</v>
      </c>
      <c r="Z2407">
        <v>3</v>
      </c>
    </row>
    <row r="2408" spans="1:26">
      <c r="A2408" t="s">
        <v>3616</v>
      </c>
      <c r="B2408" t="s">
        <v>2781</v>
      </c>
      <c r="C2408" t="s">
        <v>28</v>
      </c>
      <c r="D2408" t="s">
        <v>29</v>
      </c>
      <c r="E2408" s="1">
        <v>45457</v>
      </c>
      <c r="F2408" t="s">
        <v>30</v>
      </c>
      <c r="G2408" t="s">
        <v>110</v>
      </c>
      <c r="H2408" t="s">
        <v>111</v>
      </c>
      <c r="I2408">
        <v>8</v>
      </c>
      <c r="J2408" t="s">
        <v>88</v>
      </c>
      <c r="K2408">
        <v>1</v>
      </c>
      <c r="L2408" s="3">
        <v>4499</v>
      </c>
      <c r="M2408">
        <v>15</v>
      </c>
      <c r="N2408" s="3">
        <v>3820</v>
      </c>
      <c r="O2408" s="3">
        <v>3820</v>
      </c>
      <c r="P2408" t="s">
        <v>34</v>
      </c>
      <c r="Q2408" t="s">
        <v>82</v>
      </c>
      <c r="R2408" t="s">
        <v>36</v>
      </c>
      <c r="S2408" t="s">
        <v>175</v>
      </c>
      <c r="T2408" t="s">
        <v>176</v>
      </c>
      <c r="U2408" t="s">
        <v>91</v>
      </c>
      <c r="V2408" t="s">
        <v>315</v>
      </c>
      <c r="W2408">
        <v>4.0999999999999996</v>
      </c>
      <c r="X2408" t="s">
        <v>41</v>
      </c>
      <c r="Y2408" t="s">
        <v>42</v>
      </c>
      <c r="Z2408">
        <v>6</v>
      </c>
    </row>
    <row r="2409" spans="1:26">
      <c r="A2409" t="s">
        <v>3617</v>
      </c>
      <c r="B2409" t="s">
        <v>2080</v>
      </c>
      <c r="C2409" t="s">
        <v>94</v>
      </c>
      <c r="D2409" t="s">
        <v>46</v>
      </c>
      <c r="E2409" s="1">
        <v>45458</v>
      </c>
      <c r="F2409" t="s">
        <v>79</v>
      </c>
      <c r="G2409" t="s">
        <v>127</v>
      </c>
      <c r="H2409" t="s">
        <v>128</v>
      </c>
      <c r="I2409">
        <v>9</v>
      </c>
      <c r="J2409" t="s">
        <v>88</v>
      </c>
      <c r="K2409">
        <v>2</v>
      </c>
      <c r="L2409" s="3">
        <v>3499</v>
      </c>
      <c r="M2409">
        <v>5</v>
      </c>
      <c r="N2409" s="3">
        <v>3320</v>
      </c>
      <c r="O2409" s="3">
        <v>6640</v>
      </c>
      <c r="P2409" t="s">
        <v>74</v>
      </c>
      <c r="Q2409" t="s">
        <v>35</v>
      </c>
      <c r="R2409" t="s">
        <v>36</v>
      </c>
      <c r="S2409" t="s">
        <v>122</v>
      </c>
      <c r="T2409" t="s">
        <v>382</v>
      </c>
      <c r="U2409" t="s">
        <v>39</v>
      </c>
      <c r="V2409" t="s">
        <v>315</v>
      </c>
      <c r="W2409">
        <v>4.5999999999999996</v>
      </c>
      <c r="X2409" t="s">
        <v>106</v>
      </c>
      <c r="Y2409" t="s">
        <v>42</v>
      </c>
      <c r="Z2409">
        <v>6</v>
      </c>
    </row>
    <row r="2410" spans="1:26">
      <c r="A2410" t="s">
        <v>3618</v>
      </c>
      <c r="B2410" t="s">
        <v>120</v>
      </c>
      <c r="C2410" t="s">
        <v>28</v>
      </c>
      <c r="D2410" t="s">
        <v>29</v>
      </c>
      <c r="E2410" s="1">
        <v>45460</v>
      </c>
      <c r="F2410" t="s">
        <v>96</v>
      </c>
      <c r="G2410" t="s">
        <v>290</v>
      </c>
      <c r="H2410" t="s">
        <v>32</v>
      </c>
      <c r="I2410">
        <v>10</v>
      </c>
      <c r="J2410" t="s">
        <v>33</v>
      </c>
      <c r="K2410">
        <v>2</v>
      </c>
      <c r="L2410" s="3">
        <v>5599</v>
      </c>
      <c r="M2410">
        <v>20</v>
      </c>
      <c r="N2410" s="3">
        <v>4480</v>
      </c>
      <c r="O2410" s="3">
        <v>8960</v>
      </c>
      <c r="P2410" t="s">
        <v>34</v>
      </c>
      <c r="Q2410" t="s">
        <v>51</v>
      </c>
      <c r="R2410" t="s">
        <v>36</v>
      </c>
      <c r="S2410" t="s">
        <v>286</v>
      </c>
      <c r="T2410" t="s">
        <v>768</v>
      </c>
      <c r="U2410" t="s">
        <v>61</v>
      </c>
      <c r="V2410" t="s">
        <v>315</v>
      </c>
      <c r="W2410">
        <v>4.5</v>
      </c>
      <c r="X2410" t="s">
        <v>41</v>
      </c>
      <c r="Y2410" t="s">
        <v>42</v>
      </c>
      <c r="Z2410">
        <v>1</v>
      </c>
    </row>
    <row r="2411" spans="1:26">
      <c r="A2411" t="s">
        <v>3619</v>
      </c>
      <c r="B2411" t="s">
        <v>2859</v>
      </c>
      <c r="C2411" t="s">
        <v>45</v>
      </c>
      <c r="D2411" t="s">
        <v>29</v>
      </c>
      <c r="E2411" s="1">
        <v>45461</v>
      </c>
      <c r="F2411" t="s">
        <v>79</v>
      </c>
      <c r="G2411" t="s">
        <v>80</v>
      </c>
      <c r="H2411" t="s">
        <v>59</v>
      </c>
      <c r="I2411">
        <v>7</v>
      </c>
      <c r="J2411" t="s">
        <v>67</v>
      </c>
      <c r="K2411">
        <v>1</v>
      </c>
      <c r="L2411" s="3">
        <v>7699</v>
      </c>
      <c r="M2411">
        <v>0</v>
      </c>
      <c r="N2411" s="3">
        <v>7700</v>
      </c>
      <c r="O2411" s="3">
        <v>7700</v>
      </c>
      <c r="P2411" t="s">
        <v>74</v>
      </c>
      <c r="Q2411" t="s">
        <v>82</v>
      </c>
      <c r="R2411" t="s">
        <v>36</v>
      </c>
      <c r="S2411" t="s">
        <v>338</v>
      </c>
      <c r="T2411" t="s">
        <v>394</v>
      </c>
      <c r="U2411" t="s">
        <v>124</v>
      </c>
      <c r="V2411" t="s">
        <v>315</v>
      </c>
      <c r="W2411">
        <v>5</v>
      </c>
      <c r="X2411" t="s">
        <v>41</v>
      </c>
      <c r="Y2411" t="s">
        <v>42</v>
      </c>
      <c r="Z2411">
        <v>4</v>
      </c>
    </row>
    <row r="2412" spans="1:26">
      <c r="A2412" t="s">
        <v>3620</v>
      </c>
      <c r="B2412" t="s">
        <v>2339</v>
      </c>
      <c r="C2412" t="s">
        <v>45</v>
      </c>
      <c r="D2412" t="s">
        <v>29</v>
      </c>
      <c r="E2412" s="1">
        <v>45462</v>
      </c>
      <c r="F2412" t="s">
        <v>96</v>
      </c>
      <c r="G2412" t="s">
        <v>171</v>
      </c>
      <c r="H2412" t="s">
        <v>128</v>
      </c>
      <c r="I2412">
        <v>9</v>
      </c>
      <c r="J2412" t="s">
        <v>73</v>
      </c>
      <c r="K2412">
        <v>1</v>
      </c>
      <c r="L2412" s="3">
        <v>9199</v>
      </c>
      <c r="M2412">
        <v>15</v>
      </c>
      <c r="N2412" s="3">
        <v>7820</v>
      </c>
      <c r="O2412" s="3">
        <v>7820</v>
      </c>
      <c r="P2412" t="s">
        <v>74</v>
      </c>
      <c r="Q2412" t="s">
        <v>82</v>
      </c>
      <c r="R2412" t="s">
        <v>36</v>
      </c>
      <c r="S2412" t="s">
        <v>358</v>
      </c>
      <c r="T2412" t="s">
        <v>597</v>
      </c>
      <c r="U2412" t="s">
        <v>91</v>
      </c>
      <c r="V2412" t="s">
        <v>315</v>
      </c>
      <c r="W2412">
        <v>4.0999999999999996</v>
      </c>
      <c r="X2412" t="s">
        <v>41</v>
      </c>
      <c r="Y2412" t="s">
        <v>147</v>
      </c>
      <c r="Z2412">
        <v>1</v>
      </c>
    </row>
    <row r="2413" spans="1:26">
      <c r="A2413" t="s">
        <v>3621</v>
      </c>
      <c r="B2413" t="s">
        <v>3622</v>
      </c>
      <c r="C2413" t="s">
        <v>45</v>
      </c>
      <c r="D2413" t="s">
        <v>29</v>
      </c>
      <c r="E2413" s="1">
        <v>45465</v>
      </c>
      <c r="F2413" t="s">
        <v>96</v>
      </c>
      <c r="G2413" t="s">
        <v>97</v>
      </c>
      <c r="H2413" t="s">
        <v>49</v>
      </c>
      <c r="I2413">
        <v>9</v>
      </c>
      <c r="J2413" t="s">
        <v>67</v>
      </c>
      <c r="K2413">
        <v>2</v>
      </c>
      <c r="L2413" s="3">
        <v>7499</v>
      </c>
      <c r="M2413">
        <v>20</v>
      </c>
      <c r="N2413" s="3">
        <v>6000</v>
      </c>
      <c r="O2413" s="3">
        <v>12000</v>
      </c>
      <c r="P2413" t="s">
        <v>74</v>
      </c>
      <c r="Q2413" t="s">
        <v>51</v>
      </c>
      <c r="R2413" t="s">
        <v>36</v>
      </c>
      <c r="S2413" t="s">
        <v>129</v>
      </c>
      <c r="T2413" t="s">
        <v>130</v>
      </c>
      <c r="U2413" t="s">
        <v>39</v>
      </c>
      <c r="V2413" t="s">
        <v>40</v>
      </c>
      <c r="W2413">
        <v>3.4</v>
      </c>
      <c r="X2413" t="s">
        <v>41</v>
      </c>
      <c r="Y2413" t="s">
        <v>42</v>
      </c>
      <c r="Z2413">
        <v>2</v>
      </c>
    </row>
    <row r="2414" spans="1:26">
      <c r="A2414" t="s">
        <v>3623</v>
      </c>
      <c r="B2414" t="s">
        <v>1152</v>
      </c>
      <c r="C2414" t="s">
        <v>94</v>
      </c>
      <c r="D2414" t="s">
        <v>46</v>
      </c>
      <c r="E2414" s="1">
        <v>45465</v>
      </c>
      <c r="F2414" t="s">
        <v>30</v>
      </c>
      <c r="G2414" t="s">
        <v>110</v>
      </c>
      <c r="H2414" t="s">
        <v>111</v>
      </c>
      <c r="I2414">
        <v>9</v>
      </c>
      <c r="J2414" t="s">
        <v>88</v>
      </c>
      <c r="K2414">
        <v>1</v>
      </c>
      <c r="L2414" s="3">
        <v>5499</v>
      </c>
      <c r="M2414">
        <v>15</v>
      </c>
      <c r="N2414" s="3">
        <v>4670</v>
      </c>
      <c r="O2414" s="3">
        <v>4670</v>
      </c>
      <c r="P2414" t="s">
        <v>74</v>
      </c>
      <c r="Q2414" t="s">
        <v>82</v>
      </c>
      <c r="R2414" t="s">
        <v>36</v>
      </c>
      <c r="S2414" t="s">
        <v>156</v>
      </c>
      <c r="T2414" t="s">
        <v>369</v>
      </c>
      <c r="U2414" t="s">
        <v>54</v>
      </c>
      <c r="V2414" t="s">
        <v>969</v>
      </c>
      <c r="W2414">
        <v>3.5</v>
      </c>
      <c r="X2414" t="s">
        <v>41</v>
      </c>
      <c r="Y2414" t="s">
        <v>42</v>
      </c>
      <c r="Z2414">
        <v>4</v>
      </c>
    </row>
    <row r="2415" spans="1:26">
      <c r="A2415" t="s">
        <v>3624</v>
      </c>
      <c r="B2415" t="s">
        <v>1339</v>
      </c>
      <c r="C2415" t="s">
        <v>28</v>
      </c>
      <c r="D2415" t="s">
        <v>46</v>
      </c>
      <c r="E2415" s="1">
        <v>45466</v>
      </c>
      <c r="F2415" t="s">
        <v>96</v>
      </c>
      <c r="G2415" t="s">
        <v>155</v>
      </c>
      <c r="H2415" t="s">
        <v>111</v>
      </c>
      <c r="I2415">
        <v>9</v>
      </c>
      <c r="J2415" t="s">
        <v>98</v>
      </c>
      <c r="K2415">
        <v>1</v>
      </c>
      <c r="L2415" s="3">
        <v>6099</v>
      </c>
      <c r="M2415">
        <v>25</v>
      </c>
      <c r="N2415" s="3">
        <v>4570</v>
      </c>
      <c r="O2415" s="3">
        <v>4570</v>
      </c>
      <c r="P2415" t="s">
        <v>34</v>
      </c>
      <c r="Q2415" t="s">
        <v>51</v>
      </c>
      <c r="R2415" t="s">
        <v>36</v>
      </c>
      <c r="S2415" t="s">
        <v>175</v>
      </c>
      <c r="T2415" t="s">
        <v>865</v>
      </c>
      <c r="U2415" t="s">
        <v>91</v>
      </c>
      <c r="V2415" t="s">
        <v>315</v>
      </c>
      <c r="W2415">
        <v>4.4000000000000004</v>
      </c>
      <c r="X2415" t="s">
        <v>62</v>
      </c>
      <c r="Y2415" t="s">
        <v>42</v>
      </c>
      <c r="Z2415">
        <v>6</v>
      </c>
    </row>
    <row r="2416" spans="1:26">
      <c r="A2416" t="s">
        <v>3625</v>
      </c>
      <c r="B2416" t="s">
        <v>520</v>
      </c>
      <c r="C2416" t="s">
        <v>94</v>
      </c>
      <c r="D2416" t="s">
        <v>46</v>
      </c>
      <c r="E2416" s="1">
        <v>45468</v>
      </c>
      <c r="F2416" t="s">
        <v>47</v>
      </c>
      <c r="G2416" t="s">
        <v>218</v>
      </c>
      <c r="H2416" t="s">
        <v>59</v>
      </c>
      <c r="I2416">
        <v>7</v>
      </c>
      <c r="J2416" t="s">
        <v>150</v>
      </c>
      <c r="K2416">
        <v>1</v>
      </c>
      <c r="L2416" s="3">
        <v>6499</v>
      </c>
      <c r="M2416">
        <v>5</v>
      </c>
      <c r="N2416" s="3">
        <v>6170</v>
      </c>
      <c r="O2416" s="3">
        <v>6170</v>
      </c>
      <c r="P2416" t="s">
        <v>74</v>
      </c>
      <c r="Q2416" t="s">
        <v>35</v>
      </c>
      <c r="R2416" t="s">
        <v>36</v>
      </c>
      <c r="S2416" t="s">
        <v>129</v>
      </c>
      <c r="T2416" t="s">
        <v>130</v>
      </c>
      <c r="U2416" t="s">
        <v>91</v>
      </c>
      <c r="V2416" t="s">
        <v>315</v>
      </c>
      <c r="W2416">
        <v>3.8</v>
      </c>
      <c r="X2416" t="s">
        <v>41</v>
      </c>
      <c r="Y2416" t="s">
        <v>42</v>
      </c>
      <c r="Z2416">
        <v>3</v>
      </c>
    </row>
    <row r="2417" spans="1:26">
      <c r="A2417" t="s">
        <v>3626</v>
      </c>
      <c r="B2417" t="s">
        <v>856</v>
      </c>
      <c r="C2417" t="s">
        <v>94</v>
      </c>
      <c r="D2417" t="s">
        <v>29</v>
      </c>
      <c r="E2417" s="1">
        <v>45468</v>
      </c>
      <c r="F2417" t="s">
        <v>65</v>
      </c>
      <c r="G2417" t="s">
        <v>268</v>
      </c>
      <c r="H2417" t="s">
        <v>128</v>
      </c>
      <c r="I2417">
        <v>9</v>
      </c>
      <c r="J2417" t="s">
        <v>150</v>
      </c>
      <c r="K2417">
        <v>1</v>
      </c>
      <c r="L2417" s="3">
        <v>5199</v>
      </c>
      <c r="M2417">
        <v>25</v>
      </c>
      <c r="N2417" s="3">
        <v>3900</v>
      </c>
      <c r="O2417" s="3">
        <v>3900</v>
      </c>
      <c r="P2417" t="s">
        <v>74</v>
      </c>
      <c r="Q2417" t="s">
        <v>51</v>
      </c>
      <c r="R2417" t="s">
        <v>36</v>
      </c>
      <c r="S2417" t="s">
        <v>151</v>
      </c>
      <c r="T2417" t="s">
        <v>152</v>
      </c>
      <c r="U2417" t="s">
        <v>54</v>
      </c>
      <c r="V2417" t="s">
        <v>969</v>
      </c>
      <c r="W2417">
        <v>4</v>
      </c>
      <c r="X2417" t="s">
        <v>41</v>
      </c>
      <c r="Y2417" t="s">
        <v>147</v>
      </c>
      <c r="Z2417">
        <v>1</v>
      </c>
    </row>
    <row r="2418" spans="1:26">
      <c r="A2418" t="s">
        <v>3627</v>
      </c>
      <c r="B2418" t="s">
        <v>2366</v>
      </c>
      <c r="C2418" t="s">
        <v>45</v>
      </c>
      <c r="D2418" t="s">
        <v>29</v>
      </c>
      <c r="E2418" s="1">
        <v>45470</v>
      </c>
      <c r="F2418" t="s">
        <v>47</v>
      </c>
      <c r="G2418" t="s">
        <v>199</v>
      </c>
      <c r="H2418" t="s">
        <v>59</v>
      </c>
      <c r="I2418">
        <v>10</v>
      </c>
      <c r="J2418" t="s">
        <v>98</v>
      </c>
      <c r="K2418">
        <v>1</v>
      </c>
      <c r="L2418" s="3">
        <v>6599</v>
      </c>
      <c r="M2418">
        <v>10</v>
      </c>
      <c r="N2418" s="3">
        <v>5940</v>
      </c>
      <c r="O2418" s="3">
        <v>5940</v>
      </c>
      <c r="P2418" t="s">
        <v>34</v>
      </c>
      <c r="Q2418" t="s">
        <v>82</v>
      </c>
      <c r="R2418" t="s">
        <v>36</v>
      </c>
      <c r="S2418" t="s">
        <v>164</v>
      </c>
      <c r="T2418" t="s">
        <v>314</v>
      </c>
      <c r="U2418" t="s">
        <v>61</v>
      </c>
      <c r="V2418" t="s">
        <v>315</v>
      </c>
      <c r="W2418">
        <v>5</v>
      </c>
      <c r="X2418" t="s">
        <v>106</v>
      </c>
      <c r="Y2418" t="s">
        <v>42</v>
      </c>
      <c r="Z2418">
        <v>5</v>
      </c>
    </row>
    <row r="2419" spans="1:26">
      <c r="A2419" t="s">
        <v>3628</v>
      </c>
      <c r="B2419" t="s">
        <v>1751</v>
      </c>
      <c r="C2419" t="s">
        <v>45</v>
      </c>
      <c r="D2419" t="s">
        <v>95</v>
      </c>
      <c r="E2419" s="1">
        <v>45474</v>
      </c>
      <c r="F2419" t="s">
        <v>30</v>
      </c>
      <c r="G2419" t="s">
        <v>110</v>
      </c>
      <c r="H2419" t="s">
        <v>111</v>
      </c>
      <c r="I2419">
        <v>12</v>
      </c>
      <c r="J2419" t="s">
        <v>98</v>
      </c>
      <c r="K2419">
        <v>1</v>
      </c>
      <c r="L2419" s="3">
        <v>6999</v>
      </c>
      <c r="M2419">
        <v>20</v>
      </c>
      <c r="N2419" s="3">
        <v>5600</v>
      </c>
      <c r="O2419" s="3">
        <v>5600</v>
      </c>
      <c r="P2419" t="s">
        <v>74</v>
      </c>
      <c r="Q2419" t="s">
        <v>35</v>
      </c>
      <c r="R2419" t="s">
        <v>36</v>
      </c>
      <c r="S2419" t="s">
        <v>129</v>
      </c>
      <c r="T2419" t="s">
        <v>146</v>
      </c>
      <c r="U2419" t="s">
        <v>124</v>
      </c>
      <c r="V2419" t="s">
        <v>315</v>
      </c>
      <c r="W2419">
        <v>3.2</v>
      </c>
      <c r="X2419" t="s">
        <v>41</v>
      </c>
      <c r="Y2419" t="s">
        <v>42</v>
      </c>
      <c r="Z2419">
        <v>4</v>
      </c>
    </row>
    <row r="2420" spans="1:26">
      <c r="A2420" t="s">
        <v>3629</v>
      </c>
      <c r="B2420" t="s">
        <v>224</v>
      </c>
      <c r="C2420" t="s">
        <v>45</v>
      </c>
      <c r="D2420" t="s">
        <v>109</v>
      </c>
      <c r="E2420" s="1">
        <v>45474</v>
      </c>
      <c r="F2420" t="s">
        <v>30</v>
      </c>
      <c r="G2420" t="s">
        <v>31</v>
      </c>
      <c r="H2420" t="s">
        <v>32</v>
      </c>
      <c r="I2420">
        <v>9</v>
      </c>
      <c r="J2420" t="s">
        <v>67</v>
      </c>
      <c r="K2420">
        <v>2</v>
      </c>
      <c r="L2420" s="3">
        <v>8899</v>
      </c>
      <c r="M2420">
        <v>15</v>
      </c>
      <c r="N2420" s="3">
        <v>7560</v>
      </c>
      <c r="O2420" s="3">
        <v>15120</v>
      </c>
      <c r="P2420" t="s">
        <v>34</v>
      </c>
      <c r="Q2420" t="s">
        <v>35</v>
      </c>
      <c r="R2420" t="s">
        <v>36</v>
      </c>
      <c r="S2420" t="s">
        <v>210</v>
      </c>
      <c r="T2420" t="s">
        <v>211</v>
      </c>
      <c r="U2420" t="s">
        <v>91</v>
      </c>
      <c r="V2420" t="s">
        <v>315</v>
      </c>
      <c r="W2420">
        <v>3.4</v>
      </c>
      <c r="X2420" t="s">
        <v>106</v>
      </c>
      <c r="Y2420" t="s">
        <v>42</v>
      </c>
      <c r="Z2420">
        <v>3</v>
      </c>
    </row>
    <row r="2421" spans="1:26">
      <c r="A2421" t="s">
        <v>3630</v>
      </c>
      <c r="B2421" t="s">
        <v>2781</v>
      </c>
      <c r="C2421" t="s">
        <v>28</v>
      </c>
      <c r="D2421" t="s">
        <v>46</v>
      </c>
      <c r="E2421" s="1">
        <v>45474</v>
      </c>
      <c r="F2421" t="s">
        <v>96</v>
      </c>
      <c r="G2421" t="s">
        <v>97</v>
      </c>
      <c r="H2421" t="s">
        <v>49</v>
      </c>
      <c r="I2421">
        <v>7</v>
      </c>
      <c r="J2421" t="s">
        <v>73</v>
      </c>
      <c r="K2421">
        <v>1</v>
      </c>
      <c r="L2421" s="3">
        <v>5399</v>
      </c>
      <c r="M2421">
        <v>10</v>
      </c>
      <c r="N2421" s="3">
        <v>4860</v>
      </c>
      <c r="O2421" s="3">
        <v>4860</v>
      </c>
      <c r="P2421" t="s">
        <v>34</v>
      </c>
      <c r="Q2421" t="s">
        <v>35</v>
      </c>
      <c r="R2421" t="s">
        <v>36</v>
      </c>
      <c r="S2421" t="s">
        <v>210</v>
      </c>
      <c r="T2421" t="s">
        <v>412</v>
      </c>
      <c r="U2421" t="s">
        <v>61</v>
      </c>
      <c r="V2421" t="s">
        <v>969</v>
      </c>
      <c r="W2421">
        <v>3.3</v>
      </c>
      <c r="X2421" t="s">
        <v>62</v>
      </c>
      <c r="Y2421" t="s">
        <v>42</v>
      </c>
      <c r="Z2421">
        <v>2</v>
      </c>
    </row>
    <row r="2422" spans="1:26">
      <c r="A2422" t="s">
        <v>3631</v>
      </c>
      <c r="B2422" t="s">
        <v>2025</v>
      </c>
      <c r="C2422" t="s">
        <v>28</v>
      </c>
      <c r="D2422" t="s">
        <v>46</v>
      </c>
      <c r="E2422" s="1">
        <v>45474</v>
      </c>
      <c r="F2422" t="s">
        <v>47</v>
      </c>
      <c r="G2422" t="s">
        <v>48</v>
      </c>
      <c r="H2422" t="s">
        <v>49</v>
      </c>
      <c r="I2422">
        <v>9</v>
      </c>
      <c r="J2422" t="s">
        <v>67</v>
      </c>
      <c r="K2422">
        <v>1</v>
      </c>
      <c r="L2422" s="3">
        <v>4999</v>
      </c>
      <c r="M2422">
        <v>15</v>
      </c>
      <c r="N2422" s="3">
        <v>4250</v>
      </c>
      <c r="O2422" s="3">
        <v>4250</v>
      </c>
      <c r="P2422" t="s">
        <v>74</v>
      </c>
      <c r="Q2422" t="s">
        <v>82</v>
      </c>
      <c r="R2422" t="s">
        <v>36</v>
      </c>
      <c r="S2422" t="s">
        <v>156</v>
      </c>
      <c r="T2422" t="s">
        <v>369</v>
      </c>
      <c r="U2422" t="s">
        <v>39</v>
      </c>
      <c r="V2422" t="s">
        <v>315</v>
      </c>
      <c r="W2422">
        <v>4.9000000000000004</v>
      </c>
      <c r="X2422" t="s">
        <v>41</v>
      </c>
      <c r="Y2422" t="s">
        <v>42</v>
      </c>
      <c r="Z2422">
        <v>4</v>
      </c>
    </row>
    <row r="2423" spans="1:26">
      <c r="A2423" t="s">
        <v>3632</v>
      </c>
      <c r="B2423" t="s">
        <v>3633</v>
      </c>
      <c r="C2423" t="s">
        <v>28</v>
      </c>
      <c r="D2423" t="s">
        <v>103</v>
      </c>
      <c r="E2423" s="1">
        <v>45475</v>
      </c>
      <c r="F2423" t="s">
        <v>47</v>
      </c>
      <c r="G2423" t="s">
        <v>402</v>
      </c>
      <c r="H2423" t="s">
        <v>32</v>
      </c>
      <c r="I2423">
        <v>9</v>
      </c>
      <c r="J2423" t="s">
        <v>73</v>
      </c>
      <c r="K2423">
        <v>1</v>
      </c>
      <c r="L2423" s="3">
        <v>7899</v>
      </c>
      <c r="M2423">
        <v>15</v>
      </c>
      <c r="N2423" s="3">
        <v>6710</v>
      </c>
      <c r="O2423" s="3">
        <v>6710</v>
      </c>
      <c r="P2423" t="s">
        <v>74</v>
      </c>
      <c r="Q2423" t="s">
        <v>82</v>
      </c>
      <c r="R2423" t="s">
        <v>36</v>
      </c>
      <c r="S2423" t="s">
        <v>338</v>
      </c>
      <c r="T2423" t="s">
        <v>449</v>
      </c>
      <c r="U2423" t="s">
        <v>61</v>
      </c>
      <c r="V2423" t="s">
        <v>40</v>
      </c>
      <c r="W2423">
        <v>3.8</v>
      </c>
      <c r="X2423" t="s">
        <v>41</v>
      </c>
      <c r="Y2423" t="s">
        <v>42</v>
      </c>
      <c r="Z2423">
        <v>7</v>
      </c>
    </row>
    <row r="2424" spans="1:26">
      <c r="A2424" t="s">
        <v>3634</v>
      </c>
      <c r="B2424" t="s">
        <v>1076</v>
      </c>
      <c r="C2424" t="s">
        <v>28</v>
      </c>
      <c r="D2424" t="s">
        <v>29</v>
      </c>
      <c r="E2424" s="1">
        <v>45476</v>
      </c>
      <c r="F2424" t="s">
        <v>86</v>
      </c>
      <c r="G2424" t="s">
        <v>242</v>
      </c>
      <c r="H2424" t="s">
        <v>32</v>
      </c>
      <c r="I2424">
        <v>10</v>
      </c>
      <c r="J2424" t="s">
        <v>150</v>
      </c>
      <c r="K2424">
        <v>3</v>
      </c>
      <c r="L2424" s="3">
        <v>7999</v>
      </c>
      <c r="M2424">
        <v>15</v>
      </c>
      <c r="N2424" s="3">
        <v>6800</v>
      </c>
      <c r="O2424" s="3">
        <v>20400</v>
      </c>
      <c r="P2424" t="s">
        <v>74</v>
      </c>
      <c r="Q2424" t="s">
        <v>35</v>
      </c>
      <c r="R2424" t="s">
        <v>36</v>
      </c>
      <c r="S2424" t="s">
        <v>238</v>
      </c>
      <c r="T2424" t="s">
        <v>377</v>
      </c>
      <c r="U2424" t="s">
        <v>54</v>
      </c>
      <c r="V2424" t="s">
        <v>315</v>
      </c>
      <c r="W2424">
        <v>4.0999999999999996</v>
      </c>
      <c r="X2424" t="s">
        <v>41</v>
      </c>
      <c r="Y2424" t="s">
        <v>42</v>
      </c>
      <c r="Z2424">
        <v>7</v>
      </c>
    </row>
    <row r="2425" spans="1:26">
      <c r="A2425" t="s">
        <v>3635</v>
      </c>
      <c r="B2425" t="s">
        <v>774</v>
      </c>
      <c r="C2425" t="s">
        <v>94</v>
      </c>
      <c r="D2425" t="s">
        <v>109</v>
      </c>
      <c r="E2425" s="1">
        <v>45477</v>
      </c>
      <c r="F2425" t="s">
        <v>30</v>
      </c>
      <c r="G2425" t="s">
        <v>58</v>
      </c>
      <c r="H2425" t="s">
        <v>59</v>
      </c>
      <c r="I2425">
        <v>9</v>
      </c>
      <c r="J2425" t="s">
        <v>33</v>
      </c>
      <c r="K2425">
        <v>1</v>
      </c>
      <c r="L2425" s="3">
        <v>5999</v>
      </c>
      <c r="M2425">
        <v>30</v>
      </c>
      <c r="N2425" s="3">
        <v>4200</v>
      </c>
      <c r="O2425" s="3">
        <v>4200</v>
      </c>
      <c r="P2425" t="s">
        <v>50</v>
      </c>
      <c r="Q2425" t="s">
        <v>51</v>
      </c>
      <c r="R2425" t="s">
        <v>36</v>
      </c>
      <c r="S2425" t="s">
        <v>338</v>
      </c>
      <c r="T2425" t="s">
        <v>449</v>
      </c>
      <c r="U2425" t="s">
        <v>124</v>
      </c>
      <c r="V2425" t="s">
        <v>969</v>
      </c>
      <c r="W2425">
        <v>3.3</v>
      </c>
      <c r="X2425" t="s">
        <v>62</v>
      </c>
      <c r="Y2425" t="s">
        <v>147</v>
      </c>
      <c r="Z2425">
        <v>1</v>
      </c>
    </row>
    <row r="2426" spans="1:26">
      <c r="A2426" t="s">
        <v>3636</v>
      </c>
      <c r="B2426" t="s">
        <v>1842</v>
      </c>
      <c r="C2426" t="s">
        <v>28</v>
      </c>
      <c r="D2426" t="s">
        <v>103</v>
      </c>
      <c r="E2426" s="1">
        <v>45480</v>
      </c>
      <c r="F2426" t="s">
        <v>86</v>
      </c>
      <c r="G2426" t="s">
        <v>87</v>
      </c>
      <c r="H2426" t="s">
        <v>59</v>
      </c>
      <c r="I2426">
        <v>7</v>
      </c>
      <c r="J2426" t="s">
        <v>67</v>
      </c>
      <c r="K2426">
        <v>2</v>
      </c>
      <c r="L2426" s="3">
        <v>9699</v>
      </c>
      <c r="M2426">
        <v>15</v>
      </c>
      <c r="N2426" s="3">
        <v>8240</v>
      </c>
      <c r="O2426" s="3">
        <v>16480</v>
      </c>
      <c r="P2426" t="s">
        <v>34</v>
      </c>
      <c r="Q2426" t="s">
        <v>82</v>
      </c>
      <c r="R2426" t="s">
        <v>36</v>
      </c>
      <c r="S2426" t="s">
        <v>112</v>
      </c>
      <c r="T2426" t="s">
        <v>133</v>
      </c>
      <c r="U2426" t="s">
        <v>39</v>
      </c>
      <c r="V2426" t="s">
        <v>969</v>
      </c>
      <c r="W2426">
        <v>5</v>
      </c>
      <c r="X2426" t="s">
        <v>41</v>
      </c>
      <c r="Y2426" t="s">
        <v>42</v>
      </c>
      <c r="Z2426">
        <v>3</v>
      </c>
    </row>
    <row r="2427" spans="1:26">
      <c r="A2427" t="s">
        <v>3637</v>
      </c>
      <c r="B2427" t="s">
        <v>2286</v>
      </c>
      <c r="C2427" t="s">
        <v>28</v>
      </c>
      <c r="D2427" t="s">
        <v>46</v>
      </c>
      <c r="E2427" s="1">
        <v>45480</v>
      </c>
      <c r="F2427" t="s">
        <v>47</v>
      </c>
      <c r="G2427" t="s">
        <v>199</v>
      </c>
      <c r="H2427" t="s">
        <v>59</v>
      </c>
      <c r="I2427">
        <v>11</v>
      </c>
      <c r="J2427" t="s">
        <v>98</v>
      </c>
      <c r="K2427">
        <v>1</v>
      </c>
      <c r="L2427" s="3">
        <v>9299</v>
      </c>
      <c r="M2427">
        <v>15</v>
      </c>
      <c r="N2427" s="3">
        <v>7900</v>
      </c>
      <c r="O2427" s="3">
        <v>7900</v>
      </c>
      <c r="P2427" t="s">
        <v>74</v>
      </c>
      <c r="Q2427" t="s">
        <v>51</v>
      </c>
      <c r="R2427" t="s">
        <v>36</v>
      </c>
      <c r="S2427" t="s">
        <v>297</v>
      </c>
      <c r="T2427" t="s">
        <v>298</v>
      </c>
      <c r="U2427" t="s">
        <v>61</v>
      </c>
      <c r="V2427" t="s">
        <v>969</v>
      </c>
      <c r="W2427">
        <v>4.9000000000000004</v>
      </c>
      <c r="X2427" t="s">
        <v>62</v>
      </c>
      <c r="Y2427" t="s">
        <v>55</v>
      </c>
      <c r="Z2427">
        <v>2</v>
      </c>
    </row>
    <row r="2428" spans="1:26">
      <c r="A2428" t="s">
        <v>3638</v>
      </c>
      <c r="B2428" t="s">
        <v>296</v>
      </c>
      <c r="C2428" t="s">
        <v>45</v>
      </c>
      <c r="D2428" t="s">
        <v>29</v>
      </c>
      <c r="E2428" s="1">
        <v>45481</v>
      </c>
      <c r="F2428" t="s">
        <v>96</v>
      </c>
      <c r="G2428" t="s">
        <v>155</v>
      </c>
      <c r="H2428" t="s">
        <v>111</v>
      </c>
      <c r="I2428">
        <v>6</v>
      </c>
      <c r="J2428" t="s">
        <v>73</v>
      </c>
      <c r="K2428">
        <v>1</v>
      </c>
      <c r="L2428" s="3">
        <v>8299</v>
      </c>
      <c r="M2428">
        <v>20</v>
      </c>
      <c r="N2428" s="3">
        <v>6640</v>
      </c>
      <c r="O2428" s="3">
        <v>6640</v>
      </c>
      <c r="P2428" t="s">
        <v>81</v>
      </c>
      <c r="Q2428" t="s">
        <v>35</v>
      </c>
      <c r="R2428" t="s">
        <v>36</v>
      </c>
      <c r="S2428" t="s">
        <v>354</v>
      </c>
      <c r="T2428" t="s">
        <v>434</v>
      </c>
      <c r="U2428" t="s">
        <v>124</v>
      </c>
      <c r="V2428" t="s">
        <v>315</v>
      </c>
      <c r="W2428">
        <v>3.4</v>
      </c>
      <c r="X2428" t="s">
        <v>41</v>
      </c>
      <c r="Y2428" t="s">
        <v>42</v>
      </c>
      <c r="Z2428">
        <v>6</v>
      </c>
    </row>
    <row r="2429" spans="1:26">
      <c r="A2429" t="s">
        <v>3639</v>
      </c>
      <c r="B2429" t="s">
        <v>406</v>
      </c>
      <c r="C2429" t="s">
        <v>45</v>
      </c>
      <c r="D2429" t="s">
        <v>103</v>
      </c>
      <c r="E2429" s="1">
        <v>45483</v>
      </c>
      <c r="F2429" t="s">
        <v>86</v>
      </c>
      <c r="G2429" t="s">
        <v>190</v>
      </c>
      <c r="H2429" t="s">
        <v>128</v>
      </c>
      <c r="I2429">
        <v>11</v>
      </c>
      <c r="J2429" t="s">
        <v>73</v>
      </c>
      <c r="K2429">
        <v>1</v>
      </c>
      <c r="L2429" s="3">
        <v>5699</v>
      </c>
      <c r="M2429">
        <v>25</v>
      </c>
      <c r="N2429" s="3">
        <v>4270</v>
      </c>
      <c r="O2429" s="3">
        <v>4270</v>
      </c>
      <c r="P2429" t="s">
        <v>34</v>
      </c>
      <c r="Q2429" t="s">
        <v>35</v>
      </c>
      <c r="R2429" t="s">
        <v>36</v>
      </c>
      <c r="S2429" t="s">
        <v>151</v>
      </c>
      <c r="T2429" t="s">
        <v>452</v>
      </c>
      <c r="U2429" t="s">
        <v>54</v>
      </c>
      <c r="V2429" t="s">
        <v>969</v>
      </c>
      <c r="W2429">
        <v>4.3</v>
      </c>
      <c r="X2429" t="s">
        <v>41</v>
      </c>
      <c r="Y2429" t="s">
        <v>42</v>
      </c>
      <c r="Z2429">
        <v>2</v>
      </c>
    </row>
    <row r="2430" spans="1:26">
      <c r="A2430" t="s">
        <v>3640</v>
      </c>
      <c r="B2430" t="s">
        <v>1376</v>
      </c>
      <c r="C2430" t="s">
        <v>28</v>
      </c>
      <c r="D2430" t="s">
        <v>103</v>
      </c>
      <c r="E2430" s="1">
        <v>45483</v>
      </c>
      <c r="F2430" t="s">
        <v>86</v>
      </c>
      <c r="G2430" t="s">
        <v>116</v>
      </c>
      <c r="H2430" t="s">
        <v>49</v>
      </c>
      <c r="I2430">
        <v>8</v>
      </c>
      <c r="J2430" t="s">
        <v>67</v>
      </c>
      <c r="K2430">
        <v>3</v>
      </c>
      <c r="L2430" s="3">
        <v>7699</v>
      </c>
      <c r="M2430">
        <v>15</v>
      </c>
      <c r="N2430" s="3">
        <v>6540</v>
      </c>
      <c r="O2430" s="3">
        <v>19620</v>
      </c>
      <c r="P2430" t="s">
        <v>74</v>
      </c>
      <c r="Q2430" t="s">
        <v>82</v>
      </c>
      <c r="R2430" t="s">
        <v>36</v>
      </c>
      <c r="S2430" t="s">
        <v>210</v>
      </c>
      <c r="T2430" t="s">
        <v>680</v>
      </c>
      <c r="U2430" t="s">
        <v>124</v>
      </c>
      <c r="V2430" t="s">
        <v>969</v>
      </c>
      <c r="W2430">
        <v>4.0999999999999996</v>
      </c>
      <c r="X2430" t="s">
        <v>41</v>
      </c>
      <c r="Y2430" t="s">
        <v>42</v>
      </c>
      <c r="Z2430">
        <v>1</v>
      </c>
    </row>
    <row r="2431" spans="1:26">
      <c r="A2431" t="s">
        <v>3641</v>
      </c>
      <c r="B2431" t="s">
        <v>3642</v>
      </c>
      <c r="C2431" t="s">
        <v>28</v>
      </c>
      <c r="D2431" t="s">
        <v>95</v>
      </c>
      <c r="E2431" s="1">
        <v>45484</v>
      </c>
      <c r="F2431" t="s">
        <v>79</v>
      </c>
      <c r="G2431" t="s">
        <v>480</v>
      </c>
      <c r="H2431" t="s">
        <v>111</v>
      </c>
      <c r="I2431">
        <v>7</v>
      </c>
      <c r="J2431" t="s">
        <v>98</v>
      </c>
      <c r="K2431">
        <v>1</v>
      </c>
      <c r="L2431" s="3">
        <v>5999</v>
      </c>
      <c r="M2431">
        <v>10</v>
      </c>
      <c r="N2431" s="3">
        <v>5400</v>
      </c>
      <c r="O2431" s="3">
        <v>5400</v>
      </c>
      <c r="P2431" t="s">
        <v>74</v>
      </c>
      <c r="Q2431" t="s">
        <v>35</v>
      </c>
      <c r="R2431" t="s">
        <v>36</v>
      </c>
      <c r="S2431" t="s">
        <v>418</v>
      </c>
      <c r="T2431" t="s">
        <v>924</v>
      </c>
      <c r="U2431" t="s">
        <v>124</v>
      </c>
      <c r="V2431" t="s">
        <v>40</v>
      </c>
      <c r="W2431">
        <v>2.6</v>
      </c>
      <c r="X2431" t="s">
        <v>41</v>
      </c>
      <c r="Y2431" t="s">
        <v>55</v>
      </c>
      <c r="Z2431">
        <v>2</v>
      </c>
    </row>
    <row r="2432" spans="1:26">
      <c r="A2432" t="s">
        <v>3643</v>
      </c>
      <c r="B2432" t="s">
        <v>2644</v>
      </c>
      <c r="C2432" t="s">
        <v>94</v>
      </c>
      <c r="D2432" t="s">
        <v>109</v>
      </c>
      <c r="E2432" s="1">
        <v>45485</v>
      </c>
      <c r="F2432" t="s">
        <v>30</v>
      </c>
      <c r="G2432" t="s">
        <v>347</v>
      </c>
      <c r="H2432" t="s">
        <v>49</v>
      </c>
      <c r="I2432">
        <v>7</v>
      </c>
      <c r="J2432" t="s">
        <v>67</v>
      </c>
      <c r="K2432">
        <v>1</v>
      </c>
      <c r="L2432" s="3">
        <v>9199</v>
      </c>
      <c r="M2432">
        <v>10</v>
      </c>
      <c r="N2432" s="3">
        <v>8280</v>
      </c>
      <c r="O2432" s="3">
        <v>8280</v>
      </c>
      <c r="P2432" t="s">
        <v>34</v>
      </c>
      <c r="Q2432" t="s">
        <v>35</v>
      </c>
      <c r="R2432" t="s">
        <v>36</v>
      </c>
      <c r="S2432" t="s">
        <v>243</v>
      </c>
      <c r="T2432" t="s">
        <v>276</v>
      </c>
      <c r="U2432" t="s">
        <v>124</v>
      </c>
      <c r="V2432" t="s">
        <v>315</v>
      </c>
      <c r="W2432">
        <v>3.2</v>
      </c>
      <c r="X2432" t="s">
        <v>41</v>
      </c>
      <c r="Y2432" t="s">
        <v>42</v>
      </c>
      <c r="Z2432">
        <v>6</v>
      </c>
    </row>
    <row r="2433" spans="1:26">
      <c r="A2433" t="s">
        <v>3644</v>
      </c>
      <c r="B2433" t="s">
        <v>945</v>
      </c>
      <c r="C2433" t="s">
        <v>45</v>
      </c>
      <c r="D2433" t="s">
        <v>103</v>
      </c>
      <c r="E2433" s="1">
        <v>45485</v>
      </c>
      <c r="F2433" t="s">
        <v>47</v>
      </c>
      <c r="G2433" t="s">
        <v>402</v>
      </c>
      <c r="H2433" t="s">
        <v>32</v>
      </c>
      <c r="I2433">
        <v>12</v>
      </c>
      <c r="J2433" t="s">
        <v>73</v>
      </c>
      <c r="K2433">
        <v>1</v>
      </c>
      <c r="L2433" s="3">
        <v>6799</v>
      </c>
      <c r="M2433">
        <v>20</v>
      </c>
      <c r="N2433" s="3">
        <v>5440</v>
      </c>
      <c r="O2433" s="3">
        <v>5440</v>
      </c>
      <c r="P2433" t="s">
        <v>74</v>
      </c>
      <c r="Q2433" t="s">
        <v>51</v>
      </c>
      <c r="R2433" t="s">
        <v>36</v>
      </c>
      <c r="S2433" t="s">
        <v>238</v>
      </c>
      <c r="T2433" t="s">
        <v>239</v>
      </c>
      <c r="U2433" t="s">
        <v>54</v>
      </c>
      <c r="V2433" t="s">
        <v>315</v>
      </c>
      <c r="W2433">
        <v>4</v>
      </c>
      <c r="X2433" t="s">
        <v>41</v>
      </c>
      <c r="Y2433" t="s">
        <v>42</v>
      </c>
      <c r="Z2433">
        <v>4</v>
      </c>
    </row>
    <row r="2434" spans="1:26">
      <c r="A2434" t="s">
        <v>3645</v>
      </c>
      <c r="B2434" t="s">
        <v>1056</v>
      </c>
      <c r="C2434" t="s">
        <v>45</v>
      </c>
      <c r="D2434" t="s">
        <v>29</v>
      </c>
      <c r="E2434" s="1">
        <v>45485</v>
      </c>
      <c r="F2434" t="s">
        <v>79</v>
      </c>
      <c r="G2434" t="s">
        <v>301</v>
      </c>
      <c r="H2434" t="s">
        <v>49</v>
      </c>
      <c r="I2434">
        <v>9</v>
      </c>
      <c r="J2434" t="s">
        <v>98</v>
      </c>
      <c r="K2434">
        <v>1</v>
      </c>
      <c r="L2434" s="3">
        <v>5099</v>
      </c>
      <c r="M2434">
        <v>20</v>
      </c>
      <c r="N2434" s="3">
        <v>4080</v>
      </c>
      <c r="O2434" s="3">
        <v>4080</v>
      </c>
      <c r="P2434" t="s">
        <v>74</v>
      </c>
      <c r="Q2434" t="s">
        <v>35</v>
      </c>
      <c r="R2434" t="s">
        <v>36</v>
      </c>
      <c r="S2434" t="s">
        <v>136</v>
      </c>
      <c r="T2434" t="s">
        <v>638</v>
      </c>
      <c r="U2434" t="s">
        <v>91</v>
      </c>
      <c r="V2434" t="s">
        <v>315</v>
      </c>
      <c r="W2434">
        <v>4.0999999999999996</v>
      </c>
      <c r="X2434" t="s">
        <v>106</v>
      </c>
      <c r="Y2434" t="s">
        <v>42</v>
      </c>
      <c r="Z2434">
        <v>4</v>
      </c>
    </row>
    <row r="2435" spans="1:26">
      <c r="A2435" t="s">
        <v>3646</v>
      </c>
      <c r="B2435" t="s">
        <v>234</v>
      </c>
      <c r="C2435" t="s">
        <v>45</v>
      </c>
      <c r="D2435" t="s">
        <v>46</v>
      </c>
      <c r="E2435" s="1">
        <v>45486</v>
      </c>
      <c r="F2435" t="s">
        <v>30</v>
      </c>
      <c r="G2435" t="s">
        <v>31</v>
      </c>
      <c r="H2435" t="s">
        <v>32</v>
      </c>
      <c r="I2435">
        <v>7</v>
      </c>
      <c r="J2435" t="s">
        <v>88</v>
      </c>
      <c r="K2435">
        <v>1</v>
      </c>
      <c r="L2435" s="3">
        <v>4899</v>
      </c>
      <c r="M2435">
        <v>25</v>
      </c>
      <c r="N2435" s="3">
        <v>3670</v>
      </c>
      <c r="O2435" s="3">
        <v>3670</v>
      </c>
      <c r="P2435" t="s">
        <v>74</v>
      </c>
      <c r="Q2435" t="s">
        <v>51</v>
      </c>
      <c r="R2435" t="s">
        <v>36</v>
      </c>
      <c r="S2435" t="s">
        <v>68</v>
      </c>
      <c r="T2435" t="s">
        <v>69</v>
      </c>
      <c r="U2435" t="s">
        <v>61</v>
      </c>
      <c r="V2435" t="s">
        <v>969</v>
      </c>
      <c r="W2435">
        <v>5</v>
      </c>
      <c r="X2435" t="s">
        <v>41</v>
      </c>
      <c r="Y2435" t="s">
        <v>147</v>
      </c>
      <c r="Z2435">
        <v>1</v>
      </c>
    </row>
    <row r="2436" spans="1:26">
      <c r="A2436" t="s">
        <v>3647</v>
      </c>
      <c r="B2436" t="s">
        <v>1113</v>
      </c>
      <c r="C2436" t="s">
        <v>94</v>
      </c>
      <c r="D2436" t="s">
        <v>29</v>
      </c>
      <c r="E2436" s="1">
        <v>45488</v>
      </c>
      <c r="F2436" t="s">
        <v>79</v>
      </c>
      <c r="G2436" t="s">
        <v>517</v>
      </c>
      <c r="H2436" t="s">
        <v>59</v>
      </c>
      <c r="I2436">
        <v>7</v>
      </c>
      <c r="J2436" t="s">
        <v>98</v>
      </c>
      <c r="K2436">
        <v>1</v>
      </c>
      <c r="L2436" s="3">
        <v>6399</v>
      </c>
      <c r="M2436">
        <v>20</v>
      </c>
      <c r="N2436" s="3">
        <v>5120</v>
      </c>
      <c r="O2436" s="3">
        <v>5120</v>
      </c>
      <c r="P2436" t="s">
        <v>74</v>
      </c>
      <c r="Q2436" t="s">
        <v>51</v>
      </c>
      <c r="R2436" t="s">
        <v>36</v>
      </c>
      <c r="S2436" t="s">
        <v>210</v>
      </c>
      <c r="T2436" t="s">
        <v>211</v>
      </c>
      <c r="U2436" t="s">
        <v>61</v>
      </c>
      <c r="V2436" t="s">
        <v>315</v>
      </c>
      <c r="W2436">
        <v>2.8</v>
      </c>
      <c r="X2436" t="s">
        <v>62</v>
      </c>
      <c r="Y2436" t="s">
        <v>42</v>
      </c>
      <c r="Z2436">
        <v>4</v>
      </c>
    </row>
    <row r="2437" spans="1:26">
      <c r="A2437" t="s">
        <v>3648</v>
      </c>
      <c r="B2437" t="s">
        <v>1199</v>
      </c>
      <c r="C2437" t="s">
        <v>28</v>
      </c>
      <c r="D2437" t="s">
        <v>46</v>
      </c>
      <c r="E2437" s="1">
        <v>45488</v>
      </c>
      <c r="F2437" t="s">
        <v>96</v>
      </c>
      <c r="G2437" t="s">
        <v>228</v>
      </c>
      <c r="H2437" t="s">
        <v>59</v>
      </c>
      <c r="I2437">
        <v>8</v>
      </c>
      <c r="J2437" t="s">
        <v>88</v>
      </c>
      <c r="K2437">
        <v>1</v>
      </c>
      <c r="L2437" s="3">
        <v>8399</v>
      </c>
      <c r="M2437">
        <v>15</v>
      </c>
      <c r="N2437" s="3">
        <v>7140</v>
      </c>
      <c r="O2437" s="3">
        <v>7140</v>
      </c>
      <c r="P2437" t="s">
        <v>74</v>
      </c>
      <c r="Q2437" t="s">
        <v>51</v>
      </c>
      <c r="R2437" t="s">
        <v>36</v>
      </c>
      <c r="S2437" t="s">
        <v>89</v>
      </c>
      <c r="T2437" t="s">
        <v>515</v>
      </c>
      <c r="U2437" t="s">
        <v>39</v>
      </c>
      <c r="V2437" t="s">
        <v>315</v>
      </c>
      <c r="W2437">
        <v>4.5</v>
      </c>
      <c r="X2437" t="s">
        <v>41</v>
      </c>
      <c r="Y2437" t="s">
        <v>55</v>
      </c>
      <c r="Z2437">
        <v>3</v>
      </c>
    </row>
    <row r="2438" spans="1:26">
      <c r="A2438" t="s">
        <v>3649</v>
      </c>
      <c r="B2438" t="s">
        <v>644</v>
      </c>
      <c r="C2438" t="s">
        <v>45</v>
      </c>
      <c r="D2438" t="s">
        <v>46</v>
      </c>
      <c r="E2438" s="1">
        <v>45489</v>
      </c>
      <c r="F2438" t="s">
        <v>86</v>
      </c>
      <c r="G2438" t="s">
        <v>116</v>
      </c>
      <c r="H2438" t="s">
        <v>49</v>
      </c>
      <c r="I2438">
        <v>11</v>
      </c>
      <c r="J2438" t="s">
        <v>73</v>
      </c>
      <c r="K2438">
        <v>1</v>
      </c>
      <c r="L2438" s="3">
        <v>6399</v>
      </c>
      <c r="M2438">
        <v>0</v>
      </c>
      <c r="N2438" s="3">
        <v>6400</v>
      </c>
      <c r="O2438" s="3">
        <v>6400</v>
      </c>
      <c r="P2438" t="s">
        <v>74</v>
      </c>
      <c r="Q2438" t="s">
        <v>82</v>
      </c>
      <c r="R2438" t="s">
        <v>36</v>
      </c>
      <c r="S2438" t="s">
        <v>129</v>
      </c>
      <c r="T2438" t="s">
        <v>282</v>
      </c>
      <c r="U2438" t="s">
        <v>39</v>
      </c>
      <c r="V2438" t="s">
        <v>969</v>
      </c>
      <c r="W2438">
        <v>5</v>
      </c>
      <c r="X2438" t="s">
        <v>41</v>
      </c>
      <c r="Y2438" t="s">
        <v>42</v>
      </c>
      <c r="Z2438">
        <v>4</v>
      </c>
    </row>
    <row r="2439" spans="1:26">
      <c r="A2439" t="s">
        <v>3650</v>
      </c>
      <c r="B2439" t="s">
        <v>1689</v>
      </c>
      <c r="C2439" t="s">
        <v>45</v>
      </c>
      <c r="D2439" t="s">
        <v>46</v>
      </c>
      <c r="E2439" s="1">
        <v>45492</v>
      </c>
      <c r="F2439" t="s">
        <v>47</v>
      </c>
      <c r="G2439" t="s">
        <v>218</v>
      </c>
      <c r="H2439" t="s">
        <v>59</v>
      </c>
      <c r="I2439">
        <v>7</v>
      </c>
      <c r="J2439" t="s">
        <v>67</v>
      </c>
      <c r="K2439">
        <v>2</v>
      </c>
      <c r="L2439" s="3">
        <v>5099</v>
      </c>
      <c r="M2439">
        <v>10</v>
      </c>
      <c r="N2439" s="3">
        <v>4590</v>
      </c>
      <c r="O2439" s="3">
        <v>9180</v>
      </c>
      <c r="P2439" t="s">
        <v>74</v>
      </c>
      <c r="Q2439" t="s">
        <v>82</v>
      </c>
      <c r="R2439" t="s">
        <v>36</v>
      </c>
      <c r="S2439" t="s">
        <v>117</v>
      </c>
      <c r="T2439" t="s">
        <v>544</v>
      </c>
      <c r="U2439" t="s">
        <v>54</v>
      </c>
      <c r="V2439" t="s">
        <v>969</v>
      </c>
      <c r="W2439">
        <v>3.8</v>
      </c>
      <c r="X2439" t="s">
        <v>41</v>
      </c>
      <c r="Y2439" t="s">
        <v>42</v>
      </c>
      <c r="Z2439">
        <v>2</v>
      </c>
    </row>
    <row r="2440" spans="1:26">
      <c r="A2440" t="s">
        <v>3651</v>
      </c>
      <c r="B2440" t="s">
        <v>1844</v>
      </c>
      <c r="C2440" t="s">
        <v>28</v>
      </c>
      <c r="D2440" t="s">
        <v>46</v>
      </c>
      <c r="E2440" s="1">
        <v>45492</v>
      </c>
      <c r="F2440" t="s">
        <v>96</v>
      </c>
      <c r="G2440" t="s">
        <v>228</v>
      </c>
      <c r="H2440" t="s">
        <v>59</v>
      </c>
      <c r="I2440">
        <v>9</v>
      </c>
      <c r="J2440" t="s">
        <v>33</v>
      </c>
      <c r="K2440">
        <v>2</v>
      </c>
      <c r="L2440" s="3">
        <v>9599</v>
      </c>
      <c r="M2440">
        <v>15</v>
      </c>
      <c r="N2440" s="3">
        <v>8160</v>
      </c>
      <c r="O2440" s="3">
        <v>16320</v>
      </c>
      <c r="P2440" t="s">
        <v>34</v>
      </c>
      <c r="Q2440" t="s">
        <v>51</v>
      </c>
      <c r="R2440" t="s">
        <v>36</v>
      </c>
      <c r="S2440" t="s">
        <v>112</v>
      </c>
      <c r="T2440" t="s">
        <v>113</v>
      </c>
      <c r="U2440" t="s">
        <v>39</v>
      </c>
      <c r="V2440" t="s">
        <v>969</v>
      </c>
      <c r="W2440">
        <v>5</v>
      </c>
      <c r="X2440" t="s">
        <v>106</v>
      </c>
      <c r="Y2440" t="s">
        <v>55</v>
      </c>
      <c r="Z2440">
        <v>1</v>
      </c>
    </row>
    <row r="2441" spans="1:26">
      <c r="A2441" t="s">
        <v>3652</v>
      </c>
      <c r="B2441" t="s">
        <v>284</v>
      </c>
      <c r="C2441" t="s">
        <v>28</v>
      </c>
      <c r="D2441" t="s">
        <v>103</v>
      </c>
      <c r="E2441" s="1">
        <v>45493</v>
      </c>
      <c r="F2441" t="s">
        <v>96</v>
      </c>
      <c r="G2441" t="s">
        <v>228</v>
      </c>
      <c r="H2441" t="s">
        <v>59</v>
      </c>
      <c r="I2441">
        <v>9</v>
      </c>
      <c r="J2441" t="s">
        <v>98</v>
      </c>
      <c r="K2441">
        <v>1</v>
      </c>
      <c r="L2441" s="3">
        <v>8199</v>
      </c>
      <c r="M2441">
        <v>10</v>
      </c>
      <c r="N2441" s="3">
        <v>7380</v>
      </c>
      <c r="O2441" s="3">
        <v>7380</v>
      </c>
      <c r="P2441" t="s">
        <v>74</v>
      </c>
      <c r="Q2441" t="s">
        <v>82</v>
      </c>
      <c r="R2441" t="s">
        <v>36</v>
      </c>
      <c r="S2441" t="s">
        <v>129</v>
      </c>
      <c r="T2441" t="s">
        <v>130</v>
      </c>
      <c r="U2441" t="s">
        <v>61</v>
      </c>
      <c r="V2441" t="s">
        <v>969</v>
      </c>
      <c r="W2441">
        <v>4</v>
      </c>
      <c r="X2441" t="s">
        <v>106</v>
      </c>
      <c r="Y2441" t="s">
        <v>42</v>
      </c>
      <c r="Z2441">
        <v>5</v>
      </c>
    </row>
    <row r="2442" spans="1:26">
      <c r="A2442" t="s">
        <v>3653</v>
      </c>
      <c r="B2442" t="s">
        <v>2525</v>
      </c>
      <c r="C2442" t="s">
        <v>28</v>
      </c>
      <c r="D2442" t="s">
        <v>29</v>
      </c>
      <c r="E2442" s="1">
        <v>45495</v>
      </c>
      <c r="F2442" t="s">
        <v>65</v>
      </c>
      <c r="G2442" t="s">
        <v>279</v>
      </c>
      <c r="H2442" t="s">
        <v>111</v>
      </c>
      <c r="I2442">
        <v>12</v>
      </c>
      <c r="J2442" t="s">
        <v>73</v>
      </c>
      <c r="K2442">
        <v>2</v>
      </c>
      <c r="L2442" s="3">
        <v>7899</v>
      </c>
      <c r="M2442">
        <v>25</v>
      </c>
      <c r="N2442" s="3">
        <v>5920</v>
      </c>
      <c r="O2442" s="3">
        <v>11840</v>
      </c>
      <c r="P2442" t="s">
        <v>50</v>
      </c>
      <c r="Q2442" t="s">
        <v>82</v>
      </c>
      <c r="R2442" t="s">
        <v>36</v>
      </c>
      <c r="S2442" t="s">
        <v>104</v>
      </c>
      <c r="T2442" t="s">
        <v>1048</v>
      </c>
      <c r="U2442" t="s">
        <v>61</v>
      </c>
      <c r="V2442" t="s">
        <v>315</v>
      </c>
      <c r="W2442">
        <v>4.0999999999999996</v>
      </c>
      <c r="X2442" t="s">
        <v>41</v>
      </c>
      <c r="Y2442" t="s">
        <v>42</v>
      </c>
      <c r="Z2442">
        <v>1</v>
      </c>
    </row>
    <row r="2443" spans="1:26">
      <c r="A2443" t="s">
        <v>3654</v>
      </c>
      <c r="B2443" t="s">
        <v>2915</v>
      </c>
      <c r="C2443" t="s">
        <v>45</v>
      </c>
      <c r="D2443" t="s">
        <v>29</v>
      </c>
      <c r="E2443" s="1">
        <v>45496</v>
      </c>
      <c r="F2443" t="s">
        <v>30</v>
      </c>
      <c r="G2443" t="s">
        <v>214</v>
      </c>
      <c r="H2443" t="s">
        <v>128</v>
      </c>
      <c r="I2443">
        <v>8</v>
      </c>
      <c r="J2443" t="s">
        <v>73</v>
      </c>
      <c r="K2443">
        <v>1</v>
      </c>
      <c r="L2443" s="3">
        <v>6199</v>
      </c>
      <c r="M2443">
        <v>35</v>
      </c>
      <c r="N2443" s="3">
        <v>4030</v>
      </c>
      <c r="O2443" s="3">
        <v>4030</v>
      </c>
      <c r="P2443" t="s">
        <v>74</v>
      </c>
      <c r="Q2443" t="s">
        <v>82</v>
      </c>
      <c r="R2443" t="s">
        <v>36</v>
      </c>
      <c r="S2443" t="s">
        <v>52</v>
      </c>
      <c r="T2443" t="s">
        <v>53</v>
      </c>
      <c r="U2443" t="s">
        <v>39</v>
      </c>
      <c r="V2443" t="s">
        <v>315</v>
      </c>
      <c r="W2443">
        <v>2.8</v>
      </c>
      <c r="X2443" t="s">
        <v>41</v>
      </c>
      <c r="Y2443" t="s">
        <v>147</v>
      </c>
      <c r="Z2443">
        <v>1</v>
      </c>
    </row>
    <row r="2444" spans="1:26">
      <c r="A2444" t="s">
        <v>3655</v>
      </c>
      <c r="B2444" t="s">
        <v>1495</v>
      </c>
      <c r="C2444" t="s">
        <v>94</v>
      </c>
      <c r="D2444" t="s">
        <v>46</v>
      </c>
      <c r="E2444" s="1">
        <v>45496</v>
      </c>
      <c r="F2444" t="s">
        <v>79</v>
      </c>
      <c r="G2444" t="s">
        <v>517</v>
      </c>
      <c r="H2444" t="s">
        <v>59</v>
      </c>
      <c r="I2444">
        <v>8</v>
      </c>
      <c r="J2444" t="s">
        <v>73</v>
      </c>
      <c r="K2444">
        <v>1</v>
      </c>
      <c r="L2444" s="3">
        <v>3799</v>
      </c>
      <c r="M2444">
        <v>10</v>
      </c>
      <c r="N2444" s="3">
        <v>3420</v>
      </c>
      <c r="O2444" s="3">
        <v>3420</v>
      </c>
      <c r="P2444" t="s">
        <v>74</v>
      </c>
      <c r="Q2444" t="s">
        <v>35</v>
      </c>
      <c r="R2444" t="s">
        <v>36</v>
      </c>
      <c r="S2444" t="s">
        <v>195</v>
      </c>
      <c r="T2444" t="s">
        <v>665</v>
      </c>
      <c r="U2444" t="s">
        <v>39</v>
      </c>
      <c r="V2444" t="s">
        <v>315</v>
      </c>
      <c r="W2444">
        <v>3.8</v>
      </c>
      <c r="X2444" t="s">
        <v>41</v>
      </c>
      <c r="Y2444" t="s">
        <v>55</v>
      </c>
      <c r="Z2444">
        <v>2</v>
      </c>
    </row>
    <row r="2445" spans="1:26">
      <c r="A2445" t="s">
        <v>3656</v>
      </c>
      <c r="B2445" t="s">
        <v>2559</v>
      </c>
      <c r="C2445" t="s">
        <v>28</v>
      </c>
      <c r="D2445" t="s">
        <v>103</v>
      </c>
      <c r="E2445" s="1">
        <v>45497</v>
      </c>
      <c r="F2445" t="s">
        <v>30</v>
      </c>
      <c r="G2445" t="s">
        <v>31</v>
      </c>
      <c r="H2445" t="s">
        <v>32</v>
      </c>
      <c r="I2445">
        <v>7</v>
      </c>
      <c r="J2445" t="s">
        <v>150</v>
      </c>
      <c r="K2445">
        <v>2</v>
      </c>
      <c r="L2445" s="3">
        <v>9099</v>
      </c>
      <c r="M2445">
        <v>20</v>
      </c>
      <c r="N2445" s="3">
        <v>7280</v>
      </c>
      <c r="O2445" s="3">
        <v>14560</v>
      </c>
      <c r="P2445" t="s">
        <v>74</v>
      </c>
      <c r="Q2445" t="s">
        <v>51</v>
      </c>
      <c r="R2445" t="s">
        <v>36</v>
      </c>
      <c r="S2445" t="s">
        <v>156</v>
      </c>
      <c r="T2445" t="s">
        <v>324</v>
      </c>
      <c r="U2445" t="s">
        <v>39</v>
      </c>
      <c r="V2445" t="s">
        <v>315</v>
      </c>
      <c r="W2445">
        <v>4.3</v>
      </c>
      <c r="X2445" t="s">
        <v>41</v>
      </c>
      <c r="Y2445" t="s">
        <v>42</v>
      </c>
      <c r="Z2445">
        <v>5</v>
      </c>
    </row>
    <row r="2446" spans="1:26">
      <c r="A2446" t="s">
        <v>3657</v>
      </c>
      <c r="B2446" t="s">
        <v>1363</v>
      </c>
      <c r="C2446" t="s">
        <v>28</v>
      </c>
      <c r="D2446" t="s">
        <v>109</v>
      </c>
      <c r="E2446" s="1">
        <v>45498</v>
      </c>
      <c r="F2446" t="s">
        <v>47</v>
      </c>
      <c r="G2446" t="s">
        <v>121</v>
      </c>
      <c r="H2446" t="s">
        <v>111</v>
      </c>
      <c r="I2446">
        <v>8</v>
      </c>
      <c r="J2446" t="s">
        <v>33</v>
      </c>
      <c r="K2446">
        <v>1</v>
      </c>
      <c r="L2446" s="3">
        <v>7499</v>
      </c>
      <c r="M2446">
        <v>5</v>
      </c>
      <c r="N2446" s="3">
        <v>7120</v>
      </c>
      <c r="O2446" s="3">
        <v>7120</v>
      </c>
      <c r="P2446" t="s">
        <v>34</v>
      </c>
      <c r="Q2446" t="s">
        <v>51</v>
      </c>
      <c r="R2446" t="s">
        <v>36</v>
      </c>
      <c r="S2446" t="s">
        <v>210</v>
      </c>
      <c r="T2446" t="s">
        <v>412</v>
      </c>
      <c r="U2446" t="s">
        <v>54</v>
      </c>
      <c r="V2446" t="s">
        <v>315</v>
      </c>
      <c r="W2446">
        <v>4.9000000000000004</v>
      </c>
      <c r="X2446" t="s">
        <v>41</v>
      </c>
      <c r="Y2446" t="s">
        <v>42</v>
      </c>
      <c r="Z2446">
        <v>1</v>
      </c>
    </row>
    <row r="2447" spans="1:26">
      <c r="A2447" t="s">
        <v>3658</v>
      </c>
      <c r="B2447" t="s">
        <v>996</v>
      </c>
      <c r="C2447" t="s">
        <v>45</v>
      </c>
      <c r="D2447" t="s">
        <v>29</v>
      </c>
      <c r="E2447" s="1">
        <v>45498</v>
      </c>
      <c r="F2447" t="s">
        <v>79</v>
      </c>
      <c r="G2447" t="s">
        <v>80</v>
      </c>
      <c r="H2447" t="s">
        <v>59</v>
      </c>
      <c r="I2447">
        <v>7</v>
      </c>
      <c r="J2447" t="s">
        <v>98</v>
      </c>
      <c r="K2447">
        <v>1</v>
      </c>
      <c r="L2447" s="3">
        <v>8999</v>
      </c>
      <c r="M2447">
        <v>15</v>
      </c>
      <c r="N2447" s="3">
        <v>7650</v>
      </c>
      <c r="O2447" s="3">
        <v>7650</v>
      </c>
      <c r="P2447" t="s">
        <v>74</v>
      </c>
      <c r="Q2447" t="s">
        <v>51</v>
      </c>
      <c r="R2447" t="s">
        <v>36</v>
      </c>
      <c r="S2447" t="s">
        <v>117</v>
      </c>
      <c r="T2447" t="s">
        <v>544</v>
      </c>
      <c r="U2447" t="s">
        <v>54</v>
      </c>
      <c r="V2447" t="s">
        <v>315</v>
      </c>
      <c r="W2447">
        <v>5</v>
      </c>
      <c r="X2447" t="s">
        <v>41</v>
      </c>
      <c r="Y2447" t="s">
        <v>42</v>
      </c>
      <c r="Z2447">
        <v>4</v>
      </c>
    </row>
    <row r="2448" spans="1:26">
      <c r="A2448" t="s">
        <v>3659</v>
      </c>
      <c r="B2448" t="s">
        <v>1816</v>
      </c>
      <c r="C2448" t="s">
        <v>45</v>
      </c>
      <c r="D2448" t="s">
        <v>29</v>
      </c>
      <c r="E2448" s="1">
        <v>45499</v>
      </c>
      <c r="F2448" t="s">
        <v>79</v>
      </c>
      <c r="G2448" t="s">
        <v>480</v>
      </c>
      <c r="H2448" t="s">
        <v>111</v>
      </c>
      <c r="I2448">
        <v>7</v>
      </c>
      <c r="J2448" t="s">
        <v>73</v>
      </c>
      <c r="K2448">
        <v>1</v>
      </c>
      <c r="L2448" s="3">
        <v>3799</v>
      </c>
      <c r="M2448">
        <v>20</v>
      </c>
      <c r="N2448" s="3">
        <v>3040</v>
      </c>
      <c r="O2448" s="3">
        <v>3040</v>
      </c>
      <c r="P2448" t="s">
        <v>81</v>
      </c>
      <c r="Q2448" t="s">
        <v>35</v>
      </c>
      <c r="R2448" t="s">
        <v>36</v>
      </c>
      <c r="S2448" t="s">
        <v>200</v>
      </c>
      <c r="T2448" t="s">
        <v>204</v>
      </c>
      <c r="U2448" t="s">
        <v>91</v>
      </c>
      <c r="V2448" t="s">
        <v>315</v>
      </c>
      <c r="W2448">
        <v>3.3</v>
      </c>
      <c r="X2448" t="s">
        <v>41</v>
      </c>
      <c r="Y2448" t="s">
        <v>42</v>
      </c>
      <c r="Z2448">
        <v>4</v>
      </c>
    </row>
    <row r="2449" spans="1:26">
      <c r="A2449" t="s">
        <v>3660</v>
      </c>
      <c r="B2449" t="s">
        <v>2348</v>
      </c>
      <c r="C2449" t="s">
        <v>28</v>
      </c>
      <c r="D2449" t="s">
        <v>109</v>
      </c>
      <c r="E2449" s="1">
        <v>45500</v>
      </c>
      <c r="F2449" t="s">
        <v>30</v>
      </c>
      <c r="G2449" t="s">
        <v>214</v>
      </c>
      <c r="H2449" t="s">
        <v>128</v>
      </c>
      <c r="I2449">
        <v>12</v>
      </c>
      <c r="J2449" t="s">
        <v>150</v>
      </c>
      <c r="K2449">
        <v>4</v>
      </c>
      <c r="L2449" s="3">
        <v>8799</v>
      </c>
      <c r="M2449">
        <v>25</v>
      </c>
      <c r="N2449" s="3">
        <v>6600</v>
      </c>
      <c r="O2449" s="3">
        <v>26400</v>
      </c>
      <c r="P2449" t="s">
        <v>34</v>
      </c>
      <c r="Q2449" t="s">
        <v>35</v>
      </c>
      <c r="R2449" t="s">
        <v>36</v>
      </c>
      <c r="S2449" t="s">
        <v>112</v>
      </c>
      <c r="T2449" t="s">
        <v>265</v>
      </c>
      <c r="U2449" t="s">
        <v>54</v>
      </c>
      <c r="V2449" t="s">
        <v>315</v>
      </c>
      <c r="W2449">
        <v>4.2</v>
      </c>
      <c r="X2449" t="s">
        <v>41</v>
      </c>
      <c r="Y2449" t="s">
        <v>42</v>
      </c>
      <c r="Z2449">
        <v>6</v>
      </c>
    </row>
    <row r="2450" spans="1:26">
      <c r="A2450" t="s">
        <v>3661</v>
      </c>
      <c r="B2450" t="s">
        <v>2309</v>
      </c>
      <c r="C2450" t="s">
        <v>45</v>
      </c>
      <c r="D2450" t="s">
        <v>95</v>
      </c>
      <c r="E2450" s="1">
        <v>45501</v>
      </c>
      <c r="F2450" t="s">
        <v>65</v>
      </c>
      <c r="G2450" t="s">
        <v>256</v>
      </c>
      <c r="H2450" t="s">
        <v>32</v>
      </c>
      <c r="I2450">
        <v>8</v>
      </c>
      <c r="J2450" t="s">
        <v>150</v>
      </c>
      <c r="K2450">
        <v>3</v>
      </c>
      <c r="L2450" s="3">
        <v>8099</v>
      </c>
      <c r="M2450">
        <v>15</v>
      </c>
      <c r="N2450" s="3">
        <v>6880</v>
      </c>
      <c r="O2450" s="3">
        <v>20640</v>
      </c>
      <c r="P2450" t="s">
        <v>74</v>
      </c>
      <c r="Q2450" t="s">
        <v>51</v>
      </c>
      <c r="R2450" t="s">
        <v>36</v>
      </c>
      <c r="S2450" t="s">
        <v>210</v>
      </c>
      <c r="T2450" t="s">
        <v>412</v>
      </c>
      <c r="U2450" t="s">
        <v>124</v>
      </c>
      <c r="V2450" t="s">
        <v>315</v>
      </c>
      <c r="W2450">
        <v>4.4000000000000004</v>
      </c>
      <c r="X2450" t="s">
        <v>106</v>
      </c>
      <c r="Y2450" t="s">
        <v>42</v>
      </c>
      <c r="Z2450">
        <v>7</v>
      </c>
    </row>
    <row r="2451" spans="1:26">
      <c r="A2451" t="s">
        <v>3662</v>
      </c>
      <c r="B2451" t="s">
        <v>1152</v>
      </c>
      <c r="C2451" t="s">
        <v>28</v>
      </c>
      <c r="D2451" t="s">
        <v>46</v>
      </c>
      <c r="E2451" s="1">
        <v>45506</v>
      </c>
      <c r="F2451" t="s">
        <v>65</v>
      </c>
      <c r="G2451" t="s">
        <v>256</v>
      </c>
      <c r="H2451" t="s">
        <v>32</v>
      </c>
      <c r="I2451">
        <v>6</v>
      </c>
      <c r="J2451" t="s">
        <v>88</v>
      </c>
      <c r="K2451">
        <v>1</v>
      </c>
      <c r="L2451" s="3">
        <v>5699</v>
      </c>
      <c r="M2451">
        <v>10</v>
      </c>
      <c r="N2451" s="3">
        <v>5130</v>
      </c>
      <c r="O2451" s="3">
        <v>5130</v>
      </c>
      <c r="P2451" t="s">
        <v>74</v>
      </c>
      <c r="Q2451" t="s">
        <v>35</v>
      </c>
      <c r="R2451" t="s">
        <v>36</v>
      </c>
      <c r="S2451" t="s">
        <v>141</v>
      </c>
      <c r="T2451" t="s">
        <v>142</v>
      </c>
      <c r="U2451" t="s">
        <v>54</v>
      </c>
      <c r="V2451" t="s">
        <v>969</v>
      </c>
      <c r="W2451">
        <v>4.3</v>
      </c>
      <c r="X2451" t="s">
        <v>41</v>
      </c>
      <c r="Y2451" t="s">
        <v>42</v>
      </c>
      <c r="Z2451">
        <v>6</v>
      </c>
    </row>
    <row r="2452" spans="1:26">
      <c r="A2452" t="s">
        <v>3663</v>
      </c>
      <c r="B2452" t="s">
        <v>392</v>
      </c>
      <c r="C2452" t="s">
        <v>28</v>
      </c>
      <c r="D2452" t="s">
        <v>46</v>
      </c>
      <c r="E2452" s="1">
        <v>45506</v>
      </c>
      <c r="F2452" t="s">
        <v>30</v>
      </c>
      <c r="G2452" t="s">
        <v>110</v>
      </c>
      <c r="H2452" t="s">
        <v>111</v>
      </c>
      <c r="I2452">
        <v>11</v>
      </c>
      <c r="J2452" t="s">
        <v>98</v>
      </c>
      <c r="K2452">
        <v>1</v>
      </c>
      <c r="L2452" s="3">
        <v>4799</v>
      </c>
      <c r="M2452">
        <v>10</v>
      </c>
      <c r="N2452" s="3">
        <v>4320</v>
      </c>
      <c r="O2452" s="3">
        <v>4320</v>
      </c>
      <c r="P2452" t="s">
        <v>74</v>
      </c>
      <c r="Q2452" t="s">
        <v>51</v>
      </c>
      <c r="R2452" t="s">
        <v>36</v>
      </c>
      <c r="S2452" t="s">
        <v>104</v>
      </c>
      <c r="T2452" t="s">
        <v>179</v>
      </c>
      <c r="U2452" t="s">
        <v>91</v>
      </c>
      <c r="V2452" t="s">
        <v>969</v>
      </c>
      <c r="W2452">
        <v>4.9000000000000004</v>
      </c>
      <c r="X2452" t="s">
        <v>41</v>
      </c>
      <c r="Y2452" t="s">
        <v>55</v>
      </c>
      <c r="Z2452">
        <v>3</v>
      </c>
    </row>
    <row r="2453" spans="1:26">
      <c r="A2453" t="s">
        <v>3664</v>
      </c>
      <c r="B2453" t="s">
        <v>3665</v>
      </c>
      <c r="C2453" t="s">
        <v>28</v>
      </c>
      <c r="D2453" t="s">
        <v>109</v>
      </c>
      <c r="E2453" s="1">
        <v>45507</v>
      </c>
      <c r="F2453" t="s">
        <v>96</v>
      </c>
      <c r="G2453" t="s">
        <v>155</v>
      </c>
      <c r="H2453" t="s">
        <v>111</v>
      </c>
      <c r="I2453">
        <v>9</v>
      </c>
      <c r="J2453" t="s">
        <v>98</v>
      </c>
      <c r="K2453">
        <v>3</v>
      </c>
      <c r="L2453" s="3">
        <v>5599</v>
      </c>
      <c r="M2453">
        <v>10</v>
      </c>
      <c r="N2453" s="3">
        <v>5040</v>
      </c>
      <c r="O2453" s="3">
        <v>15120</v>
      </c>
      <c r="P2453" t="s">
        <v>81</v>
      </c>
      <c r="Q2453" t="s">
        <v>51</v>
      </c>
      <c r="R2453" t="s">
        <v>36</v>
      </c>
      <c r="S2453" t="s">
        <v>195</v>
      </c>
      <c r="T2453" t="s">
        <v>196</v>
      </c>
      <c r="U2453" t="s">
        <v>54</v>
      </c>
      <c r="V2453" t="s">
        <v>40</v>
      </c>
      <c r="W2453">
        <v>3.8</v>
      </c>
      <c r="X2453" t="s">
        <v>41</v>
      </c>
      <c r="Y2453" t="s">
        <v>55</v>
      </c>
      <c r="Z2453">
        <v>3</v>
      </c>
    </row>
    <row r="2454" spans="1:26">
      <c r="A2454" t="s">
        <v>3666</v>
      </c>
      <c r="B2454" t="s">
        <v>1264</v>
      </c>
      <c r="C2454" t="s">
        <v>28</v>
      </c>
      <c r="D2454" t="s">
        <v>46</v>
      </c>
      <c r="E2454" s="1">
        <v>45507</v>
      </c>
      <c r="F2454" t="s">
        <v>30</v>
      </c>
      <c r="G2454" t="s">
        <v>31</v>
      </c>
      <c r="H2454" t="s">
        <v>32</v>
      </c>
      <c r="I2454">
        <v>12</v>
      </c>
      <c r="J2454" t="s">
        <v>150</v>
      </c>
      <c r="K2454">
        <v>1</v>
      </c>
      <c r="L2454" s="3">
        <v>9299</v>
      </c>
      <c r="M2454">
        <v>0</v>
      </c>
      <c r="N2454" s="3">
        <v>9300</v>
      </c>
      <c r="O2454" s="3">
        <v>9300</v>
      </c>
      <c r="P2454" t="s">
        <v>81</v>
      </c>
      <c r="Q2454" t="s">
        <v>51</v>
      </c>
      <c r="R2454" t="s">
        <v>36</v>
      </c>
      <c r="S2454" t="s">
        <v>186</v>
      </c>
      <c r="T2454" t="s">
        <v>341</v>
      </c>
      <c r="U2454" t="s">
        <v>54</v>
      </c>
      <c r="V2454" t="s">
        <v>315</v>
      </c>
      <c r="W2454">
        <v>4.4000000000000004</v>
      </c>
      <c r="X2454" t="s">
        <v>41</v>
      </c>
      <c r="Y2454" t="s">
        <v>42</v>
      </c>
      <c r="Z2454">
        <v>4</v>
      </c>
    </row>
    <row r="2455" spans="1:26">
      <c r="A2455" t="s">
        <v>3667</v>
      </c>
      <c r="B2455" t="s">
        <v>3084</v>
      </c>
      <c r="C2455" t="s">
        <v>45</v>
      </c>
      <c r="D2455" t="s">
        <v>29</v>
      </c>
      <c r="E2455" s="1">
        <v>45507</v>
      </c>
      <c r="F2455" t="s">
        <v>96</v>
      </c>
      <c r="G2455" t="s">
        <v>171</v>
      </c>
      <c r="H2455" t="s">
        <v>128</v>
      </c>
      <c r="I2455">
        <v>11</v>
      </c>
      <c r="J2455" t="s">
        <v>73</v>
      </c>
      <c r="K2455">
        <v>1</v>
      </c>
      <c r="L2455" s="3">
        <v>4599</v>
      </c>
      <c r="M2455">
        <v>5</v>
      </c>
      <c r="N2455" s="3">
        <v>4370</v>
      </c>
      <c r="O2455" s="3">
        <v>4370</v>
      </c>
      <c r="P2455" t="s">
        <v>34</v>
      </c>
      <c r="Q2455" t="s">
        <v>35</v>
      </c>
      <c r="R2455" t="s">
        <v>36</v>
      </c>
      <c r="S2455" t="s">
        <v>129</v>
      </c>
      <c r="T2455" t="s">
        <v>130</v>
      </c>
      <c r="U2455" t="s">
        <v>61</v>
      </c>
      <c r="V2455" t="s">
        <v>969</v>
      </c>
      <c r="W2455">
        <v>4.5</v>
      </c>
      <c r="X2455" t="s">
        <v>41</v>
      </c>
      <c r="Y2455" t="s">
        <v>55</v>
      </c>
      <c r="Z2455">
        <v>1</v>
      </c>
    </row>
    <row r="2456" spans="1:26">
      <c r="A2456" t="s">
        <v>3668</v>
      </c>
      <c r="B2456" t="s">
        <v>1665</v>
      </c>
      <c r="C2456" t="s">
        <v>28</v>
      </c>
      <c r="D2456" t="s">
        <v>95</v>
      </c>
      <c r="E2456" s="1">
        <v>45510</v>
      </c>
      <c r="F2456" t="s">
        <v>65</v>
      </c>
      <c r="G2456" t="s">
        <v>72</v>
      </c>
      <c r="H2456" t="s">
        <v>59</v>
      </c>
      <c r="I2456">
        <v>9</v>
      </c>
      <c r="J2456" t="s">
        <v>73</v>
      </c>
      <c r="K2456">
        <v>2</v>
      </c>
      <c r="L2456" s="3">
        <v>7699</v>
      </c>
      <c r="M2456">
        <v>20</v>
      </c>
      <c r="N2456" s="3">
        <v>6160</v>
      </c>
      <c r="O2456" s="3">
        <v>12320</v>
      </c>
      <c r="P2456" t="s">
        <v>81</v>
      </c>
      <c r="Q2456" t="s">
        <v>51</v>
      </c>
      <c r="R2456" t="s">
        <v>36</v>
      </c>
      <c r="S2456" t="s">
        <v>99</v>
      </c>
      <c r="T2456" t="s">
        <v>759</v>
      </c>
      <c r="U2456" t="s">
        <v>61</v>
      </c>
      <c r="V2456" t="s">
        <v>969</v>
      </c>
      <c r="W2456">
        <v>4</v>
      </c>
      <c r="X2456" t="s">
        <v>41</v>
      </c>
      <c r="Y2456" t="s">
        <v>55</v>
      </c>
      <c r="Z2456">
        <v>3</v>
      </c>
    </row>
    <row r="2457" spans="1:26">
      <c r="A2457" t="s">
        <v>3669</v>
      </c>
      <c r="B2457" t="s">
        <v>2103</v>
      </c>
      <c r="C2457" t="s">
        <v>45</v>
      </c>
      <c r="D2457" t="s">
        <v>95</v>
      </c>
      <c r="E2457" s="1">
        <v>45510</v>
      </c>
      <c r="F2457" t="s">
        <v>30</v>
      </c>
      <c r="G2457" t="s">
        <v>347</v>
      </c>
      <c r="H2457" t="s">
        <v>49</v>
      </c>
      <c r="I2457">
        <v>10</v>
      </c>
      <c r="J2457" t="s">
        <v>67</v>
      </c>
      <c r="K2457">
        <v>1</v>
      </c>
      <c r="L2457" s="3">
        <v>9099</v>
      </c>
      <c r="M2457">
        <v>35</v>
      </c>
      <c r="N2457" s="3">
        <v>5910</v>
      </c>
      <c r="O2457" s="3">
        <v>5910</v>
      </c>
      <c r="P2457" t="s">
        <v>74</v>
      </c>
      <c r="Q2457" t="s">
        <v>82</v>
      </c>
      <c r="R2457" t="s">
        <v>36</v>
      </c>
      <c r="S2457" t="s">
        <v>104</v>
      </c>
      <c r="T2457" t="s">
        <v>1048</v>
      </c>
      <c r="U2457" t="s">
        <v>124</v>
      </c>
      <c r="V2457" t="s">
        <v>969</v>
      </c>
      <c r="W2457">
        <v>3.5</v>
      </c>
      <c r="X2457" t="s">
        <v>41</v>
      </c>
      <c r="Y2457" t="s">
        <v>55</v>
      </c>
      <c r="Z2457">
        <v>3</v>
      </c>
    </row>
    <row r="2458" spans="1:26">
      <c r="A2458" t="s">
        <v>3670</v>
      </c>
      <c r="B2458" t="s">
        <v>918</v>
      </c>
      <c r="C2458" t="s">
        <v>28</v>
      </c>
      <c r="D2458" t="s">
        <v>46</v>
      </c>
      <c r="E2458" s="1">
        <v>45511</v>
      </c>
      <c r="F2458" t="s">
        <v>96</v>
      </c>
      <c r="G2458" t="s">
        <v>323</v>
      </c>
      <c r="H2458" t="s">
        <v>59</v>
      </c>
      <c r="I2458">
        <v>8</v>
      </c>
      <c r="J2458" t="s">
        <v>33</v>
      </c>
      <c r="K2458">
        <v>3</v>
      </c>
      <c r="L2458" s="3">
        <v>5999</v>
      </c>
      <c r="M2458">
        <v>15</v>
      </c>
      <c r="N2458" s="3">
        <v>5100</v>
      </c>
      <c r="O2458" s="3">
        <v>15300</v>
      </c>
      <c r="P2458" t="s">
        <v>74</v>
      </c>
      <c r="Q2458" t="s">
        <v>51</v>
      </c>
      <c r="R2458" t="s">
        <v>36</v>
      </c>
      <c r="S2458" t="s">
        <v>112</v>
      </c>
      <c r="T2458" t="s">
        <v>265</v>
      </c>
      <c r="U2458" t="s">
        <v>61</v>
      </c>
      <c r="V2458" t="s">
        <v>969</v>
      </c>
      <c r="W2458">
        <v>3.8</v>
      </c>
      <c r="X2458" t="s">
        <v>106</v>
      </c>
      <c r="Y2458" t="s">
        <v>42</v>
      </c>
      <c r="Z2458">
        <v>3</v>
      </c>
    </row>
    <row r="2459" spans="1:26">
      <c r="A2459" t="s">
        <v>3671</v>
      </c>
      <c r="B2459" t="s">
        <v>736</v>
      </c>
      <c r="C2459" t="s">
        <v>94</v>
      </c>
      <c r="D2459" t="s">
        <v>46</v>
      </c>
      <c r="E2459" s="1">
        <v>45511</v>
      </c>
      <c r="F2459" t="s">
        <v>65</v>
      </c>
      <c r="G2459" t="s">
        <v>268</v>
      </c>
      <c r="H2459" t="s">
        <v>128</v>
      </c>
      <c r="I2459">
        <v>8</v>
      </c>
      <c r="J2459" t="s">
        <v>67</v>
      </c>
      <c r="K2459">
        <v>1</v>
      </c>
      <c r="L2459" s="3">
        <v>3599</v>
      </c>
      <c r="M2459">
        <v>15</v>
      </c>
      <c r="N2459" s="3">
        <v>3060</v>
      </c>
      <c r="O2459" s="3">
        <v>3060</v>
      </c>
      <c r="P2459" t="s">
        <v>74</v>
      </c>
      <c r="Q2459" t="s">
        <v>82</v>
      </c>
      <c r="R2459" t="s">
        <v>36</v>
      </c>
      <c r="S2459" t="s">
        <v>384</v>
      </c>
      <c r="T2459" t="s">
        <v>481</v>
      </c>
      <c r="U2459" t="s">
        <v>54</v>
      </c>
      <c r="V2459" t="s">
        <v>969</v>
      </c>
      <c r="W2459">
        <v>4.4000000000000004</v>
      </c>
      <c r="X2459" t="s">
        <v>41</v>
      </c>
      <c r="Y2459" t="s">
        <v>55</v>
      </c>
      <c r="Z2459">
        <v>2</v>
      </c>
    </row>
    <row r="2460" spans="1:26">
      <c r="A2460" t="s">
        <v>3672</v>
      </c>
      <c r="B2460" t="s">
        <v>1152</v>
      </c>
      <c r="C2460" t="s">
        <v>28</v>
      </c>
      <c r="D2460" t="s">
        <v>46</v>
      </c>
      <c r="E2460" s="1">
        <v>45511</v>
      </c>
      <c r="F2460" t="s">
        <v>30</v>
      </c>
      <c r="G2460" t="s">
        <v>214</v>
      </c>
      <c r="H2460" t="s">
        <v>128</v>
      </c>
      <c r="I2460">
        <v>9</v>
      </c>
      <c r="J2460" t="s">
        <v>73</v>
      </c>
      <c r="K2460">
        <v>2</v>
      </c>
      <c r="L2460" s="3">
        <v>4899</v>
      </c>
      <c r="M2460">
        <v>10</v>
      </c>
      <c r="N2460" s="3">
        <v>4410</v>
      </c>
      <c r="O2460" s="3">
        <v>8820</v>
      </c>
      <c r="P2460" t="s">
        <v>34</v>
      </c>
      <c r="Q2460" t="s">
        <v>51</v>
      </c>
      <c r="R2460" t="s">
        <v>36</v>
      </c>
      <c r="S2460" t="s">
        <v>182</v>
      </c>
      <c r="T2460" t="s">
        <v>309</v>
      </c>
      <c r="U2460" t="s">
        <v>91</v>
      </c>
      <c r="V2460" t="s">
        <v>969</v>
      </c>
      <c r="W2460">
        <v>2.2999999999999998</v>
      </c>
      <c r="X2460" t="s">
        <v>41</v>
      </c>
      <c r="Y2460" t="s">
        <v>55</v>
      </c>
      <c r="Z2460">
        <v>3</v>
      </c>
    </row>
    <row r="2461" spans="1:26">
      <c r="A2461" t="s">
        <v>3673</v>
      </c>
      <c r="B2461" t="s">
        <v>2157</v>
      </c>
      <c r="C2461" t="s">
        <v>28</v>
      </c>
      <c r="D2461" t="s">
        <v>103</v>
      </c>
      <c r="E2461" s="1">
        <v>45511</v>
      </c>
      <c r="F2461" t="s">
        <v>47</v>
      </c>
      <c r="G2461" t="s">
        <v>121</v>
      </c>
      <c r="H2461" t="s">
        <v>111</v>
      </c>
      <c r="I2461">
        <v>10</v>
      </c>
      <c r="J2461" t="s">
        <v>67</v>
      </c>
      <c r="K2461">
        <v>1</v>
      </c>
      <c r="L2461" s="3">
        <v>6499</v>
      </c>
      <c r="M2461">
        <v>15</v>
      </c>
      <c r="N2461" s="3">
        <v>5520</v>
      </c>
      <c r="O2461" s="3">
        <v>5520</v>
      </c>
      <c r="P2461" t="s">
        <v>34</v>
      </c>
      <c r="Q2461" t="s">
        <v>51</v>
      </c>
      <c r="R2461" t="s">
        <v>36</v>
      </c>
      <c r="S2461" t="s">
        <v>99</v>
      </c>
      <c r="T2461" t="s">
        <v>229</v>
      </c>
      <c r="U2461" t="s">
        <v>39</v>
      </c>
      <c r="V2461" t="s">
        <v>969</v>
      </c>
      <c r="W2461">
        <v>3.2</v>
      </c>
      <c r="X2461" t="s">
        <v>41</v>
      </c>
      <c r="Y2461" t="s">
        <v>55</v>
      </c>
      <c r="Z2461">
        <v>3</v>
      </c>
    </row>
    <row r="2462" spans="1:26">
      <c r="A2462" t="s">
        <v>3674</v>
      </c>
      <c r="B2462" t="s">
        <v>2551</v>
      </c>
      <c r="C2462" t="s">
        <v>28</v>
      </c>
      <c r="D2462" t="s">
        <v>29</v>
      </c>
      <c r="E2462" s="1">
        <v>45511</v>
      </c>
      <c r="F2462" t="s">
        <v>79</v>
      </c>
      <c r="G2462" t="s">
        <v>517</v>
      </c>
      <c r="H2462" t="s">
        <v>59</v>
      </c>
      <c r="I2462">
        <v>9</v>
      </c>
      <c r="J2462" t="s">
        <v>67</v>
      </c>
      <c r="K2462">
        <v>2</v>
      </c>
      <c r="L2462" s="3">
        <v>6399</v>
      </c>
      <c r="M2462">
        <v>10</v>
      </c>
      <c r="N2462" s="3">
        <v>5760</v>
      </c>
      <c r="O2462" s="3">
        <v>11520</v>
      </c>
      <c r="P2462" t="s">
        <v>50</v>
      </c>
      <c r="Q2462" t="s">
        <v>51</v>
      </c>
      <c r="R2462" t="s">
        <v>36</v>
      </c>
      <c r="S2462" t="s">
        <v>75</v>
      </c>
      <c r="T2462" t="s">
        <v>76</v>
      </c>
      <c r="U2462" t="s">
        <v>54</v>
      </c>
      <c r="V2462" t="s">
        <v>315</v>
      </c>
      <c r="W2462">
        <v>2.8</v>
      </c>
      <c r="X2462" t="s">
        <v>41</v>
      </c>
      <c r="Y2462" t="s">
        <v>42</v>
      </c>
      <c r="Z2462">
        <v>3</v>
      </c>
    </row>
    <row r="2463" spans="1:26">
      <c r="A2463" t="s">
        <v>3675</v>
      </c>
      <c r="B2463" t="s">
        <v>1371</v>
      </c>
      <c r="C2463" t="s">
        <v>45</v>
      </c>
      <c r="D2463" t="s">
        <v>109</v>
      </c>
      <c r="E2463" s="1">
        <v>45512</v>
      </c>
      <c r="F2463" t="s">
        <v>65</v>
      </c>
      <c r="G2463" t="s">
        <v>268</v>
      </c>
      <c r="H2463" t="s">
        <v>128</v>
      </c>
      <c r="I2463">
        <v>8</v>
      </c>
      <c r="J2463" t="s">
        <v>150</v>
      </c>
      <c r="K2463">
        <v>1</v>
      </c>
      <c r="L2463" s="3">
        <v>7399</v>
      </c>
      <c r="M2463">
        <v>15</v>
      </c>
      <c r="N2463" s="3">
        <v>6290</v>
      </c>
      <c r="O2463" s="3">
        <v>6290</v>
      </c>
      <c r="P2463" t="s">
        <v>74</v>
      </c>
      <c r="Q2463" t="s">
        <v>35</v>
      </c>
      <c r="R2463" t="s">
        <v>36</v>
      </c>
      <c r="S2463" t="s">
        <v>338</v>
      </c>
      <c r="T2463" t="s">
        <v>449</v>
      </c>
      <c r="U2463" t="s">
        <v>91</v>
      </c>
      <c r="V2463" t="s">
        <v>315</v>
      </c>
      <c r="W2463">
        <v>4.8</v>
      </c>
      <c r="X2463" t="s">
        <v>106</v>
      </c>
      <c r="Y2463" t="s">
        <v>147</v>
      </c>
      <c r="Z2463">
        <v>1</v>
      </c>
    </row>
    <row r="2464" spans="1:26">
      <c r="A2464" t="s">
        <v>3676</v>
      </c>
      <c r="B2464" t="s">
        <v>1788</v>
      </c>
      <c r="C2464" t="s">
        <v>28</v>
      </c>
      <c r="D2464" t="s">
        <v>46</v>
      </c>
      <c r="E2464" s="1">
        <v>45514</v>
      </c>
      <c r="F2464" t="s">
        <v>96</v>
      </c>
      <c r="G2464" t="s">
        <v>323</v>
      </c>
      <c r="H2464" t="s">
        <v>59</v>
      </c>
      <c r="I2464">
        <v>10</v>
      </c>
      <c r="J2464" t="s">
        <v>67</v>
      </c>
      <c r="K2464">
        <v>2</v>
      </c>
      <c r="L2464" s="3">
        <v>9199</v>
      </c>
      <c r="M2464">
        <v>10</v>
      </c>
      <c r="N2464" s="3">
        <v>8280</v>
      </c>
      <c r="O2464" s="3">
        <v>16560</v>
      </c>
      <c r="P2464" t="s">
        <v>74</v>
      </c>
      <c r="Q2464" t="s">
        <v>51</v>
      </c>
      <c r="R2464" t="s">
        <v>36</v>
      </c>
      <c r="S2464" t="s">
        <v>418</v>
      </c>
      <c r="T2464" t="s">
        <v>549</v>
      </c>
      <c r="U2464" t="s">
        <v>54</v>
      </c>
      <c r="V2464" t="s">
        <v>315</v>
      </c>
      <c r="W2464">
        <v>3.4</v>
      </c>
      <c r="X2464" t="s">
        <v>41</v>
      </c>
      <c r="Y2464" t="s">
        <v>55</v>
      </c>
      <c r="Z2464">
        <v>2</v>
      </c>
    </row>
    <row r="2465" spans="1:26">
      <c r="A2465" t="s">
        <v>3677</v>
      </c>
      <c r="B2465" t="s">
        <v>3678</v>
      </c>
      <c r="C2465" t="s">
        <v>28</v>
      </c>
      <c r="D2465" t="s">
        <v>46</v>
      </c>
      <c r="E2465" s="1">
        <v>45517</v>
      </c>
      <c r="F2465" t="s">
        <v>86</v>
      </c>
      <c r="G2465" t="s">
        <v>87</v>
      </c>
      <c r="H2465" t="s">
        <v>59</v>
      </c>
      <c r="I2465">
        <v>8</v>
      </c>
      <c r="J2465" t="s">
        <v>88</v>
      </c>
      <c r="K2465">
        <v>1</v>
      </c>
      <c r="L2465" s="3">
        <v>6399</v>
      </c>
      <c r="M2465">
        <v>10</v>
      </c>
      <c r="N2465" s="3">
        <v>5760</v>
      </c>
      <c r="O2465" s="3">
        <v>5760</v>
      </c>
      <c r="P2465" t="s">
        <v>34</v>
      </c>
      <c r="Q2465" t="s">
        <v>51</v>
      </c>
      <c r="R2465" t="s">
        <v>36</v>
      </c>
      <c r="S2465" t="s">
        <v>460</v>
      </c>
      <c r="T2465" t="s">
        <v>1868</v>
      </c>
      <c r="U2465" t="s">
        <v>54</v>
      </c>
      <c r="V2465" t="s">
        <v>40</v>
      </c>
      <c r="W2465">
        <v>3.2</v>
      </c>
      <c r="X2465" t="s">
        <v>41</v>
      </c>
      <c r="Y2465" t="s">
        <v>55</v>
      </c>
      <c r="Z2465">
        <v>2</v>
      </c>
    </row>
    <row r="2466" spans="1:26">
      <c r="A2466" t="s">
        <v>3679</v>
      </c>
      <c r="B2466" t="s">
        <v>831</v>
      </c>
      <c r="C2466" t="s">
        <v>45</v>
      </c>
      <c r="D2466" t="s">
        <v>103</v>
      </c>
      <c r="E2466" s="1">
        <v>45517</v>
      </c>
      <c r="F2466" t="s">
        <v>65</v>
      </c>
      <c r="G2466" t="s">
        <v>365</v>
      </c>
      <c r="H2466" t="s">
        <v>49</v>
      </c>
      <c r="I2466">
        <v>10</v>
      </c>
      <c r="J2466" t="s">
        <v>98</v>
      </c>
      <c r="K2466">
        <v>3</v>
      </c>
      <c r="L2466" s="3">
        <v>5199</v>
      </c>
      <c r="M2466">
        <v>25</v>
      </c>
      <c r="N2466" s="3">
        <v>3900</v>
      </c>
      <c r="O2466" s="3">
        <v>11700</v>
      </c>
      <c r="P2466" t="s">
        <v>74</v>
      </c>
      <c r="Q2466" t="s">
        <v>51</v>
      </c>
      <c r="R2466" t="s">
        <v>36</v>
      </c>
      <c r="S2466" t="s">
        <v>117</v>
      </c>
      <c r="T2466" t="s">
        <v>118</v>
      </c>
      <c r="U2466" t="s">
        <v>61</v>
      </c>
      <c r="V2466" t="s">
        <v>969</v>
      </c>
      <c r="W2466">
        <v>4.7</v>
      </c>
      <c r="X2466" t="s">
        <v>41</v>
      </c>
      <c r="Y2466" t="s">
        <v>55</v>
      </c>
      <c r="Z2466">
        <v>3</v>
      </c>
    </row>
    <row r="2467" spans="1:26">
      <c r="A2467" t="s">
        <v>3680</v>
      </c>
      <c r="B2467" t="s">
        <v>3409</v>
      </c>
      <c r="C2467" t="s">
        <v>28</v>
      </c>
      <c r="D2467" t="s">
        <v>46</v>
      </c>
      <c r="E2467" s="1">
        <v>45518</v>
      </c>
      <c r="F2467" t="s">
        <v>79</v>
      </c>
      <c r="G2467" t="s">
        <v>127</v>
      </c>
      <c r="H2467" t="s">
        <v>128</v>
      </c>
      <c r="I2467">
        <v>9</v>
      </c>
      <c r="J2467" t="s">
        <v>33</v>
      </c>
      <c r="K2467">
        <v>1</v>
      </c>
      <c r="L2467" s="3">
        <v>8399</v>
      </c>
      <c r="M2467">
        <v>30</v>
      </c>
      <c r="N2467" s="3">
        <v>5880</v>
      </c>
      <c r="O2467" s="3">
        <v>5880</v>
      </c>
      <c r="P2467" t="s">
        <v>34</v>
      </c>
      <c r="Q2467" t="s">
        <v>51</v>
      </c>
      <c r="R2467" t="s">
        <v>36</v>
      </c>
      <c r="S2467" t="s">
        <v>210</v>
      </c>
      <c r="T2467" t="s">
        <v>211</v>
      </c>
      <c r="U2467" t="s">
        <v>39</v>
      </c>
      <c r="V2467" t="s">
        <v>315</v>
      </c>
      <c r="W2467">
        <v>4.4000000000000004</v>
      </c>
      <c r="X2467" t="s">
        <v>41</v>
      </c>
      <c r="Y2467" t="s">
        <v>55</v>
      </c>
      <c r="Z2467">
        <v>1</v>
      </c>
    </row>
    <row r="2468" spans="1:26">
      <c r="A2468" t="s">
        <v>3681</v>
      </c>
      <c r="B2468" t="s">
        <v>1007</v>
      </c>
      <c r="C2468" t="s">
        <v>28</v>
      </c>
      <c r="D2468" t="s">
        <v>46</v>
      </c>
      <c r="E2468" s="1">
        <v>45519</v>
      </c>
      <c r="F2468" t="s">
        <v>96</v>
      </c>
      <c r="G2468" t="s">
        <v>290</v>
      </c>
      <c r="H2468" t="s">
        <v>32</v>
      </c>
      <c r="I2468">
        <v>6</v>
      </c>
      <c r="J2468" t="s">
        <v>98</v>
      </c>
      <c r="K2468">
        <v>1</v>
      </c>
      <c r="L2468" s="3">
        <v>5899</v>
      </c>
      <c r="M2468">
        <v>10</v>
      </c>
      <c r="N2468" s="3">
        <v>5310</v>
      </c>
      <c r="O2468" s="3">
        <v>5310</v>
      </c>
      <c r="P2468" t="s">
        <v>74</v>
      </c>
      <c r="Q2468" t="s">
        <v>35</v>
      </c>
      <c r="R2468" t="s">
        <v>36</v>
      </c>
      <c r="S2468" t="s">
        <v>191</v>
      </c>
      <c r="T2468" t="s">
        <v>572</v>
      </c>
      <c r="U2468" t="s">
        <v>54</v>
      </c>
      <c r="V2468" t="s">
        <v>969</v>
      </c>
      <c r="W2468">
        <v>3.6</v>
      </c>
      <c r="X2468" t="s">
        <v>62</v>
      </c>
      <c r="Y2468" t="s">
        <v>55</v>
      </c>
      <c r="Z2468">
        <v>3</v>
      </c>
    </row>
    <row r="2469" spans="1:26">
      <c r="A2469" t="s">
        <v>3682</v>
      </c>
      <c r="B2469" t="s">
        <v>2144</v>
      </c>
      <c r="C2469" t="s">
        <v>45</v>
      </c>
      <c r="D2469" t="s">
        <v>29</v>
      </c>
      <c r="E2469" s="1">
        <v>45522</v>
      </c>
      <c r="F2469" t="s">
        <v>96</v>
      </c>
      <c r="G2469" t="s">
        <v>228</v>
      </c>
      <c r="H2469" t="s">
        <v>59</v>
      </c>
      <c r="I2469">
        <v>9</v>
      </c>
      <c r="J2469" t="s">
        <v>98</v>
      </c>
      <c r="K2469">
        <v>1</v>
      </c>
      <c r="L2469" s="3">
        <v>7599</v>
      </c>
      <c r="M2469">
        <v>10</v>
      </c>
      <c r="N2469" s="3">
        <v>6840</v>
      </c>
      <c r="O2469" s="3">
        <v>6840</v>
      </c>
      <c r="P2469" t="s">
        <v>34</v>
      </c>
      <c r="Q2469" t="s">
        <v>82</v>
      </c>
      <c r="R2469" t="s">
        <v>36</v>
      </c>
      <c r="S2469" t="s">
        <v>269</v>
      </c>
      <c r="T2469" t="s">
        <v>652</v>
      </c>
      <c r="U2469" t="s">
        <v>54</v>
      </c>
      <c r="V2469" t="s">
        <v>969</v>
      </c>
      <c r="W2469">
        <v>4.4000000000000004</v>
      </c>
      <c r="X2469" t="s">
        <v>62</v>
      </c>
      <c r="Y2469" t="s">
        <v>42</v>
      </c>
      <c r="Z2469">
        <v>5</v>
      </c>
    </row>
    <row r="2470" spans="1:26">
      <c r="A2470" t="s">
        <v>3683</v>
      </c>
      <c r="B2470" t="s">
        <v>998</v>
      </c>
      <c r="C2470" t="s">
        <v>28</v>
      </c>
      <c r="D2470" t="s">
        <v>103</v>
      </c>
      <c r="E2470" s="1">
        <v>45522</v>
      </c>
      <c r="F2470" t="s">
        <v>96</v>
      </c>
      <c r="G2470" t="s">
        <v>97</v>
      </c>
      <c r="H2470" t="s">
        <v>49</v>
      </c>
      <c r="I2470">
        <v>8</v>
      </c>
      <c r="J2470" t="s">
        <v>150</v>
      </c>
      <c r="K2470">
        <v>1</v>
      </c>
      <c r="L2470" s="3">
        <v>8999</v>
      </c>
      <c r="M2470">
        <v>30</v>
      </c>
      <c r="N2470" s="3">
        <v>6300</v>
      </c>
      <c r="O2470" s="3">
        <v>6300</v>
      </c>
      <c r="P2470" t="s">
        <v>74</v>
      </c>
      <c r="Q2470" t="s">
        <v>35</v>
      </c>
      <c r="R2470" t="s">
        <v>36</v>
      </c>
      <c r="S2470" t="s">
        <v>286</v>
      </c>
      <c r="T2470" t="s">
        <v>287</v>
      </c>
      <c r="U2470" t="s">
        <v>39</v>
      </c>
      <c r="V2470" t="s">
        <v>969</v>
      </c>
      <c r="W2470">
        <v>4.4000000000000004</v>
      </c>
      <c r="X2470" t="s">
        <v>41</v>
      </c>
      <c r="Y2470" t="s">
        <v>42</v>
      </c>
      <c r="Z2470">
        <v>4</v>
      </c>
    </row>
    <row r="2471" spans="1:26">
      <c r="A2471" t="s">
        <v>3684</v>
      </c>
      <c r="B2471" t="s">
        <v>971</v>
      </c>
      <c r="C2471" t="s">
        <v>28</v>
      </c>
      <c r="D2471" t="s">
        <v>29</v>
      </c>
      <c r="E2471" s="1">
        <v>45524</v>
      </c>
      <c r="F2471" t="s">
        <v>96</v>
      </c>
      <c r="G2471" t="s">
        <v>228</v>
      </c>
      <c r="H2471" t="s">
        <v>59</v>
      </c>
      <c r="I2471">
        <v>8</v>
      </c>
      <c r="J2471" t="s">
        <v>98</v>
      </c>
      <c r="K2471">
        <v>2</v>
      </c>
      <c r="L2471" s="3">
        <v>8299</v>
      </c>
      <c r="M2471">
        <v>10</v>
      </c>
      <c r="N2471" s="3">
        <v>7470</v>
      </c>
      <c r="O2471" s="3">
        <v>14940</v>
      </c>
      <c r="P2471" t="s">
        <v>74</v>
      </c>
      <c r="Q2471" t="s">
        <v>35</v>
      </c>
      <c r="R2471" t="s">
        <v>36</v>
      </c>
      <c r="S2471" t="s">
        <v>418</v>
      </c>
      <c r="T2471" t="s">
        <v>613</v>
      </c>
      <c r="U2471" t="s">
        <v>91</v>
      </c>
      <c r="V2471" t="s">
        <v>315</v>
      </c>
      <c r="W2471">
        <v>4.5999999999999996</v>
      </c>
      <c r="X2471" t="s">
        <v>41</v>
      </c>
      <c r="Y2471" t="s">
        <v>42</v>
      </c>
      <c r="Z2471">
        <v>3</v>
      </c>
    </row>
    <row r="2472" spans="1:26">
      <c r="A2472" t="s">
        <v>3685</v>
      </c>
      <c r="B2472" t="s">
        <v>1225</v>
      </c>
      <c r="C2472" t="s">
        <v>45</v>
      </c>
      <c r="D2472" t="s">
        <v>46</v>
      </c>
      <c r="E2472" s="1">
        <v>45526</v>
      </c>
      <c r="F2472" t="s">
        <v>79</v>
      </c>
      <c r="G2472" t="s">
        <v>480</v>
      </c>
      <c r="H2472" t="s">
        <v>111</v>
      </c>
      <c r="I2472">
        <v>7</v>
      </c>
      <c r="J2472" t="s">
        <v>67</v>
      </c>
      <c r="K2472">
        <v>2</v>
      </c>
      <c r="L2472" s="3">
        <v>4699</v>
      </c>
      <c r="M2472">
        <v>20</v>
      </c>
      <c r="N2472" s="3">
        <v>3760</v>
      </c>
      <c r="O2472" s="3">
        <v>7520</v>
      </c>
      <c r="P2472" t="s">
        <v>34</v>
      </c>
      <c r="Q2472" t="s">
        <v>51</v>
      </c>
      <c r="R2472" t="s">
        <v>36</v>
      </c>
      <c r="S2472" t="s">
        <v>99</v>
      </c>
      <c r="T2472" t="s">
        <v>100</v>
      </c>
      <c r="U2472" t="s">
        <v>124</v>
      </c>
      <c r="V2472" t="s">
        <v>315</v>
      </c>
      <c r="W2472">
        <v>3.8</v>
      </c>
      <c r="X2472" t="s">
        <v>41</v>
      </c>
      <c r="Y2472" t="s">
        <v>42</v>
      </c>
      <c r="Z2472">
        <v>4</v>
      </c>
    </row>
    <row r="2473" spans="1:26">
      <c r="A2473" t="s">
        <v>3686</v>
      </c>
      <c r="B2473" t="s">
        <v>2764</v>
      </c>
      <c r="C2473" t="s">
        <v>28</v>
      </c>
      <c r="D2473" t="s">
        <v>46</v>
      </c>
      <c r="E2473" s="1">
        <v>45527</v>
      </c>
      <c r="F2473" t="s">
        <v>86</v>
      </c>
      <c r="G2473" t="s">
        <v>87</v>
      </c>
      <c r="H2473" t="s">
        <v>59</v>
      </c>
      <c r="I2473">
        <v>10</v>
      </c>
      <c r="J2473" t="s">
        <v>73</v>
      </c>
      <c r="K2473">
        <v>3</v>
      </c>
      <c r="L2473" s="3">
        <v>8299</v>
      </c>
      <c r="M2473">
        <v>5</v>
      </c>
      <c r="N2473" s="3">
        <v>7880</v>
      </c>
      <c r="O2473" s="3">
        <v>23640</v>
      </c>
      <c r="P2473" t="s">
        <v>74</v>
      </c>
      <c r="Q2473" t="s">
        <v>82</v>
      </c>
      <c r="R2473" t="s">
        <v>36</v>
      </c>
      <c r="S2473" t="s">
        <v>168</v>
      </c>
      <c r="T2473" t="s">
        <v>557</v>
      </c>
      <c r="U2473" t="s">
        <v>54</v>
      </c>
      <c r="V2473" t="s">
        <v>315</v>
      </c>
      <c r="W2473">
        <v>3.9</v>
      </c>
      <c r="X2473" t="s">
        <v>41</v>
      </c>
      <c r="Y2473" t="s">
        <v>42</v>
      </c>
      <c r="Z2473">
        <v>2</v>
      </c>
    </row>
    <row r="2474" spans="1:26">
      <c r="A2474" t="s">
        <v>3687</v>
      </c>
      <c r="B2474" t="s">
        <v>947</v>
      </c>
      <c r="C2474" t="s">
        <v>28</v>
      </c>
      <c r="D2474" t="s">
        <v>29</v>
      </c>
      <c r="E2474" s="1">
        <v>45528</v>
      </c>
      <c r="F2474" t="s">
        <v>79</v>
      </c>
      <c r="G2474" t="s">
        <v>517</v>
      </c>
      <c r="H2474" t="s">
        <v>59</v>
      </c>
      <c r="I2474">
        <v>11</v>
      </c>
      <c r="J2474" t="s">
        <v>150</v>
      </c>
      <c r="K2474">
        <v>1</v>
      </c>
      <c r="L2474" s="3">
        <v>7999</v>
      </c>
      <c r="M2474">
        <v>25</v>
      </c>
      <c r="N2474" s="3">
        <v>6000</v>
      </c>
      <c r="O2474" s="3">
        <v>6000</v>
      </c>
      <c r="P2474" t="s">
        <v>74</v>
      </c>
      <c r="Q2474" t="s">
        <v>82</v>
      </c>
      <c r="R2474" t="s">
        <v>36</v>
      </c>
      <c r="S2474" t="s">
        <v>160</v>
      </c>
      <c r="T2474" t="s">
        <v>247</v>
      </c>
      <c r="U2474" t="s">
        <v>61</v>
      </c>
      <c r="V2474" t="s">
        <v>969</v>
      </c>
      <c r="W2474">
        <v>4</v>
      </c>
      <c r="X2474" t="s">
        <v>41</v>
      </c>
      <c r="Y2474" t="s">
        <v>42</v>
      </c>
      <c r="Z2474">
        <v>2</v>
      </c>
    </row>
    <row r="2475" spans="1:26">
      <c r="A2475" t="s">
        <v>3688</v>
      </c>
      <c r="B2475" t="s">
        <v>736</v>
      </c>
      <c r="C2475" t="s">
        <v>45</v>
      </c>
      <c r="D2475" t="s">
        <v>46</v>
      </c>
      <c r="E2475" s="1">
        <v>45528</v>
      </c>
      <c r="F2475" t="s">
        <v>30</v>
      </c>
      <c r="G2475" t="s">
        <v>110</v>
      </c>
      <c r="H2475" t="s">
        <v>111</v>
      </c>
      <c r="I2475">
        <v>10</v>
      </c>
      <c r="J2475" t="s">
        <v>73</v>
      </c>
      <c r="K2475">
        <v>1</v>
      </c>
      <c r="L2475" s="3">
        <v>5199</v>
      </c>
      <c r="M2475">
        <v>0</v>
      </c>
      <c r="N2475" s="3">
        <v>5200</v>
      </c>
      <c r="O2475" s="3">
        <v>5200</v>
      </c>
      <c r="P2475" t="s">
        <v>74</v>
      </c>
      <c r="Q2475" t="s">
        <v>82</v>
      </c>
      <c r="R2475" t="s">
        <v>36</v>
      </c>
      <c r="S2475" t="s">
        <v>243</v>
      </c>
      <c r="T2475" t="s">
        <v>276</v>
      </c>
      <c r="U2475" t="s">
        <v>54</v>
      </c>
      <c r="V2475" t="s">
        <v>969</v>
      </c>
      <c r="W2475">
        <v>4.3</v>
      </c>
      <c r="X2475" t="s">
        <v>106</v>
      </c>
      <c r="Y2475" t="s">
        <v>42</v>
      </c>
      <c r="Z2475">
        <v>7</v>
      </c>
    </row>
    <row r="2476" spans="1:26">
      <c r="A2476" t="s">
        <v>3689</v>
      </c>
      <c r="B2476" t="s">
        <v>1201</v>
      </c>
      <c r="C2476" t="s">
        <v>94</v>
      </c>
      <c r="D2476" t="s">
        <v>103</v>
      </c>
      <c r="E2476" s="1">
        <v>45528</v>
      </c>
      <c r="F2476" t="s">
        <v>79</v>
      </c>
      <c r="G2476" t="s">
        <v>127</v>
      </c>
      <c r="H2476" t="s">
        <v>128</v>
      </c>
      <c r="I2476">
        <v>7</v>
      </c>
      <c r="J2476" t="s">
        <v>73</v>
      </c>
      <c r="K2476">
        <v>2</v>
      </c>
      <c r="L2476" s="3">
        <v>3699</v>
      </c>
      <c r="M2476">
        <v>40</v>
      </c>
      <c r="N2476" s="3">
        <v>2220</v>
      </c>
      <c r="O2476" s="3">
        <v>4440</v>
      </c>
      <c r="P2476" t="s">
        <v>34</v>
      </c>
      <c r="Q2476" t="s">
        <v>35</v>
      </c>
      <c r="R2476" t="s">
        <v>36</v>
      </c>
      <c r="S2476" t="s">
        <v>122</v>
      </c>
      <c r="T2476" t="s">
        <v>372</v>
      </c>
      <c r="U2476" t="s">
        <v>54</v>
      </c>
      <c r="V2476" t="s">
        <v>969</v>
      </c>
      <c r="W2476">
        <v>3.5</v>
      </c>
      <c r="X2476" t="s">
        <v>41</v>
      </c>
      <c r="Y2476" t="s">
        <v>42</v>
      </c>
      <c r="Z2476">
        <v>3</v>
      </c>
    </row>
    <row r="2477" spans="1:26">
      <c r="A2477" t="s">
        <v>3690</v>
      </c>
      <c r="B2477" t="s">
        <v>546</v>
      </c>
      <c r="C2477" t="s">
        <v>28</v>
      </c>
      <c r="D2477" t="s">
        <v>46</v>
      </c>
      <c r="E2477" s="1">
        <v>45530</v>
      </c>
      <c r="F2477" t="s">
        <v>30</v>
      </c>
      <c r="G2477" t="s">
        <v>110</v>
      </c>
      <c r="H2477" t="s">
        <v>111</v>
      </c>
      <c r="I2477">
        <v>7</v>
      </c>
      <c r="J2477" t="s">
        <v>73</v>
      </c>
      <c r="K2477">
        <v>1</v>
      </c>
      <c r="L2477" s="3">
        <v>7299</v>
      </c>
      <c r="M2477">
        <v>15</v>
      </c>
      <c r="N2477" s="3">
        <v>6200</v>
      </c>
      <c r="O2477" s="3">
        <v>6200</v>
      </c>
      <c r="P2477" t="s">
        <v>74</v>
      </c>
      <c r="Q2477" t="s">
        <v>51</v>
      </c>
      <c r="R2477" t="s">
        <v>36</v>
      </c>
      <c r="S2477" t="s">
        <v>75</v>
      </c>
      <c r="T2477" t="s">
        <v>215</v>
      </c>
      <c r="U2477" t="s">
        <v>54</v>
      </c>
      <c r="V2477" t="s">
        <v>969</v>
      </c>
      <c r="W2477">
        <v>3.6</v>
      </c>
      <c r="X2477" t="s">
        <v>41</v>
      </c>
      <c r="Y2477" t="s">
        <v>55</v>
      </c>
      <c r="Z2477">
        <v>2</v>
      </c>
    </row>
    <row r="2478" spans="1:26">
      <c r="A2478" t="s">
        <v>3691</v>
      </c>
      <c r="B2478" t="s">
        <v>389</v>
      </c>
      <c r="C2478" t="s">
        <v>94</v>
      </c>
      <c r="D2478" t="s">
        <v>29</v>
      </c>
      <c r="E2478" s="1">
        <v>45530</v>
      </c>
      <c r="F2478" t="s">
        <v>79</v>
      </c>
      <c r="G2478" t="s">
        <v>80</v>
      </c>
      <c r="H2478" t="s">
        <v>59</v>
      </c>
      <c r="I2478">
        <v>7</v>
      </c>
      <c r="J2478" t="s">
        <v>98</v>
      </c>
      <c r="K2478">
        <v>1</v>
      </c>
      <c r="L2478" s="3">
        <v>6499</v>
      </c>
      <c r="M2478">
        <v>20</v>
      </c>
      <c r="N2478" s="3">
        <v>5200</v>
      </c>
      <c r="O2478" s="3">
        <v>5200</v>
      </c>
      <c r="P2478" t="s">
        <v>34</v>
      </c>
      <c r="Q2478" t="s">
        <v>51</v>
      </c>
      <c r="R2478" t="s">
        <v>36</v>
      </c>
      <c r="S2478" t="s">
        <v>168</v>
      </c>
      <c r="T2478" t="s">
        <v>532</v>
      </c>
      <c r="U2478" t="s">
        <v>91</v>
      </c>
      <c r="V2478" t="s">
        <v>315</v>
      </c>
      <c r="W2478">
        <v>3.5</v>
      </c>
      <c r="X2478" t="s">
        <v>41</v>
      </c>
      <c r="Y2478" t="s">
        <v>55</v>
      </c>
      <c r="Z2478">
        <v>3</v>
      </c>
    </row>
    <row r="2479" spans="1:26">
      <c r="A2479" t="s">
        <v>3692</v>
      </c>
      <c r="B2479" t="s">
        <v>1238</v>
      </c>
      <c r="C2479" t="s">
        <v>28</v>
      </c>
      <c r="D2479" t="s">
        <v>46</v>
      </c>
      <c r="E2479" s="1">
        <v>45531</v>
      </c>
      <c r="F2479" t="s">
        <v>86</v>
      </c>
      <c r="G2479" t="s">
        <v>87</v>
      </c>
      <c r="H2479" t="s">
        <v>59</v>
      </c>
      <c r="I2479">
        <v>10</v>
      </c>
      <c r="J2479" t="s">
        <v>98</v>
      </c>
      <c r="K2479">
        <v>1</v>
      </c>
      <c r="L2479" s="3">
        <v>5599</v>
      </c>
      <c r="M2479">
        <v>10</v>
      </c>
      <c r="N2479" s="3">
        <v>5040</v>
      </c>
      <c r="O2479" s="3">
        <v>5040</v>
      </c>
      <c r="P2479" t="s">
        <v>74</v>
      </c>
      <c r="Q2479" t="s">
        <v>35</v>
      </c>
      <c r="R2479" t="s">
        <v>36</v>
      </c>
      <c r="S2479" t="s">
        <v>238</v>
      </c>
      <c r="T2479" t="s">
        <v>498</v>
      </c>
      <c r="U2479" t="s">
        <v>91</v>
      </c>
      <c r="V2479" t="s">
        <v>969</v>
      </c>
      <c r="W2479">
        <v>4.7</v>
      </c>
      <c r="X2479" t="s">
        <v>41</v>
      </c>
      <c r="Y2479" t="s">
        <v>42</v>
      </c>
      <c r="Z2479">
        <v>1</v>
      </c>
    </row>
    <row r="2480" spans="1:26">
      <c r="A2480" t="s">
        <v>3693</v>
      </c>
      <c r="B2480" t="s">
        <v>3694</v>
      </c>
      <c r="C2480" t="s">
        <v>28</v>
      </c>
      <c r="D2480" t="s">
        <v>46</v>
      </c>
      <c r="E2480" s="1">
        <v>45531</v>
      </c>
      <c r="F2480" t="s">
        <v>65</v>
      </c>
      <c r="G2480" t="s">
        <v>365</v>
      </c>
      <c r="H2480" t="s">
        <v>49</v>
      </c>
      <c r="I2480">
        <v>10</v>
      </c>
      <c r="J2480" t="s">
        <v>98</v>
      </c>
      <c r="K2480">
        <v>3</v>
      </c>
      <c r="L2480" s="3">
        <v>7299</v>
      </c>
      <c r="M2480">
        <v>10</v>
      </c>
      <c r="N2480" s="3">
        <v>6570</v>
      </c>
      <c r="O2480" s="3">
        <v>19710</v>
      </c>
      <c r="P2480" t="s">
        <v>74</v>
      </c>
      <c r="Q2480" t="s">
        <v>51</v>
      </c>
      <c r="R2480" t="s">
        <v>36</v>
      </c>
      <c r="S2480" t="s">
        <v>168</v>
      </c>
      <c r="T2480" t="s">
        <v>168</v>
      </c>
      <c r="U2480" t="s">
        <v>54</v>
      </c>
      <c r="V2480" t="s">
        <v>40</v>
      </c>
      <c r="W2480">
        <v>4.4000000000000004</v>
      </c>
      <c r="X2480" t="s">
        <v>106</v>
      </c>
      <c r="Y2480" t="s">
        <v>42</v>
      </c>
      <c r="Z2480">
        <v>4</v>
      </c>
    </row>
    <row r="2481" spans="1:26">
      <c r="A2481" t="s">
        <v>3695</v>
      </c>
      <c r="B2481" t="s">
        <v>3696</v>
      </c>
      <c r="C2481" t="s">
        <v>28</v>
      </c>
      <c r="D2481" t="s">
        <v>46</v>
      </c>
      <c r="E2481" s="1">
        <v>45532</v>
      </c>
      <c r="F2481" t="s">
        <v>86</v>
      </c>
      <c r="G2481" t="s">
        <v>285</v>
      </c>
      <c r="H2481" t="s">
        <v>111</v>
      </c>
      <c r="I2481">
        <v>12</v>
      </c>
      <c r="J2481" t="s">
        <v>67</v>
      </c>
      <c r="K2481">
        <v>1</v>
      </c>
      <c r="L2481" s="3">
        <v>8199</v>
      </c>
      <c r="M2481">
        <v>0</v>
      </c>
      <c r="N2481" s="3">
        <v>8200</v>
      </c>
      <c r="O2481" s="3">
        <v>8200</v>
      </c>
      <c r="P2481" t="s">
        <v>74</v>
      </c>
      <c r="Q2481" t="s">
        <v>82</v>
      </c>
      <c r="R2481" t="s">
        <v>36</v>
      </c>
      <c r="S2481" t="s">
        <v>68</v>
      </c>
      <c r="T2481" t="s">
        <v>811</v>
      </c>
      <c r="U2481" t="s">
        <v>39</v>
      </c>
      <c r="V2481" t="s">
        <v>40</v>
      </c>
      <c r="W2481">
        <v>4.5</v>
      </c>
      <c r="X2481" t="s">
        <v>62</v>
      </c>
      <c r="Y2481" t="s">
        <v>42</v>
      </c>
      <c r="Z2481">
        <v>3</v>
      </c>
    </row>
    <row r="2482" spans="1:26">
      <c r="A2482" t="s">
        <v>3697</v>
      </c>
      <c r="B2482" t="s">
        <v>2269</v>
      </c>
      <c r="C2482" t="s">
        <v>45</v>
      </c>
      <c r="D2482" t="s">
        <v>46</v>
      </c>
      <c r="E2482" s="1">
        <v>45532</v>
      </c>
      <c r="F2482" t="s">
        <v>47</v>
      </c>
      <c r="G2482" t="s">
        <v>121</v>
      </c>
      <c r="H2482" t="s">
        <v>111</v>
      </c>
      <c r="I2482">
        <v>10</v>
      </c>
      <c r="J2482" t="s">
        <v>88</v>
      </c>
      <c r="K2482">
        <v>2</v>
      </c>
      <c r="L2482" s="3">
        <v>4999</v>
      </c>
      <c r="M2482">
        <v>25</v>
      </c>
      <c r="N2482" s="3">
        <v>3750</v>
      </c>
      <c r="O2482" s="3">
        <v>7500</v>
      </c>
      <c r="P2482" t="s">
        <v>74</v>
      </c>
      <c r="Q2482" t="s">
        <v>35</v>
      </c>
      <c r="R2482" t="s">
        <v>36</v>
      </c>
      <c r="S2482" t="s">
        <v>269</v>
      </c>
      <c r="T2482" t="s">
        <v>270</v>
      </c>
      <c r="U2482" t="s">
        <v>91</v>
      </c>
      <c r="V2482" t="s">
        <v>969</v>
      </c>
      <c r="W2482">
        <v>4.7</v>
      </c>
      <c r="X2482" t="s">
        <v>41</v>
      </c>
      <c r="Y2482" t="s">
        <v>42</v>
      </c>
      <c r="Z2482">
        <v>4</v>
      </c>
    </row>
    <row r="2483" spans="1:26">
      <c r="A2483" t="s">
        <v>3698</v>
      </c>
      <c r="B2483" t="s">
        <v>2655</v>
      </c>
      <c r="C2483" t="s">
        <v>28</v>
      </c>
      <c r="D2483" t="s">
        <v>29</v>
      </c>
      <c r="E2483" s="1">
        <v>45537</v>
      </c>
      <c r="F2483" t="s">
        <v>47</v>
      </c>
      <c r="G2483" t="s">
        <v>199</v>
      </c>
      <c r="H2483" t="s">
        <v>59</v>
      </c>
      <c r="I2483">
        <v>10</v>
      </c>
      <c r="J2483" t="s">
        <v>67</v>
      </c>
      <c r="K2483">
        <v>3</v>
      </c>
      <c r="L2483" s="3">
        <v>6699</v>
      </c>
      <c r="M2483">
        <v>5</v>
      </c>
      <c r="N2483" s="3">
        <v>6360</v>
      </c>
      <c r="O2483" s="3">
        <v>19080</v>
      </c>
      <c r="P2483" t="s">
        <v>74</v>
      </c>
      <c r="Q2483" t="s">
        <v>51</v>
      </c>
      <c r="R2483" t="s">
        <v>36</v>
      </c>
      <c r="S2483" t="s">
        <v>238</v>
      </c>
      <c r="T2483" t="s">
        <v>377</v>
      </c>
      <c r="U2483" t="s">
        <v>54</v>
      </c>
      <c r="V2483" t="s">
        <v>969</v>
      </c>
      <c r="W2483">
        <v>4.3</v>
      </c>
      <c r="X2483" t="s">
        <v>41</v>
      </c>
      <c r="Y2483" t="s">
        <v>42</v>
      </c>
      <c r="Z2483">
        <v>6</v>
      </c>
    </row>
    <row r="2484" spans="1:26">
      <c r="A2484" t="s">
        <v>3699</v>
      </c>
      <c r="B2484" t="s">
        <v>399</v>
      </c>
      <c r="C2484" t="s">
        <v>28</v>
      </c>
      <c r="D2484" t="s">
        <v>103</v>
      </c>
      <c r="E2484" s="1">
        <v>45537</v>
      </c>
      <c r="F2484" t="s">
        <v>79</v>
      </c>
      <c r="G2484" t="s">
        <v>517</v>
      </c>
      <c r="H2484" t="s">
        <v>59</v>
      </c>
      <c r="I2484">
        <v>12</v>
      </c>
      <c r="J2484" t="s">
        <v>33</v>
      </c>
      <c r="K2484">
        <v>1</v>
      </c>
      <c r="L2484" s="3">
        <v>7499</v>
      </c>
      <c r="M2484">
        <v>10</v>
      </c>
      <c r="N2484" s="3">
        <v>6750</v>
      </c>
      <c r="O2484" s="3">
        <v>6750</v>
      </c>
      <c r="P2484" t="s">
        <v>74</v>
      </c>
      <c r="Q2484" t="s">
        <v>35</v>
      </c>
      <c r="R2484" t="s">
        <v>36</v>
      </c>
      <c r="S2484" t="s">
        <v>200</v>
      </c>
      <c r="T2484" t="s">
        <v>201</v>
      </c>
      <c r="U2484" t="s">
        <v>124</v>
      </c>
      <c r="V2484" t="s">
        <v>315</v>
      </c>
      <c r="W2484">
        <v>3.6</v>
      </c>
      <c r="X2484" t="s">
        <v>41</v>
      </c>
      <c r="Y2484" t="s">
        <v>55</v>
      </c>
      <c r="Z2484">
        <v>4</v>
      </c>
    </row>
    <row r="2485" spans="1:26">
      <c r="A2485" t="s">
        <v>3700</v>
      </c>
      <c r="B2485" t="s">
        <v>2224</v>
      </c>
      <c r="C2485" t="s">
        <v>94</v>
      </c>
      <c r="D2485" t="s">
        <v>46</v>
      </c>
      <c r="E2485" s="1">
        <v>45538</v>
      </c>
      <c r="F2485" t="s">
        <v>86</v>
      </c>
      <c r="G2485" t="s">
        <v>190</v>
      </c>
      <c r="H2485" t="s">
        <v>128</v>
      </c>
      <c r="I2485">
        <v>8</v>
      </c>
      <c r="J2485" t="s">
        <v>33</v>
      </c>
      <c r="K2485">
        <v>1</v>
      </c>
      <c r="L2485" s="3">
        <v>6699</v>
      </c>
      <c r="M2485">
        <v>0</v>
      </c>
      <c r="N2485" s="3">
        <v>6700</v>
      </c>
      <c r="O2485" s="3">
        <v>6700</v>
      </c>
      <c r="P2485" t="s">
        <v>34</v>
      </c>
      <c r="Q2485" t="s">
        <v>51</v>
      </c>
      <c r="R2485" t="s">
        <v>36</v>
      </c>
      <c r="S2485" t="s">
        <v>164</v>
      </c>
      <c r="T2485" t="s">
        <v>165</v>
      </c>
      <c r="U2485" t="s">
        <v>54</v>
      </c>
      <c r="V2485" t="s">
        <v>969</v>
      </c>
      <c r="W2485">
        <v>4.7</v>
      </c>
      <c r="X2485" t="s">
        <v>62</v>
      </c>
      <c r="Y2485" t="s">
        <v>55</v>
      </c>
      <c r="Z2485">
        <v>3</v>
      </c>
    </row>
    <row r="2486" spans="1:26">
      <c r="A2486" t="s">
        <v>3701</v>
      </c>
      <c r="B2486" t="s">
        <v>1044</v>
      </c>
      <c r="C2486" t="s">
        <v>28</v>
      </c>
      <c r="D2486" t="s">
        <v>46</v>
      </c>
      <c r="E2486" s="1">
        <v>45539</v>
      </c>
      <c r="F2486" t="s">
        <v>96</v>
      </c>
      <c r="G2486" t="s">
        <v>171</v>
      </c>
      <c r="H2486" t="s">
        <v>128</v>
      </c>
      <c r="I2486">
        <v>8</v>
      </c>
      <c r="J2486" t="s">
        <v>150</v>
      </c>
      <c r="K2486">
        <v>1</v>
      </c>
      <c r="L2486" s="3">
        <v>7399</v>
      </c>
      <c r="M2486">
        <v>30</v>
      </c>
      <c r="N2486" s="3">
        <v>5180</v>
      </c>
      <c r="O2486" s="3">
        <v>5180</v>
      </c>
      <c r="P2486" t="s">
        <v>34</v>
      </c>
      <c r="Q2486" t="s">
        <v>82</v>
      </c>
      <c r="R2486" t="s">
        <v>36</v>
      </c>
      <c r="S2486" t="s">
        <v>175</v>
      </c>
      <c r="T2486" t="s">
        <v>865</v>
      </c>
      <c r="U2486" t="s">
        <v>54</v>
      </c>
      <c r="V2486" t="s">
        <v>969</v>
      </c>
      <c r="W2486">
        <v>3.6</v>
      </c>
      <c r="X2486" t="s">
        <v>41</v>
      </c>
      <c r="Y2486" t="s">
        <v>42</v>
      </c>
      <c r="Z2486">
        <v>3</v>
      </c>
    </row>
    <row r="2487" spans="1:26">
      <c r="A2487" t="s">
        <v>3702</v>
      </c>
      <c r="B2487" t="s">
        <v>2167</v>
      </c>
      <c r="C2487" t="s">
        <v>28</v>
      </c>
      <c r="D2487" t="s">
        <v>46</v>
      </c>
      <c r="E2487" s="1">
        <v>45539</v>
      </c>
      <c r="F2487" t="s">
        <v>86</v>
      </c>
      <c r="G2487" t="s">
        <v>190</v>
      </c>
      <c r="H2487" t="s">
        <v>128</v>
      </c>
      <c r="I2487">
        <v>11</v>
      </c>
      <c r="J2487" t="s">
        <v>150</v>
      </c>
      <c r="K2487">
        <v>1</v>
      </c>
      <c r="L2487" s="3">
        <v>5499</v>
      </c>
      <c r="M2487">
        <v>15</v>
      </c>
      <c r="N2487" s="3">
        <v>4670</v>
      </c>
      <c r="O2487" s="3">
        <v>4670</v>
      </c>
      <c r="P2487" t="s">
        <v>34</v>
      </c>
      <c r="Q2487" t="s">
        <v>51</v>
      </c>
      <c r="R2487" t="s">
        <v>36</v>
      </c>
      <c r="S2487" t="s">
        <v>151</v>
      </c>
      <c r="T2487" t="s">
        <v>452</v>
      </c>
      <c r="U2487" t="s">
        <v>54</v>
      </c>
      <c r="V2487" t="s">
        <v>315</v>
      </c>
      <c r="W2487">
        <v>4.2</v>
      </c>
      <c r="X2487" t="s">
        <v>41</v>
      </c>
      <c r="Y2487" t="s">
        <v>55</v>
      </c>
      <c r="Z2487">
        <v>2</v>
      </c>
    </row>
    <row r="2488" spans="1:26">
      <c r="A2488" t="s">
        <v>3703</v>
      </c>
      <c r="B2488" t="s">
        <v>3704</v>
      </c>
      <c r="C2488" t="s">
        <v>45</v>
      </c>
      <c r="D2488" t="s">
        <v>46</v>
      </c>
      <c r="E2488" s="1">
        <v>45540</v>
      </c>
      <c r="F2488" t="s">
        <v>65</v>
      </c>
      <c r="G2488" t="s">
        <v>279</v>
      </c>
      <c r="H2488" t="s">
        <v>111</v>
      </c>
      <c r="I2488">
        <v>7</v>
      </c>
      <c r="J2488" t="s">
        <v>73</v>
      </c>
      <c r="K2488">
        <v>1</v>
      </c>
      <c r="L2488" s="3">
        <v>4799</v>
      </c>
      <c r="M2488">
        <v>0</v>
      </c>
      <c r="N2488" s="3">
        <v>4800</v>
      </c>
      <c r="O2488" s="3">
        <v>4800</v>
      </c>
      <c r="P2488" t="s">
        <v>74</v>
      </c>
      <c r="Q2488" t="s">
        <v>82</v>
      </c>
      <c r="R2488" t="s">
        <v>36</v>
      </c>
      <c r="S2488" t="s">
        <v>286</v>
      </c>
      <c r="T2488" t="s">
        <v>768</v>
      </c>
      <c r="U2488" t="s">
        <v>124</v>
      </c>
      <c r="V2488" t="s">
        <v>40</v>
      </c>
      <c r="W2488">
        <v>4.9000000000000004</v>
      </c>
      <c r="X2488" t="s">
        <v>41</v>
      </c>
      <c r="Y2488" t="s">
        <v>42</v>
      </c>
      <c r="Z2488">
        <v>5</v>
      </c>
    </row>
    <row r="2489" spans="1:26">
      <c r="A2489" t="s">
        <v>3705</v>
      </c>
      <c r="B2489" t="s">
        <v>1409</v>
      </c>
      <c r="C2489" t="s">
        <v>28</v>
      </c>
      <c r="D2489" t="s">
        <v>95</v>
      </c>
      <c r="E2489" s="1">
        <v>45542</v>
      </c>
      <c r="F2489" t="s">
        <v>96</v>
      </c>
      <c r="G2489" t="s">
        <v>228</v>
      </c>
      <c r="H2489" t="s">
        <v>59</v>
      </c>
      <c r="I2489">
        <v>7</v>
      </c>
      <c r="J2489" t="s">
        <v>73</v>
      </c>
      <c r="K2489">
        <v>1</v>
      </c>
      <c r="L2489" s="3">
        <v>9199</v>
      </c>
      <c r="M2489">
        <v>10</v>
      </c>
      <c r="N2489" s="3">
        <v>8280</v>
      </c>
      <c r="O2489" s="3">
        <v>8280</v>
      </c>
      <c r="P2489" t="s">
        <v>74</v>
      </c>
      <c r="Q2489" t="s">
        <v>51</v>
      </c>
      <c r="R2489" t="s">
        <v>36</v>
      </c>
      <c r="S2489" t="s">
        <v>354</v>
      </c>
      <c r="T2489" t="s">
        <v>434</v>
      </c>
      <c r="U2489" t="s">
        <v>54</v>
      </c>
      <c r="V2489" t="s">
        <v>315</v>
      </c>
      <c r="W2489">
        <v>4.3</v>
      </c>
      <c r="X2489" t="s">
        <v>106</v>
      </c>
      <c r="Y2489" t="s">
        <v>42</v>
      </c>
      <c r="Z2489">
        <v>5</v>
      </c>
    </row>
    <row r="2490" spans="1:26">
      <c r="A2490" t="s">
        <v>3706</v>
      </c>
      <c r="B2490" t="s">
        <v>1862</v>
      </c>
      <c r="C2490" t="s">
        <v>94</v>
      </c>
      <c r="D2490" t="s">
        <v>46</v>
      </c>
      <c r="E2490" s="1">
        <v>45542</v>
      </c>
      <c r="F2490" t="s">
        <v>86</v>
      </c>
      <c r="G2490" t="s">
        <v>242</v>
      </c>
      <c r="H2490" t="s">
        <v>32</v>
      </c>
      <c r="I2490">
        <v>8</v>
      </c>
      <c r="J2490" t="s">
        <v>67</v>
      </c>
      <c r="K2490">
        <v>2</v>
      </c>
      <c r="L2490" s="3">
        <v>4399</v>
      </c>
      <c r="M2490">
        <v>0</v>
      </c>
      <c r="N2490" s="3">
        <v>4400</v>
      </c>
      <c r="O2490" s="3">
        <v>8800</v>
      </c>
      <c r="P2490" t="s">
        <v>74</v>
      </c>
      <c r="Q2490" t="s">
        <v>51</v>
      </c>
      <c r="R2490" t="s">
        <v>36</v>
      </c>
      <c r="S2490" t="s">
        <v>210</v>
      </c>
      <c r="T2490" t="s">
        <v>412</v>
      </c>
      <c r="U2490" t="s">
        <v>54</v>
      </c>
      <c r="V2490" t="s">
        <v>315</v>
      </c>
      <c r="W2490">
        <v>3.7</v>
      </c>
      <c r="X2490" t="s">
        <v>41</v>
      </c>
      <c r="Y2490" t="s">
        <v>42</v>
      </c>
      <c r="Z2490">
        <v>2</v>
      </c>
    </row>
    <row r="2491" spans="1:26">
      <c r="A2491" t="s">
        <v>3707</v>
      </c>
      <c r="B2491" t="s">
        <v>1453</v>
      </c>
      <c r="C2491" t="s">
        <v>45</v>
      </c>
      <c r="D2491" t="s">
        <v>95</v>
      </c>
      <c r="E2491" s="1">
        <v>45542</v>
      </c>
      <c r="F2491" t="s">
        <v>79</v>
      </c>
      <c r="G2491" t="s">
        <v>127</v>
      </c>
      <c r="H2491" t="s">
        <v>128</v>
      </c>
      <c r="I2491">
        <v>11</v>
      </c>
      <c r="J2491" t="s">
        <v>73</v>
      </c>
      <c r="K2491">
        <v>1</v>
      </c>
      <c r="L2491" s="3">
        <v>3399</v>
      </c>
      <c r="M2491">
        <v>5</v>
      </c>
      <c r="N2491" s="3">
        <v>3230</v>
      </c>
      <c r="O2491" s="3">
        <v>3230</v>
      </c>
      <c r="P2491" t="s">
        <v>74</v>
      </c>
      <c r="Q2491" t="s">
        <v>82</v>
      </c>
      <c r="R2491" t="s">
        <v>36</v>
      </c>
      <c r="S2491" t="s">
        <v>384</v>
      </c>
      <c r="T2491" t="s">
        <v>1217</v>
      </c>
      <c r="U2491" t="s">
        <v>91</v>
      </c>
      <c r="V2491" t="s">
        <v>969</v>
      </c>
      <c r="W2491">
        <v>3.9</v>
      </c>
      <c r="X2491" t="s">
        <v>62</v>
      </c>
      <c r="Y2491" t="s">
        <v>55</v>
      </c>
      <c r="Z2491">
        <v>1</v>
      </c>
    </row>
    <row r="2492" spans="1:26">
      <c r="A2492" t="s">
        <v>3708</v>
      </c>
      <c r="B2492" t="s">
        <v>1591</v>
      </c>
      <c r="C2492" t="s">
        <v>28</v>
      </c>
      <c r="D2492" t="s">
        <v>95</v>
      </c>
      <c r="E2492" s="1">
        <v>45542</v>
      </c>
      <c r="F2492" t="s">
        <v>86</v>
      </c>
      <c r="G2492" t="s">
        <v>312</v>
      </c>
      <c r="H2492" t="s">
        <v>59</v>
      </c>
      <c r="I2492">
        <v>8</v>
      </c>
      <c r="J2492" t="s">
        <v>67</v>
      </c>
      <c r="K2492">
        <v>3</v>
      </c>
      <c r="L2492" s="3">
        <v>7399</v>
      </c>
      <c r="M2492">
        <v>15</v>
      </c>
      <c r="N2492" s="3">
        <v>6290</v>
      </c>
      <c r="O2492" s="3">
        <v>18870</v>
      </c>
      <c r="P2492" t="s">
        <v>74</v>
      </c>
      <c r="Q2492" t="s">
        <v>82</v>
      </c>
      <c r="R2492" t="s">
        <v>36</v>
      </c>
      <c r="S2492" t="s">
        <v>338</v>
      </c>
      <c r="T2492" t="s">
        <v>779</v>
      </c>
      <c r="U2492" t="s">
        <v>61</v>
      </c>
      <c r="V2492" t="s">
        <v>315</v>
      </c>
      <c r="W2492">
        <v>4.3</v>
      </c>
      <c r="X2492" t="s">
        <v>41</v>
      </c>
      <c r="Y2492" t="s">
        <v>55</v>
      </c>
      <c r="Z2492">
        <v>2</v>
      </c>
    </row>
    <row r="2493" spans="1:26">
      <c r="A2493" t="s">
        <v>3709</v>
      </c>
      <c r="B2493" t="s">
        <v>3622</v>
      </c>
      <c r="C2493" t="s">
        <v>45</v>
      </c>
      <c r="D2493" t="s">
        <v>109</v>
      </c>
      <c r="E2493" s="1">
        <v>45543</v>
      </c>
      <c r="F2493" t="s">
        <v>79</v>
      </c>
      <c r="G2493" t="s">
        <v>174</v>
      </c>
      <c r="H2493" t="s">
        <v>32</v>
      </c>
      <c r="I2493">
        <v>8</v>
      </c>
      <c r="J2493" t="s">
        <v>73</v>
      </c>
      <c r="K2493">
        <v>1</v>
      </c>
      <c r="L2493" s="3">
        <v>8299</v>
      </c>
      <c r="M2493">
        <v>5</v>
      </c>
      <c r="N2493" s="3">
        <v>7880</v>
      </c>
      <c r="O2493" s="3">
        <v>7880</v>
      </c>
      <c r="P2493" t="s">
        <v>74</v>
      </c>
      <c r="Q2493" t="s">
        <v>82</v>
      </c>
      <c r="R2493" t="s">
        <v>36</v>
      </c>
      <c r="S2493" t="s">
        <v>37</v>
      </c>
      <c r="T2493" t="s">
        <v>38</v>
      </c>
      <c r="U2493" t="s">
        <v>124</v>
      </c>
      <c r="V2493" t="s">
        <v>315</v>
      </c>
      <c r="W2493">
        <v>3.9</v>
      </c>
      <c r="X2493" t="s">
        <v>106</v>
      </c>
      <c r="Y2493" t="s">
        <v>42</v>
      </c>
      <c r="Z2493">
        <v>6</v>
      </c>
    </row>
    <row r="2494" spans="1:26">
      <c r="A2494" t="s">
        <v>3710</v>
      </c>
      <c r="B2494" t="s">
        <v>1973</v>
      </c>
      <c r="C2494" t="s">
        <v>94</v>
      </c>
      <c r="D2494" t="s">
        <v>103</v>
      </c>
      <c r="E2494" s="1">
        <v>45544</v>
      </c>
      <c r="F2494" t="s">
        <v>47</v>
      </c>
      <c r="G2494" t="s">
        <v>199</v>
      </c>
      <c r="H2494" t="s">
        <v>59</v>
      </c>
      <c r="I2494">
        <v>9</v>
      </c>
      <c r="J2494" t="s">
        <v>73</v>
      </c>
      <c r="K2494">
        <v>1</v>
      </c>
      <c r="L2494" s="3">
        <v>4699</v>
      </c>
      <c r="M2494">
        <v>5</v>
      </c>
      <c r="N2494" s="3">
        <v>4460</v>
      </c>
      <c r="O2494" s="3">
        <v>4460</v>
      </c>
      <c r="P2494" t="s">
        <v>74</v>
      </c>
      <c r="Q2494" t="s">
        <v>82</v>
      </c>
      <c r="R2494" t="s">
        <v>36</v>
      </c>
      <c r="S2494" t="s">
        <v>99</v>
      </c>
      <c r="T2494" t="s">
        <v>229</v>
      </c>
      <c r="U2494" t="s">
        <v>39</v>
      </c>
      <c r="V2494" t="s">
        <v>969</v>
      </c>
      <c r="W2494">
        <v>4.5</v>
      </c>
      <c r="X2494" t="s">
        <v>41</v>
      </c>
      <c r="Y2494" t="s">
        <v>147</v>
      </c>
      <c r="Z2494">
        <v>2</v>
      </c>
    </row>
    <row r="2495" spans="1:26">
      <c r="A2495" t="s">
        <v>3711</v>
      </c>
      <c r="B2495" t="s">
        <v>3712</v>
      </c>
      <c r="C2495" t="s">
        <v>28</v>
      </c>
      <c r="D2495" t="s">
        <v>103</v>
      </c>
      <c r="E2495" s="1">
        <v>45544</v>
      </c>
      <c r="F2495" t="s">
        <v>96</v>
      </c>
      <c r="G2495" t="s">
        <v>290</v>
      </c>
      <c r="H2495" t="s">
        <v>32</v>
      </c>
      <c r="I2495">
        <v>6</v>
      </c>
      <c r="J2495" t="s">
        <v>88</v>
      </c>
      <c r="K2495">
        <v>1</v>
      </c>
      <c r="L2495" s="3">
        <v>6499</v>
      </c>
      <c r="M2495">
        <v>35</v>
      </c>
      <c r="N2495" s="3">
        <v>4220</v>
      </c>
      <c r="O2495" s="3">
        <v>4220</v>
      </c>
      <c r="P2495" t="s">
        <v>50</v>
      </c>
      <c r="Q2495" t="s">
        <v>35</v>
      </c>
      <c r="R2495" t="s">
        <v>36</v>
      </c>
      <c r="S2495" t="s">
        <v>117</v>
      </c>
      <c r="T2495" t="s">
        <v>751</v>
      </c>
      <c r="U2495" t="s">
        <v>39</v>
      </c>
      <c r="V2495" t="s">
        <v>40</v>
      </c>
      <c r="W2495">
        <v>3.8</v>
      </c>
      <c r="X2495" t="s">
        <v>41</v>
      </c>
      <c r="Y2495" t="s">
        <v>42</v>
      </c>
      <c r="Z2495">
        <v>5</v>
      </c>
    </row>
    <row r="2496" spans="1:26">
      <c r="A2496" t="s">
        <v>3713</v>
      </c>
      <c r="B2496" t="s">
        <v>758</v>
      </c>
      <c r="C2496" t="s">
        <v>28</v>
      </c>
      <c r="D2496" t="s">
        <v>46</v>
      </c>
      <c r="E2496" s="1">
        <v>45544</v>
      </c>
      <c r="F2496" t="s">
        <v>47</v>
      </c>
      <c r="G2496" t="s">
        <v>140</v>
      </c>
      <c r="H2496" t="s">
        <v>128</v>
      </c>
      <c r="I2496">
        <v>10</v>
      </c>
      <c r="J2496" t="s">
        <v>150</v>
      </c>
      <c r="K2496">
        <v>1</v>
      </c>
      <c r="L2496" s="3">
        <v>3799</v>
      </c>
      <c r="M2496">
        <v>15</v>
      </c>
      <c r="N2496" s="3">
        <v>3230</v>
      </c>
      <c r="O2496" s="3">
        <v>3230</v>
      </c>
      <c r="P2496" t="s">
        <v>74</v>
      </c>
      <c r="Q2496" t="s">
        <v>82</v>
      </c>
      <c r="R2496" t="s">
        <v>36</v>
      </c>
      <c r="S2496" t="s">
        <v>354</v>
      </c>
      <c r="T2496" t="s">
        <v>355</v>
      </c>
      <c r="U2496" t="s">
        <v>39</v>
      </c>
      <c r="V2496" t="s">
        <v>969</v>
      </c>
      <c r="W2496">
        <v>3.7</v>
      </c>
      <c r="X2496" t="s">
        <v>62</v>
      </c>
      <c r="Y2496" t="s">
        <v>55</v>
      </c>
      <c r="Z2496">
        <v>3</v>
      </c>
    </row>
    <row r="2497" spans="1:26">
      <c r="A2497" t="s">
        <v>3714</v>
      </c>
      <c r="B2497" t="s">
        <v>2732</v>
      </c>
      <c r="C2497" t="s">
        <v>28</v>
      </c>
      <c r="D2497" t="s">
        <v>46</v>
      </c>
      <c r="E2497" s="1">
        <v>45546</v>
      </c>
      <c r="F2497" t="s">
        <v>30</v>
      </c>
      <c r="G2497" t="s">
        <v>347</v>
      </c>
      <c r="H2497" t="s">
        <v>49</v>
      </c>
      <c r="I2497">
        <v>7</v>
      </c>
      <c r="J2497" t="s">
        <v>98</v>
      </c>
      <c r="K2497">
        <v>1</v>
      </c>
      <c r="L2497" s="3">
        <v>4899</v>
      </c>
      <c r="M2497">
        <v>15</v>
      </c>
      <c r="N2497" s="3">
        <v>4160</v>
      </c>
      <c r="O2497" s="3">
        <v>4160</v>
      </c>
      <c r="P2497" t="s">
        <v>74</v>
      </c>
      <c r="Q2497" t="s">
        <v>51</v>
      </c>
      <c r="R2497" t="s">
        <v>36</v>
      </c>
      <c r="S2497" t="s">
        <v>358</v>
      </c>
      <c r="T2497" t="s">
        <v>805</v>
      </c>
      <c r="U2497" t="s">
        <v>54</v>
      </c>
      <c r="V2497" t="s">
        <v>315</v>
      </c>
      <c r="W2497">
        <v>3.2</v>
      </c>
      <c r="X2497" t="s">
        <v>41</v>
      </c>
      <c r="Y2497" t="s">
        <v>55</v>
      </c>
      <c r="Z2497">
        <v>3</v>
      </c>
    </row>
    <row r="2498" spans="1:26">
      <c r="A2498" t="s">
        <v>3715</v>
      </c>
      <c r="B2498" t="s">
        <v>227</v>
      </c>
      <c r="C2498" t="s">
        <v>45</v>
      </c>
      <c r="D2498" t="s">
        <v>103</v>
      </c>
      <c r="E2498" s="1">
        <v>45547</v>
      </c>
      <c r="F2498" t="s">
        <v>96</v>
      </c>
      <c r="G2498" t="s">
        <v>290</v>
      </c>
      <c r="H2498" t="s">
        <v>32</v>
      </c>
      <c r="I2498">
        <v>7</v>
      </c>
      <c r="J2498" t="s">
        <v>73</v>
      </c>
      <c r="K2498">
        <v>1</v>
      </c>
      <c r="L2498" s="3">
        <v>6799</v>
      </c>
      <c r="M2498">
        <v>25</v>
      </c>
      <c r="N2498" s="3">
        <v>5100</v>
      </c>
      <c r="O2498" s="3">
        <v>5100</v>
      </c>
      <c r="P2498" t="s">
        <v>74</v>
      </c>
      <c r="Q2498" t="s">
        <v>51</v>
      </c>
      <c r="R2498" t="s">
        <v>36</v>
      </c>
      <c r="S2498" t="s">
        <v>122</v>
      </c>
      <c r="T2498" t="s">
        <v>304</v>
      </c>
      <c r="U2498" t="s">
        <v>54</v>
      </c>
      <c r="V2498" t="s">
        <v>315</v>
      </c>
      <c r="W2498">
        <v>4.4000000000000004</v>
      </c>
      <c r="X2498" t="s">
        <v>41</v>
      </c>
      <c r="Y2498" t="s">
        <v>42</v>
      </c>
      <c r="Z2498">
        <v>4</v>
      </c>
    </row>
    <row r="2499" spans="1:26">
      <c r="A2499" t="s">
        <v>3716</v>
      </c>
      <c r="B2499" t="s">
        <v>1814</v>
      </c>
      <c r="C2499" t="s">
        <v>45</v>
      </c>
      <c r="D2499" t="s">
        <v>103</v>
      </c>
      <c r="E2499" s="1">
        <v>45552</v>
      </c>
      <c r="F2499" t="s">
        <v>79</v>
      </c>
      <c r="G2499" t="s">
        <v>80</v>
      </c>
      <c r="H2499" t="s">
        <v>59</v>
      </c>
      <c r="I2499">
        <v>8</v>
      </c>
      <c r="J2499" t="s">
        <v>150</v>
      </c>
      <c r="K2499">
        <v>1</v>
      </c>
      <c r="L2499" s="3">
        <v>3599</v>
      </c>
      <c r="M2499">
        <v>20</v>
      </c>
      <c r="N2499" s="3">
        <v>2880</v>
      </c>
      <c r="O2499" s="3">
        <v>2880</v>
      </c>
      <c r="P2499" t="s">
        <v>74</v>
      </c>
      <c r="Q2499" t="s">
        <v>35</v>
      </c>
      <c r="R2499" t="s">
        <v>36</v>
      </c>
      <c r="S2499" t="s">
        <v>104</v>
      </c>
      <c r="T2499" t="s">
        <v>105</v>
      </c>
      <c r="U2499" t="s">
        <v>61</v>
      </c>
      <c r="V2499" t="s">
        <v>969</v>
      </c>
      <c r="W2499">
        <v>4.8</v>
      </c>
      <c r="X2499" t="s">
        <v>41</v>
      </c>
      <c r="Y2499" t="s">
        <v>55</v>
      </c>
      <c r="Z2499">
        <v>2</v>
      </c>
    </row>
    <row r="2500" spans="1:26">
      <c r="A2500" t="s">
        <v>3717</v>
      </c>
      <c r="B2500" t="s">
        <v>1702</v>
      </c>
      <c r="C2500" t="s">
        <v>45</v>
      </c>
      <c r="D2500" t="s">
        <v>95</v>
      </c>
      <c r="E2500" s="1">
        <v>45554</v>
      </c>
      <c r="F2500" t="s">
        <v>79</v>
      </c>
      <c r="G2500" t="s">
        <v>174</v>
      </c>
      <c r="H2500" t="s">
        <v>32</v>
      </c>
      <c r="I2500">
        <v>10</v>
      </c>
      <c r="J2500" t="s">
        <v>88</v>
      </c>
      <c r="K2500">
        <v>1</v>
      </c>
      <c r="L2500" s="3">
        <v>5699</v>
      </c>
      <c r="M2500">
        <v>15</v>
      </c>
      <c r="N2500" s="3">
        <v>4840</v>
      </c>
      <c r="O2500" s="3">
        <v>4840</v>
      </c>
      <c r="P2500" t="s">
        <v>74</v>
      </c>
      <c r="Q2500" t="s">
        <v>35</v>
      </c>
      <c r="R2500" t="s">
        <v>36</v>
      </c>
      <c r="S2500" t="s">
        <v>117</v>
      </c>
      <c r="T2500" t="s">
        <v>118</v>
      </c>
      <c r="U2500" t="s">
        <v>61</v>
      </c>
      <c r="V2500" t="s">
        <v>969</v>
      </c>
      <c r="W2500">
        <v>4.7</v>
      </c>
      <c r="X2500" t="s">
        <v>106</v>
      </c>
      <c r="Y2500" t="s">
        <v>55</v>
      </c>
      <c r="Z2500">
        <v>1</v>
      </c>
    </row>
    <row r="2501" spans="1:26">
      <c r="A2501" t="s">
        <v>3718</v>
      </c>
      <c r="B2501" t="s">
        <v>870</v>
      </c>
      <c r="C2501" t="s">
        <v>45</v>
      </c>
      <c r="D2501" t="s">
        <v>103</v>
      </c>
      <c r="E2501" s="1">
        <v>45555</v>
      </c>
      <c r="F2501" t="s">
        <v>79</v>
      </c>
      <c r="G2501" t="s">
        <v>80</v>
      </c>
      <c r="H2501" t="s">
        <v>59</v>
      </c>
      <c r="I2501">
        <v>8</v>
      </c>
      <c r="J2501" t="s">
        <v>98</v>
      </c>
      <c r="K2501">
        <v>1</v>
      </c>
      <c r="L2501" s="3">
        <v>4499</v>
      </c>
      <c r="M2501">
        <v>10</v>
      </c>
      <c r="N2501" s="3">
        <v>4050</v>
      </c>
      <c r="O2501" s="3">
        <v>4050</v>
      </c>
      <c r="P2501" t="s">
        <v>74</v>
      </c>
      <c r="Q2501" t="s">
        <v>35</v>
      </c>
      <c r="R2501" t="s">
        <v>36</v>
      </c>
      <c r="S2501" t="s">
        <v>168</v>
      </c>
      <c r="T2501" t="s">
        <v>168</v>
      </c>
      <c r="U2501" t="s">
        <v>39</v>
      </c>
      <c r="V2501" t="s">
        <v>969</v>
      </c>
      <c r="W2501">
        <v>3.6</v>
      </c>
      <c r="X2501" t="s">
        <v>106</v>
      </c>
      <c r="Y2501" t="s">
        <v>42</v>
      </c>
      <c r="Z2501">
        <v>4</v>
      </c>
    </row>
    <row r="2502" spans="1:26">
      <c r="A2502" t="s">
        <v>3719</v>
      </c>
      <c r="B2502" t="s">
        <v>3306</v>
      </c>
      <c r="C2502" t="s">
        <v>28</v>
      </c>
      <c r="D2502" t="s">
        <v>109</v>
      </c>
      <c r="E2502" s="1">
        <v>45556</v>
      </c>
      <c r="F2502" t="s">
        <v>96</v>
      </c>
      <c r="G2502" t="s">
        <v>171</v>
      </c>
      <c r="H2502" t="s">
        <v>128</v>
      </c>
      <c r="I2502">
        <v>10</v>
      </c>
      <c r="J2502" t="s">
        <v>67</v>
      </c>
      <c r="K2502">
        <v>4</v>
      </c>
      <c r="L2502" s="3">
        <v>3999</v>
      </c>
      <c r="M2502">
        <v>15</v>
      </c>
      <c r="N2502" s="3">
        <v>3400</v>
      </c>
      <c r="O2502" s="3">
        <v>13600</v>
      </c>
      <c r="P2502" t="s">
        <v>74</v>
      </c>
      <c r="Q2502" t="s">
        <v>51</v>
      </c>
      <c r="R2502" t="s">
        <v>36</v>
      </c>
      <c r="S2502" t="s">
        <v>418</v>
      </c>
      <c r="T2502" t="s">
        <v>924</v>
      </c>
      <c r="U2502" t="s">
        <v>39</v>
      </c>
      <c r="V2502" t="s">
        <v>315</v>
      </c>
      <c r="W2502">
        <v>2.6</v>
      </c>
      <c r="X2502" t="s">
        <v>41</v>
      </c>
      <c r="Y2502" t="s">
        <v>55</v>
      </c>
      <c r="Z2502">
        <v>3</v>
      </c>
    </row>
    <row r="2503" spans="1:26">
      <c r="A2503" t="s">
        <v>3720</v>
      </c>
      <c r="B2503" t="s">
        <v>945</v>
      </c>
      <c r="C2503" t="s">
        <v>28</v>
      </c>
      <c r="D2503" t="s">
        <v>103</v>
      </c>
      <c r="E2503" s="1">
        <v>45557</v>
      </c>
      <c r="F2503" t="s">
        <v>47</v>
      </c>
      <c r="G2503" t="s">
        <v>121</v>
      </c>
      <c r="H2503" t="s">
        <v>111</v>
      </c>
      <c r="I2503">
        <v>8</v>
      </c>
      <c r="J2503" t="s">
        <v>67</v>
      </c>
      <c r="K2503">
        <v>1</v>
      </c>
      <c r="L2503" s="3">
        <v>4999</v>
      </c>
      <c r="M2503">
        <v>15</v>
      </c>
      <c r="N2503" s="3">
        <v>4250</v>
      </c>
      <c r="O2503" s="3">
        <v>4250</v>
      </c>
      <c r="P2503" t="s">
        <v>74</v>
      </c>
      <c r="Q2503" t="s">
        <v>51</v>
      </c>
      <c r="R2503" t="s">
        <v>36</v>
      </c>
      <c r="S2503" t="s">
        <v>122</v>
      </c>
      <c r="T2503" t="s">
        <v>372</v>
      </c>
      <c r="U2503" t="s">
        <v>54</v>
      </c>
      <c r="V2503" t="s">
        <v>969</v>
      </c>
      <c r="W2503">
        <v>3.5</v>
      </c>
      <c r="X2503" t="s">
        <v>41</v>
      </c>
      <c r="Y2503" t="s">
        <v>55</v>
      </c>
      <c r="Z2503">
        <v>2</v>
      </c>
    </row>
    <row r="2504" spans="1:26">
      <c r="A2504" t="s">
        <v>3721</v>
      </c>
      <c r="B2504" t="s">
        <v>886</v>
      </c>
      <c r="C2504" t="s">
        <v>94</v>
      </c>
      <c r="D2504" t="s">
        <v>46</v>
      </c>
      <c r="E2504" s="1">
        <v>45559</v>
      </c>
      <c r="F2504" t="s">
        <v>86</v>
      </c>
      <c r="G2504" t="s">
        <v>87</v>
      </c>
      <c r="H2504" t="s">
        <v>59</v>
      </c>
      <c r="I2504">
        <v>11</v>
      </c>
      <c r="J2504" t="s">
        <v>98</v>
      </c>
      <c r="K2504">
        <v>1</v>
      </c>
      <c r="L2504" s="3">
        <v>7199</v>
      </c>
      <c r="M2504">
        <v>0</v>
      </c>
      <c r="N2504" s="3">
        <v>7200</v>
      </c>
      <c r="O2504" s="3">
        <v>7200</v>
      </c>
      <c r="P2504" t="s">
        <v>74</v>
      </c>
      <c r="Q2504" t="s">
        <v>35</v>
      </c>
      <c r="R2504" t="s">
        <v>36</v>
      </c>
      <c r="S2504" t="s">
        <v>175</v>
      </c>
      <c r="T2504" t="s">
        <v>437</v>
      </c>
      <c r="U2504" t="s">
        <v>39</v>
      </c>
      <c r="V2504" t="s">
        <v>315</v>
      </c>
      <c r="W2504">
        <v>3.1</v>
      </c>
      <c r="X2504" t="s">
        <v>41</v>
      </c>
      <c r="Y2504" t="s">
        <v>42</v>
      </c>
      <c r="Z2504">
        <v>2</v>
      </c>
    </row>
    <row r="2505" spans="1:26">
      <c r="A2505" t="s">
        <v>3722</v>
      </c>
      <c r="B2505" t="s">
        <v>932</v>
      </c>
      <c r="C2505" t="s">
        <v>28</v>
      </c>
      <c r="D2505" t="s">
        <v>95</v>
      </c>
      <c r="E2505" s="1">
        <v>45559</v>
      </c>
      <c r="F2505" t="s">
        <v>30</v>
      </c>
      <c r="G2505" t="s">
        <v>58</v>
      </c>
      <c r="H2505" t="s">
        <v>59</v>
      </c>
      <c r="I2505">
        <v>11</v>
      </c>
      <c r="J2505" t="s">
        <v>98</v>
      </c>
      <c r="K2505">
        <v>1</v>
      </c>
      <c r="L2505" s="3">
        <v>6899</v>
      </c>
      <c r="M2505">
        <v>0</v>
      </c>
      <c r="N2505" s="3">
        <v>6900</v>
      </c>
      <c r="O2505" s="3">
        <v>6900</v>
      </c>
      <c r="P2505" t="s">
        <v>74</v>
      </c>
      <c r="Q2505" t="s">
        <v>35</v>
      </c>
      <c r="R2505" t="s">
        <v>36</v>
      </c>
      <c r="S2505" t="s">
        <v>117</v>
      </c>
      <c r="T2505" t="s">
        <v>544</v>
      </c>
      <c r="U2505" t="s">
        <v>61</v>
      </c>
      <c r="V2505" t="s">
        <v>315</v>
      </c>
      <c r="W2505">
        <v>4.3</v>
      </c>
      <c r="X2505" t="s">
        <v>41</v>
      </c>
      <c r="Y2505" t="s">
        <v>55</v>
      </c>
      <c r="Z2505">
        <v>3</v>
      </c>
    </row>
    <row r="2506" spans="1:26">
      <c r="A2506" t="s">
        <v>3723</v>
      </c>
      <c r="B2506" t="s">
        <v>2398</v>
      </c>
      <c r="C2506" t="s">
        <v>28</v>
      </c>
      <c r="D2506" t="s">
        <v>103</v>
      </c>
      <c r="E2506" s="1">
        <v>45559</v>
      </c>
      <c r="F2506" t="s">
        <v>65</v>
      </c>
      <c r="G2506" t="s">
        <v>365</v>
      </c>
      <c r="H2506" t="s">
        <v>49</v>
      </c>
      <c r="I2506">
        <v>6</v>
      </c>
      <c r="J2506" t="s">
        <v>98</v>
      </c>
      <c r="K2506">
        <v>1</v>
      </c>
      <c r="L2506" s="3">
        <v>3299</v>
      </c>
      <c r="M2506">
        <v>15</v>
      </c>
      <c r="N2506" s="3">
        <v>2800</v>
      </c>
      <c r="O2506" s="3">
        <v>2800</v>
      </c>
      <c r="P2506" t="s">
        <v>34</v>
      </c>
      <c r="Q2506" t="s">
        <v>82</v>
      </c>
      <c r="R2506" t="s">
        <v>36</v>
      </c>
      <c r="S2506" t="s">
        <v>99</v>
      </c>
      <c r="T2506" t="s">
        <v>335</v>
      </c>
      <c r="U2506" t="s">
        <v>61</v>
      </c>
      <c r="V2506" t="s">
        <v>969</v>
      </c>
      <c r="W2506">
        <v>4.5999999999999996</v>
      </c>
      <c r="X2506" t="s">
        <v>62</v>
      </c>
      <c r="Y2506" t="s">
        <v>42</v>
      </c>
      <c r="Z2506">
        <v>5</v>
      </c>
    </row>
    <row r="2507" spans="1:26">
      <c r="A2507" t="s">
        <v>3724</v>
      </c>
      <c r="B2507" t="s">
        <v>633</v>
      </c>
      <c r="C2507" t="s">
        <v>28</v>
      </c>
      <c r="D2507" t="s">
        <v>29</v>
      </c>
      <c r="E2507" s="1">
        <v>45562</v>
      </c>
      <c r="F2507" t="s">
        <v>30</v>
      </c>
      <c r="G2507" t="s">
        <v>145</v>
      </c>
      <c r="H2507" t="s">
        <v>59</v>
      </c>
      <c r="I2507">
        <v>7</v>
      </c>
      <c r="J2507" t="s">
        <v>67</v>
      </c>
      <c r="K2507">
        <v>2</v>
      </c>
      <c r="L2507" s="3">
        <v>4799</v>
      </c>
      <c r="M2507">
        <v>40</v>
      </c>
      <c r="N2507" s="3">
        <v>2880</v>
      </c>
      <c r="O2507" s="3">
        <v>5760</v>
      </c>
      <c r="P2507" t="s">
        <v>74</v>
      </c>
      <c r="Q2507" t="s">
        <v>82</v>
      </c>
      <c r="R2507" t="s">
        <v>36</v>
      </c>
      <c r="S2507" t="s">
        <v>182</v>
      </c>
      <c r="T2507" t="s">
        <v>503</v>
      </c>
      <c r="U2507" t="s">
        <v>124</v>
      </c>
      <c r="V2507" t="s">
        <v>969</v>
      </c>
      <c r="W2507">
        <v>4.2</v>
      </c>
      <c r="X2507" t="s">
        <v>41</v>
      </c>
      <c r="Y2507" t="s">
        <v>55</v>
      </c>
      <c r="Z2507">
        <v>3</v>
      </c>
    </row>
    <row r="2508" spans="1:26">
      <c r="A2508" t="s">
        <v>3725</v>
      </c>
      <c r="B2508" t="s">
        <v>1440</v>
      </c>
      <c r="C2508" t="s">
        <v>28</v>
      </c>
      <c r="D2508" t="s">
        <v>46</v>
      </c>
      <c r="E2508" s="1">
        <v>45562</v>
      </c>
      <c r="F2508" t="s">
        <v>96</v>
      </c>
      <c r="G2508" t="s">
        <v>290</v>
      </c>
      <c r="H2508" t="s">
        <v>32</v>
      </c>
      <c r="I2508">
        <v>9</v>
      </c>
      <c r="J2508" t="s">
        <v>98</v>
      </c>
      <c r="K2508">
        <v>4</v>
      </c>
      <c r="L2508" s="3">
        <v>9699</v>
      </c>
      <c r="M2508">
        <v>35</v>
      </c>
      <c r="N2508" s="3">
        <v>6300</v>
      </c>
      <c r="O2508" s="3">
        <v>25200</v>
      </c>
      <c r="P2508" t="s">
        <v>74</v>
      </c>
      <c r="Q2508" t="s">
        <v>51</v>
      </c>
      <c r="R2508" t="s">
        <v>36</v>
      </c>
      <c r="S2508" t="s">
        <v>195</v>
      </c>
      <c r="T2508" t="s">
        <v>215</v>
      </c>
      <c r="U2508" t="s">
        <v>124</v>
      </c>
      <c r="V2508" t="s">
        <v>315</v>
      </c>
      <c r="W2508">
        <v>4.3</v>
      </c>
      <c r="X2508" t="s">
        <v>62</v>
      </c>
      <c r="Y2508" t="s">
        <v>55</v>
      </c>
      <c r="Z2508">
        <v>2</v>
      </c>
    </row>
    <row r="2509" spans="1:26">
      <c r="A2509" t="s">
        <v>3726</v>
      </c>
      <c r="B2509" t="s">
        <v>457</v>
      </c>
      <c r="C2509" t="s">
        <v>28</v>
      </c>
      <c r="D2509" t="s">
        <v>46</v>
      </c>
      <c r="E2509" s="1">
        <v>45563</v>
      </c>
      <c r="F2509" t="s">
        <v>79</v>
      </c>
      <c r="G2509" t="s">
        <v>127</v>
      </c>
      <c r="H2509" t="s">
        <v>128</v>
      </c>
      <c r="I2509">
        <v>7</v>
      </c>
      <c r="J2509" t="s">
        <v>67</v>
      </c>
      <c r="K2509">
        <v>2</v>
      </c>
      <c r="L2509" s="3">
        <v>6799</v>
      </c>
      <c r="M2509">
        <v>15</v>
      </c>
      <c r="N2509" s="3">
        <v>5780</v>
      </c>
      <c r="O2509" s="3">
        <v>11560</v>
      </c>
      <c r="P2509" t="s">
        <v>74</v>
      </c>
      <c r="Q2509" t="s">
        <v>51</v>
      </c>
      <c r="R2509" t="s">
        <v>36</v>
      </c>
      <c r="S2509" t="s">
        <v>354</v>
      </c>
      <c r="T2509" t="s">
        <v>355</v>
      </c>
      <c r="U2509" t="s">
        <v>39</v>
      </c>
      <c r="V2509" t="s">
        <v>969</v>
      </c>
      <c r="W2509">
        <v>3.5</v>
      </c>
      <c r="X2509" t="s">
        <v>41</v>
      </c>
      <c r="Y2509" t="s">
        <v>55</v>
      </c>
      <c r="Z2509">
        <v>1</v>
      </c>
    </row>
    <row r="2510" spans="1:26">
      <c r="A2510" t="s">
        <v>3727</v>
      </c>
      <c r="B2510" t="s">
        <v>2429</v>
      </c>
      <c r="C2510" t="s">
        <v>28</v>
      </c>
      <c r="D2510" t="s">
        <v>46</v>
      </c>
      <c r="E2510" s="1">
        <v>45563</v>
      </c>
      <c r="F2510" t="s">
        <v>65</v>
      </c>
      <c r="G2510" t="s">
        <v>279</v>
      </c>
      <c r="H2510" t="s">
        <v>111</v>
      </c>
      <c r="I2510">
        <v>11</v>
      </c>
      <c r="J2510" t="s">
        <v>33</v>
      </c>
      <c r="K2510">
        <v>1</v>
      </c>
      <c r="L2510" s="3">
        <v>4899</v>
      </c>
      <c r="M2510">
        <v>25</v>
      </c>
      <c r="N2510" s="3">
        <v>3670</v>
      </c>
      <c r="O2510" s="3">
        <v>3670</v>
      </c>
      <c r="P2510" t="s">
        <v>34</v>
      </c>
      <c r="Q2510" t="s">
        <v>35</v>
      </c>
      <c r="R2510" t="s">
        <v>36</v>
      </c>
      <c r="S2510" t="s">
        <v>269</v>
      </c>
      <c r="T2510" t="s">
        <v>961</v>
      </c>
      <c r="U2510" t="s">
        <v>91</v>
      </c>
      <c r="V2510" t="s">
        <v>315</v>
      </c>
      <c r="W2510">
        <v>3.7</v>
      </c>
      <c r="X2510" t="s">
        <v>41</v>
      </c>
      <c r="Y2510" t="s">
        <v>42</v>
      </c>
      <c r="Z2510">
        <v>3</v>
      </c>
    </row>
    <row r="2511" spans="1:26">
      <c r="A2511" t="s">
        <v>3728</v>
      </c>
      <c r="B2511" t="s">
        <v>149</v>
      </c>
      <c r="C2511" t="s">
        <v>28</v>
      </c>
      <c r="D2511" t="s">
        <v>29</v>
      </c>
      <c r="E2511" s="1">
        <v>45566</v>
      </c>
      <c r="F2511" t="s">
        <v>65</v>
      </c>
      <c r="G2511" t="s">
        <v>66</v>
      </c>
      <c r="H2511" t="s">
        <v>59</v>
      </c>
      <c r="I2511">
        <v>9</v>
      </c>
      <c r="J2511" t="s">
        <v>67</v>
      </c>
      <c r="K2511">
        <v>1</v>
      </c>
      <c r="L2511" s="3">
        <v>8599</v>
      </c>
      <c r="M2511">
        <v>15</v>
      </c>
      <c r="N2511" s="3">
        <v>7310</v>
      </c>
      <c r="O2511" s="3">
        <v>7310</v>
      </c>
      <c r="P2511" t="s">
        <v>34</v>
      </c>
      <c r="Q2511" t="s">
        <v>51</v>
      </c>
      <c r="R2511" t="s">
        <v>36</v>
      </c>
      <c r="S2511" t="s">
        <v>117</v>
      </c>
      <c r="T2511" t="s">
        <v>253</v>
      </c>
      <c r="U2511" t="s">
        <v>54</v>
      </c>
      <c r="V2511" t="s">
        <v>315</v>
      </c>
      <c r="W2511">
        <v>3.9</v>
      </c>
      <c r="X2511" t="s">
        <v>41</v>
      </c>
      <c r="Y2511" t="s">
        <v>42</v>
      </c>
      <c r="Z2511">
        <v>3</v>
      </c>
    </row>
    <row r="2512" spans="1:26">
      <c r="A2512" t="s">
        <v>3729</v>
      </c>
      <c r="B2512" t="s">
        <v>1875</v>
      </c>
      <c r="C2512" t="s">
        <v>45</v>
      </c>
      <c r="D2512" t="s">
        <v>95</v>
      </c>
      <c r="E2512" s="1">
        <v>45566</v>
      </c>
      <c r="F2512" t="s">
        <v>65</v>
      </c>
      <c r="G2512" t="s">
        <v>268</v>
      </c>
      <c r="H2512" t="s">
        <v>128</v>
      </c>
      <c r="I2512">
        <v>6</v>
      </c>
      <c r="J2512" t="s">
        <v>67</v>
      </c>
      <c r="K2512">
        <v>1</v>
      </c>
      <c r="L2512" s="3">
        <v>6399</v>
      </c>
      <c r="M2512">
        <v>0</v>
      </c>
      <c r="N2512" s="3">
        <v>6400</v>
      </c>
      <c r="O2512" s="3">
        <v>6400</v>
      </c>
      <c r="P2512" t="s">
        <v>74</v>
      </c>
      <c r="Q2512" t="s">
        <v>82</v>
      </c>
      <c r="R2512" t="s">
        <v>36</v>
      </c>
      <c r="S2512" t="s">
        <v>238</v>
      </c>
      <c r="T2512" t="s">
        <v>239</v>
      </c>
      <c r="U2512" t="s">
        <v>91</v>
      </c>
      <c r="V2512" t="s">
        <v>315</v>
      </c>
      <c r="W2512">
        <v>3.4</v>
      </c>
      <c r="X2512" t="s">
        <v>41</v>
      </c>
      <c r="Y2512" t="s">
        <v>42</v>
      </c>
      <c r="Z2512">
        <v>7</v>
      </c>
    </row>
    <row r="2513" spans="1:26">
      <c r="A2513" t="s">
        <v>3730</v>
      </c>
      <c r="B2513" t="s">
        <v>3609</v>
      </c>
      <c r="C2513" t="s">
        <v>28</v>
      </c>
      <c r="D2513" t="s">
        <v>109</v>
      </c>
      <c r="E2513" s="1">
        <v>45567</v>
      </c>
      <c r="F2513" t="s">
        <v>86</v>
      </c>
      <c r="G2513" t="s">
        <v>242</v>
      </c>
      <c r="H2513" t="s">
        <v>32</v>
      </c>
      <c r="I2513">
        <v>8</v>
      </c>
      <c r="J2513" t="s">
        <v>150</v>
      </c>
      <c r="K2513">
        <v>1</v>
      </c>
      <c r="L2513" s="3">
        <v>6199</v>
      </c>
      <c r="M2513">
        <v>15</v>
      </c>
      <c r="N2513" s="3">
        <v>5270</v>
      </c>
      <c r="O2513" s="3">
        <v>5270</v>
      </c>
      <c r="P2513" t="s">
        <v>34</v>
      </c>
      <c r="Q2513" t="s">
        <v>82</v>
      </c>
      <c r="R2513" t="s">
        <v>36</v>
      </c>
      <c r="S2513" t="s">
        <v>164</v>
      </c>
      <c r="T2513" t="s">
        <v>165</v>
      </c>
      <c r="U2513" t="s">
        <v>124</v>
      </c>
      <c r="V2513" t="s">
        <v>315</v>
      </c>
      <c r="W2513">
        <v>4</v>
      </c>
      <c r="X2513" t="s">
        <v>106</v>
      </c>
      <c r="Y2513" t="s">
        <v>42</v>
      </c>
      <c r="Z2513">
        <v>4</v>
      </c>
    </row>
    <row r="2514" spans="1:26">
      <c r="A2514" t="s">
        <v>3731</v>
      </c>
      <c r="B2514" t="s">
        <v>763</v>
      </c>
      <c r="C2514" t="s">
        <v>28</v>
      </c>
      <c r="D2514" t="s">
        <v>103</v>
      </c>
      <c r="E2514" s="1">
        <v>45567</v>
      </c>
      <c r="F2514" t="s">
        <v>96</v>
      </c>
      <c r="G2514" t="s">
        <v>323</v>
      </c>
      <c r="H2514" t="s">
        <v>59</v>
      </c>
      <c r="I2514">
        <v>9</v>
      </c>
      <c r="J2514" t="s">
        <v>150</v>
      </c>
      <c r="K2514">
        <v>1</v>
      </c>
      <c r="L2514" s="3">
        <v>6799</v>
      </c>
      <c r="M2514">
        <v>20</v>
      </c>
      <c r="N2514" s="3">
        <v>5440</v>
      </c>
      <c r="O2514" s="3">
        <v>5440</v>
      </c>
      <c r="P2514" t="s">
        <v>74</v>
      </c>
      <c r="Q2514" t="s">
        <v>51</v>
      </c>
      <c r="R2514" t="s">
        <v>36</v>
      </c>
      <c r="S2514" t="s">
        <v>136</v>
      </c>
      <c r="T2514" t="s">
        <v>137</v>
      </c>
      <c r="U2514" t="s">
        <v>54</v>
      </c>
      <c r="V2514" t="s">
        <v>315</v>
      </c>
      <c r="W2514">
        <v>3</v>
      </c>
      <c r="X2514" t="s">
        <v>41</v>
      </c>
      <c r="Y2514" t="s">
        <v>42</v>
      </c>
      <c r="Z2514">
        <v>2</v>
      </c>
    </row>
    <row r="2515" spans="1:26">
      <c r="A2515" t="s">
        <v>3732</v>
      </c>
      <c r="B2515" t="s">
        <v>2080</v>
      </c>
      <c r="C2515" t="s">
        <v>28</v>
      </c>
      <c r="D2515" t="s">
        <v>95</v>
      </c>
      <c r="E2515" s="1">
        <v>45567</v>
      </c>
      <c r="F2515" t="s">
        <v>47</v>
      </c>
      <c r="G2515" t="s">
        <v>402</v>
      </c>
      <c r="H2515" t="s">
        <v>32</v>
      </c>
      <c r="I2515">
        <v>6</v>
      </c>
      <c r="J2515" t="s">
        <v>73</v>
      </c>
      <c r="K2515">
        <v>1</v>
      </c>
      <c r="L2515" s="3">
        <v>7299</v>
      </c>
      <c r="M2515">
        <v>35</v>
      </c>
      <c r="N2515" s="3">
        <v>4740</v>
      </c>
      <c r="O2515" s="3">
        <v>4740</v>
      </c>
      <c r="P2515" t="s">
        <v>74</v>
      </c>
      <c r="Q2515" t="s">
        <v>35</v>
      </c>
      <c r="R2515" t="s">
        <v>36</v>
      </c>
      <c r="S2515" t="s">
        <v>156</v>
      </c>
      <c r="T2515" t="s">
        <v>257</v>
      </c>
      <c r="U2515" t="s">
        <v>91</v>
      </c>
      <c r="V2515" t="s">
        <v>969</v>
      </c>
      <c r="W2515">
        <v>4.9000000000000004</v>
      </c>
      <c r="X2515" t="s">
        <v>41</v>
      </c>
      <c r="Y2515" t="s">
        <v>147</v>
      </c>
      <c r="Z2515">
        <v>1</v>
      </c>
    </row>
    <row r="2516" spans="1:26">
      <c r="A2516" t="s">
        <v>3733</v>
      </c>
      <c r="B2516" t="s">
        <v>1661</v>
      </c>
      <c r="C2516" t="s">
        <v>45</v>
      </c>
      <c r="D2516" t="s">
        <v>103</v>
      </c>
      <c r="E2516" s="1">
        <v>45568</v>
      </c>
      <c r="F2516" t="s">
        <v>86</v>
      </c>
      <c r="G2516" t="s">
        <v>312</v>
      </c>
      <c r="H2516" t="s">
        <v>59</v>
      </c>
      <c r="I2516">
        <v>9</v>
      </c>
      <c r="J2516" t="s">
        <v>98</v>
      </c>
      <c r="K2516">
        <v>1</v>
      </c>
      <c r="L2516" s="3">
        <v>7099</v>
      </c>
      <c r="M2516">
        <v>5</v>
      </c>
      <c r="N2516" s="3">
        <v>6740</v>
      </c>
      <c r="O2516" s="3">
        <v>6740</v>
      </c>
      <c r="P2516" t="s">
        <v>34</v>
      </c>
      <c r="Q2516" t="s">
        <v>82</v>
      </c>
      <c r="R2516" t="s">
        <v>36</v>
      </c>
      <c r="S2516" t="s">
        <v>75</v>
      </c>
      <c r="T2516" t="s">
        <v>76</v>
      </c>
      <c r="U2516" t="s">
        <v>54</v>
      </c>
      <c r="V2516" t="s">
        <v>969</v>
      </c>
      <c r="W2516">
        <v>3.6</v>
      </c>
      <c r="X2516" t="s">
        <v>41</v>
      </c>
      <c r="Y2516" t="s">
        <v>55</v>
      </c>
      <c r="Z2516">
        <v>2</v>
      </c>
    </row>
    <row r="2517" spans="1:26">
      <c r="A2517" t="s">
        <v>3734</v>
      </c>
      <c r="B2517" t="s">
        <v>3403</v>
      </c>
      <c r="C2517" t="s">
        <v>45</v>
      </c>
      <c r="D2517" t="s">
        <v>109</v>
      </c>
      <c r="E2517" s="1">
        <v>45568</v>
      </c>
      <c r="F2517" t="s">
        <v>30</v>
      </c>
      <c r="G2517" t="s">
        <v>31</v>
      </c>
      <c r="H2517" t="s">
        <v>32</v>
      </c>
      <c r="I2517">
        <v>10</v>
      </c>
      <c r="J2517" t="s">
        <v>67</v>
      </c>
      <c r="K2517">
        <v>1</v>
      </c>
      <c r="L2517" s="3">
        <v>7199</v>
      </c>
      <c r="M2517">
        <v>10</v>
      </c>
      <c r="N2517" s="3">
        <v>6480</v>
      </c>
      <c r="O2517" s="3">
        <v>6480</v>
      </c>
      <c r="P2517" t="s">
        <v>34</v>
      </c>
      <c r="Q2517" t="s">
        <v>35</v>
      </c>
      <c r="R2517" t="s">
        <v>36</v>
      </c>
      <c r="S2517" t="s">
        <v>297</v>
      </c>
      <c r="T2517" t="s">
        <v>351</v>
      </c>
      <c r="U2517" t="s">
        <v>124</v>
      </c>
      <c r="V2517" t="s">
        <v>315</v>
      </c>
      <c r="W2517">
        <v>4</v>
      </c>
      <c r="X2517" t="s">
        <v>41</v>
      </c>
      <c r="Y2517" t="s">
        <v>42</v>
      </c>
      <c r="Z2517">
        <v>3</v>
      </c>
    </row>
    <row r="2518" spans="1:26">
      <c r="A2518" t="s">
        <v>3735</v>
      </c>
      <c r="B2518" t="s">
        <v>3001</v>
      </c>
      <c r="C2518" t="s">
        <v>45</v>
      </c>
      <c r="D2518" t="s">
        <v>29</v>
      </c>
      <c r="E2518" s="1">
        <v>45569</v>
      </c>
      <c r="F2518" t="s">
        <v>96</v>
      </c>
      <c r="G2518" t="s">
        <v>97</v>
      </c>
      <c r="H2518" t="s">
        <v>49</v>
      </c>
      <c r="I2518">
        <v>6</v>
      </c>
      <c r="J2518" t="s">
        <v>88</v>
      </c>
      <c r="K2518">
        <v>1</v>
      </c>
      <c r="L2518" s="3">
        <v>8599</v>
      </c>
      <c r="M2518">
        <v>10</v>
      </c>
      <c r="N2518" s="3">
        <v>7740</v>
      </c>
      <c r="O2518" s="3">
        <v>7740</v>
      </c>
      <c r="P2518" t="s">
        <v>74</v>
      </c>
      <c r="Q2518" t="s">
        <v>82</v>
      </c>
      <c r="R2518" t="s">
        <v>36</v>
      </c>
      <c r="S2518" t="s">
        <v>182</v>
      </c>
      <c r="T2518" t="s">
        <v>309</v>
      </c>
      <c r="U2518" t="s">
        <v>124</v>
      </c>
      <c r="V2518" t="s">
        <v>315</v>
      </c>
      <c r="W2518">
        <v>4</v>
      </c>
      <c r="X2518" t="s">
        <v>41</v>
      </c>
      <c r="Y2518" t="s">
        <v>147</v>
      </c>
      <c r="Z2518">
        <v>1</v>
      </c>
    </row>
    <row r="2519" spans="1:26">
      <c r="A2519" t="s">
        <v>3736</v>
      </c>
      <c r="B2519" t="s">
        <v>3737</v>
      </c>
      <c r="C2519" t="s">
        <v>28</v>
      </c>
      <c r="D2519" t="s">
        <v>103</v>
      </c>
      <c r="E2519" s="1">
        <v>45569</v>
      </c>
      <c r="F2519" t="s">
        <v>86</v>
      </c>
      <c r="G2519" t="s">
        <v>285</v>
      </c>
      <c r="H2519" t="s">
        <v>111</v>
      </c>
      <c r="I2519">
        <v>11</v>
      </c>
      <c r="J2519" t="s">
        <v>67</v>
      </c>
      <c r="K2519">
        <v>1</v>
      </c>
      <c r="L2519" s="3">
        <v>8199</v>
      </c>
      <c r="M2519">
        <v>10</v>
      </c>
      <c r="N2519" s="3">
        <v>7380</v>
      </c>
      <c r="O2519" s="3">
        <v>7380</v>
      </c>
      <c r="P2519" t="s">
        <v>34</v>
      </c>
      <c r="Q2519" t="s">
        <v>51</v>
      </c>
      <c r="R2519" t="s">
        <v>36</v>
      </c>
      <c r="S2519" t="s">
        <v>136</v>
      </c>
      <c r="T2519" t="s">
        <v>137</v>
      </c>
      <c r="U2519" t="s">
        <v>54</v>
      </c>
      <c r="V2519" t="s">
        <v>40</v>
      </c>
      <c r="W2519">
        <v>5</v>
      </c>
      <c r="X2519" t="s">
        <v>41</v>
      </c>
      <c r="Y2519" t="s">
        <v>42</v>
      </c>
      <c r="Z2519">
        <v>2</v>
      </c>
    </row>
    <row r="2520" spans="1:26">
      <c r="A2520" t="s">
        <v>3738</v>
      </c>
      <c r="B2520" t="s">
        <v>1676</v>
      </c>
      <c r="C2520" t="s">
        <v>45</v>
      </c>
      <c r="D2520" t="s">
        <v>46</v>
      </c>
      <c r="E2520" s="1">
        <v>45569</v>
      </c>
      <c r="F2520" t="s">
        <v>86</v>
      </c>
      <c r="G2520" t="s">
        <v>190</v>
      </c>
      <c r="H2520" t="s">
        <v>128</v>
      </c>
      <c r="I2520">
        <v>9</v>
      </c>
      <c r="J2520" t="s">
        <v>67</v>
      </c>
      <c r="K2520">
        <v>1</v>
      </c>
      <c r="L2520" s="3">
        <v>6299</v>
      </c>
      <c r="M2520">
        <v>5</v>
      </c>
      <c r="N2520" s="3">
        <v>5980</v>
      </c>
      <c r="O2520" s="3">
        <v>5980</v>
      </c>
      <c r="P2520" t="s">
        <v>74</v>
      </c>
      <c r="Q2520" t="s">
        <v>51</v>
      </c>
      <c r="R2520" t="s">
        <v>36</v>
      </c>
      <c r="S2520" t="s">
        <v>338</v>
      </c>
      <c r="T2520" t="s">
        <v>449</v>
      </c>
      <c r="U2520" t="s">
        <v>39</v>
      </c>
      <c r="V2520" t="s">
        <v>315</v>
      </c>
      <c r="W2520">
        <v>4.4000000000000004</v>
      </c>
      <c r="X2520" t="s">
        <v>41</v>
      </c>
      <c r="Y2520" t="s">
        <v>55</v>
      </c>
      <c r="Z2520">
        <v>3</v>
      </c>
    </row>
    <row r="2521" spans="1:26">
      <c r="A2521" t="s">
        <v>3739</v>
      </c>
      <c r="B2521" t="s">
        <v>2525</v>
      </c>
      <c r="C2521" t="s">
        <v>94</v>
      </c>
      <c r="D2521" t="s">
        <v>109</v>
      </c>
      <c r="E2521" s="1">
        <v>45570</v>
      </c>
      <c r="F2521" t="s">
        <v>86</v>
      </c>
      <c r="G2521" t="s">
        <v>285</v>
      </c>
      <c r="H2521" t="s">
        <v>111</v>
      </c>
      <c r="I2521">
        <v>8</v>
      </c>
      <c r="J2521" t="s">
        <v>98</v>
      </c>
      <c r="K2521">
        <v>1</v>
      </c>
      <c r="L2521" s="3">
        <v>8999</v>
      </c>
      <c r="M2521">
        <v>10</v>
      </c>
      <c r="N2521" s="3">
        <v>8100</v>
      </c>
      <c r="O2521" s="3">
        <v>8100</v>
      </c>
      <c r="P2521" t="s">
        <v>34</v>
      </c>
      <c r="Q2521" t="s">
        <v>82</v>
      </c>
      <c r="R2521" t="s">
        <v>36</v>
      </c>
      <c r="S2521" t="s">
        <v>297</v>
      </c>
      <c r="T2521" t="s">
        <v>390</v>
      </c>
      <c r="U2521" t="s">
        <v>54</v>
      </c>
      <c r="V2521" t="s">
        <v>969</v>
      </c>
      <c r="W2521">
        <v>3.8</v>
      </c>
      <c r="X2521" t="s">
        <v>62</v>
      </c>
      <c r="Y2521" t="s">
        <v>42</v>
      </c>
      <c r="Z2521">
        <v>3</v>
      </c>
    </row>
    <row r="2522" spans="1:26">
      <c r="A2522" t="s">
        <v>3740</v>
      </c>
      <c r="B2522" t="s">
        <v>3741</v>
      </c>
      <c r="C2522" t="s">
        <v>94</v>
      </c>
      <c r="D2522" t="s">
        <v>109</v>
      </c>
      <c r="E2522" s="1">
        <v>45572</v>
      </c>
      <c r="F2522" t="s">
        <v>30</v>
      </c>
      <c r="G2522" t="s">
        <v>31</v>
      </c>
      <c r="H2522" t="s">
        <v>32</v>
      </c>
      <c r="I2522">
        <v>8</v>
      </c>
      <c r="J2522" t="s">
        <v>88</v>
      </c>
      <c r="K2522">
        <v>4</v>
      </c>
      <c r="L2522" s="3">
        <v>9699</v>
      </c>
      <c r="M2522">
        <v>5</v>
      </c>
      <c r="N2522" s="3">
        <v>9210</v>
      </c>
      <c r="O2522" s="3">
        <v>36840</v>
      </c>
      <c r="P2522" t="s">
        <v>74</v>
      </c>
      <c r="Q2522" t="s">
        <v>82</v>
      </c>
      <c r="R2522" t="s">
        <v>36</v>
      </c>
      <c r="S2522" t="s">
        <v>297</v>
      </c>
      <c r="T2522" t="s">
        <v>351</v>
      </c>
      <c r="U2522" t="s">
        <v>54</v>
      </c>
      <c r="V2522" t="s">
        <v>40</v>
      </c>
      <c r="W2522">
        <v>3.4</v>
      </c>
      <c r="X2522" t="s">
        <v>41</v>
      </c>
      <c r="Y2522" t="s">
        <v>55</v>
      </c>
      <c r="Z2522">
        <v>1</v>
      </c>
    </row>
    <row r="2523" spans="1:26">
      <c r="A2523" t="s">
        <v>3742</v>
      </c>
      <c r="B2523" t="s">
        <v>1887</v>
      </c>
      <c r="C2523" t="s">
        <v>28</v>
      </c>
      <c r="D2523" t="s">
        <v>46</v>
      </c>
      <c r="E2523" s="1">
        <v>45572</v>
      </c>
      <c r="F2523" t="s">
        <v>47</v>
      </c>
      <c r="G2523" t="s">
        <v>48</v>
      </c>
      <c r="H2523" t="s">
        <v>49</v>
      </c>
      <c r="I2523">
        <v>9</v>
      </c>
      <c r="J2523" t="s">
        <v>98</v>
      </c>
      <c r="K2523">
        <v>1</v>
      </c>
      <c r="L2523" s="3">
        <v>5599</v>
      </c>
      <c r="M2523">
        <v>25</v>
      </c>
      <c r="N2523" s="3">
        <v>4200</v>
      </c>
      <c r="O2523" s="3">
        <v>4200</v>
      </c>
      <c r="P2523" t="s">
        <v>74</v>
      </c>
      <c r="Q2523" t="s">
        <v>35</v>
      </c>
      <c r="R2523" t="s">
        <v>36</v>
      </c>
      <c r="S2523" t="s">
        <v>460</v>
      </c>
      <c r="T2523" t="s">
        <v>580</v>
      </c>
      <c r="U2523" t="s">
        <v>61</v>
      </c>
      <c r="V2523" t="s">
        <v>969</v>
      </c>
      <c r="W2523">
        <v>4.2</v>
      </c>
      <c r="X2523" t="s">
        <v>41</v>
      </c>
      <c r="Y2523" t="s">
        <v>42</v>
      </c>
      <c r="Z2523">
        <v>5</v>
      </c>
    </row>
    <row r="2524" spans="1:26">
      <c r="A2524" t="s">
        <v>3743</v>
      </c>
      <c r="B2524" t="s">
        <v>603</v>
      </c>
      <c r="C2524" t="s">
        <v>28</v>
      </c>
      <c r="D2524" t="s">
        <v>46</v>
      </c>
      <c r="E2524" s="1">
        <v>45574</v>
      </c>
      <c r="F2524" t="s">
        <v>47</v>
      </c>
      <c r="G2524" t="s">
        <v>218</v>
      </c>
      <c r="H2524" t="s">
        <v>59</v>
      </c>
      <c r="I2524">
        <v>7</v>
      </c>
      <c r="J2524" t="s">
        <v>98</v>
      </c>
      <c r="K2524">
        <v>1</v>
      </c>
      <c r="L2524" s="3">
        <v>7699</v>
      </c>
      <c r="M2524">
        <v>20</v>
      </c>
      <c r="N2524" s="3">
        <v>6160</v>
      </c>
      <c r="O2524" s="3">
        <v>6160</v>
      </c>
      <c r="P2524" t="s">
        <v>74</v>
      </c>
      <c r="Q2524" t="s">
        <v>51</v>
      </c>
      <c r="R2524" t="s">
        <v>36</v>
      </c>
      <c r="S2524" t="s">
        <v>160</v>
      </c>
      <c r="T2524" t="s">
        <v>161</v>
      </c>
      <c r="U2524" t="s">
        <v>54</v>
      </c>
      <c r="V2524" t="s">
        <v>315</v>
      </c>
      <c r="W2524">
        <v>3.1</v>
      </c>
      <c r="X2524" t="s">
        <v>62</v>
      </c>
      <c r="Y2524" t="s">
        <v>42</v>
      </c>
      <c r="Z2524">
        <v>4</v>
      </c>
    </row>
    <row r="2525" spans="1:26">
      <c r="A2525" t="s">
        <v>3744</v>
      </c>
      <c r="B2525" t="s">
        <v>1405</v>
      </c>
      <c r="C2525" t="s">
        <v>45</v>
      </c>
      <c r="D2525" t="s">
        <v>95</v>
      </c>
      <c r="E2525" s="1">
        <v>45575</v>
      </c>
      <c r="F2525" t="s">
        <v>30</v>
      </c>
      <c r="G2525" t="s">
        <v>145</v>
      </c>
      <c r="H2525" t="s">
        <v>59</v>
      </c>
      <c r="I2525">
        <v>10</v>
      </c>
      <c r="J2525" t="s">
        <v>98</v>
      </c>
      <c r="K2525">
        <v>2</v>
      </c>
      <c r="L2525" s="3">
        <v>6099</v>
      </c>
      <c r="M2525">
        <v>15</v>
      </c>
      <c r="N2525" s="3">
        <v>5180</v>
      </c>
      <c r="O2525" s="3">
        <v>10360</v>
      </c>
      <c r="P2525" t="s">
        <v>74</v>
      </c>
      <c r="Q2525" t="s">
        <v>82</v>
      </c>
      <c r="R2525" t="s">
        <v>36</v>
      </c>
      <c r="S2525" t="s">
        <v>104</v>
      </c>
      <c r="T2525" t="s">
        <v>1048</v>
      </c>
      <c r="U2525" t="s">
        <v>39</v>
      </c>
      <c r="V2525" t="s">
        <v>969</v>
      </c>
      <c r="W2525">
        <v>5</v>
      </c>
      <c r="X2525" t="s">
        <v>41</v>
      </c>
      <c r="Y2525" t="s">
        <v>55</v>
      </c>
      <c r="Z2525">
        <v>2</v>
      </c>
    </row>
    <row r="2526" spans="1:26">
      <c r="A2526" t="s">
        <v>3745</v>
      </c>
      <c r="B2526" t="s">
        <v>1250</v>
      </c>
      <c r="C2526" t="s">
        <v>28</v>
      </c>
      <c r="D2526" t="s">
        <v>109</v>
      </c>
      <c r="E2526" s="1">
        <v>45575</v>
      </c>
      <c r="F2526" t="s">
        <v>30</v>
      </c>
      <c r="G2526" t="s">
        <v>347</v>
      </c>
      <c r="H2526" t="s">
        <v>49</v>
      </c>
      <c r="I2526">
        <v>8</v>
      </c>
      <c r="J2526" t="s">
        <v>67</v>
      </c>
      <c r="K2526">
        <v>2</v>
      </c>
      <c r="L2526" s="3">
        <v>6999</v>
      </c>
      <c r="M2526">
        <v>15</v>
      </c>
      <c r="N2526" s="3">
        <v>5950</v>
      </c>
      <c r="O2526" s="3">
        <v>11900</v>
      </c>
      <c r="P2526" t="s">
        <v>74</v>
      </c>
      <c r="Q2526" t="s">
        <v>35</v>
      </c>
      <c r="R2526" t="s">
        <v>36</v>
      </c>
      <c r="S2526" t="s">
        <v>354</v>
      </c>
      <c r="T2526" t="s">
        <v>355</v>
      </c>
      <c r="U2526" t="s">
        <v>39</v>
      </c>
      <c r="V2526" t="s">
        <v>315</v>
      </c>
      <c r="W2526">
        <v>2.4</v>
      </c>
      <c r="X2526" t="s">
        <v>41</v>
      </c>
      <c r="Y2526" t="s">
        <v>42</v>
      </c>
      <c r="Z2526">
        <v>5</v>
      </c>
    </row>
    <row r="2527" spans="1:26">
      <c r="A2527" t="s">
        <v>3746</v>
      </c>
      <c r="B2527" t="s">
        <v>1678</v>
      </c>
      <c r="C2527" t="s">
        <v>45</v>
      </c>
      <c r="D2527" t="s">
        <v>46</v>
      </c>
      <c r="E2527" s="1">
        <v>45575</v>
      </c>
      <c r="F2527" t="s">
        <v>65</v>
      </c>
      <c r="G2527" t="s">
        <v>268</v>
      </c>
      <c r="H2527" t="s">
        <v>128</v>
      </c>
      <c r="I2527">
        <v>11</v>
      </c>
      <c r="J2527" t="s">
        <v>98</v>
      </c>
      <c r="K2527">
        <v>1</v>
      </c>
      <c r="L2527" s="3">
        <v>3599</v>
      </c>
      <c r="M2527">
        <v>10</v>
      </c>
      <c r="N2527" s="3">
        <v>3240</v>
      </c>
      <c r="O2527" s="3">
        <v>3240</v>
      </c>
      <c r="P2527" t="s">
        <v>34</v>
      </c>
      <c r="Q2527" t="s">
        <v>51</v>
      </c>
      <c r="R2527" t="s">
        <v>36</v>
      </c>
      <c r="S2527" t="s">
        <v>182</v>
      </c>
      <c r="T2527" t="s">
        <v>183</v>
      </c>
      <c r="U2527" t="s">
        <v>61</v>
      </c>
      <c r="V2527" t="s">
        <v>315</v>
      </c>
      <c r="W2527">
        <v>4.2</v>
      </c>
      <c r="X2527" t="s">
        <v>106</v>
      </c>
      <c r="Y2527" t="s">
        <v>42</v>
      </c>
      <c r="Z2527">
        <v>3</v>
      </c>
    </row>
    <row r="2528" spans="1:26">
      <c r="A2528" t="s">
        <v>3747</v>
      </c>
      <c r="B2528" t="s">
        <v>468</v>
      </c>
      <c r="C2528" t="s">
        <v>45</v>
      </c>
      <c r="D2528" t="s">
        <v>29</v>
      </c>
      <c r="E2528" s="1">
        <v>45576</v>
      </c>
      <c r="F2528" t="s">
        <v>79</v>
      </c>
      <c r="G2528" t="s">
        <v>517</v>
      </c>
      <c r="H2528" t="s">
        <v>59</v>
      </c>
      <c r="I2528">
        <v>6</v>
      </c>
      <c r="J2528" t="s">
        <v>98</v>
      </c>
      <c r="K2528">
        <v>1</v>
      </c>
      <c r="L2528" s="3">
        <v>4899</v>
      </c>
      <c r="M2528">
        <v>10</v>
      </c>
      <c r="N2528" s="3">
        <v>4410</v>
      </c>
      <c r="O2528" s="3">
        <v>4410</v>
      </c>
      <c r="P2528" t="s">
        <v>34</v>
      </c>
      <c r="Q2528" t="s">
        <v>35</v>
      </c>
      <c r="R2528" t="s">
        <v>36</v>
      </c>
      <c r="S2528" t="s">
        <v>269</v>
      </c>
      <c r="T2528" t="s">
        <v>961</v>
      </c>
      <c r="U2528" t="s">
        <v>61</v>
      </c>
      <c r="V2528" t="s">
        <v>969</v>
      </c>
      <c r="W2528">
        <v>3</v>
      </c>
      <c r="X2528" t="s">
        <v>41</v>
      </c>
      <c r="Y2528" t="s">
        <v>42</v>
      </c>
      <c r="Z2528">
        <v>7</v>
      </c>
    </row>
    <row r="2529" spans="1:26">
      <c r="A2529" t="s">
        <v>3748</v>
      </c>
      <c r="B2529" t="s">
        <v>3211</v>
      </c>
      <c r="C2529" t="s">
        <v>45</v>
      </c>
      <c r="D2529" t="s">
        <v>46</v>
      </c>
      <c r="E2529" s="1">
        <v>45576</v>
      </c>
      <c r="F2529" t="s">
        <v>47</v>
      </c>
      <c r="G2529" t="s">
        <v>402</v>
      </c>
      <c r="H2529" t="s">
        <v>32</v>
      </c>
      <c r="I2529">
        <v>9</v>
      </c>
      <c r="J2529" t="s">
        <v>73</v>
      </c>
      <c r="K2529">
        <v>1</v>
      </c>
      <c r="L2529" s="3">
        <v>4999</v>
      </c>
      <c r="M2529">
        <v>10</v>
      </c>
      <c r="N2529" s="3">
        <v>4500</v>
      </c>
      <c r="O2529" s="3">
        <v>4500</v>
      </c>
      <c r="P2529" t="s">
        <v>81</v>
      </c>
      <c r="Q2529" t="s">
        <v>82</v>
      </c>
      <c r="R2529" t="s">
        <v>36</v>
      </c>
      <c r="S2529" t="s">
        <v>117</v>
      </c>
      <c r="T2529" t="s">
        <v>118</v>
      </c>
      <c r="U2529" t="s">
        <v>54</v>
      </c>
      <c r="V2529" t="s">
        <v>315</v>
      </c>
      <c r="W2529">
        <v>3.6</v>
      </c>
      <c r="X2529" t="s">
        <v>41</v>
      </c>
      <c r="Y2529" t="s">
        <v>42</v>
      </c>
      <c r="Z2529">
        <v>2</v>
      </c>
    </row>
    <row r="2530" spans="1:26">
      <c r="A2530" t="s">
        <v>3749</v>
      </c>
      <c r="B2530" t="s">
        <v>3750</v>
      </c>
      <c r="C2530" t="s">
        <v>45</v>
      </c>
      <c r="D2530" t="s">
        <v>103</v>
      </c>
      <c r="E2530" s="1">
        <v>45576</v>
      </c>
      <c r="F2530" t="s">
        <v>30</v>
      </c>
      <c r="G2530" t="s">
        <v>347</v>
      </c>
      <c r="H2530" t="s">
        <v>49</v>
      </c>
      <c r="I2530">
        <v>6</v>
      </c>
      <c r="J2530" t="s">
        <v>88</v>
      </c>
      <c r="K2530">
        <v>2</v>
      </c>
      <c r="L2530" s="3">
        <v>5999</v>
      </c>
      <c r="M2530">
        <v>5</v>
      </c>
      <c r="N2530" s="3">
        <v>5700</v>
      </c>
      <c r="O2530" s="3">
        <v>11400</v>
      </c>
      <c r="P2530" t="s">
        <v>74</v>
      </c>
      <c r="Q2530" t="s">
        <v>82</v>
      </c>
      <c r="R2530" t="s">
        <v>36</v>
      </c>
      <c r="S2530" t="s">
        <v>136</v>
      </c>
      <c r="T2530" t="s">
        <v>137</v>
      </c>
      <c r="U2530" t="s">
        <v>61</v>
      </c>
      <c r="V2530" t="s">
        <v>40</v>
      </c>
      <c r="W2530">
        <v>4.0999999999999996</v>
      </c>
      <c r="X2530" t="s">
        <v>41</v>
      </c>
      <c r="Y2530" t="s">
        <v>42</v>
      </c>
      <c r="Z2530">
        <v>4</v>
      </c>
    </row>
    <row r="2531" spans="1:26">
      <c r="A2531" t="s">
        <v>3751</v>
      </c>
      <c r="B2531" t="s">
        <v>1065</v>
      </c>
      <c r="C2531" t="s">
        <v>45</v>
      </c>
      <c r="D2531" t="s">
        <v>46</v>
      </c>
      <c r="E2531" s="1">
        <v>45576</v>
      </c>
      <c r="F2531" t="s">
        <v>65</v>
      </c>
      <c r="G2531" t="s">
        <v>279</v>
      </c>
      <c r="H2531" t="s">
        <v>111</v>
      </c>
      <c r="I2531">
        <v>11</v>
      </c>
      <c r="J2531" t="s">
        <v>67</v>
      </c>
      <c r="K2531">
        <v>1</v>
      </c>
      <c r="L2531" s="3">
        <v>4299</v>
      </c>
      <c r="M2531">
        <v>25</v>
      </c>
      <c r="N2531" s="3">
        <v>3220</v>
      </c>
      <c r="O2531" s="3">
        <v>3220</v>
      </c>
      <c r="P2531" t="s">
        <v>74</v>
      </c>
      <c r="Q2531" t="s">
        <v>51</v>
      </c>
      <c r="R2531" t="s">
        <v>36</v>
      </c>
      <c r="S2531" t="s">
        <v>384</v>
      </c>
      <c r="T2531" t="s">
        <v>481</v>
      </c>
      <c r="U2531" t="s">
        <v>61</v>
      </c>
      <c r="V2531" t="s">
        <v>315</v>
      </c>
      <c r="W2531">
        <v>4.8</v>
      </c>
      <c r="X2531" t="s">
        <v>41</v>
      </c>
      <c r="Y2531" t="s">
        <v>42</v>
      </c>
      <c r="Z2531">
        <v>6</v>
      </c>
    </row>
    <row r="2532" spans="1:26">
      <c r="A2532" t="s">
        <v>3752</v>
      </c>
      <c r="B2532" t="s">
        <v>1904</v>
      </c>
      <c r="C2532" t="s">
        <v>28</v>
      </c>
      <c r="D2532" t="s">
        <v>103</v>
      </c>
      <c r="E2532" s="1">
        <v>45577</v>
      </c>
      <c r="F2532" t="s">
        <v>96</v>
      </c>
      <c r="G2532" t="s">
        <v>228</v>
      </c>
      <c r="H2532" t="s">
        <v>59</v>
      </c>
      <c r="I2532">
        <v>10</v>
      </c>
      <c r="J2532" t="s">
        <v>67</v>
      </c>
      <c r="K2532">
        <v>1</v>
      </c>
      <c r="L2532" s="3">
        <v>5399</v>
      </c>
      <c r="M2532">
        <v>30</v>
      </c>
      <c r="N2532" s="3">
        <v>3780</v>
      </c>
      <c r="O2532" s="3">
        <v>3780</v>
      </c>
      <c r="P2532" t="s">
        <v>74</v>
      </c>
      <c r="Q2532" t="s">
        <v>51</v>
      </c>
      <c r="R2532" t="s">
        <v>36</v>
      </c>
      <c r="S2532" t="s">
        <v>200</v>
      </c>
      <c r="T2532" t="s">
        <v>219</v>
      </c>
      <c r="U2532" t="s">
        <v>124</v>
      </c>
      <c r="V2532" t="s">
        <v>315</v>
      </c>
      <c r="W2532">
        <v>3.7</v>
      </c>
      <c r="X2532" t="s">
        <v>62</v>
      </c>
      <c r="Y2532" t="s">
        <v>42</v>
      </c>
      <c r="Z2532">
        <v>2</v>
      </c>
    </row>
    <row r="2533" spans="1:26">
      <c r="A2533" t="s">
        <v>3753</v>
      </c>
      <c r="B2533" t="s">
        <v>523</v>
      </c>
      <c r="C2533" t="s">
        <v>45</v>
      </c>
      <c r="D2533" t="s">
        <v>95</v>
      </c>
      <c r="E2533" s="1">
        <v>45577</v>
      </c>
      <c r="F2533" t="s">
        <v>79</v>
      </c>
      <c r="G2533" t="s">
        <v>301</v>
      </c>
      <c r="H2533" t="s">
        <v>49</v>
      </c>
      <c r="I2533">
        <v>11</v>
      </c>
      <c r="J2533" t="s">
        <v>33</v>
      </c>
      <c r="K2533">
        <v>2</v>
      </c>
      <c r="L2533" s="3">
        <v>5199</v>
      </c>
      <c r="M2533">
        <v>10</v>
      </c>
      <c r="N2533" s="3">
        <v>4680</v>
      </c>
      <c r="O2533" s="3">
        <v>9360</v>
      </c>
      <c r="P2533" t="s">
        <v>74</v>
      </c>
      <c r="Q2533" t="s">
        <v>51</v>
      </c>
      <c r="R2533" t="s">
        <v>36</v>
      </c>
      <c r="S2533" t="s">
        <v>175</v>
      </c>
      <c r="T2533" t="s">
        <v>437</v>
      </c>
      <c r="U2533" t="s">
        <v>61</v>
      </c>
      <c r="V2533" t="s">
        <v>315</v>
      </c>
      <c r="W2533">
        <v>2.8</v>
      </c>
      <c r="X2533" t="s">
        <v>62</v>
      </c>
      <c r="Y2533" t="s">
        <v>42</v>
      </c>
      <c r="Z2533">
        <v>3</v>
      </c>
    </row>
    <row r="2534" spans="1:26">
      <c r="A2534" t="s">
        <v>3754</v>
      </c>
      <c r="B2534" t="s">
        <v>1034</v>
      </c>
      <c r="C2534" t="s">
        <v>28</v>
      </c>
      <c r="D2534" t="s">
        <v>95</v>
      </c>
      <c r="E2534" s="1">
        <v>45578</v>
      </c>
      <c r="F2534" t="s">
        <v>79</v>
      </c>
      <c r="G2534" t="s">
        <v>80</v>
      </c>
      <c r="H2534" t="s">
        <v>59</v>
      </c>
      <c r="I2534">
        <v>9</v>
      </c>
      <c r="J2534" t="s">
        <v>73</v>
      </c>
      <c r="K2534">
        <v>1</v>
      </c>
      <c r="L2534" s="3">
        <v>4799</v>
      </c>
      <c r="M2534">
        <v>15</v>
      </c>
      <c r="N2534" s="3">
        <v>4080</v>
      </c>
      <c r="O2534" s="3">
        <v>4080</v>
      </c>
      <c r="P2534" t="s">
        <v>34</v>
      </c>
      <c r="Q2534" t="s">
        <v>82</v>
      </c>
      <c r="R2534" t="s">
        <v>36</v>
      </c>
      <c r="S2534" t="s">
        <v>129</v>
      </c>
      <c r="T2534" t="s">
        <v>282</v>
      </c>
      <c r="U2534" t="s">
        <v>39</v>
      </c>
      <c r="V2534" t="s">
        <v>315</v>
      </c>
      <c r="W2534">
        <v>4.5</v>
      </c>
      <c r="X2534" t="s">
        <v>62</v>
      </c>
      <c r="Y2534" t="s">
        <v>42</v>
      </c>
      <c r="Z2534">
        <v>2</v>
      </c>
    </row>
    <row r="2535" spans="1:26">
      <c r="A2535" t="s">
        <v>3755</v>
      </c>
      <c r="B2535" t="s">
        <v>808</v>
      </c>
      <c r="C2535" t="s">
        <v>45</v>
      </c>
      <c r="D2535" t="s">
        <v>46</v>
      </c>
      <c r="E2535" s="1">
        <v>45578</v>
      </c>
      <c r="F2535" t="s">
        <v>47</v>
      </c>
      <c r="G2535" t="s">
        <v>402</v>
      </c>
      <c r="H2535" t="s">
        <v>32</v>
      </c>
      <c r="I2535">
        <v>7</v>
      </c>
      <c r="J2535" t="s">
        <v>33</v>
      </c>
      <c r="K2535">
        <v>1</v>
      </c>
      <c r="L2535" s="3">
        <v>4599</v>
      </c>
      <c r="M2535">
        <v>15</v>
      </c>
      <c r="N2535" s="3">
        <v>3910</v>
      </c>
      <c r="O2535" s="3">
        <v>3910</v>
      </c>
      <c r="P2535" t="s">
        <v>34</v>
      </c>
      <c r="Q2535" t="s">
        <v>51</v>
      </c>
      <c r="R2535" t="s">
        <v>36</v>
      </c>
      <c r="S2535" t="s">
        <v>136</v>
      </c>
      <c r="T2535" t="s">
        <v>225</v>
      </c>
      <c r="U2535" t="s">
        <v>61</v>
      </c>
      <c r="V2535" t="s">
        <v>969</v>
      </c>
      <c r="W2535">
        <v>4.9000000000000004</v>
      </c>
      <c r="X2535" t="s">
        <v>41</v>
      </c>
      <c r="Y2535" t="s">
        <v>42</v>
      </c>
      <c r="Z2535">
        <v>5</v>
      </c>
    </row>
    <row r="2536" spans="1:26">
      <c r="A2536" t="s">
        <v>3756</v>
      </c>
      <c r="B2536" t="s">
        <v>3005</v>
      </c>
      <c r="C2536" t="s">
        <v>94</v>
      </c>
      <c r="D2536" t="s">
        <v>29</v>
      </c>
      <c r="E2536" s="1">
        <v>45579</v>
      </c>
      <c r="F2536" t="s">
        <v>96</v>
      </c>
      <c r="G2536" t="s">
        <v>323</v>
      </c>
      <c r="H2536" t="s">
        <v>59</v>
      </c>
      <c r="I2536">
        <v>9</v>
      </c>
      <c r="J2536" t="s">
        <v>33</v>
      </c>
      <c r="K2536">
        <v>2</v>
      </c>
      <c r="L2536" s="3">
        <v>9599</v>
      </c>
      <c r="M2536">
        <v>20</v>
      </c>
      <c r="N2536" s="3">
        <v>7680</v>
      </c>
      <c r="O2536" s="3">
        <v>15360</v>
      </c>
      <c r="P2536" t="s">
        <v>34</v>
      </c>
      <c r="Q2536" t="s">
        <v>51</v>
      </c>
      <c r="R2536" t="s">
        <v>36</v>
      </c>
      <c r="S2536" t="s">
        <v>238</v>
      </c>
      <c r="T2536" t="s">
        <v>239</v>
      </c>
      <c r="U2536" t="s">
        <v>39</v>
      </c>
      <c r="V2536" t="s">
        <v>315</v>
      </c>
      <c r="W2536">
        <v>3.3</v>
      </c>
      <c r="X2536" t="s">
        <v>41</v>
      </c>
      <c r="Y2536" t="s">
        <v>42</v>
      </c>
      <c r="Z2536">
        <v>3</v>
      </c>
    </row>
    <row r="2537" spans="1:26">
      <c r="A2537" t="s">
        <v>3757</v>
      </c>
      <c r="B2537" t="s">
        <v>895</v>
      </c>
      <c r="C2537" t="s">
        <v>94</v>
      </c>
      <c r="D2537" t="s">
        <v>29</v>
      </c>
      <c r="E2537" s="1">
        <v>45579</v>
      </c>
      <c r="F2537" t="s">
        <v>30</v>
      </c>
      <c r="G2537" t="s">
        <v>145</v>
      </c>
      <c r="H2537" t="s">
        <v>59</v>
      </c>
      <c r="I2537">
        <v>7</v>
      </c>
      <c r="J2537" t="s">
        <v>98</v>
      </c>
      <c r="K2537">
        <v>1</v>
      </c>
      <c r="L2537" s="3">
        <v>4599</v>
      </c>
      <c r="M2537">
        <v>15</v>
      </c>
      <c r="N2537" s="3">
        <v>3910</v>
      </c>
      <c r="O2537" s="3">
        <v>3910</v>
      </c>
      <c r="P2537" t="s">
        <v>74</v>
      </c>
      <c r="Q2537" t="s">
        <v>35</v>
      </c>
      <c r="R2537" t="s">
        <v>36</v>
      </c>
      <c r="S2537" t="s">
        <v>151</v>
      </c>
      <c r="T2537" t="s">
        <v>506</v>
      </c>
      <c r="U2537" t="s">
        <v>61</v>
      </c>
      <c r="V2537" t="s">
        <v>969</v>
      </c>
      <c r="W2537">
        <v>4.2</v>
      </c>
      <c r="X2537" t="s">
        <v>41</v>
      </c>
      <c r="Y2537" t="s">
        <v>55</v>
      </c>
      <c r="Z2537">
        <v>3</v>
      </c>
    </row>
    <row r="2538" spans="1:26">
      <c r="A2538" t="s">
        <v>3758</v>
      </c>
      <c r="B2538" t="s">
        <v>686</v>
      </c>
      <c r="C2538" t="s">
        <v>94</v>
      </c>
      <c r="D2538" t="s">
        <v>46</v>
      </c>
      <c r="E2538" s="1">
        <v>45579</v>
      </c>
      <c r="F2538" t="s">
        <v>79</v>
      </c>
      <c r="G2538" t="s">
        <v>301</v>
      </c>
      <c r="H2538" t="s">
        <v>49</v>
      </c>
      <c r="I2538">
        <v>7</v>
      </c>
      <c r="J2538" t="s">
        <v>33</v>
      </c>
      <c r="K2538">
        <v>1</v>
      </c>
      <c r="L2538" s="3">
        <v>3499</v>
      </c>
      <c r="M2538">
        <v>25</v>
      </c>
      <c r="N2538" s="3">
        <v>2620</v>
      </c>
      <c r="O2538" s="3">
        <v>2620</v>
      </c>
      <c r="P2538" t="s">
        <v>74</v>
      </c>
      <c r="Q2538" t="s">
        <v>82</v>
      </c>
      <c r="R2538" t="s">
        <v>36</v>
      </c>
      <c r="S2538" t="s">
        <v>182</v>
      </c>
      <c r="T2538" t="s">
        <v>183</v>
      </c>
      <c r="U2538" t="s">
        <v>54</v>
      </c>
      <c r="V2538" t="s">
        <v>969</v>
      </c>
      <c r="W2538">
        <v>4.4000000000000004</v>
      </c>
      <c r="X2538" t="s">
        <v>62</v>
      </c>
      <c r="Y2538" t="s">
        <v>42</v>
      </c>
      <c r="Z2538">
        <v>3</v>
      </c>
    </row>
    <row r="2539" spans="1:26">
      <c r="A2539" t="s">
        <v>3759</v>
      </c>
      <c r="B2539" t="s">
        <v>2982</v>
      </c>
      <c r="C2539" t="s">
        <v>94</v>
      </c>
      <c r="D2539" t="s">
        <v>103</v>
      </c>
      <c r="E2539" s="1">
        <v>45580</v>
      </c>
      <c r="F2539" t="s">
        <v>96</v>
      </c>
      <c r="G2539" t="s">
        <v>171</v>
      </c>
      <c r="H2539" t="s">
        <v>128</v>
      </c>
      <c r="I2539">
        <v>7</v>
      </c>
      <c r="J2539" t="s">
        <v>73</v>
      </c>
      <c r="K2539">
        <v>2</v>
      </c>
      <c r="L2539" s="3">
        <v>4499</v>
      </c>
      <c r="M2539">
        <v>20</v>
      </c>
      <c r="N2539" s="3">
        <v>3600</v>
      </c>
      <c r="O2539" s="3">
        <v>7200</v>
      </c>
      <c r="P2539" t="s">
        <v>74</v>
      </c>
      <c r="Q2539" t="s">
        <v>82</v>
      </c>
      <c r="R2539" t="s">
        <v>36</v>
      </c>
      <c r="S2539" t="s">
        <v>238</v>
      </c>
      <c r="T2539" t="s">
        <v>260</v>
      </c>
      <c r="U2539" t="s">
        <v>124</v>
      </c>
      <c r="V2539" t="s">
        <v>315</v>
      </c>
      <c r="W2539">
        <v>4.5</v>
      </c>
      <c r="X2539" t="s">
        <v>41</v>
      </c>
      <c r="Y2539" t="s">
        <v>55</v>
      </c>
      <c r="Z2539">
        <v>2</v>
      </c>
    </row>
    <row r="2540" spans="1:26">
      <c r="A2540" t="s">
        <v>3760</v>
      </c>
      <c r="B2540" t="s">
        <v>633</v>
      </c>
      <c r="C2540" t="s">
        <v>28</v>
      </c>
      <c r="D2540" t="s">
        <v>46</v>
      </c>
      <c r="E2540" s="1">
        <v>45580</v>
      </c>
      <c r="F2540" t="s">
        <v>79</v>
      </c>
      <c r="G2540" t="s">
        <v>517</v>
      </c>
      <c r="H2540" t="s">
        <v>59</v>
      </c>
      <c r="I2540">
        <v>12</v>
      </c>
      <c r="J2540" t="s">
        <v>67</v>
      </c>
      <c r="K2540">
        <v>1</v>
      </c>
      <c r="L2540" s="3">
        <v>4899</v>
      </c>
      <c r="M2540">
        <v>5</v>
      </c>
      <c r="N2540" s="3">
        <v>4650</v>
      </c>
      <c r="O2540" s="3">
        <v>4650</v>
      </c>
      <c r="P2540" t="s">
        <v>81</v>
      </c>
      <c r="Q2540" t="s">
        <v>82</v>
      </c>
      <c r="R2540" t="s">
        <v>36</v>
      </c>
      <c r="S2540" t="s">
        <v>75</v>
      </c>
      <c r="T2540" t="s">
        <v>76</v>
      </c>
      <c r="U2540" t="s">
        <v>61</v>
      </c>
      <c r="V2540" t="s">
        <v>969</v>
      </c>
      <c r="W2540">
        <v>4.4000000000000004</v>
      </c>
      <c r="X2540" t="s">
        <v>62</v>
      </c>
      <c r="Y2540" t="s">
        <v>55</v>
      </c>
      <c r="Z2540">
        <v>4</v>
      </c>
    </row>
    <row r="2541" spans="1:26">
      <c r="A2541" t="s">
        <v>3761</v>
      </c>
      <c r="B2541" t="s">
        <v>3009</v>
      </c>
      <c r="C2541" t="s">
        <v>45</v>
      </c>
      <c r="D2541" t="s">
        <v>46</v>
      </c>
      <c r="E2541" s="1">
        <v>45581</v>
      </c>
      <c r="F2541" t="s">
        <v>30</v>
      </c>
      <c r="G2541" t="s">
        <v>214</v>
      </c>
      <c r="H2541" t="s">
        <v>128</v>
      </c>
      <c r="I2541">
        <v>7</v>
      </c>
      <c r="J2541" t="s">
        <v>98</v>
      </c>
      <c r="K2541">
        <v>3</v>
      </c>
      <c r="L2541" s="3">
        <v>5299</v>
      </c>
      <c r="M2541">
        <v>15</v>
      </c>
      <c r="N2541" s="3">
        <v>4500</v>
      </c>
      <c r="O2541" s="3">
        <v>13500</v>
      </c>
      <c r="P2541" t="s">
        <v>74</v>
      </c>
      <c r="Q2541" t="s">
        <v>82</v>
      </c>
      <c r="R2541" t="s">
        <v>36</v>
      </c>
      <c r="S2541" t="s">
        <v>210</v>
      </c>
      <c r="T2541" t="s">
        <v>415</v>
      </c>
      <c r="U2541" t="s">
        <v>54</v>
      </c>
      <c r="V2541" t="s">
        <v>315</v>
      </c>
      <c r="W2541">
        <v>4.5</v>
      </c>
      <c r="X2541" t="s">
        <v>41</v>
      </c>
      <c r="Y2541" t="s">
        <v>42</v>
      </c>
      <c r="Z2541">
        <v>5</v>
      </c>
    </row>
    <row r="2542" spans="1:26">
      <c r="A2542" t="s">
        <v>3762</v>
      </c>
      <c r="B2542" t="s">
        <v>3763</v>
      </c>
      <c r="C2542" t="s">
        <v>28</v>
      </c>
      <c r="D2542" t="s">
        <v>103</v>
      </c>
      <c r="E2542" s="1">
        <v>45581</v>
      </c>
      <c r="F2542" t="s">
        <v>47</v>
      </c>
      <c r="G2542" t="s">
        <v>199</v>
      </c>
      <c r="H2542" t="s">
        <v>59</v>
      </c>
      <c r="I2542">
        <v>10</v>
      </c>
      <c r="J2542" t="s">
        <v>98</v>
      </c>
      <c r="K2542">
        <v>2</v>
      </c>
      <c r="L2542" s="3">
        <v>4799</v>
      </c>
      <c r="M2542">
        <v>10</v>
      </c>
      <c r="N2542" s="3">
        <v>4320</v>
      </c>
      <c r="O2542" s="3">
        <v>8640</v>
      </c>
      <c r="P2542" t="s">
        <v>74</v>
      </c>
      <c r="Q2542" t="s">
        <v>51</v>
      </c>
      <c r="R2542" t="s">
        <v>36</v>
      </c>
      <c r="S2542" t="s">
        <v>156</v>
      </c>
      <c r="T2542" t="s">
        <v>157</v>
      </c>
      <c r="U2542" t="s">
        <v>54</v>
      </c>
      <c r="V2542" t="s">
        <v>40</v>
      </c>
      <c r="W2542">
        <v>3</v>
      </c>
      <c r="X2542" t="s">
        <v>41</v>
      </c>
      <c r="Y2542" t="s">
        <v>42</v>
      </c>
      <c r="Z2542">
        <v>4</v>
      </c>
    </row>
    <row r="2543" spans="1:26">
      <c r="A2543" t="s">
        <v>3764</v>
      </c>
      <c r="B2543" t="s">
        <v>3765</v>
      </c>
      <c r="C2543" t="s">
        <v>28</v>
      </c>
      <c r="D2543" t="s">
        <v>46</v>
      </c>
      <c r="E2543" s="1">
        <v>45581</v>
      </c>
      <c r="F2543" t="s">
        <v>65</v>
      </c>
      <c r="G2543" t="s">
        <v>66</v>
      </c>
      <c r="H2543" t="s">
        <v>59</v>
      </c>
      <c r="I2543">
        <v>11</v>
      </c>
      <c r="J2543" t="s">
        <v>33</v>
      </c>
      <c r="K2543">
        <v>1</v>
      </c>
      <c r="L2543" s="3">
        <v>7399</v>
      </c>
      <c r="M2543">
        <v>15</v>
      </c>
      <c r="N2543" s="3">
        <v>6290</v>
      </c>
      <c r="O2543" s="3">
        <v>6290</v>
      </c>
      <c r="P2543" t="s">
        <v>74</v>
      </c>
      <c r="Q2543" t="s">
        <v>82</v>
      </c>
      <c r="R2543" t="s">
        <v>36</v>
      </c>
      <c r="S2543" t="s">
        <v>338</v>
      </c>
      <c r="T2543" t="s">
        <v>779</v>
      </c>
      <c r="U2543" t="s">
        <v>61</v>
      </c>
      <c r="V2543" t="s">
        <v>40</v>
      </c>
      <c r="W2543">
        <v>5</v>
      </c>
      <c r="X2543" t="s">
        <v>41</v>
      </c>
      <c r="Y2543" t="s">
        <v>55</v>
      </c>
      <c r="Z2543">
        <v>3</v>
      </c>
    </row>
    <row r="2544" spans="1:26">
      <c r="A2544" t="s">
        <v>3766</v>
      </c>
      <c r="B2544" t="s">
        <v>3767</v>
      </c>
      <c r="C2544" t="s">
        <v>45</v>
      </c>
      <c r="D2544" t="s">
        <v>29</v>
      </c>
      <c r="E2544" s="1">
        <v>45582</v>
      </c>
      <c r="F2544" t="s">
        <v>96</v>
      </c>
      <c r="G2544" t="s">
        <v>171</v>
      </c>
      <c r="H2544" t="s">
        <v>128</v>
      </c>
      <c r="I2544">
        <v>10</v>
      </c>
      <c r="J2544" t="s">
        <v>67</v>
      </c>
      <c r="K2544">
        <v>1</v>
      </c>
      <c r="L2544" s="3">
        <v>5699</v>
      </c>
      <c r="M2544">
        <v>20</v>
      </c>
      <c r="N2544" s="3">
        <v>4560</v>
      </c>
      <c r="O2544" s="3">
        <v>4560</v>
      </c>
      <c r="P2544" t="s">
        <v>74</v>
      </c>
      <c r="Q2544" t="s">
        <v>51</v>
      </c>
      <c r="R2544" t="s">
        <v>36</v>
      </c>
      <c r="S2544" t="s">
        <v>186</v>
      </c>
      <c r="T2544" t="s">
        <v>341</v>
      </c>
      <c r="U2544" t="s">
        <v>91</v>
      </c>
      <c r="V2544" t="s">
        <v>40</v>
      </c>
      <c r="W2544">
        <v>3.9</v>
      </c>
      <c r="X2544" t="s">
        <v>41</v>
      </c>
      <c r="Y2544" t="s">
        <v>55</v>
      </c>
      <c r="Z2544">
        <v>3</v>
      </c>
    </row>
    <row r="2545" spans="1:26">
      <c r="A2545" t="s">
        <v>3768</v>
      </c>
      <c r="B2545" t="s">
        <v>1113</v>
      </c>
      <c r="C2545" t="s">
        <v>28</v>
      </c>
      <c r="D2545" t="s">
        <v>95</v>
      </c>
      <c r="E2545" s="1">
        <v>45582</v>
      </c>
      <c r="F2545" t="s">
        <v>79</v>
      </c>
      <c r="G2545" t="s">
        <v>301</v>
      </c>
      <c r="H2545" t="s">
        <v>49</v>
      </c>
      <c r="I2545">
        <v>9</v>
      </c>
      <c r="J2545" t="s">
        <v>88</v>
      </c>
      <c r="K2545">
        <v>3</v>
      </c>
      <c r="L2545" s="3">
        <v>5399</v>
      </c>
      <c r="M2545">
        <v>35</v>
      </c>
      <c r="N2545" s="3">
        <v>3510</v>
      </c>
      <c r="O2545" s="3">
        <v>10530</v>
      </c>
      <c r="P2545" t="s">
        <v>74</v>
      </c>
      <c r="Q2545" t="s">
        <v>51</v>
      </c>
      <c r="R2545" t="s">
        <v>36</v>
      </c>
      <c r="S2545" t="s">
        <v>238</v>
      </c>
      <c r="T2545" t="s">
        <v>377</v>
      </c>
      <c r="U2545" t="s">
        <v>124</v>
      </c>
      <c r="V2545" t="s">
        <v>969</v>
      </c>
      <c r="W2545">
        <v>3.5</v>
      </c>
      <c r="X2545" t="s">
        <v>62</v>
      </c>
      <c r="Y2545" t="s">
        <v>55</v>
      </c>
      <c r="Z2545">
        <v>4</v>
      </c>
    </row>
    <row r="2546" spans="1:26">
      <c r="A2546" t="s">
        <v>3769</v>
      </c>
      <c r="B2546" t="s">
        <v>1873</v>
      </c>
      <c r="C2546" t="s">
        <v>94</v>
      </c>
      <c r="D2546" t="s">
        <v>103</v>
      </c>
      <c r="E2546" s="1">
        <v>45582</v>
      </c>
      <c r="F2546" t="s">
        <v>79</v>
      </c>
      <c r="G2546" t="s">
        <v>127</v>
      </c>
      <c r="H2546" t="s">
        <v>128</v>
      </c>
      <c r="I2546">
        <v>8</v>
      </c>
      <c r="J2546" t="s">
        <v>150</v>
      </c>
      <c r="K2546">
        <v>1</v>
      </c>
      <c r="L2546" s="3">
        <v>3699</v>
      </c>
      <c r="M2546">
        <v>20</v>
      </c>
      <c r="N2546" s="3">
        <v>2960</v>
      </c>
      <c r="O2546" s="3">
        <v>2960</v>
      </c>
      <c r="P2546" t="s">
        <v>74</v>
      </c>
      <c r="Q2546" t="s">
        <v>82</v>
      </c>
      <c r="R2546" t="s">
        <v>36</v>
      </c>
      <c r="S2546" t="s">
        <v>129</v>
      </c>
      <c r="T2546" t="s">
        <v>146</v>
      </c>
      <c r="U2546" t="s">
        <v>61</v>
      </c>
      <c r="V2546" t="s">
        <v>315</v>
      </c>
      <c r="W2546">
        <v>5</v>
      </c>
      <c r="X2546" t="s">
        <v>62</v>
      </c>
      <c r="Y2546" t="s">
        <v>55</v>
      </c>
      <c r="Z2546">
        <v>3</v>
      </c>
    </row>
    <row r="2547" spans="1:26">
      <c r="A2547" t="s">
        <v>3770</v>
      </c>
      <c r="B2547" t="s">
        <v>976</v>
      </c>
      <c r="C2547" t="s">
        <v>45</v>
      </c>
      <c r="D2547" t="s">
        <v>29</v>
      </c>
      <c r="E2547" s="1">
        <v>45583</v>
      </c>
      <c r="F2547" t="s">
        <v>96</v>
      </c>
      <c r="G2547" t="s">
        <v>290</v>
      </c>
      <c r="H2547" t="s">
        <v>32</v>
      </c>
      <c r="I2547">
        <v>10</v>
      </c>
      <c r="J2547" t="s">
        <v>150</v>
      </c>
      <c r="K2547">
        <v>1</v>
      </c>
      <c r="L2547" s="3">
        <v>6399</v>
      </c>
      <c r="M2547">
        <v>0</v>
      </c>
      <c r="N2547" s="3">
        <v>6400</v>
      </c>
      <c r="O2547" s="3">
        <v>6400</v>
      </c>
      <c r="P2547" t="s">
        <v>74</v>
      </c>
      <c r="Q2547" t="s">
        <v>51</v>
      </c>
      <c r="R2547" t="s">
        <v>36</v>
      </c>
      <c r="S2547" t="s">
        <v>52</v>
      </c>
      <c r="T2547" t="s">
        <v>83</v>
      </c>
      <c r="U2547" t="s">
        <v>39</v>
      </c>
      <c r="V2547" t="s">
        <v>315</v>
      </c>
      <c r="W2547">
        <v>4.3</v>
      </c>
      <c r="X2547" t="s">
        <v>41</v>
      </c>
      <c r="Y2547" t="s">
        <v>55</v>
      </c>
      <c r="Z2547">
        <v>2</v>
      </c>
    </row>
    <row r="2548" spans="1:26">
      <c r="A2548" t="s">
        <v>3771</v>
      </c>
      <c r="B2548" t="s">
        <v>2555</v>
      </c>
      <c r="C2548" t="s">
        <v>45</v>
      </c>
      <c r="D2548" t="s">
        <v>103</v>
      </c>
      <c r="E2548" s="1">
        <v>45583</v>
      </c>
      <c r="F2548" t="s">
        <v>65</v>
      </c>
      <c r="G2548" t="s">
        <v>72</v>
      </c>
      <c r="H2548" t="s">
        <v>59</v>
      </c>
      <c r="I2548">
        <v>10</v>
      </c>
      <c r="J2548" t="s">
        <v>67</v>
      </c>
      <c r="K2548">
        <v>1</v>
      </c>
      <c r="L2548" s="3">
        <v>7499</v>
      </c>
      <c r="M2548">
        <v>10</v>
      </c>
      <c r="N2548" s="3">
        <v>6750</v>
      </c>
      <c r="O2548" s="3">
        <v>6750</v>
      </c>
      <c r="P2548" t="s">
        <v>74</v>
      </c>
      <c r="Q2548" t="s">
        <v>82</v>
      </c>
      <c r="R2548" t="s">
        <v>36</v>
      </c>
      <c r="S2548" t="s">
        <v>338</v>
      </c>
      <c r="T2548" t="s">
        <v>338</v>
      </c>
      <c r="U2548" t="s">
        <v>61</v>
      </c>
      <c r="V2548" t="s">
        <v>315</v>
      </c>
      <c r="W2548">
        <v>3.7</v>
      </c>
      <c r="X2548" t="s">
        <v>41</v>
      </c>
      <c r="Y2548" t="s">
        <v>55</v>
      </c>
      <c r="Z2548">
        <v>3</v>
      </c>
    </row>
    <row r="2549" spans="1:26">
      <c r="A2549" t="s">
        <v>3772</v>
      </c>
      <c r="B2549" t="s">
        <v>2025</v>
      </c>
      <c r="C2549" t="s">
        <v>28</v>
      </c>
      <c r="D2549" t="s">
        <v>29</v>
      </c>
      <c r="E2549" s="1">
        <v>45584</v>
      </c>
      <c r="F2549" t="s">
        <v>86</v>
      </c>
      <c r="G2549" t="s">
        <v>285</v>
      </c>
      <c r="H2549" t="s">
        <v>111</v>
      </c>
      <c r="I2549">
        <v>10</v>
      </c>
      <c r="J2549" t="s">
        <v>33</v>
      </c>
      <c r="K2549">
        <v>1</v>
      </c>
      <c r="L2549" s="3">
        <v>5199</v>
      </c>
      <c r="M2549">
        <v>15</v>
      </c>
      <c r="N2549" s="3">
        <v>4420</v>
      </c>
      <c r="O2549" s="3">
        <v>4420</v>
      </c>
      <c r="P2549" t="s">
        <v>34</v>
      </c>
      <c r="Q2549" t="s">
        <v>35</v>
      </c>
      <c r="R2549" t="s">
        <v>36</v>
      </c>
      <c r="S2549" t="s">
        <v>175</v>
      </c>
      <c r="T2549" t="s">
        <v>495</v>
      </c>
      <c r="U2549" t="s">
        <v>61</v>
      </c>
      <c r="V2549" t="s">
        <v>315</v>
      </c>
      <c r="W2549">
        <v>4.5999999999999996</v>
      </c>
      <c r="X2549" t="s">
        <v>41</v>
      </c>
      <c r="Y2549" t="s">
        <v>42</v>
      </c>
      <c r="Z2549">
        <v>1</v>
      </c>
    </row>
    <row r="2550" spans="1:26">
      <c r="A2550" t="s">
        <v>3773</v>
      </c>
      <c r="B2550" t="s">
        <v>194</v>
      </c>
      <c r="C2550" t="s">
        <v>28</v>
      </c>
      <c r="D2550" t="s">
        <v>46</v>
      </c>
      <c r="E2550" s="1">
        <v>45585</v>
      </c>
      <c r="F2550" t="s">
        <v>30</v>
      </c>
      <c r="G2550" t="s">
        <v>214</v>
      </c>
      <c r="H2550" t="s">
        <v>128</v>
      </c>
      <c r="I2550">
        <v>10</v>
      </c>
      <c r="J2550" t="s">
        <v>33</v>
      </c>
      <c r="K2550">
        <v>1</v>
      </c>
      <c r="L2550" s="3">
        <v>7099</v>
      </c>
      <c r="M2550">
        <v>10</v>
      </c>
      <c r="N2550" s="3">
        <v>6390</v>
      </c>
      <c r="O2550" s="3">
        <v>6390</v>
      </c>
      <c r="P2550" t="s">
        <v>74</v>
      </c>
      <c r="Q2550" t="s">
        <v>35</v>
      </c>
      <c r="R2550" t="s">
        <v>36</v>
      </c>
      <c r="S2550" t="s">
        <v>68</v>
      </c>
      <c r="T2550" t="s">
        <v>69</v>
      </c>
      <c r="U2550" t="s">
        <v>124</v>
      </c>
      <c r="V2550" t="s">
        <v>315</v>
      </c>
      <c r="W2550">
        <v>5</v>
      </c>
      <c r="X2550" t="s">
        <v>41</v>
      </c>
      <c r="Y2550" t="s">
        <v>42</v>
      </c>
      <c r="Z2550">
        <v>2</v>
      </c>
    </row>
    <row r="2551" spans="1:26">
      <c r="A2551" t="s">
        <v>3774</v>
      </c>
      <c r="B2551" t="s">
        <v>436</v>
      </c>
      <c r="C2551" t="s">
        <v>28</v>
      </c>
      <c r="D2551" t="s">
        <v>95</v>
      </c>
      <c r="E2551" s="1">
        <v>45585</v>
      </c>
      <c r="F2551" t="s">
        <v>30</v>
      </c>
      <c r="G2551" t="s">
        <v>145</v>
      </c>
      <c r="H2551" t="s">
        <v>59</v>
      </c>
      <c r="I2551">
        <v>8</v>
      </c>
      <c r="J2551" t="s">
        <v>150</v>
      </c>
      <c r="K2551">
        <v>4</v>
      </c>
      <c r="L2551" s="3">
        <v>4799</v>
      </c>
      <c r="M2551">
        <v>10</v>
      </c>
      <c r="N2551" s="3">
        <v>4320</v>
      </c>
      <c r="O2551" s="3">
        <v>17280</v>
      </c>
      <c r="P2551" t="s">
        <v>74</v>
      </c>
      <c r="Q2551" t="s">
        <v>82</v>
      </c>
      <c r="R2551" t="s">
        <v>36</v>
      </c>
      <c r="S2551" t="s">
        <v>141</v>
      </c>
      <c r="T2551" t="s">
        <v>294</v>
      </c>
      <c r="U2551" t="s">
        <v>61</v>
      </c>
      <c r="V2551" t="s">
        <v>969</v>
      </c>
      <c r="W2551">
        <v>3.5</v>
      </c>
      <c r="X2551" t="s">
        <v>41</v>
      </c>
      <c r="Y2551" t="s">
        <v>42</v>
      </c>
      <c r="Z2551">
        <v>4</v>
      </c>
    </row>
    <row r="2552" spans="1:26">
      <c r="A2552" t="s">
        <v>3775</v>
      </c>
      <c r="B2552" t="s">
        <v>2888</v>
      </c>
      <c r="C2552" t="s">
        <v>45</v>
      </c>
      <c r="D2552" t="s">
        <v>29</v>
      </c>
      <c r="E2552" s="1">
        <v>45586</v>
      </c>
      <c r="F2552" t="s">
        <v>96</v>
      </c>
      <c r="G2552" t="s">
        <v>97</v>
      </c>
      <c r="H2552" t="s">
        <v>49</v>
      </c>
      <c r="I2552">
        <v>12</v>
      </c>
      <c r="J2552" t="s">
        <v>98</v>
      </c>
      <c r="K2552">
        <v>1</v>
      </c>
      <c r="L2552" s="3">
        <v>4599</v>
      </c>
      <c r="M2552">
        <v>10</v>
      </c>
      <c r="N2552" s="3">
        <v>4140</v>
      </c>
      <c r="O2552" s="3">
        <v>4140</v>
      </c>
      <c r="P2552" t="s">
        <v>34</v>
      </c>
      <c r="Q2552" t="s">
        <v>82</v>
      </c>
      <c r="R2552" t="s">
        <v>36</v>
      </c>
      <c r="S2552" t="s">
        <v>358</v>
      </c>
      <c r="T2552" t="s">
        <v>805</v>
      </c>
      <c r="U2552" t="s">
        <v>54</v>
      </c>
      <c r="V2552" t="s">
        <v>315</v>
      </c>
      <c r="W2552">
        <v>4.7</v>
      </c>
      <c r="X2552" t="s">
        <v>41</v>
      </c>
      <c r="Y2552" t="s">
        <v>42</v>
      </c>
      <c r="Z2552">
        <v>7</v>
      </c>
    </row>
    <row r="2553" spans="1:26">
      <c r="A2553" t="s">
        <v>3776</v>
      </c>
      <c r="B2553" t="s">
        <v>44</v>
      </c>
      <c r="C2553" t="s">
        <v>45</v>
      </c>
      <c r="D2553" t="s">
        <v>29</v>
      </c>
      <c r="E2553" s="1">
        <v>45586</v>
      </c>
      <c r="F2553" t="s">
        <v>86</v>
      </c>
      <c r="G2553" t="s">
        <v>242</v>
      </c>
      <c r="H2553" t="s">
        <v>32</v>
      </c>
      <c r="I2553">
        <v>9</v>
      </c>
      <c r="J2553" t="s">
        <v>67</v>
      </c>
      <c r="K2553">
        <v>1</v>
      </c>
      <c r="L2553" s="3">
        <v>5399</v>
      </c>
      <c r="M2553">
        <v>15</v>
      </c>
      <c r="N2553" s="3">
        <v>4590</v>
      </c>
      <c r="O2553" s="3">
        <v>4590</v>
      </c>
      <c r="P2553" t="s">
        <v>74</v>
      </c>
      <c r="Q2553" t="s">
        <v>82</v>
      </c>
      <c r="R2553" t="s">
        <v>36</v>
      </c>
      <c r="S2553" t="s">
        <v>68</v>
      </c>
      <c r="T2553" t="s">
        <v>811</v>
      </c>
      <c r="U2553" t="s">
        <v>61</v>
      </c>
      <c r="V2553" t="s">
        <v>969</v>
      </c>
      <c r="W2553">
        <v>4.5999999999999996</v>
      </c>
      <c r="X2553" t="s">
        <v>41</v>
      </c>
      <c r="Y2553" t="s">
        <v>55</v>
      </c>
      <c r="Z2553">
        <v>3</v>
      </c>
    </row>
    <row r="2554" spans="1:26">
      <c r="A2554" t="s">
        <v>3777</v>
      </c>
      <c r="B2554" t="s">
        <v>2383</v>
      </c>
      <c r="C2554" t="s">
        <v>94</v>
      </c>
      <c r="D2554" t="s">
        <v>103</v>
      </c>
      <c r="E2554" s="1">
        <v>45586</v>
      </c>
      <c r="F2554" t="s">
        <v>79</v>
      </c>
      <c r="G2554" t="s">
        <v>80</v>
      </c>
      <c r="H2554" t="s">
        <v>59</v>
      </c>
      <c r="I2554">
        <v>10</v>
      </c>
      <c r="J2554" t="s">
        <v>98</v>
      </c>
      <c r="K2554">
        <v>1</v>
      </c>
      <c r="L2554" s="3">
        <v>7399</v>
      </c>
      <c r="M2554">
        <v>30</v>
      </c>
      <c r="N2554" s="3">
        <v>5180</v>
      </c>
      <c r="O2554" s="3">
        <v>5180</v>
      </c>
      <c r="P2554" t="s">
        <v>34</v>
      </c>
      <c r="Q2554" t="s">
        <v>51</v>
      </c>
      <c r="R2554" t="s">
        <v>36</v>
      </c>
      <c r="S2554" t="s">
        <v>75</v>
      </c>
      <c r="T2554" t="s">
        <v>318</v>
      </c>
      <c r="U2554" t="s">
        <v>39</v>
      </c>
      <c r="V2554" t="s">
        <v>315</v>
      </c>
      <c r="W2554">
        <v>5</v>
      </c>
      <c r="X2554" t="s">
        <v>41</v>
      </c>
      <c r="Y2554" t="s">
        <v>42</v>
      </c>
      <c r="Z2554">
        <v>4</v>
      </c>
    </row>
    <row r="2555" spans="1:26">
      <c r="A2555" t="s">
        <v>3778</v>
      </c>
      <c r="B2555" t="s">
        <v>640</v>
      </c>
      <c r="C2555" t="s">
        <v>28</v>
      </c>
      <c r="D2555" t="s">
        <v>29</v>
      </c>
      <c r="E2555" s="1">
        <v>45587</v>
      </c>
      <c r="F2555" t="s">
        <v>79</v>
      </c>
      <c r="G2555" t="s">
        <v>174</v>
      </c>
      <c r="H2555" t="s">
        <v>32</v>
      </c>
      <c r="I2555">
        <v>8</v>
      </c>
      <c r="J2555" t="s">
        <v>73</v>
      </c>
      <c r="K2555">
        <v>3</v>
      </c>
      <c r="L2555" s="3">
        <v>3999</v>
      </c>
      <c r="M2555">
        <v>0</v>
      </c>
      <c r="N2555" s="3">
        <v>4000</v>
      </c>
      <c r="O2555" s="3">
        <v>12000</v>
      </c>
      <c r="P2555" t="s">
        <v>34</v>
      </c>
      <c r="Q2555" t="s">
        <v>82</v>
      </c>
      <c r="R2555" t="s">
        <v>36</v>
      </c>
      <c r="S2555" t="s">
        <v>243</v>
      </c>
      <c r="T2555" t="s">
        <v>328</v>
      </c>
      <c r="U2555" t="s">
        <v>54</v>
      </c>
      <c r="V2555" t="s">
        <v>315</v>
      </c>
      <c r="W2555">
        <v>4.5</v>
      </c>
      <c r="X2555" t="s">
        <v>41</v>
      </c>
      <c r="Y2555" t="s">
        <v>55</v>
      </c>
      <c r="Z2555">
        <v>3</v>
      </c>
    </row>
    <row r="2556" spans="1:26">
      <c r="A2556" t="s">
        <v>3779</v>
      </c>
      <c r="B2556" t="s">
        <v>630</v>
      </c>
      <c r="C2556" t="s">
        <v>94</v>
      </c>
      <c r="D2556" t="s">
        <v>103</v>
      </c>
      <c r="E2556" s="1">
        <v>45587</v>
      </c>
      <c r="F2556" t="s">
        <v>86</v>
      </c>
      <c r="G2556" t="s">
        <v>190</v>
      </c>
      <c r="H2556" t="s">
        <v>128</v>
      </c>
      <c r="I2556">
        <v>9</v>
      </c>
      <c r="J2556" t="s">
        <v>98</v>
      </c>
      <c r="K2556">
        <v>2</v>
      </c>
      <c r="L2556" s="3">
        <v>7099</v>
      </c>
      <c r="M2556">
        <v>20</v>
      </c>
      <c r="N2556" s="3">
        <v>5680</v>
      </c>
      <c r="O2556" s="3">
        <v>11360</v>
      </c>
      <c r="P2556" t="s">
        <v>74</v>
      </c>
      <c r="Q2556" t="s">
        <v>51</v>
      </c>
      <c r="R2556" t="s">
        <v>36</v>
      </c>
      <c r="S2556" t="s">
        <v>37</v>
      </c>
      <c r="T2556" t="s">
        <v>1122</v>
      </c>
      <c r="U2556" t="s">
        <v>39</v>
      </c>
      <c r="V2556" t="s">
        <v>969</v>
      </c>
      <c r="W2556">
        <v>4.5999999999999996</v>
      </c>
      <c r="X2556" t="s">
        <v>41</v>
      </c>
      <c r="Y2556" t="s">
        <v>42</v>
      </c>
      <c r="Z2556">
        <v>3</v>
      </c>
    </row>
    <row r="2557" spans="1:26">
      <c r="A2557" t="s">
        <v>3780</v>
      </c>
      <c r="B2557" t="s">
        <v>1339</v>
      </c>
      <c r="C2557" t="s">
        <v>45</v>
      </c>
      <c r="D2557" t="s">
        <v>29</v>
      </c>
      <c r="E2557" s="1">
        <v>45587</v>
      </c>
      <c r="F2557" t="s">
        <v>79</v>
      </c>
      <c r="G2557" t="s">
        <v>517</v>
      </c>
      <c r="H2557" t="s">
        <v>59</v>
      </c>
      <c r="I2557">
        <v>10</v>
      </c>
      <c r="J2557" t="s">
        <v>88</v>
      </c>
      <c r="K2557">
        <v>1</v>
      </c>
      <c r="L2557" s="3">
        <v>3699</v>
      </c>
      <c r="M2557">
        <v>0</v>
      </c>
      <c r="N2557" s="3">
        <v>3700</v>
      </c>
      <c r="O2557" s="3">
        <v>3700</v>
      </c>
      <c r="P2557" t="s">
        <v>34</v>
      </c>
      <c r="Q2557" t="s">
        <v>82</v>
      </c>
      <c r="R2557" t="s">
        <v>36</v>
      </c>
      <c r="S2557" t="s">
        <v>200</v>
      </c>
      <c r="T2557" t="s">
        <v>201</v>
      </c>
      <c r="U2557" t="s">
        <v>61</v>
      </c>
      <c r="V2557" t="s">
        <v>969</v>
      </c>
      <c r="W2557">
        <v>3.5</v>
      </c>
      <c r="X2557" t="s">
        <v>41</v>
      </c>
      <c r="Y2557" t="s">
        <v>55</v>
      </c>
      <c r="Z2557">
        <v>2</v>
      </c>
    </row>
    <row r="2558" spans="1:26">
      <c r="A2558" t="s">
        <v>3781</v>
      </c>
      <c r="B2558" t="s">
        <v>1992</v>
      </c>
      <c r="C2558" t="s">
        <v>28</v>
      </c>
      <c r="D2558" t="s">
        <v>46</v>
      </c>
      <c r="E2558" s="1">
        <v>45588</v>
      </c>
      <c r="F2558" t="s">
        <v>65</v>
      </c>
      <c r="G2558" t="s">
        <v>72</v>
      </c>
      <c r="H2558" t="s">
        <v>59</v>
      </c>
      <c r="I2558">
        <v>8</v>
      </c>
      <c r="J2558" t="s">
        <v>33</v>
      </c>
      <c r="K2558">
        <v>2</v>
      </c>
      <c r="L2558" s="3">
        <v>8699</v>
      </c>
      <c r="M2558">
        <v>20</v>
      </c>
      <c r="N2558" s="3">
        <v>6960</v>
      </c>
      <c r="O2558" s="3">
        <v>13920</v>
      </c>
      <c r="P2558" t="s">
        <v>81</v>
      </c>
      <c r="Q2558" t="s">
        <v>82</v>
      </c>
      <c r="R2558" t="s">
        <v>36</v>
      </c>
      <c r="S2558" t="s">
        <v>160</v>
      </c>
      <c r="T2558" t="s">
        <v>344</v>
      </c>
      <c r="U2558" t="s">
        <v>54</v>
      </c>
      <c r="V2558" t="s">
        <v>315</v>
      </c>
      <c r="W2558">
        <v>4.8</v>
      </c>
      <c r="X2558" t="s">
        <v>41</v>
      </c>
      <c r="Y2558" t="s">
        <v>42</v>
      </c>
      <c r="Z2558">
        <v>2</v>
      </c>
    </row>
    <row r="2559" spans="1:26">
      <c r="A2559" t="s">
        <v>3782</v>
      </c>
      <c r="B2559" t="s">
        <v>1899</v>
      </c>
      <c r="C2559" t="s">
        <v>45</v>
      </c>
      <c r="D2559" t="s">
        <v>46</v>
      </c>
      <c r="E2559" s="1">
        <v>45588</v>
      </c>
      <c r="F2559" t="s">
        <v>47</v>
      </c>
      <c r="G2559" t="s">
        <v>402</v>
      </c>
      <c r="H2559" t="s">
        <v>32</v>
      </c>
      <c r="I2559">
        <v>12</v>
      </c>
      <c r="J2559" t="s">
        <v>73</v>
      </c>
      <c r="K2559">
        <v>1</v>
      </c>
      <c r="L2559" s="3">
        <v>7899</v>
      </c>
      <c r="M2559">
        <v>20</v>
      </c>
      <c r="N2559" s="3">
        <v>6320</v>
      </c>
      <c r="O2559" s="3">
        <v>6320</v>
      </c>
      <c r="P2559" t="s">
        <v>81</v>
      </c>
      <c r="Q2559" t="s">
        <v>51</v>
      </c>
      <c r="R2559" t="s">
        <v>36</v>
      </c>
      <c r="S2559" t="s">
        <v>418</v>
      </c>
      <c r="T2559" t="s">
        <v>613</v>
      </c>
      <c r="U2559" t="s">
        <v>61</v>
      </c>
      <c r="V2559" t="s">
        <v>315</v>
      </c>
      <c r="W2559">
        <v>4.0999999999999996</v>
      </c>
      <c r="X2559" t="s">
        <v>41</v>
      </c>
      <c r="Y2559" t="s">
        <v>55</v>
      </c>
      <c r="Z2559">
        <v>2</v>
      </c>
    </row>
    <row r="2560" spans="1:26">
      <c r="A2560" t="s">
        <v>3783</v>
      </c>
      <c r="B2560" t="s">
        <v>1067</v>
      </c>
      <c r="C2560" t="s">
        <v>45</v>
      </c>
      <c r="D2560" t="s">
        <v>95</v>
      </c>
      <c r="E2560" s="1">
        <v>45589</v>
      </c>
      <c r="F2560" t="s">
        <v>79</v>
      </c>
      <c r="G2560" t="s">
        <v>301</v>
      </c>
      <c r="H2560" t="s">
        <v>49</v>
      </c>
      <c r="I2560">
        <v>7</v>
      </c>
      <c r="J2560" t="s">
        <v>150</v>
      </c>
      <c r="K2560">
        <v>1</v>
      </c>
      <c r="L2560" s="3">
        <v>6499</v>
      </c>
      <c r="M2560">
        <v>5</v>
      </c>
      <c r="N2560" s="3">
        <v>6170</v>
      </c>
      <c r="O2560" s="3">
        <v>6170</v>
      </c>
      <c r="P2560" t="s">
        <v>74</v>
      </c>
      <c r="Q2560" t="s">
        <v>51</v>
      </c>
      <c r="R2560" t="s">
        <v>36</v>
      </c>
      <c r="S2560" t="s">
        <v>122</v>
      </c>
      <c r="T2560" t="s">
        <v>123</v>
      </c>
      <c r="U2560" t="s">
        <v>54</v>
      </c>
      <c r="V2560" t="s">
        <v>969</v>
      </c>
      <c r="W2560">
        <v>4.2</v>
      </c>
      <c r="X2560" t="s">
        <v>41</v>
      </c>
      <c r="Y2560" t="s">
        <v>42</v>
      </c>
      <c r="Z2560">
        <v>5</v>
      </c>
    </row>
    <row r="2561" spans="1:26">
      <c r="A2561" t="s">
        <v>3784</v>
      </c>
      <c r="B2561" t="s">
        <v>1784</v>
      </c>
      <c r="C2561" t="s">
        <v>45</v>
      </c>
      <c r="D2561" t="s">
        <v>103</v>
      </c>
      <c r="E2561" s="1">
        <v>45590</v>
      </c>
      <c r="F2561" t="s">
        <v>47</v>
      </c>
      <c r="G2561" t="s">
        <v>48</v>
      </c>
      <c r="H2561" t="s">
        <v>49</v>
      </c>
      <c r="I2561">
        <v>7</v>
      </c>
      <c r="J2561" t="s">
        <v>150</v>
      </c>
      <c r="K2561">
        <v>1</v>
      </c>
      <c r="L2561" s="3">
        <v>4399</v>
      </c>
      <c r="M2561">
        <v>10</v>
      </c>
      <c r="N2561" s="3">
        <v>3960</v>
      </c>
      <c r="O2561" s="3">
        <v>3960</v>
      </c>
      <c r="P2561" t="s">
        <v>74</v>
      </c>
      <c r="Q2561" t="s">
        <v>51</v>
      </c>
      <c r="R2561" t="s">
        <v>36</v>
      </c>
      <c r="S2561" t="s">
        <v>238</v>
      </c>
      <c r="T2561" t="s">
        <v>239</v>
      </c>
      <c r="U2561" t="s">
        <v>124</v>
      </c>
      <c r="V2561" t="s">
        <v>969</v>
      </c>
      <c r="W2561">
        <v>4.4000000000000004</v>
      </c>
      <c r="X2561" t="s">
        <v>41</v>
      </c>
      <c r="Y2561" t="s">
        <v>42</v>
      </c>
      <c r="Z2561">
        <v>4</v>
      </c>
    </row>
    <row r="2562" spans="1:26">
      <c r="A2562" t="s">
        <v>3785</v>
      </c>
      <c r="B2562" t="s">
        <v>1598</v>
      </c>
      <c r="C2562" t="s">
        <v>28</v>
      </c>
      <c r="D2562" t="s">
        <v>29</v>
      </c>
      <c r="E2562" s="1">
        <v>45590</v>
      </c>
      <c r="F2562" t="s">
        <v>96</v>
      </c>
      <c r="G2562" t="s">
        <v>155</v>
      </c>
      <c r="H2562" t="s">
        <v>111</v>
      </c>
      <c r="I2562">
        <v>9</v>
      </c>
      <c r="J2562" t="s">
        <v>98</v>
      </c>
      <c r="K2562">
        <v>1</v>
      </c>
      <c r="L2562" s="3">
        <v>5399</v>
      </c>
      <c r="M2562">
        <v>10</v>
      </c>
      <c r="N2562" s="3">
        <v>4860</v>
      </c>
      <c r="O2562" s="3">
        <v>4860</v>
      </c>
      <c r="P2562" t="s">
        <v>74</v>
      </c>
      <c r="Q2562" t="s">
        <v>51</v>
      </c>
      <c r="R2562" t="s">
        <v>36</v>
      </c>
      <c r="S2562" t="s">
        <v>68</v>
      </c>
      <c r="T2562" t="s">
        <v>811</v>
      </c>
      <c r="U2562" t="s">
        <v>54</v>
      </c>
      <c r="V2562" t="s">
        <v>969</v>
      </c>
      <c r="W2562">
        <v>3.8</v>
      </c>
      <c r="X2562" t="s">
        <v>41</v>
      </c>
      <c r="Y2562" t="s">
        <v>55</v>
      </c>
      <c r="Z2562">
        <v>2</v>
      </c>
    </row>
    <row r="2563" spans="1:26">
      <c r="A2563" t="s">
        <v>3786</v>
      </c>
      <c r="B2563" t="s">
        <v>2336</v>
      </c>
      <c r="C2563" t="s">
        <v>28</v>
      </c>
      <c r="D2563" t="s">
        <v>109</v>
      </c>
      <c r="E2563" s="1">
        <v>45591</v>
      </c>
      <c r="F2563" t="s">
        <v>79</v>
      </c>
      <c r="G2563" t="s">
        <v>127</v>
      </c>
      <c r="H2563" t="s">
        <v>128</v>
      </c>
      <c r="I2563">
        <v>11</v>
      </c>
      <c r="J2563" t="s">
        <v>73</v>
      </c>
      <c r="K2563">
        <v>1</v>
      </c>
      <c r="L2563" s="3">
        <v>4199</v>
      </c>
      <c r="M2563">
        <v>15</v>
      </c>
      <c r="N2563" s="3">
        <v>3570</v>
      </c>
      <c r="O2563" s="3">
        <v>3570</v>
      </c>
      <c r="P2563" t="s">
        <v>34</v>
      </c>
      <c r="Q2563" t="s">
        <v>51</v>
      </c>
      <c r="R2563" t="s">
        <v>36</v>
      </c>
      <c r="S2563" t="s">
        <v>104</v>
      </c>
      <c r="T2563" t="s">
        <v>105</v>
      </c>
      <c r="U2563" t="s">
        <v>54</v>
      </c>
      <c r="V2563" t="s">
        <v>315</v>
      </c>
      <c r="W2563">
        <v>3.4</v>
      </c>
      <c r="X2563" t="s">
        <v>41</v>
      </c>
      <c r="Y2563" t="s">
        <v>42</v>
      </c>
      <c r="Z2563">
        <v>6</v>
      </c>
    </row>
    <row r="2564" spans="1:26">
      <c r="A2564" t="s">
        <v>3787</v>
      </c>
      <c r="B2564" t="s">
        <v>623</v>
      </c>
      <c r="C2564" t="s">
        <v>45</v>
      </c>
      <c r="D2564" t="s">
        <v>103</v>
      </c>
      <c r="E2564" s="1">
        <v>45591</v>
      </c>
      <c r="F2564" t="s">
        <v>79</v>
      </c>
      <c r="G2564" t="s">
        <v>480</v>
      </c>
      <c r="H2564" t="s">
        <v>111</v>
      </c>
      <c r="I2564">
        <v>8</v>
      </c>
      <c r="J2564" t="s">
        <v>150</v>
      </c>
      <c r="K2564">
        <v>1</v>
      </c>
      <c r="L2564" s="3">
        <v>4299</v>
      </c>
      <c r="M2564">
        <v>25</v>
      </c>
      <c r="N2564" s="3">
        <v>3220</v>
      </c>
      <c r="O2564" s="3">
        <v>3220</v>
      </c>
      <c r="P2564" t="s">
        <v>74</v>
      </c>
      <c r="Q2564" t="s">
        <v>82</v>
      </c>
      <c r="R2564" t="s">
        <v>36</v>
      </c>
      <c r="S2564" t="s">
        <v>384</v>
      </c>
      <c r="T2564" t="s">
        <v>444</v>
      </c>
      <c r="U2564" t="s">
        <v>91</v>
      </c>
      <c r="V2564" t="s">
        <v>969</v>
      </c>
      <c r="W2564">
        <v>5</v>
      </c>
      <c r="X2564" t="s">
        <v>41</v>
      </c>
      <c r="Y2564" t="s">
        <v>42</v>
      </c>
      <c r="Z2564">
        <v>4</v>
      </c>
    </row>
    <row r="2565" spans="1:26">
      <c r="A2565" t="s">
        <v>3788</v>
      </c>
      <c r="B2565" t="s">
        <v>102</v>
      </c>
      <c r="C2565" t="s">
        <v>45</v>
      </c>
      <c r="D2565" t="s">
        <v>103</v>
      </c>
      <c r="E2565" s="1">
        <v>45592</v>
      </c>
      <c r="F2565" t="s">
        <v>96</v>
      </c>
      <c r="G2565" t="s">
        <v>323</v>
      </c>
      <c r="H2565" t="s">
        <v>59</v>
      </c>
      <c r="I2565">
        <v>9</v>
      </c>
      <c r="J2565" t="s">
        <v>98</v>
      </c>
      <c r="K2565">
        <v>2</v>
      </c>
      <c r="L2565" s="3">
        <v>6599</v>
      </c>
      <c r="M2565">
        <v>20</v>
      </c>
      <c r="N2565" s="3">
        <v>5280</v>
      </c>
      <c r="O2565" s="3">
        <v>10560</v>
      </c>
      <c r="P2565" t="s">
        <v>81</v>
      </c>
      <c r="Q2565" t="s">
        <v>35</v>
      </c>
      <c r="R2565" t="s">
        <v>36</v>
      </c>
      <c r="S2565" t="s">
        <v>243</v>
      </c>
      <c r="T2565" t="s">
        <v>273</v>
      </c>
      <c r="U2565" t="s">
        <v>91</v>
      </c>
      <c r="V2565" t="s">
        <v>315</v>
      </c>
      <c r="W2565">
        <v>4.4000000000000004</v>
      </c>
      <c r="X2565" t="s">
        <v>62</v>
      </c>
      <c r="Y2565" t="s">
        <v>147</v>
      </c>
      <c r="Z2565">
        <v>1</v>
      </c>
    </row>
    <row r="2566" spans="1:26">
      <c r="A2566" t="s">
        <v>3789</v>
      </c>
      <c r="B2566" t="s">
        <v>1744</v>
      </c>
      <c r="C2566" t="s">
        <v>45</v>
      </c>
      <c r="D2566" t="s">
        <v>103</v>
      </c>
      <c r="E2566" s="1">
        <v>45593</v>
      </c>
      <c r="F2566" t="s">
        <v>47</v>
      </c>
      <c r="G2566" t="s">
        <v>140</v>
      </c>
      <c r="H2566" t="s">
        <v>128</v>
      </c>
      <c r="I2566">
        <v>9</v>
      </c>
      <c r="J2566" t="s">
        <v>67</v>
      </c>
      <c r="K2566">
        <v>1</v>
      </c>
      <c r="L2566" s="3">
        <v>8299</v>
      </c>
      <c r="M2566">
        <v>15</v>
      </c>
      <c r="N2566" s="3">
        <v>7050</v>
      </c>
      <c r="O2566" s="3">
        <v>7050</v>
      </c>
      <c r="P2566" t="s">
        <v>34</v>
      </c>
      <c r="Q2566" t="s">
        <v>51</v>
      </c>
      <c r="R2566" t="s">
        <v>36</v>
      </c>
      <c r="S2566" t="s">
        <v>164</v>
      </c>
      <c r="T2566" t="s">
        <v>314</v>
      </c>
      <c r="U2566" t="s">
        <v>61</v>
      </c>
      <c r="V2566" t="s">
        <v>969</v>
      </c>
      <c r="W2566">
        <v>4.7</v>
      </c>
      <c r="X2566" t="s">
        <v>62</v>
      </c>
      <c r="Y2566" t="s">
        <v>55</v>
      </c>
      <c r="Z2566">
        <v>2</v>
      </c>
    </row>
    <row r="2567" spans="1:26">
      <c r="A2567" t="s">
        <v>3790</v>
      </c>
      <c r="B2567" t="s">
        <v>976</v>
      </c>
      <c r="C2567" t="s">
        <v>94</v>
      </c>
      <c r="D2567" t="s">
        <v>103</v>
      </c>
      <c r="E2567" s="1">
        <v>45593</v>
      </c>
      <c r="F2567" t="s">
        <v>96</v>
      </c>
      <c r="G2567" t="s">
        <v>97</v>
      </c>
      <c r="H2567" t="s">
        <v>49</v>
      </c>
      <c r="I2567">
        <v>8</v>
      </c>
      <c r="J2567" t="s">
        <v>67</v>
      </c>
      <c r="K2567">
        <v>1</v>
      </c>
      <c r="L2567" s="3">
        <v>4899</v>
      </c>
      <c r="M2567">
        <v>30</v>
      </c>
      <c r="N2567" s="3">
        <v>3430</v>
      </c>
      <c r="O2567" s="3">
        <v>3430</v>
      </c>
      <c r="P2567" t="s">
        <v>34</v>
      </c>
      <c r="Q2567" t="s">
        <v>82</v>
      </c>
      <c r="R2567" t="s">
        <v>36</v>
      </c>
      <c r="S2567" t="s">
        <v>243</v>
      </c>
      <c r="T2567" t="s">
        <v>276</v>
      </c>
      <c r="U2567" t="s">
        <v>124</v>
      </c>
      <c r="V2567" t="s">
        <v>969</v>
      </c>
      <c r="W2567">
        <v>4.4000000000000004</v>
      </c>
      <c r="X2567" t="s">
        <v>41</v>
      </c>
      <c r="Y2567" t="s">
        <v>42</v>
      </c>
      <c r="Z2567">
        <v>3</v>
      </c>
    </row>
    <row r="2568" spans="1:26">
      <c r="A2568" t="s">
        <v>3791</v>
      </c>
      <c r="B2568" t="s">
        <v>783</v>
      </c>
      <c r="C2568" t="s">
        <v>28</v>
      </c>
      <c r="D2568" t="s">
        <v>103</v>
      </c>
      <c r="E2568" s="1">
        <v>45597</v>
      </c>
      <c r="F2568" t="s">
        <v>96</v>
      </c>
      <c r="G2568" t="s">
        <v>171</v>
      </c>
      <c r="H2568" t="s">
        <v>128</v>
      </c>
      <c r="I2568">
        <v>6</v>
      </c>
      <c r="J2568" t="s">
        <v>98</v>
      </c>
      <c r="K2568">
        <v>2</v>
      </c>
      <c r="L2568" s="3">
        <v>4699</v>
      </c>
      <c r="M2568">
        <v>25</v>
      </c>
      <c r="N2568" s="3">
        <v>3520</v>
      </c>
      <c r="O2568" s="3">
        <v>7040</v>
      </c>
      <c r="P2568" t="s">
        <v>74</v>
      </c>
      <c r="Q2568" t="s">
        <v>51</v>
      </c>
      <c r="R2568" t="s">
        <v>36</v>
      </c>
      <c r="S2568" t="s">
        <v>52</v>
      </c>
      <c r="T2568" t="s">
        <v>60</v>
      </c>
      <c r="U2568" t="s">
        <v>61</v>
      </c>
      <c r="V2568" t="s">
        <v>969</v>
      </c>
      <c r="W2568">
        <v>4.8</v>
      </c>
      <c r="X2568" t="s">
        <v>41</v>
      </c>
      <c r="Y2568" t="s">
        <v>55</v>
      </c>
      <c r="Z2568">
        <v>1</v>
      </c>
    </row>
    <row r="2569" spans="1:26">
      <c r="A2569" t="s">
        <v>3792</v>
      </c>
      <c r="B2569" t="s">
        <v>772</v>
      </c>
      <c r="C2569" t="s">
        <v>94</v>
      </c>
      <c r="D2569" t="s">
        <v>95</v>
      </c>
      <c r="E2569" s="1">
        <v>45597</v>
      </c>
      <c r="F2569" t="s">
        <v>79</v>
      </c>
      <c r="G2569" t="s">
        <v>517</v>
      </c>
      <c r="H2569" t="s">
        <v>59</v>
      </c>
      <c r="I2569">
        <v>11</v>
      </c>
      <c r="J2569" t="s">
        <v>150</v>
      </c>
      <c r="K2569">
        <v>1</v>
      </c>
      <c r="L2569" s="3">
        <v>8799</v>
      </c>
      <c r="M2569">
        <v>10</v>
      </c>
      <c r="N2569" s="3">
        <v>7920</v>
      </c>
      <c r="O2569" s="3">
        <v>7920</v>
      </c>
      <c r="P2569" t="s">
        <v>81</v>
      </c>
      <c r="Q2569" t="s">
        <v>35</v>
      </c>
      <c r="R2569" t="s">
        <v>36</v>
      </c>
      <c r="S2569" t="s">
        <v>164</v>
      </c>
      <c r="T2569" t="s">
        <v>165</v>
      </c>
      <c r="U2569" t="s">
        <v>54</v>
      </c>
      <c r="V2569" t="s">
        <v>969</v>
      </c>
      <c r="W2569">
        <v>3.8</v>
      </c>
      <c r="X2569" t="s">
        <v>41</v>
      </c>
      <c r="Y2569" t="s">
        <v>42</v>
      </c>
      <c r="Z2569">
        <v>5</v>
      </c>
    </row>
    <row r="2570" spans="1:26">
      <c r="A2570" t="s">
        <v>3793</v>
      </c>
      <c r="B2570" t="s">
        <v>163</v>
      </c>
      <c r="C2570" t="s">
        <v>28</v>
      </c>
      <c r="D2570" t="s">
        <v>29</v>
      </c>
      <c r="E2570" s="1">
        <v>45598</v>
      </c>
      <c r="F2570" t="s">
        <v>30</v>
      </c>
      <c r="G2570" t="s">
        <v>145</v>
      </c>
      <c r="H2570" t="s">
        <v>59</v>
      </c>
      <c r="I2570">
        <v>7</v>
      </c>
      <c r="J2570" t="s">
        <v>88</v>
      </c>
      <c r="K2570">
        <v>2</v>
      </c>
      <c r="L2570" s="3">
        <v>7899</v>
      </c>
      <c r="M2570">
        <v>0</v>
      </c>
      <c r="N2570" s="3">
        <v>7900</v>
      </c>
      <c r="O2570" s="3">
        <v>15800</v>
      </c>
      <c r="P2570" t="s">
        <v>74</v>
      </c>
      <c r="Q2570" t="s">
        <v>82</v>
      </c>
      <c r="R2570" t="s">
        <v>36</v>
      </c>
      <c r="S2570" t="s">
        <v>117</v>
      </c>
      <c r="T2570" t="s">
        <v>118</v>
      </c>
      <c r="U2570" t="s">
        <v>39</v>
      </c>
      <c r="V2570" t="s">
        <v>969</v>
      </c>
      <c r="W2570">
        <v>3.7</v>
      </c>
      <c r="X2570" t="s">
        <v>41</v>
      </c>
      <c r="Y2570" t="s">
        <v>42</v>
      </c>
      <c r="Z2570">
        <v>5</v>
      </c>
    </row>
    <row r="2571" spans="1:26">
      <c r="A2571" t="s">
        <v>3794</v>
      </c>
      <c r="B2571" t="s">
        <v>189</v>
      </c>
      <c r="C2571" t="s">
        <v>28</v>
      </c>
      <c r="D2571" t="s">
        <v>29</v>
      </c>
      <c r="E2571" s="1">
        <v>45598</v>
      </c>
      <c r="F2571" t="s">
        <v>86</v>
      </c>
      <c r="G2571" t="s">
        <v>87</v>
      </c>
      <c r="H2571" t="s">
        <v>59</v>
      </c>
      <c r="I2571">
        <v>8</v>
      </c>
      <c r="J2571" t="s">
        <v>150</v>
      </c>
      <c r="K2571">
        <v>1</v>
      </c>
      <c r="L2571" s="3">
        <v>7699</v>
      </c>
      <c r="M2571">
        <v>15</v>
      </c>
      <c r="N2571" s="3">
        <v>6540</v>
      </c>
      <c r="O2571" s="3">
        <v>6540</v>
      </c>
      <c r="P2571" t="s">
        <v>34</v>
      </c>
      <c r="Q2571" t="s">
        <v>51</v>
      </c>
      <c r="R2571" t="s">
        <v>36</v>
      </c>
      <c r="S2571" t="s">
        <v>210</v>
      </c>
      <c r="T2571" t="s">
        <v>412</v>
      </c>
      <c r="U2571" t="s">
        <v>54</v>
      </c>
      <c r="V2571" t="s">
        <v>315</v>
      </c>
      <c r="W2571">
        <v>4.9000000000000004</v>
      </c>
      <c r="X2571" t="s">
        <v>41</v>
      </c>
      <c r="Y2571" t="s">
        <v>55</v>
      </c>
      <c r="Z2571">
        <v>2</v>
      </c>
    </row>
    <row r="2572" spans="1:26">
      <c r="A2572" t="s">
        <v>3795</v>
      </c>
      <c r="B2572" t="s">
        <v>814</v>
      </c>
      <c r="C2572" t="s">
        <v>94</v>
      </c>
      <c r="D2572" t="s">
        <v>103</v>
      </c>
      <c r="E2572" s="1">
        <v>45599</v>
      </c>
      <c r="F2572" t="s">
        <v>79</v>
      </c>
      <c r="G2572" t="s">
        <v>127</v>
      </c>
      <c r="H2572" t="s">
        <v>128</v>
      </c>
      <c r="I2572">
        <v>8</v>
      </c>
      <c r="J2572" t="s">
        <v>67</v>
      </c>
      <c r="K2572">
        <v>2</v>
      </c>
      <c r="L2572" s="3">
        <v>6699</v>
      </c>
      <c r="M2572">
        <v>35</v>
      </c>
      <c r="N2572" s="3">
        <v>4350</v>
      </c>
      <c r="O2572" s="3">
        <v>8700</v>
      </c>
      <c r="P2572" t="s">
        <v>74</v>
      </c>
      <c r="Q2572" t="s">
        <v>82</v>
      </c>
      <c r="R2572" t="s">
        <v>36</v>
      </c>
      <c r="S2572" t="s">
        <v>354</v>
      </c>
      <c r="T2572" t="s">
        <v>355</v>
      </c>
      <c r="U2572" t="s">
        <v>39</v>
      </c>
      <c r="V2572" t="s">
        <v>969</v>
      </c>
      <c r="W2572">
        <v>3.9</v>
      </c>
      <c r="X2572" t="s">
        <v>41</v>
      </c>
      <c r="Y2572" t="s">
        <v>55</v>
      </c>
      <c r="Z2572">
        <v>2</v>
      </c>
    </row>
    <row r="2573" spans="1:26">
      <c r="A2573" t="s">
        <v>3796</v>
      </c>
      <c r="B2573" t="s">
        <v>1844</v>
      </c>
      <c r="C2573" t="s">
        <v>28</v>
      </c>
      <c r="D2573" t="s">
        <v>46</v>
      </c>
      <c r="E2573" s="1">
        <v>45599</v>
      </c>
      <c r="F2573" t="s">
        <v>86</v>
      </c>
      <c r="G2573" t="s">
        <v>285</v>
      </c>
      <c r="H2573" t="s">
        <v>111</v>
      </c>
      <c r="I2573">
        <v>7</v>
      </c>
      <c r="J2573" t="s">
        <v>98</v>
      </c>
      <c r="K2573">
        <v>1</v>
      </c>
      <c r="L2573" s="3">
        <v>5299</v>
      </c>
      <c r="M2573">
        <v>30</v>
      </c>
      <c r="N2573" s="3">
        <v>3710</v>
      </c>
      <c r="O2573" s="3">
        <v>3710</v>
      </c>
      <c r="P2573" t="s">
        <v>34</v>
      </c>
      <c r="Q2573" t="s">
        <v>51</v>
      </c>
      <c r="R2573" t="s">
        <v>36</v>
      </c>
      <c r="S2573" t="s">
        <v>182</v>
      </c>
      <c r="T2573" t="s">
        <v>604</v>
      </c>
      <c r="U2573" t="s">
        <v>61</v>
      </c>
      <c r="V2573" t="s">
        <v>969</v>
      </c>
      <c r="W2573">
        <v>5</v>
      </c>
      <c r="X2573" t="s">
        <v>41</v>
      </c>
      <c r="Y2573" t="s">
        <v>55</v>
      </c>
      <c r="Z2573">
        <v>1</v>
      </c>
    </row>
    <row r="2574" spans="1:26">
      <c r="A2574" t="s">
        <v>3797</v>
      </c>
      <c r="B2574" t="s">
        <v>1203</v>
      </c>
      <c r="C2574" t="s">
        <v>28</v>
      </c>
      <c r="D2574" t="s">
        <v>103</v>
      </c>
      <c r="E2574" s="1">
        <v>45599</v>
      </c>
      <c r="F2574" t="s">
        <v>47</v>
      </c>
      <c r="G2574" t="s">
        <v>140</v>
      </c>
      <c r="H2574" t="s">
        <v>128</v>
      </c>
      <c r="I2574">
        <v>11</v>
      </c>
      <c r="J2574" t="s">
        <v>73</v>
      </c>
      <c r="K2574">
        <v>1</v>
      </c>
      <c r="L2574" s="3">
        <v>7099</v>
      </c>
      <c r="M2574">
        <v>15</v>
      </c>
      <c r="N2574" s="3">
        <v>6030</v>
      </c>
      <c r="O2574" s="3">
        <v>6030</v>
      </c>
      <c r="P2574" t="s">
        <v>74</v>
      </c>
      <c r="Q2574" t="s">
        <v>82</v>
      </c>
      <c r="R2574" t="s">
        <v>36</v>
      </c>
      <c r="S2574" t="s">
        <v>286</v>
      </c>
      <c r="T2574" t="s">
        <v>768</v>
      </c>
      <c r="U2574" t="s">
        <v>39</v>
      </c>
      <c r="V2574" t="s">
        <v>315</v>
      </c>
      <c r="W2574">
        <v>4.0999999999999996</v>
      </c>
      <c r="X2574" t="s">
        <v>41</v>
      </c>
      <c r="Y2574" t="s">
        <v>42</v>
      </c>
      <c r="Z2574">
        <v>7</v>
      </c>
    </row>
    <row r="2575" spans="1:26">
      <c r="A2575" t="s">
        <v>3798</v>
      </c>
      <c r="B2575" t="s">
        <v>3799</v>
      </c>
      <c r="C2575" t="s">
        <v>45</v>
      </c>
      <c r="D2575" t="s">
        <v>29</v>
      </c>
      <c r="E2575" s="1">
        <v>45601</v>
      </c>
      <c r="F2575" t="s">
        <v>30</v>
      </c>
      <c r="G2575" t="s">
        <v>110</v>
      </c>
      <c r="H2575" t="s">
        <v>111</v>
      </c>
      <c r="I2575">
        <v>9</v>
      </c>
      <c r="J2575" t="s">
        <v>67</v>
      </c>
      <c r="K2575">
        <v>1</v>
      </c>
      <c r="L2575" s="3">
        <v>5199</v>
      </c>
      <c r="M2575">
        <v>25</v>
      </c>
      <c r="N2575" s="3">
        <v>3900</v>
      </c>
      <c r="O2575" s="3">
        <v>3900</v>
      </c>
      <c r="P2575" t="s">
        <v>34</v>
      </c>
      <c r="Q2575" t="s">
        <v>51</v>
      </c>
      <c r="R2575" t="s">
        <v>36</v>
      </c>
      <c r="S2575" t="s">
        <v>136</v>
      </c>
      <c r="T2575" t="s">
        <v>137</v>
      </c>
      <c r="U2575" t="s">
        <v>61</v>
      </c>
      <c r="V2575" t="s">
        <v>40</v>
      </c>
      <c r="W2575">
        <v>4.2</v>
      </c>
      <c r="X2575" t="s">
        <v>41</v>
      </c>
      <c r="Y2575" t="s">
        <v>55</v>
      </c>
      <c r="Z2575">
        <v>2</v>
      </c>
    </row>
    <row r="2576" spans="1:26">
      <c r="A2576" t="s">
        <v>3800</v>
      </c>
      <c r="B2576" t="s">
        <v>3801</v>
      </c>
      <c r="C2576" t="s">
        <v>45</v>
      </c>
      <c r="D2576" t="s">
        <v>95</v>
      </c>
      <c r="E2576" s="1">
        <v>45601</v>
      </c>
      <c r="F2576" t="s">
        <v>65</v>
      </c>
      <c r="G2576" t="s">
        <v>268</v>
      </c>
      <c r="H2576" t="s">
        <v>128</v>
      </c>
      <c r="I2576">
        <v>9</v>
      </c>
      <c r="J2576" t="s">
        <v>73</v>
      </c>
      <c r="K2576">
        <v>1</v>
      </c>
      <c r="L2576" s="3">
        <v>6999</v>
      </c>
      <c r="M2576">
        <v>15</v>
      </c>
      <c r="N2576" s="3">
        <v>5950</v>
      </c>
      <c r="O2576" s="3">
        <v>5950</v>
      </c>
      <c r="P2576" t="s">
        <v>34</v>
      </c>
      <c r="Q2576" t="s">
        <v>51</v>
      </c>
      <c r="R2576" t="s">
        <v>36</v>
      </c>
      <c r="S2576" t="s">
        <v>160</v>
      </c>
      <c r="T2576" t="s">
        <v>247</v>
      </c>
      <c r="U2576" t="s">
        <v>61</v>
      </c>
      <c r="V2576" t="s">
        <v>40</v>
      </c>
      <c r="W2576">
        <v>3.4</v>
      </c>
      <c r="X2576" t="s">
        <v>41</v>
      </c>
      <c r="Y2576" t="s">
        <v>55</v>
      </c>
      <c r="Z2576">
        <v>3</v>
      </c>
    </row>
    <row r="2577" spans="1:26">
      <c r="A2577" t="s">
        <v>3802</v>
      </c>
      <c r="B2577" t="s">
        <v>2169</v>
      </c>
      <c r="C2577" t="s">
        <v>28</v>
      </c>
      <c r="D2577" t="s">
        <v>46</v>
      </c>
      <c r="E2577" s="1">
        <v>45602</v>
      </c>
      <c r="F2577" t="s">
        <v>65</v>
      </c>
      <c r="G2577" t="s">
        <v>365</v>
      </c>
      <c r="H2577" t="s">
        <v>49</v>
      </c>
      <c r="I2577">
        <v>6</v>
      </c>
      <c r="J2577" t="s">
        <v>88</v>
      </c>
      <c r="K2577">
        <v>1</v>
      </c>
      <c r="L2577" s="3">
        <v>5199</v>
      </c>
      <c r="M2577">
        <v>10</v>
      </c>
      <c r="N2577" s="3">
        <v>4680</v>
      </c>
      <c r="O2577" s="3">
        <v>4680</v>
      </c>
      <c r="P2577" t="s">
        <v>34</v>
      </c>
      <c r="Q2577" t="s">
        <v>51</v>
      </c>
      <c r="R2577" t="s">
        <v>36</v>
      </c>
      <c r="S2577" t="s">
        <v>418</v>
      </c>
      <c r="T2577" t="s">
        <v>613</v>
      </c>
      <c r="U2577" t="s">
        <v>54</v>
      </c>
      <c r="V2577" t="s">
        <v>315</v>
      </c>
      <c r="W2577">
        <v>3.4</v>
      </c>
      <c r="X2577" t="s">
        <v>41</v>
      </c>
      <c r="Y2577" t="s">
        <v>42</v>
      </c>
      <c r="Z2577">
        <v>2</v>
      </c>
    </row>
    <row r="2578" spans="1:26">
      <c r="A2578" t="s">
        <v>3803</v>
      </c>
      <c r="B2578" t="s">
        <v>2224</v>
      </c>
      <c r="C2578" t="s">
        <v>45</v>
      </c>
      <c r="D2578" t="s">
        <v>103</v>
      </c>
      <c r="E2578" s="1">
        <v>45603</v>
      </c>
      <c r="F2578" t="s">
        <v>79</v>
      </c>
      <c r="G2578" t="s">
        <v>80</v>
      </c>
      <c r="H2578" t="s">
        <v>59</v>
      </c>
      <c r="I2578">
        <v>9</v>
      </c>
      <c r="J2578" t="s">
        <v>150</v>
      </c>
      <c r="K2578">
        <v>1</v>
      </c>
      <c r="L2578" s="3">
        <v>5999</v>
      </c>
      <c r="M2578">
        <v>10</v>
      </c>
      <c r="N2578" s="3">
        <v>5400</v>
      </c>
      <c r="O2578" s="3">
        <v>5400</v>
      </c>
      <c r="P2578" t="s">
        <v>74</v>
      </c>
      <c r="Q2578" t="s">
        <v>82</v>
      </c>
      <c r="R2578" t="s">
        <v>36</v>
      </c>
      <c r="S2578" t="s">
        <v>384</v>
      </c>
      <c r="T2578" t="s">
        <v>385</v>
      </c>
      <c r="U2578" t="s">
        <v>124</v>
      </c>
      <c r="V2578" t="s">
        <v>969</v>
      </c>
      <c r="W2578">
        <v>3.9</v>
      </c>
      <c r="X2578" t="s">
        <v>41</v>
      </c>
      <c r="Y2578" t="s">
        <v>42</v>
      </c>
      <c r="Z2578">
        <v>3</v>
      </c>
    </row>
    <row r="2579" spans="1:26">
      <c r="A2579" t="s">
        <v>3804</v>
      </c>
      <c r="B2579" t="s">
        <v>1195</v>
      </c>
      <c r="C2579" t="s">
        <v>94</v>
      </c>
      <c r="D2579" t="s">
        <v>29</v>
      </c>
      <c r="E2579" s="1">
        <v>45603</v>
      </c>
      <c r="F2579" t="s">
        <v>47</v>
      </c>
      <c r="G2579" t="s">
        <v>140</v>
      </c>
      <c r="H2579" t="s">
        <v>128</v>
      </c>
      <c r="I2579">
        <v>10</v>
      </c>
      <c r="J2579" t="s">
        <v>98</v>
      </c>
      <c r="K2579">
        <v>1</v>
      </c>
      <c r="L2579" s="3">
        <v>6399</v>
      </c>
      <c r="M2579">
        <v>25</v>
      </c>
      <c r="N2579" s="3">
        <v>4800</v>
      </c>
      <c r="O2579" s="3">
        <v>4800</v>
      </c>
      <c r="P2579" t="s">
        <v>34</v>
      </c>
      <c r="Q2579" t="s">
        <v>82</v>
      </c>
      <c r="R2579" t="s">
        <v>36</v>
      </c>
      <c r="S2579" t="s">
        <v>182</v>
      </c>
      <c r="T2579" t="s">
        <v>503</v>
      </c>
      <c r="U2579" t="s">
        <v>61</v>
      </c>
      <c r="V2579" t="s">
        <v>315</v>
      </c>
      <c r="W2579">
        <v>3.6</v>
      </c>
      <c r="X2579" t="s">
        <v>62</v>
      </c>
      <c r="Y2579" t="s">
        <v>42</v>
      </c>
      <c r="Z2579">
        <v>4</v>
      </c>
    </row>
    <row r="2580" spans="1:26">
      <c r="A2580" t="s">
        <v>3805</v>
      </c>
      <c r="B2580" t="s">
        <v>1525</v>
      </c>
      <c r="C2580" t="s">
        <v>94</v>
      </c>
      <c r="D2580" t="s">
        <v>46</v>
      </c>
      <c r="E2580" s="1">
        <v>45603</v>
      </c>
      <c r="F2580" t="s">
        <v>79</v>
      </c>
      <c r="G2580" t="s">
        <v>301</v>
      </c>
      <c r="H2580" t="s">
        <v>49</v>
      </c>
      <c r="I2580">
        <v>8</v>
      </c>
      <c r="J2580" t="s">
        <v>67</v>
      </c>
      <c r="K2580">
        <v>1</v>
      </c>
      <c r="L2580" s="3">
        <v>7299</v>
      </c>
      <c r="M2580">
        <v>10</v>
      </c>
      <c r="N2580" s="3">
        <v>6570</v>
      </c>
      <c r="O2580" s="3">
        <v>6570</v>
      </c>
      <c r="P2580" t="s">
        <v>74</v>
      </c>
      <c r="Q2580" t="s">
        <v>51</v>
      </c>
      <c r="R2580" t="s">
        <v>36</v>
      </c>
      <c r="S2580" t="s">
        <v>75</v>
      </c>
      <c r="T2580" t="s">
        <v>318</v>
      </c>
      <c r="U2580" t="s">
        <v>91</v>
      </c>
      <c r="V2580" t="s">
        <v>315</v>
      </c>
      <c r="W2580">
        <v>4.0999999999999996</v>
      </c>
      <c r="X2580" t="s">
        <v>41</v>
      </c>
      <c r="Y2580" t="s">
        <v>55</v>
      </c>
      <c r="Z2580">
        <v>1</v>
      </c>
    </row>
    <row r="2581" spans="1:26">
      <c r="A2581" t="s">
        <v>3806</v>
      </c>
      <c r="B2581" t="s">
        <v>1260</v>
      </c>
      <c r="C2581" t="s">
        <v>45</v>
      </c>
      <c r="D2581" t="s">
        <v>95</v>
      </c>
      <c r="E2581" s="1">
        <v>45604</v>
      </c>
      <c r="F2581" t="s">
        <v>96</v>
      </c>
      <c r="G2581" t="s">
        <v>97</v>
      </c>
      <c r="H2581" t="s">
        <v>49</v>
      </c>
      <c r="I2581">
        <v>6</v>
      </c>
      <c r="J2581" t="s">
        <v>67</v>
      </c>
      <c r="K2581">
        <v>3</v>
      </c>
      <c r="L2581" s="3">
        <v>7899</v>
      </c>
      <c r="M2581">
        <v>30</v>
      </c>
      <c r="N2581" s="3">
        <v>5530</v>
      </c>
      <c r="O2581" s="3">
        <v>16590</v>
      </c>
      <c r="P2581" t="s">
        <v>74</v>
      </c>
      <c r="Q2581" t="s">
        <v>82</v>
      </c>
      <c r="R2581" t="s">
        <v>36</v>
      </c>
      <c r="S2581" t="s">
        <v>418</v>
      </c>
      <c r="T2581" t="s">
        <v>549</v>
      </c>
      <c r="U2581" t="s">
        <v>124</v>
      </c>
      <c r="V2581" t="s">
        <v>315</v>
      </c>
      <c r="W2581">
        <v>4</v>
      </c>
      <c r="X2581" t="s">
        <v>41</v>
      </c>
      <c r="Y2581" t="s">
        <v>42</v>
      </c>
      <c r="Z2581">
        <v>2</v>
      </c>
    </row>
    <row r="2582" spans="1:26">
      <c r="A2582" t="s">
        <v>3807</v>
      </c>
      <c r="B2582" t="s">
        <v>1921</v>
      </c>
      <c r="C2582" t="s">
        <v>94</v>
      </c>
      <c r="D2582" t="s">
        <v>103</v>
      </c>
      <c r="E2582" s="1">
        <v>45605</v>
      </c>
      <c r="F2582" t="s">
        <v>79</v>
      </c>
      <c r="G2582" t="s">
        <v>80</v>
      </c>
      <c r="H2582" t="s">
        <v>59</v>
      </c>
      <c r="I2582">
        <v>12</v>
      </c>
      <c r="J2582" t="s">
        <v>67</v>
      </c>
      <c r="K2582">
        <v>1</v>
      </c>
      <c r="L2582" s="3">
        <v>7699</v>
      </c>
      <c r="M2582">
        <v>20</v>
      </c>
      <c r="N2582" s="3">
        <v>6160</v>
      </c>
      <c r="O2582" s="3">
        <v>6160</v>
      </c>
      <c r="P2582" t="s">
        <v>74</v>
      </c>
      <c r="Q2582" t="s">
        <v>82</v>
      </c>
      <c r="R2582" t="s">
        <v>36</v>
      </c>
      <c r="S2582" t="s">
        <v>182</v>
      </c>
      <c r="T2582" t="s">
        <v>309</v>
      </c>
      <c r="U2582" t="s">
        <v>39</v>
      </c>
      <c r="V2582" t="s">
        <v>969</v>
      </c>
      <c r="W2582">
        <v>4.3</v>
      </c>
      <c r="X2582" t="s">
        <v>41</v>
      </c>
      <c r="Y2582" t="s">
        <v>147</v>
      </c>
      <c r="Z2582">
        <v>1</v>
      </c>
    </row>
    <row r="2583" spans="1:26">
      <c r="A2583" t="s">
        <v>3808</v>
      </c>
      <c r="B2583" t="s">
        <v>1988</v>
      </c>
      <c r="C2583" t="s">
        <v>28</v>
      </c>
      <c r="D2583" t="s">
        <v>29</v>
      </c>
      <c r="E2583" s="1">
        <v>45606</v>
      </c>
      <c r="F2583" t="s">
        <v>65</v>
      </c>
      <c r="G2583" t="s">
        <v>72</v>
      </c>
      <c r="H2583" t="s">
        <v>59</v>
      </c>
      <c r="I2583">
        <v>8</v>
      </c>
      <c r="J2583" t="s">
        <v>33</v>
      </c>
      <c r="K2583">
        <v>1</v>
      </c>
      <c r="L2583" s="3">
        <v>6299</v>
      </c>
      <c r="M2583">
        <v>5</v>
      </c>
      <c r="N2583" s="3">
        <v>5980</v>
      </c>
      <c r="O2583" s="3">
        <v>5980</v>
      </c>
      <c r="P2583" t="s">
        <v>81</v>
      </c>
      <c r="Q2583" t="s">
        <v>51</v>
      </c>
      <c r="R2583" t="s">
        <v>36</v>
      </c>
      <c r="S2583" t="s">
        <v>418</v>
      </c>
      <c r="T2583" t="s">
        <v>924</v>
      </c>
      <c r="U2583" t="s">
        <v>124</v>
      </c>
      <c r="V2583" t="s">
        <v>969</v>
      </c>
      <c r="W2583">
        <v>3.2</v>
      </c>
      <c r="X2583" t="s">
        <v>41</v>
      </c>
      <c r="Y2583" t="s">
        <v>55</v>
      </c>
      <c r="Z2583">
        <v>1</v>
      </c>
    </row>
    <row r="2584" spans="1:26">
      <c r="A2584" t="s">
        <v>3809</v>
      </c>
      <c r="B2584" t="s">
        <v>1027</v>
      </c>
      <c r="C2584" t="s">
        <v>28</v>
      </c>
      <c r="D2584" t="s">
        <v>103</v>
      </c>
      <c r="E2584" s="1">
        <v>45606</v>
      </c>
      <c r="F2584" t="s">
        <v>86</v>
      </c>
      <c r="G2584" t="s">
        <v>190</v>
      </c>
      <c r="H2584" t="s">
        <v>128</v>
      </c>
      <c r="I2584">
        <v>11</v>
      </c>
      <c r="J2584" t="s">
        <v>150</v>
      </c>
      <c r="K2584">
        <v>1</v>
      </c>
      <c r="L2584" s="3">
        <v>8899</v>
      </c>
      <c r="M2584">
        <v>20</v>
      </c>
      <c r="N2584" s="3">
        <v>7120</v>
      </c>
      <c r="O2584" s="3">
        <v>7120</v>
      </c>
      <c r="P2584" t="s">
        <v>81</v>
      </c>
      <c r="Q2584" t="s">
        <v>51</v>
      </c>
      <c r="R2584" t="s">
        <v>36</v>
      </c>
      <c r="S2584" t="s">
        <v>168</v>
      </c>
      <c r="T2584" t="s">
        <v>532</v>
      </c>
      <c r="U2584" t="s">
        <v>91</v>
      </c>
      <c r="V2584" t="s">
        <v>969</v>
      </c>
      <c r="W2584">
        <v>3.7</v>
      </c>
      <c r="X2584" t="s">
        <v>41</v>
      </c>
      <c r="Y2584" t="s">
        <v>55</v>
      </c>
      <c r="Z2584">
        <v>3</v>
      </c>
    </row>
    <row r="2585" spans="1:26">
      <c r="A2585" t="s">
        <v>3810</v>
      </c>
      <c r="B2585" t="s">
        <v>1668</v>
      </c>
      <c r="C2585" t="s">
        <v>28</v>
      </c>
      <c r="D2585" t="s">
        <v>29</v>
      </c>
      <c r="E2585" s="1">
        <v>45607</v>
      </c>
      <c r="F2585" t="s">
        <v>30</v>
      </c>
      <c r="G2585" t="s">
        <v>31</v>
      </c>
      <c r="H2585" t="s">
        <v>32</v>
      </c>
      <c r="I2585">
        <v>9</v>
      </c>
      <c r="J2585" t="s">
        <v>88</v>
      </c>
      <c r="K2585">
        <v>1</v>
      </c>
      <c r="L2585" s="3">
        <v>4499</v>
      </c>
      <c r="M2585">
        <v>15</v>
      </c>
      <c r="N2585" s="3">
        <v>3820</v>
      </c>
      <c r="O2585" s="3">
        <v>3820</v>
      </c>
      <c r="P2585" t="s">
        <v>74</v>
      </c>
      <c r="Q2585" t="s">
        <v>35</v>
      </c>
      <c r="R2585" t="s">
        <v>36</v>
      </c>
      <c r="S2585" t="s">
        <v>243</v>
      </c>
      <c r="T2585" t="s">
        <v>244</v>
      </c>
      <c r="U2585" t="s">
        <v>54</v>
      </c>
      <c r="V2585" t="s">
        <v>969</v>
      </c>
      <c r="W2585">
        <v>4.4000000000000004</v>
      </c>
      <c r="X2585" t="s">
        <v>41</v>
      </c>
      <c r="Y2585" t="s">
        <v>42</v>
      </c>
      <c r="Z2585">
        <v>4</v>
      </c>
    </row>
    <row r="2586" spans="1:26">
      <c r="A2586" t="s">
        <v>3811</v>
      </c>
      <c r="B2586" t="s">
        <v>1225</v>
      </c>
      <c r="C2586" t="s">
        <v>45</v>
      </c>
      <c r="D2586" t="s">
        <v>95</v>
      </c>
      <c r="E2586" s="1">
        <v>45607</v>
      </c>
      <c r="F2586" t="s">
        <v>79</v>
      </c>
      <c r="G2586" t="s">
        <v>480</v>
      </c>
      <c r="H2586" t="s">
        <v>111</v>
      </c>
      <c r="I2586">
        <v>8</v>
      </c>
      <c r="J2586" t="s">
        <v>73</v>
      </c>
      <c r="K2586">
        <v>3</v>
      </c>
      <c r="L2586" s="3">
        <v>3699</v>
      </c>
      <c r="M2586">
        <v>30</v>
      </c>
      <c r="N2586" s="3">
        <v>2590</v>
      </c>
      <c r="O2586" s="3">
        <v>7770</v>
      </c>
      <c r="P2586" t="s">
        <v>74</v>
      </c>
      <c r="Q2586" t="s">
        <v>82</v>
      </c>
      <c r="R2586" t="s">
        <v>36</v>
      </c>
      <c r="S2586" t="s">
        <v>210</v>
      </c>
      <c r="T2586" t="s">
        <v>680</v>
      </c>
      <c r="U2586" t="s">
        <v>91</v>
      </c>
      <c r="V2586" t="s">
        <v>969</v>
      </c>
      <c r="W2586">
        <v>3.2</v>
      </c>
      <c r="X2586" t="s">
        <v>41</v>
      </c>
      <c r="Y2586" t="s">
        <v>55</v>
      </c>
      <c r="Z2586">
        <v>4</v>
      </c>
    </row>
    <row r="2587" spans="1:26">
      <c r="A2587" t="s">
        <v>3812</v>
      </c>
      <c r="B2587" t="s">
        <v>3260</v>
      </c>
      <c r="C2587" t="s">
        <v>28</v>
      </c>
      <c r="D2587" t="s">
        <v>103</v>
      </c>
      <c r="E2587" s="1">
        <v>45607</v>
      </c>
      <c r="F2587" t="s">
        <v>86</v>
      </c>
      <c r="G2587" t="s">
        <v>190</v>
      </c>
      <c r="H2587" t="s">
        <v>128</v>
      </c>
      <c r="I2587">
        <v>10</v>
      </c>
      <c r="J2587" t="s">
        <v>98</v>
      </c>
      <c r="K2587">
        <v>1</v>
      </c>
      <c r="L2587" s="3">
        <v>4399</v>
      </c>
      <c r="M2587">
        <v>15</v>
      </c>
      <c r="N2587" s="3">
        <v>3740</v>
      </c>
      <c r="O2587" s="3">
        <v>3740</v>
      </c>
      <c r="P2587" t="s">
        <v>34</v>
      </c>
      <c r="Q2587" t="s">
        <v>82</v>
      </c>
      <c r="R2587" t="s">
        <v>36</v>
      </c>
      <c r="S2587" t="s">
        <v>160</v>
      </c>
      <c r="T2587" t="s">
        <v>161</v>
      </c>
      <c r="U2587" t="s">
        <v>39</v>
      </c>
      <c r="V2587" t="s">
        <v>315</v>
      </c>
      <c r="W2587">
        <v>3.5</v>
      </c>
      <c r="X2587" t="s">
        <v>106</v>
      </c>
      <c r="Y2587" t="s">
        <v>55</v>
      </c>
      <c r="Z2587">
        <v>3</v>
      </c>
    </row>
    <row r="2588" spans="1:26">
      <c r="A2588" t="s">
        <v>3813</v>
      </c>
      <c r="B2588" t="s">
        <v>1487</v>
      </c>
      <c r="C2588" t="s">
        <v>28</v>
      </c>
      <c r="D2588" t="s">
        <v>46</v>
      </c>
      <c r="E2588" s="1">
        <v>45610</v>
      </c>
      <c r="F2588" t="s">
        <v>47</v>
      </c>
      <c r="G2588" t="s">
        <v>199</v>
      </c>
      <c r="H2588" t="s">
        <v>59</v>
      </c>
      <c r="I2588">
        <v>7</v>
      </c>
      <c r="J2588" t="s">
        <v>150</v>
      </c>
      <c r="K2588">
        <v>3</v>
      </c>
      <c r="L2588" s="3">
        <v>8699</v>
      </c>
      <c r="M2588">
        <v>30</v>
      </c>
      <c r="N2588" s="3">
        <v>6090</v>
      </c>
      <c r="O2588" s="3">
        <v>18270</v>
      </c>
      <c r="P2588" t="s">
        <v>34</v>
      </c>
      <c r="Q2588" t="s">
        <v>51</v>
      </c>
      <c r="R2588" t="s">
        <v>36</v>
      </c>
      <c r="S2588" t="s">
        <v>358</v>
      </c>
      <c r="T2588" t="s">
        <v>464</v>
      </c>
      <c r="U2588" t="s">
        <v>39</v>
      </c>
      <c r="V2588" t="s">
        <v>315</v>
      </c>
      <c r="W2588">
        <v>2.9</v>
      </c>
      <c r="X2588" t="s">
        <v>106</v>
      </c>
      <c r="Y2588" t="s">
        <v>42</v>
      </c>
      <c r="Z2588">
        <v>5</v>
      </c>
    </row>
    <row r="2589" spans="1:26">
      <c r="A2589" t="s">
        <v>3814</v>
      </c>
      <c r="B2589" t="s">
        <v>677</v>
      </c>
      <c r="C2589" t="s">
        <v>28</v>
      </c>
      <c r="D2589" t="s">
        <v>103</v>
      </c>
      <c r="E2589" s="1">
        <v>45611</v>
      </c>
      <c r="F2589" t="s">
        <v>30</v>
      </c>
      <c r="G2589" t="s">
        <v>58</v>
      </c>
      <c r="H2589" t="s">
        <v>59</v>
      </c>
      <c r="I2589">
        <v>9</v>
      </c>
      <c r="J2589" t="s">
        <v>33</v>
      </c>
      <c r="K2589">
        <v>1</v>
      </c>
      <c r="L2589" s="3">
        <v>8899</v>
      </c>
      <c r="M2589">
        <v>15</v>
      </c>
      <c r="N2589" s="3">
        <v>7560</v>
      </c>
      <c r="O2589" s="3">
        <v>7560</v>
      </c>
      <c r="P2589" t="s">
        <v>34</v>
      </c>
      <c r="Q2589" t="s">
        <v>51</v>
      </c>
      <c r="R2589" t="s">
        <v>36</v>
      </c>
      <c r="S2589" t="s">
        <v>384</v>
      </c>
      <c r="T2589" t="s">
        <v>1217</v>
      </c>
      <c r="U2589" t="s">
        <v>124</v>
      </c>
      <c r="V2589" t="s">
        <v>315</v>
      </c>
      <c r="W2589">
        <v>4.5999999999999996</v>
      </c>
      <c r="X2589" t="s">
        <v>41</v>
      </c>
      <c r="Y2589" t="s">
        <v>55</v>
      </c>
      <c r="Z2589">
        <v>1</v>
      </c>
    </row>
    <row r="2590" spans="1:26">
      <c r="A2590" t="s">
        <v>3815</v>
      </c>
      <c r="B2590" t="s">
        <v>234</v>
      </c>
      <c r="C2590" t="s">
        <v>45</v>
      </c>
      <c r="D2590" t="s">
        <v>95</v>
      </c>
      <c r="E2590" s="1">
        <v>45612</v>
      </c>
      <c r="F2590" t="s">
        <v>79</v>
      </c>
      <c r="G2590" t="s">
        <v>480</v>
      </c>
      <c r="H2590" t="s">
        <v>111</v>
      </c>
      <c r="I2590">
        <v>9</v>
      </c>
      <c r="J2590" t="s">
        <v>150</v>
      </c>
      <c r="K2590">
        <v>2</v>
      </c>
      <c r="L2590" s="3">
        <v>7799</v>
      </c>
      <c r="M2590">
        <v>0</v>
      </c>
      <c r="N2590" s="3">
        <v>7800</v>
      </c>
      <c r="O2590" s="3">
        <v>15600</v>
      </c>
      <c r="P2590" t="s">
        <v>74</v>
      </c>
      <c r="Q2590" t="s">
        <v>82</v>
      </c>
      <c r="R2590" t="s">
        <v>36</v>
      </c>
      <c r="S2590" t="s">
        <v>160</v>
      </c>
      <c r="T2590" t="s">
        <v>161</v>
      </c>
      <c r="U2590" t="s">
        <v>124</v>
      </c>
      <c r="V2590" t="s">
        <v>969</v>
      </c>
      <c r="W2590">
        <v>3.6</v>
      </c>
      <c r="X2590" t="s">
        <v>41</v>
      </c>
      <c r="Y2590" t="s">
        <v>55</v>
      </c>
      <c r="Z2590">
        <v>4</v>
      </c>
    </row>
    <row r="2591" spans="1:26">
      <c r="A2591" t="s">
        <v>3816</v>
      </c>
      <c r="B2591" t="s">
        <v>1491</v>
      </c>
      <c r="C2591" t="s">
        <v>45</v>
      </c>
      <c r="D2591" t="s">
        <v>95</v>
      </c>
      <c r="E2591" s="1">
        <v>45614</v>
      </c>
      <c r="F2591" t="s">
        <v>30</v>
      </c>
      <c r="G2591" t="s">
        <v>58</v>
      </c>
      <c r="H2591" t="s">
        <v>59</v>
      </c>
      <c r="I2591">
        <v>6</v>
      </c>
      <c r="J2591" t="s">
        <v>150</v>
      </c>
      <c r="K2591">
        <v>1</v>
      </c>
      <c r="L2591" s="3">
        <v>8399</v>
      </c>
      <c r="M2591">
        <v>15</v>
      </c>
      <c r="N2591" s="3">
        <v>7140</v>
      </c>
      <c r="O2591" s="3">
        <v>7140</v>
      </c>
      <c r="P2591" t="s">
        <v>34</v>
      </c>
      <c r="Q2591" t="s">
        <v>51</v>
      </c>
      <c r="R2591" t="s">
        <v>36</v>
      </c>
      <c r="S2591" t="s">
        <v>418</v>
      </c>
      <c r="T2591" t="s">
        <v>613</v>
      </c>
      <c r="U2591" t="s">
        <v>39</v>
      </c>
      <c r="V2591" t="s">
        <v>315</v>
      </c>
      <c r="W2591">
        <v>4.7</v>
      </c>
      <c r="X2591" t="s">
        <v>106</v>
      </c>
      <c r="Y2591" t="s">
        <v>42</v>
      </c>
      <c r="Z2591">
        <v>6</v>
      </c>
    </row>
    <row r="2592" spans="1:26">
      <c r="A2592" t="s">
        <v>3817</v>
      </c>
      <c r="B2592" t="s">
        <v>1661</v>
      </c>
      <c r="C2592" t="s">
        <v>45</v>
      </c>
      <c r="D2592" t="s">
        <v>29</v>
      </c>
      <c r="E2592" s="1">
        <v>45614</v>
      </c>
      <c r="F2592" t="s">
        <v>96</v>
      </c>
      <c r="G2592" t="s">
        <v>290</v>
      </c>
      <c r="H2592" t="s">
        <v>32</v>
      </c>
      <c r="I2592">
        <v>8</v>
      </c>
      <c r="J2592" t="s">
        <v>67</v>
      </c>
      <c r="K2592">
        <v>1</v>
      </c>
      <c r="L2592" s="3">
        <v>8999</v>
      </c>
      <c r="M2592">
        <v>10</v>
      </c>
      <c r="N2592" s="3">
        <v>8100</v>
      </c>
      <c r="O2592" s="3">
        <v>8100</v>
      </c>
      <c r="P2592" t="s">
        <v>74</v>
      </c>
      <c r="Q2592" t="s">
        <v>82</v>
      </c>
      <c r="R2592" t="s">
        <v>36</v>
      </c>
      <c r="S2592" t="s">
        <v>200</v>
      </c>
      <c r="T2592" t="s">
        <v>204</v>
      </c>
      <c r="U2592" t="s">
        <v>54</v>
      </c>
      <c r="V2592" t="s">
        <v>969</v>
      </c>
      <c r="W2592">
        <v>3.4</v>
      </c>
      <c r="X2592" t="s">
        <v>41</v>
      </c>
      <c r="Y2592" t="s">
        <v>55</v>
      </c>
      <c r="Z2592">
        <v>2</v>
      </c>
    </row>
    <row r="2593" spans="1:26">
      <c r="A2593" t="s">
        <v>3818</v>
      </c>
      <c r="B2593" t="s">
        <v>644</v>
      </c>
      <c r="C2593" t="s">
        <v>28</v>
      </c>
      <c r="D2593" t="s">
        <v>103</v>
      </c>
      <c r="E2593" s="1">
        <v>45614</v>
      </c>
      <c r="F2593" t="s">
        <v>65</v>
      </c>
      <c r="G2593" t="s">
        <v>365</v>
      </c>
      <c r="H2593" t="s">
        <v>49</v>
      </c>
      <c r="I2593">
        <v>9</v>
      </c>
      <c r="J2593" t="s">
        <v>98</v>
      </c>
      <c r="K2593">
        <v>1</v>
      </c>
      <c r="L2593" s="3">
        <v>5599</v>
      </c>
      <c r="M2593">
        <v>0</v>
      </c>
      <c r="N2593" s="3">
        <v>5600</v>
      </c>
      <c r="O2593" s="3">
        <v>5600</v>
      </c>
      <c r="P2593" t="s">
        <v>34</v>
      </c>
      <c r="Q2593" t="s">
        <v>51</v>
      </c>
      <c r="R2593" t="s">
        <v>36</v>
      </c>
      <c r="S2593" t="s">
        <v>460</v>
      </c>
      <c r="T2593" t="s">
        <v>461</v>
      </c>
      <c r="U2593" t="s">
        <v>61</v>
      </c>
      <c r="V2593" t="s">
        <v>969</v>
      </c>
      <c r="W2593">
        <v>3.9</v>
      </c>
      <c r="X2593" t="s">
        <v>41</v>
      </c>
      <c r="Y2593" t="s">
        <v>55</v>
      </c>
      <c r="Z2593">
        <v>3</v>
      </c>
    </row>
    <row r="2594" spans="1:26">
      <c r="A2594" t="s">
        <v>3819</v>
      </c>
      <c r="B2594" t="s">
        <v>2927</v>
      </c>
      <c r="C2594" t="s">
        <v>28</v>
      </c>
      <c r="D2594" t="s">
        <v>46</v>
      </c>
      <c r="E2594" s="1">
        <v>45614</v>
      </c>
      <c r="F2594" t="s">
        <v>86</v>
      </c>
      <c r="G2594" t="s">
        <v>87</v>
      </c>
      <c r="H2594" t="s">
        <v>59</v>
      </c>
      <c r="I2594">
        <v>8</v>
      </c>
      <c r="J2594" t="s">
        <v>88</v>
      </c>
      <c r="K2594">
        <v>1</v>
      </c>
      <c r="L2594" s="3">
        <v>5099</v>
      </c>
      <c r="M2594">
        <v>15</v>
      </c>
      <c r="N2594" s="3">
        <v>4330</v>
      </c>
      <c r="O2594" s="3">
        <v>4330</v>
      </c>
      <c r="P2594" t="s">
        <v>74</v>
      </c>
      <c r="Q2594" t="s">
        <v>51</v>
      </c>
      <c r="R2594" t="s">
        <v>36</v>
      </c>
      <c r="S2594" t="s">
        <v>112</v>
      </c>
      <c r="T2594" t="s">
        <v>265</v>
      </c>
      <c r="U2594" t="s">
        <v>54</v>
      </c>
      <c r="V2594" t="s">
        <v>315</v>
      </c>
      <c r="W2594">
        <v>4.4000000000000004</v>
      </c>
      <c r="X2594" t="s">
        <v>41</v>
      </c>
      <c r="Y2594" t="s">
        <v>55</v>
      </c>
      <c r="Z2594">
        <v>1</v>
      </c>
    </row>
    <row r="2595" spans="1:26">
      <c r="A2595" t="s">
        <v>3820</v>
      </c>
      <c r="B2595" t="s">
        <v>376</v>
      </c>
      <c r="C2595" t="s">
        <v>94</v>
      </c>
      <c r="D2595" t="s">
        <v>46</v>
      </c>
      <c r="E2595" s="1">
        <v>45615</v>
      </c>
      <c r="F2595" t="s">
        <v>96</v>
      </c>
      <c r="G2595" t="s">
        <v>155</v>
      </c>
      <c r="H2595" t="s">
        <v>111</v>
      </c>
      <c r="I2595">
        <v>10</v>
      </c>
      <c r="J2595" t="s">
        <v>150</v>
      </c>
      <c r="K2595">
        <v>1</v>
      </c>
      <c r="L2595" s="3">
        <v>6699</v>
      </c>
      <c r="M2595">
        <v>30</v>
      </c>
      <c r="N2595" s="3">
        <v>4690</v>
      </c>
      <c r="O2595" s="3">
        <v>4690</v>
      </c>
      <c r="P2595" t="s">
        <v>34</v>
      </c>
      <c r="Q2595" t="s">
        <v>51</v>
      </c>
      <c r="R2595" t="s">
        <v>36</v>
      </c>
      <c r="S2595" t="s">
        <v>200</v>
      </c>
      <c r="T2595" t="s">
        <v>232</v>
      </c>
      <c r="U2595" t="s">
        <v>54</v>
      </c>
      <c r="V2595" t="s">
        <v>969</v>
      </c>
      <c r="W2595">
        <v>3.7</v>
      </c>
      <c r="X2595" t="s">
        <v>41</v>
      </c>
      <c r="Y2595" t="s">
        <v>42</v>
      </c>
      <c r="Z2595">
        <v>3</v>
      </c>
    </row>
    <row r="2596" spans="1:26">
      <c r="A2596" t="s">
        <v>3821</v>
      </c>
      <c r="B2596" t="s">
        <v>719</v>
      </c>
      <c r="C2596" t="s">
        <v>45</v>
      </c>
      <c r="D2596" t="s">
        <v>46</v>
      </c>
      <c r="E2596" s="1">
        <v>45615</v>
      </c>
      <c r="F2596" t="s">
        <v>96</v>
      </c>
      <c r="G2596" t="s">
        <v>171</v>
      </c>
      <c r="H2596" t="s">
        <v>128</v>
      </c>
      <c r="I2596">
        <v>10</v>
      </c>
      <c r="J2596" t="s">
        <v>73</v>
      </c>
      <c r="K2596">
        <v>1</v>
      </c>
      <c r="L2596" s="3">
        <v>4899</v>
      </c>
      <c r="M2596">
        <v>20</v>
      </c>
      <c r="N2596" s="3">
        <v>3920</v>
      </c>
      <c r="O2596" s="3">
        <v>3920</v>
      </c>
      <c r="P2596" t="s">
        <v>74</v>
      </c>
      <c r="Q2596" t="s">
        <v>51</v>
      </c>
      <c r="R2596" t="s">
        <v>36</v>
      </c>
      <c r="S2596" t="s">
        <v>117</v>
      </c>
      <c r="T2596" t="s">
        <v>751</v>
      </c>
      <c r="U2596" t="s">
        <v>61</v>
      </c>
      <c r="V2596" t="s">
        <v>969</v>
      </c>
      <c r="W2596">
        <v>3.7</v>
      </c>
      <c r="X2596" t="s">
        <v>41</v>
      </c>
      <c r="Y2596" t="s">
        <v>147</v>
      </c>
      <c r="Z2596">
        <v>1</v>
      </c>
    </row>
    <row r="2597" spans="1:26">
      <c r="A2597" t="s">
        <v>3822</v>
      </c>
      <c r="B2597" t="s">
        <v>1063</v>
      </c>
      <c r="C2597" t="s">
        <v>28</v>
      </c>
      <c r="D2597" t="s">
        <v>103</v>
      </c>
      <c r="E2597" s="1">
        <v>45616</v>
      </c>
      <c r="F2597" t="s">
        <v>79</v>
      </c>
      <c r="G2597" t="s">
        <v>174</v>
      </c>
      <c r="H2597" t="s">
        <v>32</v>
      </c>
      <c r="I2597">
        <v>8</v>
      </c>
      <c r="J2597" t="s">
        <v>150</v>
      </c>
      <c r="K2597">
        <v>1</v>
      </c>
      <c r="L2597" s="3">
        <v>6899</v>
      </c>
      <c r="M2597">
        <v>0</v>
      </c>
      <c r="N2597" s="3">
        <v>6900</v>
      </c>
      <c r="O2597" s="3">
        <v>6900</v>
      </c>
      <c r="P2597" t="s">
        <v>74</v>
      </c>
      <c r="Q2597" t="s">
        <v>51</v>
      </c>
      <c r="R2597" t="s">
        <v>36</v>
      </c>
      <c r="S2597" t="s">
        <v>418</v>
      </c>
      <c r="T2597" t="s">
        <v>419</v>
      </c>
      <c r="U2597" t="s">
        <v>54</v>
      </c>
      <c r="V2597" t="s">
        <v>315</v>
      </c>
      <c r="W2597">
        <v>3.3</v>
      </c>
      <c r="X2597" t="s">
        <v>106</v>
      </c>
      <c r="Y2597" t="s">
        <v>42</v>
      </c>
      <c r="Z2597">
        <v>6</v>
      </c>
    </row>
    <row r="2598" spans="1:26">
      <c r="A2598" t="s">
        <v>3823</v>
      </c>
      <c r="B2598" t="s">
        <v>2354</v>
      </c>
      <c r="C2598" t="s">
        <v>28</v>
      </c>
      <c r="D2598" t="s">
        <v>109</v>
      </c>
      <c r="E2598" s="1">
        <v>45616</v>
      </c>
      <c r="F2598" t="s">
        <v>65</v>
      </c>
      <c r="G2598" t="s">
        <v>256</v>
      </c>
      <c r="H2598" t="s">
        <v>32</v>
      </c>
      <c r="I2598">
        <v>9</v>
      </c>
      <c r="J2598" t="s">
        <v>98</v>
      </c>
      <c r="K2598">
        <v>1</v>
      </c>
      <c r="L2598" s="3">
        <v>3999</v>
      </c>
      <c r="M2598">
        <v>20</v>
      </c>
      <c r="N2598" s="3">
        <v>3200</v>
      </c>
      <c r="O2598" s="3">
        <v>3200</v>
      </c>
      <c r="P2598" t="s">
        <v>74</v>
      </c>
      <c r="Q2598" t="s">
        <v>82</v>
      </c>
      <c r="R2598" t="s">
        <v>36</v>
      </c>
      <c r="S2598" t="s">
        <v>182</v>
      </c>
      <c r="T2598" t="s">
        <v>604</v>
      </c>
      <c r="U2598" t="s">
        <v>39</v>
      </c>
      <c r="V2598" t="s">
        <v>315</v>
      </c>
      <c r="W2598">
        <v>3.9</v>
      </c>
      <c r="X2598" t="s">
        <v>106</v>
      </c>
      <c r="Y2598" t="s">
        <v>42</v>
      </c>
      <c r="Z2598">
        <v>5</v>
      </c>
    </row>
    <row r="2599" spans="1:26">
      <c r="A2599" t="s">
        <v>3824</v>
      </c>
      <c r="B2599" t="s">
        <v>3825</v>
      </c>
      <c r="C2599" t="s">
        <v>28</v>
      </c>
      <c r="D2599" t="s">
        <v>46</v>
      </c>
      <c r="E2599" s="1">
        <v>45617</v>
      </c>
      <c r="F2599" t="s">
        <v>30</v>
      </c>
      <c r="G2599" t="s">
        <v>110</v>
      </c>
      <c r="H2599" t="s">
        <v>111</v>
      </c>
      <c r="I2599">
        <v>12</v>
      </c>
      <c r="J2599" t="s">
        <v>88</v>
      </c>
      <c r="K2599">
        <v>1</v>
      </c>
      <c r="L2599" s="3">
        <v>7699</v>
      </c>
      <c r="M2599">
        <v>5</v>
      </c>
      <c r="N2599" s="3">
        <v>7310</v>
      </c>
      <c r="O2599" s="3">
        <v>7310</v>
      </c>
      <c r="P2599" t="s">
        <v>74</v>
      </c>
      <c r="Q2599" t="s">
        <v>35</v>
      </c>
      <c r="R2599" t="s">
        <v>36</v>
      </c>
      <c r="S2599" t="s">
        <v>104</v>
      </c>
      <c r="T2599" t="s">
        <v>105</v>
      </c>
      <c r="U2599" t="s">
        <v>124</v>
      </c>
      <c r="V2599" t="s">
        <v>40</v>
      </c>
      <c r="W2599">
        <v>4</v>
      </c>
      <c r="X2599" t="s">
        <v>106</v>
      </c>
      <c r="Y2599" t="s">
        <v>55</v>
      </c>
      <c r="Z2599">
        <v>2</v>
      </c>
    </row>
    <row r="2600" spans="1:26">
      <c r="A2600" t="s">
        <v>3826</v>
      </c>
      <c r="B2600" t="s">
        <v>3827</v>
      </c>
      <c r="C2600" t="s">
        <v>45</v>
      </c>
      <c r="D2600" t="s">
        <v>103</v>
      </c>
      <c r="E2600" s="1">
        <v>45618</v>
      </c>
      <c r="F2600" t="s">
        <v>86</v>
      </c>
      <c r="G2600" t="s">
        <v>116</v>
      </c>
      <c r="H2600" t="s">
        <v>49</v>
      </c>
      <c r="I2600">
        <v>10</v>
      </c>
      <c r="J2600" t="s">
        <v>98</v>
      </c>
      <c r="K2600">
        <v>1</v>
      </c>
      <c r="L2600" s="3">
        <v>8899</v>
      </c>
      <c r="M2600">
        <v>20</v>
      </c>
      <c r="N2600" s="3">
        <v>7120</v>
      </c>
      <c r="O2600" s="3">
        <v>7120</v>
      </c>
      <c r="P2600" t="s">
        <v>74</v>
      </c>
      <c r="Q2600" t="s">
        <v>35</v>
      </c>
      <c r="R2600" t="s">
        <v>36</v>
      </c>
      <c r="S2600" t="s">
        <v>160</v>
      </c>
      <c r="T2600" t="s">
        <v>161</v>
      </c>
      <c r="U2600" t="s">
        <v>124</v>
      </c>
      <c r="V2600" t="s">
        <v>40</v>
      </c>
      <c r="W2600">
        <v>4.5</v>
      </c>
      <c r="X2600" t="s">
        <v>41</v>
      </c>
      <c r="Y2600" t="s">
        <v>55</v>
      </c>
      <c r="Z2600">
        <v>3</v>
      </c>
    </row>
    <row r="2601" spans="1:26">
      <c r="A2601" t="s">
        <v>3828</v>
      </c>
      <c r="B2601" t="s">
        <v>3829</v>
      </c>
      <c r="C2601" t="s">
        <v>45</v>
      </c>
      <c r="D2601" t="s">
        <v>46</v>
      </c>
      <c r="E2601" s="1">
        <v>45618</v>
      </c>
      <c r="F2601" t="s">
        <v>65</v>
      </c>
      <c r="G2601" t="s">
        <v>279</v>
      </c>
      <c r="H2601" t="s">
        <v>111</v>
      </c>
      <c r="I2601">
        <v>9</v>
      </c>
      <c r="J2601" t="s">
        <v>98</v>
      </c>
      <c r="K2601">
        <v>2</v>
      </c>
      <c r="L2601" s="3">
        <v>7399</v>
      </c>
      <c r="M2601">
        <v>20</v>
      </c>
      <c r="N2601" s="3">
        <v>5920</v>
      </c>
      <c r="O2601" s="3">
        <v>11840</v>
      </c>
      <c r="P2601" t="s">
        <v>81</v>
      </c>
      <c r="Q2601" t="s">
        <v>51</v>
      </c>
      <c r="R2601" t="s">
        <v>36</v>
      </c>
      <c r="S2601" t="s">
        <v>112</v>
      </c>
      <c r="T2601" t="s">
        <v>250</v>
      </c>
      <c r="U2601" t="s">
        <v>91</v>
      </c>
      <c r="V2601" t="s">
        <v>40</v>
      </c>
      <c r="W2601">
        <v>3.5</v>
      </c>
      <c r="X2601" t="s">
        <v>41</v>
      </c>
      <c r="Y2601" t="s">
        <v>42</v>
      </c>
      <c r="Z2601">
        <v>1</v>
      </c>
    </row>
    <row r="2602" spans="1:26">
      <c r="A2602" t="s">
        <v>3830</v>
      </c>
      <c r="B2602" t="s">
        <v>1216</v>
      </c>
      <c r="C2602" t="s">
        <v>45</v>
      </c>
      <c r="D2602" t="s">
        <v>46</v>
      </c>
      <c r="E2602" s="1">
        <v>45619</v>
      </c>
      <c r="F2602" t="s">
        <v>79</v>
      </c>
      <c r="G2602" t="s">
        <v>127</v>
      </c>
      <c r="H2602" t="s">
        <v>128</v>
      </c>
      <c r="I2602">
        <v>9</v>
      </c>
      <c r="J2602" t="s">
        <v>73</v>
      </c>
      <c r="K2602">
        <v>1</v>
      </c>
      <c r="L2602" s="3">
        <v>6699</v>
      </c>
      <c r="M2602">
        <v>20</v>
      </c>
      <c r="N2602" s="3">
        <v>5360</v>
      </c>
      <c r="O2602" s="3">
        <v>5360</v>
      </c>
      <c r="P2602" t="s">
        <v>74</v>
      </c>
      <c r="Q2602" t="s">
        <v>82</v>
      </c>
      <c r="R2602" t="s">
        <v>36</v>
      </c>
      <c r="S2602" t="s">
        <v>99</v>
      </c>
      <c r="T2602" t="s">
        <v>100</v>
      </c>
      <c r="U2602" t="s">
        <v>124</v>
      </c>
      <c r="V2602" t="s">
        <v>315</v>
      </c>
      <c r="W2602">
        <v>3.9</v>
      </c>
      <c r="X2602" t="s">
        <v>62</v>
      </c>
      <c r="Y2602" t="s">
        <v>55</v>
      </c>
      <c r="Z2602">
        <v>1</v>
      </c>
    </row>
    <row r="2603" spans="1:26">
      <c r="A2603" t="s">
        <v>3831</v>
      </c>
      <c r="B2603" t="s">
        <v>967</v>
      </c>
      <c r="C2603" t="s">
        <v>28</v>
      </c>
      <c r="D2603" t="s">
        <v>103</v>
      </c>
      <c r="E2603" s="1">
        <v>45619</v>
      </c>
      <c r="F2603" t="s">
        <v>79</v>
      </c>
      <c r="G2603" t="s">
        <v>174</v>
      </c>
      <c r="H2603" t="s">
        <v>32</v>
      </c>
      <c r="I2603">
        <v>7</v>
      </c>
      <c r="J2603" t="s">
        <v>73</v>
      </c>
      <c r="K2603">
        <v>1</v>
      </c>
      <c r="L2603" s="3">
        <v>6599</v>
      </c>
      <c r="M2603">
        <v>20</v>
      </c>
      <c r="N2603" s="3">
        <v>5280</v>
      </c>
      <c r="O2603" s="3">
        <v>5280</v>
      </c>
      <c r="P2603" t="s">
        <v>34</v>
      </c>
      <c r="Q2603" t="s">
        <v>51</v>
      </c>
      <c r="R2603" t="s">
        <v>36</v>
      </c>
      <c r="S2603" t="s">
        <v>117</v>
      </c>
      <c r="T2603" t="s">
        <v>118</v>
      </c>
      <c r="U2603" t="s">
        <v>61</v>
      </c>
      <c r="V2603" t="s">
        <v>969</v>
      </c>
      <c r="W2603">
        <v>4.5999999999999996</v>
      </c>
      <c r="X2603" t="s">
        <v>41</v>
      </c>
      <c r="Y2603" t="s">
        <v>55</v>
      </c>
      <c r="Z2603">
        <v>3</v>
      </c>
    </row>
    <row r="2604" spans="1:26">
      <c r="A2604" t="s">
        <v>3832</v>
      </c>
      <c r="B2604" t="s">
        <v>374</v>
      </c>
      <c r="C2604" t="s">
        <v>45</v>
      </c>
      <c r="D2604" t="s">
        <v>103</v>
      </c>
      <c r="E2604" s="1">
        <v>45619</v>
      </c>
      <c r="F2604" t="s">
        <v>47</v>
      </c>
      <c r="G2604" t="s">
        <v>218</v>
      </c>
      <c r="H2604" t="s">
        <v>59</v>
      </c>
      <c r="I2604">
        <v>9</v>
      </c>
      <c r="J2604" t="s">
        <v>98</v>
      </c>
      <c r="K2604">
        <v>1</v>
      </c>
      <c r="L2604" s="3">
        <v>9099</v>
      </c>
      <c r="M2604">
        <v>10</v>
      </c>
      <c r="N2604" s="3">
        <v>8190</v>
      </c>
      <c r="O2604" s="3">
        <v>8190</v>
      </c>
      <c r="P2604" t="s">
        <v>34</v>
      </c>
      <c r="Q2604" t="s">
        <v>51</v>
      </c>
      <c r="R2604" t="s">
        <v>36</v>
      </c>
      <c r="S2604" t="s">
        <v>354</v>
      </c>
      <c r="T2604" t="s">
        <v>434</v>
      </c>
      <c r="U2604" t="s">
        <v>124</v>
      </c>
      <c r="V2604" t="s">
        <v>969</v>
      </c>
      <c r="W2604">
        <v>4.0999999999999996</v>
      </c>
      <c r="X2604" t="s">
        <v>41</v>
      </c>
      <c r="Y2604" t="s">
        <v>42</v>
      </c>
      <c r="Z2604">
        <v>2</v>
      </c>
    </row>
    <row r="2605" spans="1:26">
      <c r="A2605" t="s">
        <v>3833</v>
      </c>
      <c r="B2605" t="s">
        <v>1007</v>
      </c>
      <c r="C2605" t="s">
        <v>28</v>
      </c>
      <c r="D2605" t="s">
        <v>46</v>
      </c>
      <c r="E2605" s="1">
        <v>45620</v>
      </c>
      <c r="F2605" t="s">
        <v>79</v>
      </c>
      <c r="G2605" t="s">
        <v>80</v>
      </c>
      <c r="H2605" t="s">
        <v>59</v>
      </c>
      <c r="I2605">
        <v>11</v>
      </c>
      <c r="J2605" t="s">
        <v>98</v>
      </c>
      <c r="K2605">
        <v>1</v>
      </c>
      <c r="L2605" s="3">
        <v>4899</v>
      </c>
      <c r="M2605">
        <v>25</v>
      </c>
      <c r="N2605" s="3">
        <v>3670</v>
      </c>
      <c r="O2605" s="3">
        <v>3670</v>
      </c>
      <c r="P2605" t="s">
        <v>34</v>
      </c>
      <c r="Q2605" t="s">
        <v>51</v>
      </c>
      <c r="R2605" t="s">
        <v>36</v>
      </c>
      <c r="S2605" t="s">
        <v>112</v>
      </c>
      <c r="T2605" t="s">
        <v>113</v>
      </c>
      <c r="U2605" t="s">
        <v>54</v>
      </c>
      <c r="V2605" t="s">
        <v>969</v>
      </c>
      <c r="W2605">
        <v>4.0999999999999996</v>
      </c>
      <c r="X2605" t="s">
        <v>106</v>
      </c>
      <c r="Y2605" t="s">
        <v>42</v>
      </c>
      <c r="Z2605">
        <v>3</v>
      </c>
    </row>
    <row r="2606" spans="1:26">
      <c r="A2606" t="s">
        <v>3834</v>
      </c>
      <c r="B2606" t="s">
        <v>3678</v>
      </c>
      <c r="C2606" t="s">
        <v>28</v>
      </c>
      <c r="D2606" t="s">
        <v>46</v>
      </c>
      <c r="E2606" s="1">
        <v>45622</v>
      </c>
      <c r="F2606" t="s">
        <v>30</v>
      </c>
      <c r="G2606" t="s">
        <v>145</v>
      </c>
      <c r="H2606" t="s">
        <v>59</v>
      </c>
      <c r="I2606">
        <v>11</v>
      </c>
      <c r="J2606" t="s">
        <v>98</v>
      </c>
      <c r="K2606">
        <v>1</v>
      </c>
      <c r="L2606" s="3">
        <v>6399</v>
      </c>
      <c r="M2606">
        <v>35</v>
      </c>
      <c r="N2606" s="3">
        <v>4160</v>
      </c>
      <c r="O2606" s="3">
        <v>4160</v>
      </c>
      <c r="P2606" t="s">
        <v>74</v>
      </c>
      <c r="Q2606" t="s">
        <v>51</v>
      </c>
      <c r="R2606" t="s">
        <v>36</v>
      </c>
      <c r="S2606" t="s">
        <v>104</v>
      </c>
      <c r="T2606" t="s">
        <v>105</v>
      </c>
      <c r="U2606" t="s">
        <v>39</v>
      </c>
      <c r="V2606" t="s">
        <v>315</v>
      </c>
      <c r="W2606">
        <v>3.8</v>
      </c>
      <c r="X2606" t="s">
        <v>41</v>
      </c>
      <c r="Y2606" t="s">
        <v>42</v>
      </c>
      <c r="Z2606">
        <v>5</v>
      </c>
    </row>
    <row r="2607" spans="1:26">
      <c r="A2607" t="s">
        <v>3835</v>
      </c>
      <c r="B2607" t="s">
        <v>3836</v>
      </c>
      <c r="C2607" t="s">
        <v>45</v>
      </c>
      <c r="D2607" t="s">
        <v>29</v>
      </c>
      <c r="E2607" s="1">
        <v>45622</v>
      </c>
      <c r="F2607" t="s">
        <v>47</v>
      </c>
      <c r="G2607" t="s">
        <v>121</v>
      </c>
      <c r="H2607" t="s">
        <v>111</v>
      </c>
      <c r="I2607">
        <v>9</v>
      </c>
      <c r="J2607" t="s">
        <v>67</v>
      </c>
      <c r="K2607">
        <v>3</v>
      </c>
      <c r="L2607" s="3">
        <v>4399</v>
      </c>
      <c r="M2607">
        <v>15</v>
      </c>
      <c r="N2607" s="3">
        <v>3740</v>
      </c>
      <c r="O2607" s="3">
        <v>11220</v>
      </c>
      <c r="P2607" t="s">
        <v>74</v>
      </c>
      <c r="Q2607" t="s">
        <v>35</v>
      </c>
      <c r="R2607" t="s">
        <v>36</v>
      </c>
      <c r="S2607" t="s">
        <v>195</v>
      </c>
      <c r="T2607" t="s">
        <v>428</v>
      </c>
      <c r="U2607" t="s">
        <v>61</v>
      </c>
      <c r="V2607" t="s">
        <v>40</v>
      </c>
      <c r="W2607">
        <v>3.9</v>
      </c>
      <c r="X2607" t="s">
        <v>41</v>
      </c>
      <c r="Y2607" t="s">
        <v>55</v>
      </c>
      <c r="Z2607">
        <v>3</v>
      </c>
    </row>
    <row r="2608" spans="1:26">
      <c r="A2608" t="s">
        <v>3837</v>
      </c>
      <c r="B2608" t="s">
        <v>1844</v>
      </c>
      <c r="C2608" t="s">
        <v>45</v>
      </c>
      <c r="D2608" t="s">
        <v>109</v>
      </c>
      <c r="E2608" s="1">
        <v>45622</v>
      </c>
      <c r="F2608" t="s">
        <v>65</v>
      </c>
      <c r="G2608" t="s">
        <v>268</v>
      </c>
      <c r="H2608" t="s">
        <v>128</v>
      </c>
      <c r="I2608">
        <v>7</v>
      </c>
      <c r="J2608" t="s">
        <v>88</v>
      </c>
      <c r="K2608">
        <v>1</v>
      </c>
      <c r="L2608" s="3">
        <v>7699</v>
      </c>
      <c r="M2608">
        <v>15</v>
      </c>
      <c r="N2608" s="3">
        <v>6540</v>
      </c>
      <c r="O2608" s="3">
        <v>6540</v>
      </c>
      <c r="P2608" t="s">
        <v>34</v>
      </c>
      <c r="Q2608" t="s">
        <v>35</v>
      </c>
      <c r="R2608" t="s">
        <v>36</v>
      </c>
      <c r="S2608" t="s">
        <v>186</v>
      </c>
      <c r="T2608" t="s">
        <v>222</v>
      </c>
      <c r="U2608" t="s">
        <v>61</v>
      </c>
      <c r="V2608" t="s">
        <v>969</v>
      </c>
      <c r="W2608">
        <v>4.2</v>
      </c>
      <c r="X2608" t="s">
        <v>41</v>
      </c>
      <c r="Y2608" t="s">
        <v>42</v>
      </c>
      <c r="Z2608">
        <v>2</v>
      </c>
    </row>
    <row r="2609" spans="1:26">
      <c r="A2609" t="s">
        <v>3838</v>
      </c>
      <c r="B2609" t="s">
        <v>3839</v>
      </c>
      <c r="C2609" t="s">
        <v>28</v>
      </c>
      <c r="D2609" t="s">
        <v>29</v>
      </c>
      <c r="E2609" s="1">
        <v>45622</v>
      </c>
      <c r="F2609" t="s">
        <v>96</v>
      </c>
      <c r="G2609" t="s">
        <v>171</v>
      </c>
      <c r="H2609" t="s">
        <v>128</v>
      </c>
      <c r="I2609">
        <v>8</v>
      </c>
      <c r="J2609" t="s">
        <v>67</v>
      </c>
      <c r="K2609">
        <v>2</v>
      </c>
      <c r="L2609" s="3">
        <v>7699</v>
      </c>
      <c r="M2609">
        <v>15</v>
      </c>
      <c r="N2609" s="3">
        <v>6540</v>
      </c>
      <c r="O2609" s="3">
        <v>13080</v>
      </c>
      <c r="P2609" t="s">
        <v>34</v>
      </c>
      <c r="Q2609" t="s">
        <v>51</v>
      </c>
      <c r="R2609" t="s">
        <v>36</v>
      </c>
      <c r="S2609" t="s">
        <v>191</v>
      </c>
      <c r="T2609" t="s">
        <v>521</v>
      </c>
      <c r="U2609" t="s">
        <v>91</v>
      </c>
      <c r="V2609" t="s">
        <v>40</v>
      </c>
      <c r="W2609">
        <v>4.5</v>
      </c>
      <c r="X2609" t="s">
        <v>41</v>
      </c>
      <c r="Y2609" t="s">
        <v>55</v>
      </c>
      <c r="Z2609">
        <v>2</v>
      </c>
    </row>
    <row r="2610" spans="1:26">
      <c r="A2610" t="s">
        <v>3840</v>
      </c>
      <c r="B2610" t="s">
        <v>2927</v>
      </c>
      <c r="C2610" t="s">
        <v>45</v>
      </c>
      <c r="D2610" t="s">
        <v>46</v>
      </c>
      <c r="E2610" s="1">
        <v>45622</v>
      </c>
      <c r="F2610" t="s">
        <v>47</v>
      </c>
      <c r="G2610" t="s">
        <v>48</v>
      </c>
      <c r="H2610" t="s">
        <v>49</v>
      </c>
      <c r="I2610">
        <v>7</v>
      </c>
      <c r="J2610" t="s">
        <v>88</v>
      </c>
      <c r="K2610">
        <v>1</v>
      </c>
      <c r="L2610" s="3">
        <v>4699</v>
      </c>
      <c r="M2610">
        <v>5</v>
      </c>
      <c r="N2610" s="3">
        <v>4460</v>
      </c>
      <c r="O2610" s="3">
        <v>4460</v>
      </c>
      <c r="P2610" t="s">
        <v>74</v>
      </c>
      <c r="Q2610" t="s">
        <v>51</v>
      </c>
      <c r="R2610" t="s">
        <v>36</v>
      </c>
      <c r="S2610" t="s">
        <v>200</v>
      </c>
      <c r="T2610" t="s">
        <v>201</v>
      </c>
      <c r="U2610" t="s">
        <v>91</v>
      </c>
      <c r="V2610" t="s">
        <v>969</v>
      </c>
      <c r="W2610">
        <v>3.9</v>
      </c>
      <c r="X2610" t="s">
        <v>62</v>
      </c>
      <c r="Y2610" t="s">
        <v>42</v>
      </c>
      <c r="Z2610">
        <v>5</v>
      </c>
    </row>
    <row r="2611" spans="1:26">
      <c r="A2611" t="s">
        <v>3841</v>
      </c>
      <c r="B2611" t="s">
        <v>1665</v>
      </c>
      <c r="C2611" t="s">
        <v>28</v>
      </c>
      <c r="D2611" t="s">
        <v>95</v>
      </c>
      <c r="E2611" s="1">
        <v>45624</v>
      </c>
      <c r="F2611" t="s">
        <v>96</v>
      </c>
      <c r="G2611" t="s">
        <v>323</v>
      </c>
      <c r="H2611" t="s">
        <v>59</v>
      </c>
      <c r="I2611">
        <v>10</v>
      </c>
      <c r="J2611" t="s">
        <v>98</v>
      </c>
      <c r="K2611">
        <v>1</v>
      </c>
      <c r="L2611" s="3">
        <v>9999</v>
      </c>
      <c r="M2611">
        <v>15</v>
      </c>
      <c r="N2611" s="3">
        <v>8500</v>
      </c>
      <c r="O2611" s="3">
        <v>8500</v>
      </c>
      <c r="P2611" t="s">
        <v>74</v>
      </c>
      <c r="Q2611" t="s">
        <v>35</v>
      </c>
      <c r="R2611" t="s">
        <v>36</v>
      </c>
      <c r="S2611" t="s">
        <v>195</v>
      </c>
      <c r="T2611" t="s">
        <v>196</v>
      </c>
      <c r="U2611" t="s">
        <v>54</v>
      </c>
      <c r="V2611" t="s">
        <v>969</v>
      </c>
      <c r="W2611">
        <v>3.3</v>
      </c>
      <c r="X2611" t="s">
        <v>106</v>
      </c>
      <c r="Y2611" t="s">
        <v>42</v>
      </c>
      <c r="Z2611">
        <v>4</v>
      </c>
    </row>
    <row r="2612" spans="1:26">
      <c r="A2612" t="s">
        <v>3842</v>
      </c>
      <c r="B2612" t="s">
        <v>221</v>
      </c>
      <c r="C2612" t="s">
        <v>94</v>
      </c>
      <c r="D2612" t="s">
        <v>103</v>
      </c>
      <c r="E2612" s="1">
        <v>45624</v>
      </c>
      <c r="F2612" t="s">
        <v>96</v>
      </c>
      <c r="G2612" t="s">
        <v>228</v>
      </c>
      <c r="H2612" t="s">
        <v>59</v>
      </c>
      <c r="I2612">
        <v>7</v>
      </c>
      <c r="J2612" t="s">
        <v>150</v>
      </c>
      <c r="K2612">
        <v>1</v>
      </c>
      <c r="L2612" s="3">
        <v>9699</v>
      </c>
      <c r="M2612">
        <v>25</v>
      </c>
      <c r="N2612" s="3">
        <v>7270</v>
      </c>
      <c r="O2612" s="3">
        <v>7270</v>
      </c>
      <c r="P2612" t="s">
        <v>74</v>
      </c>
      <c r="Q2612" t="s">
        <v>51</v>
      </c>
      <c r="R2612" t="s">
        <v>36</v>
      </c>
      <c r="S2612" t="s">
        <v>175</v>
      </c>
      <c r="T2612" t="s">
        <v>437</v>
      </c>
      <c r="U2612" t="s">
        <v>124</v>
      </c>
      <c r="V2612" t="s">
        <v>969</v>
      </c>
      <c r="W2612">
        <v>4.5999999999999996</v>
      </c>
      <c r="X2612" t="s">
        <v>62</v>
      </c>
      <c r="Y2612" t="s">
        <v>42</v>
      </c>
      <c r="Z2612">
        <v>6</v>
      </c>
    </row>
    <row r="2613" spans="1:26">
      <c r="A2613" t="s">
        <v>3843</v>
      </c>
      <c r="B2613" t="s">
        <v>2468</v>
      </c>
      <c r="C2613" t="s">
        <v>28</v>
      </c>
      <c r="D2613" t="s">
        <v>46</v>
      </c>
      <c r="E2613" s="1">
        <v>45624</v>
      </c>
      <c r="F2613" t="s">
        <v>65</v>
      </c>
      <c r="G2613" t="s">
        <v>279</v>
      </c>
      <c r="H2613" t="s">
        <v>111</v>
      </c>
      <c r="I2613">
        <v>9</v>
      </c>
      <c r="J2613" t="s">
        <v>98</v>
      </c>
      <c r="K2613">
        <v>4</v>
      </c>
      <c r="L2613" s="3">
        <v>6699</v>
      </c>
      <c r="M2613">
        <v>25</v>
      </c>
      <c r="N2613" s="3">
        <v>5020</v>
      </c>
      <c r="O2613" s="3">
        <v>20080</v>
      </c>
      <c r="P2613" t="s">
        <v>34</v>
      </c>
      <c r="Q2613" t="s">
        <v>35</v>
      </c>
      <c r="R2613" t="s">
        <v>36</v>
      </c>
      <c r="S2613" t="s">
        <v>164</v>
      </c>
      <c r="T2613" t="s">
        <v>348</v>
      </c>
      <c r="U2613" t="s">
        <v>39</v>
      </c>
      <c r="V2613" t="s">
        <v>969</v>
      </c>
      <c r="W2613">
        <v>4.5999999999999996</v>
      </c>
      <c r="X2613" t="s">
        <v>62</v>
      </c>
      <c r="Y2613" t="s">
        <v>55</v>
      </c>
      <c r="Z2613">
        <v>2</v>
      </c>
    </row>
    <row r="2614" spans="1:26">
      <c r="A2614" t="s">
        <v>3844</v>
      </c>
      <c r="B2614" t="s">
        <v>71</v>
      </c>
      <c r="C2614" t="s">
        <v>45</v>
      </c>
      <c r="D2614" t="s">
        <v>103</v>
      </c>
      <c r="E2614" s="1">
        <v>45627</v>
      </c>
      <c r="F2614" t="s">
        <v>86</v>
      </c>
      <c r="G2614" t="s">
        <v>190</v>
      </c>
      <c r="H2614" t="s">
        <v>128</v>
      </c>
      <c r="I2614">
        <v>12</v>
      </c>
      <c r="J2614" t="s">
        <v>150</v>
      </c>
      <c r="K2614">
        <v>2</v>
      </c>
      <c r="L2614" s="3">
        <v>6399</v>
      </c>
      <c r="M2614">
        <v>30</v>
      </c>
      <c r="N2614" s="3">
        <v>4480</v>
      </c>
      <c r="O2614" s="3">
        <v>8960</v>
      </c>
      <c r="P2614" t="s">
        <v>74</v>
      </c>
      <c r="Q2614" t="s">
        <v>35</v>
      </c>
      <c r="R2614" t="s">
        <v>36</v>
      </c>
      <c r="S2614" t="s">
        <v>151</v>
      </c>
      <c r="T2614" t="s">
        <v>506</v>
      </c>
      <c r="U2614" t="s">
        <v>61</v>
      </c>
      <c r="V2614" t="s">
        <v>315</v>
      </c>
      <c r="W2614">
        <v>4.4000000000000004</v>
      </c>
      <c r="X2614" t="s">
        <v>41</v>
      </c>
      <c r="Y2614" t="s">
        <v>55</v>
      </c>
      <c r="Z2614">
        <v>2</v>
      </c>
    </row>
    <row r="2615" spans="1:26">
      <c r="A2615" t="s">
        <v>3845</v>
      </c>
      <c r="B2615" t="s">
        <v>2309</v>
      </c>
      <c r="C2615" t="s">
        <v>28</v>
      </c>
      <c r="D2615" t="s">
        <v>95</v>
      </c>
      <c r="E2615" s="1">
        <v>45627</v>
      </c>
      <c r="F2615" t="s">
        <v>65</v>
      </c>
      <c r="G2615" t="s">
        <v>72</v>
      </c>
      <c r="H2615" t="s">
        <v>59</v>
      </c>
      <c r="I2615">
        <v>11</v>
      </c>
      <c r="J2615" t="s">
        <v>73</v>
      </c>
      <c r="K2615">
        <v>2</v>
      </c>
      <c r="L2615" s="3">
        <v>3399</v>
      </c>
      <c r="M2615">
        <v>20</v>
      </c>
      <c r="N2615" s="3">
        <v>2720</v>
      </c>
      <c r="O2615" s="3">
        <v>5440</v>
      </c>
      <c r="P2615" t="s">
        <v>34</v>
      </c>
      <c r="Q2615" t="s">
        <v>35</v>
      </c>
      <c r="R2615" t="s">
        <v>36</v>
      </c>
      <c r="S2615" t="s">
        <v>195</v>
      </c>
      <c r="T2615" t="s">
        <v>428</v>
      </c>
      <c r="U2615" t="s">
        <v>39</v>
      </c>
      <c r="V2615" t="s">
        <v>969</v>
      </c>
      <c r="W2615">
        <v>4.3</v>
      </c>
      <c r="X2615" t="s">
        <v>106</v>
      </c>
      <c r="Y2615" t="s">
        <v>55</v>
      </c>
      <c r="Z2615">
        <v>3</v>
      </c>
    </row>
    <row r="2616" spans="1:26">
      <c r="A2616" t="s">
        <v>3846</v>
      </c>
      <c r="B2616" t="s">
        <v>241</v>
      </c>
      <c r="C2616" t="s">
        <v>94</v>
      </c>
      <c r="D2616" t="s">
        <v>29</v>
      </c>
      <c r="E2616" s="1">
        <v>45628</v>
      </c>
      <c r="F2616" t="s">
        <v>30</v>
      </c>
      <c r="G2616" t="s">
        <v>145</v>
      </c>
      <c r="H2616" t="s">
        <v>59</v>
      </c>
      <c r="I2616">
        <v>7</v>
      </c>
      <c r="J2616" t="s">
        <v>73</v>
      </c>
      <c r="K2616">
        <v>1</v>
      </c>
      <c r="L2616" s="3">
        <v>4399</v>
      </c>
      <c r="M2616">
        <v>35</v>
      </c>
      <c r="N2616" s="3">
        <v>2860</v>
      </c>
      <c r="O2616" s="3">
        <v>2860</v>
      </c>
      <c r="P2616" t="s">
        <v>34</v>
      </c>
      <c r="Q2616" t="s">
        <v>51</v>
      </c>
      <c r="R2616" t="s">
        <v>36</v>
      </c>
      <c r="S2616" t="s">
        <v>68</v>
      </c>
      <c r="T2616" t="s">
        <v>207</v>
      </c>
      <c r="U2616" t="s">
        <v>54</v>
      </c>
      <c r="V2616" t="s">
        <v>969</v>
      </c>
      <c r="W2616">
        <v>4.5</v>
      </c>
      <c r="X2616" t="s">
        <v>106</v>
      </c>
      <c r="Y2616" t="s">
        <v>42</v>
      </c>
      <c r="Z2616">
        <v>1</v>
      </c>
    </row>
    <row r="2617" spans="1:26">
      <c r="A2617" t="s">
        <v>3847</v>
      </c>
      <c r="B2617" t="s">
        <v>1805</v>
      </c>
      <c r="C2617" t="s">
        <v>45</v>
      </c>
      <c r="D2617" t="s">
        <v>46</v>
      </c>
      <c r="E2617" s="1">
        <v>45629</v>
      </c>
      <c r="F2617" t="s">
        <v>96</v>
      </c>
      <c r="G2617" t="s">
        <v>323</v>
      </c>
      <c r="H2617" t="s">
        <v>59</v>
      </c>
      <c r="I2617">
        <v>10</v>
      </c>
      <c r="J2617" t="s">
        <v>98</v>
      </c>
      <c r="K2617">
        <v>1</v>
      </c>
      <c r="L2617" s="3">
        <v>4499</v>
      </c>
      <c r="M2617">
        <v>10</v>
      </c>
      <c r="N2617" s="3">
        <v>4050</v>
      </c>
      <c r="O2617" s="3">
        <v>4050</v>
      </c>
      <c r="P2617" t="s">
        <v>81</v>
      </c>
      <c r="Q2617" t="s">
        <v>35</v>
      </c>
      <c r="R2617" t="s">
        <v>36</v>
      </c>
      <c r="S2617" t="s">
        <v>75</v>
      </c>
      <c r="T2617" t="s">
        <v>76</v>
      </c>
      <c r="U2617" t="s">
        <v>39</v>
      </c>
      <c r="V2617" t="s">
        <v>969</v>
      </c>
      <c r="W2617">
        <v>5</v>
      </c>
      <c r="X2617" t="s">
        <v>62</v>
      </c>
      <c r="Y2617" t="s">
        <v>55</v>
      </c>
      <c r="Z2617">
        <v>3</v>
      </c>
    </row>
    <row r="2618" spans="1:26">
      <c r="A2618" t="s">
        <v>3848</v>
      </c>
      <c r="B2618" t="s">
        <v>3849</v>
      </c>
      <c r="C2618" t="s">
        <v>94</v>
      </c>
      <c r="D2618" t="s">
        <v>46</v>
      </c>
      <c r="E2618" s="1">
        <v>45630</v>
      </c>
      <c r="F2618" t="s">
        <v>47</v>
      </c>
      <c r="G2618" t="s">
        <v>140</v>
      </c>
      <c r="H2618" t="s">
        <v>128</v>
      </c>
      <c r="I2618">
        <v>9</v>
      </c>
      <c r="J2618" t="s">
        <v>73</v>
      </c>
      <c r="K2618">
        <v>1</v>
      </c>
      <c r="L2618" s="3">
        <v>5499</v>
      </c>
      <c r="M2618">
        <v>15</v>
      </c>
      <c r="N2618" s="3">
        <v>4670</v>
      </c>
      <c r="O2618" s="3">
        <v>4670</v>
      </c>
      <c r="P2618" t="s">
        <v>34</v>
      </c>
      <c r="Q2618" t="s">
        <v>51</v>
      </c>
      <c r="R2618" t="s">
        <v>36</v>
      </c>
      <c r="S2618" t="s">
        <v>104</v>
      </c>
      <c r="T2618" t="s">
        <v>179</v>
      </c>
      <c r="U2618" t="s">
        <v>54</v>
      </c>
      <c r="V2618" t="s">
        <v>40</v>
      </c>
      <c r="W2618">
        <v>3.9</v>
      </c>
      <c r="X2618" t="s">
        <v>41</v>
      </c>
      <c r="Y2618" t="s">
        <v>42</v>
      </c>
      <c r="Z2618">
        <v>5</v>
      </c>
    </row>
    <row r="2619" spans="1:26">
      <c r="A2619" t="s">
        <v>3850</v>
      </c>
      <c r="B2619" t="s">
        <v>85</v>
      </c>
      <c r="C2619" t="s">
        <v>28</v>
      </c>
      <c r="D2619" t="s">
        <v>103</v>
      </c>
      <c r="E2619" s="1">
        <v>45630</v>
      </c>
      <c r="F2619" t="s">
        <v>65</v>
      </c>
      <c r="G2619" t="s">
        <v>279</v>
      </c>
      <c r="H2619" t="s">
        <v>111</v>
      </c>
      <c r="I2619">
        <v>12</v>
      </c>
      <c r="J2619" t="s">
        <v>67</v>
      </c>
      <c r="K2619">
        <v>1</v>
      </c>
      <c r="L2619" s="3">
        <v>7899</v>
      </c>
      <c r="M2619">
        <v>25</v>
      </c>
      <c r="N2619" s="3">
        <v>5920</v>
      </c>
      <c r="O2619" s="3">
        <v>5920</v>
      </c>
      <c r="P2619" t="s">
        <v>74</v>
      </c>
      <c r="Q2619" t="s">
        <v>82</v>
      </c>
      <c r="R2619" t="s">
        <v>36</v>
      </c>
      <c r="S2619" t="s">
        <v>338</v>
      </c>
      <c r="T2619" t="s">
        <v>394</v>
      </c>
      <c r="U2619" t="s">
        <v>54</v>
      </c>
      <c r="V2619" t="s">
        <v>969</v>
      </c>
      <c r="W2619">
        <v>2.4</v>
      </c>
      <c r="X2619" t="s">
        <v>41</v>
      </c>
      <c r="Y2619" t="s">
        <v>42</v>
      </c>
      <c r="Z2619">
        <v>5</v>
      </c>
    </row>
    <row r="2620" spans="1:26">
      <c r="A2620" t="s">
        <v>3851</v>
      </c>
      <c r="B2620" t="s">
        <v>953</v>
      </c>
      <c r="C2620" t="s">
        <v>28</v>
      </c>
      <c r="D2620" t="s">
        <v>103</v>
      </c>
      <c r="E2620" s="1">
        <v>45631</v>
      </c>
      <c r="F2620" t="s">
        <v>47</v>
      </c>
      <c r="G2620" t="s">
        <v>140</v>
      </c>
      <c r="H2620" t="s">
        <v>128</v>
      </c>
      <c r="I2620">
        <v>10</v>
      </c>
      <c r="J2620" t="s">
        <v>150</v>
      </c>
      <c r="K2620">
        <v>3</v>
      </c>
      <c r="L2620" s="3">
        <v>5799</v>
      </c>
      <c r="M2620">
        <v>30</v>
      </c>
      <c r="N2620" s="3">
        <v>4060</v>
      </c>
      <c r="O2620" s="3">
        <v>12180</v>
      </c>
      <c r="P2620" t="s">
        <v>74</v>
      </c>
      <c r="Q2620" t="s">
        <v>51</v>
      </c>
      <c r="R2620" t="s">
        <v>36</v>
      </c>
      <c r="S2620" t="s">
        <v>99</v>
      </c>
      <c r="T2620" t="s">
        <v>335</v>
      </c>
      <c r="U2620" t="s">
        <v>39</v>
      </c>
      <c r="V2620" t="s">
        <v>969</v>
      </c>
      <c r="W2620">
        <v>4</v>
      </c>
      <c r="X2620" t="s">
        <v>106</v>
      </c>
      <c r="Y2620" t="s">
        <v>42</v>
      </c>
      <c r="Z2620">
        <v>5</v>
      </c>
    </row>
    <row r="2621" spans="1:26">
      <c r="A2621" t="s">
        <v>3852</v>
      </c>
      <c r="B2621" t="s">
        <v>2144</v>
      </c>
      <c r="C2621" t="s">
        <v>28</v>
      </c>
      <c r="D2621" t="s">
        <v>29</v>
      </c>
      <c r="E2621" s="1">
        <v>45631</v>
      </c>
      <c r="F2621" t="s">
        <v>79</v>
      </c>
      <c r="G2621" t="s">
        <v>127</v>
      </c>
      <c r="H2621" t="s">
        <v>128</v>
      </c>
      <c r="I2621">
        <v>11</v>
      </c>
      <c r="J2621" t="s">
        <v>150</v>
      </c>
      <c r="K2621">
        <v>1</v>
      </c>
      <c r="L2621" s="3">
        <v>4299</v>
      </c>
      <c r="M2621">
        <v>15</v>
      </c>
      <c r="N2621" s="3">
        <v>3650</v>
      </c>
      <c r="O2621" s="3">
        <v>3650</v>
      </c>
      <c r="P2621" t="s">
        <v>34</v>
      </c>
      <c r="Q2621" t="s">
        <v>51</v>
      </c>
      <c r="R2621" t="s">
        <v>36</v>
      </c>
      <c r="S2621" t="s">
        <v>151</v>
      </c>
      <c r="T2621" t="s">
        <v>890</v>
      </c>
      <c r="U2621" t="s">
        <v>124</v>
      </c>
      <c r="V2621" t="s">
        <v>969</v>
      </c>
      <c r="W2621">
        <v>3.5</v>
      </c>
      <c r="X2621" t="s">
        <v>106</v>
      </c>
      <c r="Y2621" t="s">
        <v>42</v>
      </c>
      <c r="Z2621">
        <v>7</v>
      </c>
    </row>
    <row r="2622" spans="1:26">
      <c r="A2622" t="s">
        <v>3853</v>
      </c>
      <c r="B2622" t="s">
        <v>703</v>
      </c>
      <c r="C2622" t="s">
        <v>45</v>
      </c>
      <c r="D2622" t="s">
        <v>46</v>
      </c>
      <c r="E2622" s="1">
        <v>45631</v>
      </c>
      <c r="F2622" t="s">
        <v>47</v>
      </c>
      <c r="G2622" t="s">
        <v>199</v>
      </c>
      <c r="H2622" t="s">
        <v>59</v>
      </c>
      <c r="I2622">
        <v>12</v>
      </c>
      <c r="J2622" t="s">
        <v>98</v>
      </c>
      <c r="K2622">
        <v>1</v>
      </c>
      <c r="L2622" s="3">
        <v>4899</v>
      </c>
      <c r="M2622">
        <v>35</v>
      </c>
      <c r="N2622" s="3">
        <v>3180</v>
      </c>
      <c r="O2622" s="3">
        <v>3180</v>
      </c>
      <c r="P2622" t="s">
        <v>74</v>
      </c>
      <c r="Q2622" t="s">
        <v>35</v>
      </c>
      <c r="R2622" t="s">
        <v>36</v>
      </c>
      <c r="S2622" t="s">
        <v>89</v>
      </c>
      <c r="T2622" t="s">
        <v>90</v>
      </c>
      <c r="U2622" t="s">
        <v>39</v>
      </c>
      <c r="V2622" t="s">
        <v>315</v>
      </c>
      <c r="W2622">
        <v>4.8</v>
      </c>
      <c r="X2622" t="s">
        <v>41</v>
      </c>
      <c r="Y2622" t="s">
        <v>55</v>
      </c>
      <c r="Z2622">
        <v>1</v>
      </c>
    </row>
    <row r="2623" spans="1:26">
      <c r="A2623" t="s">
        <v>3854</v>
      </c>
      <c r="B2623" t="s">
        <v>2762</v>
      </c>
      <c r="C2623" t="s">
        <v>94</v>
      </c>
      <c r="D2623" t="s">
        <v>29</v>
      </c>
      <c r="E2623" s="1">
        <v>45631</v>
      </c>
      <c r="F2623" t="s">
        <v>65</v>
      </c>
      <c r="G2623" t="s">
        <v>72</v>
      </c>
      <c r="H2623" t="s">
        <v>59</v>
      </c>
      <c r="I2623">
        <v>9</v>
      </c>
      <c r="J2623" t="s">
        <v>67</v>
      </c>
      <c r="K2623">
        <v>1</v>
      </c>
      <c r="L2623" s="3">
        <v>5399</v>
      </c>
      <c r="M2623">
        <v>20</v>
      </c>
      <c r="N2623" s="3">
        <v>4320</v>
      </c>
      <c r="O2623" s="3">
        <v>4320</v>
      </c>
      <c r="P2623" t="s">
        <v>34</v>
      </c>
      <c r="Q2623" t="s">
        <v>51</v>
      </c>
      <c r="R2623" t="s">
        <v>36</v>
      </c>
      <c r="S2623" t="s">
        <v>354</v>
      </c>
      <c r="T2623" t="s">
        <v>431</v>
      </c>
      <c r="U2623" t="s">
        <v>124</v>
      </c>
      <c r="V2623" t="s">
        <v>315</v>
      </c>
      <c r="W2623">
        <v>4.9000000000000004</v>
      </c>
      <c r="X2623" t="s">
        <v>41</v>
      </c>
      <c r="Y2623" t="s">
        <v>55</v>
      </c>
      <c r="Z2623">
        <v>3</v>
      </c>
    </row>
    <row r="2624" spans="1:26">
      <c r="A2624" t="s">
        <v>3855</v>
      </c>
      <c r="B2624" t="s">
        <v>3678</v>
      </c>
      <c r="C2624" t="s">
        <v>28</v>
      </c>
      <c r="D2624" t="s">
        <v>109</v>
      </c>
      <c r="E2624" s="1">
        <v>45632</v>
      </c>
      <c r="F2624" t="s">
        <v>96</v>
      </c>
      <c r="G2624" t="s">
        <v>290</v>
      </c>
      <c r="H2624" t="s">
        <v>32</v>
      </c>
      <c r="I2624">
        <v>9</v>
      </c>
      <c r="J2624" t="s">
        <v>98</v>
      </c>
      <c r="K2624">
        <v>1</v>
      </c>
      <c r="L2624" s="3">
        <v>7499</v>
      </c>
      <c r="M2624">
        <v>15</v>
      </c>
      <c r="N2624" s="3">
        <v>6370</v>
      </c>
      <c r="O2624" s="3">
        <v>6370</v>
      </c>
      <c r="P2624" t="s">
        <v>74</v>
      </c>
      <c r="Q2624" t="s">
        <v>82</v>
      </c>
      <c r="R2624" t="s">
        <v>36</v>
      </c>
      <c r="S2624" t="s">
        <v>68</v>
      </c>
      <c r="T2624" t="s">
        <v>69</v>
      </c>
      <c r="U2624" t="s">
        <v>61</v>
      </c>
      <c r="V2624" t="s">
        <v>315</v>
      </c>
      <c r="W2624">
        <v>3.9</v>
      </c>
      <c r="X2624" t="s">
        <v>41</v>
      </c>
      <c r="Y2624" t="s">
        <v>42</v>
      </c>
      <c r="Z2624">
        <v>3</v>
      </c>
    </row>
    <row r="2625" spans="1:26">
      <c r="A2625" t="s">
        <v>3856</v>
      </c>
      <c r="B2625" t="s">
        <v>500</v>
      </c>
      <c r="C2625" t="s">
        <v>28</v>
      </c>
      <c r="D2625" t="s">
        <v>29</v>
      </c>
      <c r="E2625" s="1">
        <v>45632</v>
      </c>
      <c r="F2625" t="s">
        <v>65</v>
      </c>
      <c r="G2625" t="s">
        <v>72</v>
      </c>
      <c r="H2625" t="s">
        <v>59</v>
      </c>
      <c r="I2625">
        <v>11</v>
      </c>
      <c r="J2625" t="s">
        <v>67</v>
      </c>
      <c r="K2625">
        <v>1</v>
      </c>
      <c r="L2625" s="3">
        <v>5399</v>
      </c>
      <c r="M2625">
        <v>35</v>
      </c>
      <c r="N2625" s="3">
        <v>3510</v>
      </c>
      <c r="O2625" s="3">
        <v>3510</v>
      </c>
      <c r="P2625" t="s">
        <v>34</v>
      </c>
      <c r="Q2625" t="s">
        <v>51</v>
      </c>
      <c r="R2625" t="s">
        <v>36</v>
      </c>
      <c r="S2625" t="s">
        <v>156</v>
      </c>
      <c r="T2625" t="s">
        <v>157</v>
      </c>
      <c r="U2625" t="s">
        <v>39</v>
      </c>
      <c r="V2625" t="s">
        <v>315</v>
      </c>
      <c r="W2625">
        <v>3.9</v>
      </c>
      <c r="X2625" t="s">
        <v>62</v>
      </c>
      <c r="Y2625" t="s">
        <v>42</v>
      </c>
      <c r="Z2625">
        <v>3</v>
      </c>
    </row>
    <row r="2626" spans="1:26">
      <c r="A2626" t="s">
        <v>3857</v>
      </c>
      <c r="B2626" t="s">
        <v>1992</v>
      </c>
      <c r="C2626" t="s">
        <v>28</v>
      </c>
      <c r="D2626" t="s">
        <v>103</v>
      </c>
      <c r="E2626" s="1">
        <v>45632</v>
      </c>
      <c r="F2626" t="s">
        <v>96</v>
      </c>
      <c r="G2626" t="s">
        <v>155</v>
      </c>
      <c r="H2626" t="s">
        <v>111</v>
      </c>
      <c r="I2626">
        <v>10</v>
      </c>
      <c r="J2626" t="s">
        <v>73</v>
      </c>
      <c r="K2626">
        <v>2</v>
      </c>
      <c r="L2626" s="3">
        <v>8499</v>
      </c>
      <c r="M2626">
        <v>20</v>
      </c>
      <c r="N2626" s="3">
        <v>6800</v>
      </c>
      <c r="O2626" s="3">
        <v>13600</v>
      </c>
      <c r="P2626" t="s">
        <v>74</v>
      </c>
      <c r="Q2626" t="s">
        <v>51</v>
      </c>
      <c r="R2626" t="s">
        <v>36</v>
      </c>
      <c r="S2626" t="s">
        <v>160</v>
      </c>
      <c r="T2626" t="s">
        <v>161</v>
      </c>
      <c r="U2626" t="s">
        <v>91</v>
      </c>
      <c r="V2626" t="s">
        <v>969</v>
      </c>
      <c r="W2626">
        <v>4.5999999999999996</v>
      </c>
      <c r="X2626" t="s">
        <v>41</v>
      </c>
      <c r="Y2626" t="s">
        <v>42</v>
      </c>
      <c r="Z2626">
        <v>4</v>
      </c>
    </row>
    <row r="2627" spans="1:26">
      <c r="A2627" t="s">
        <v>3858</v>
      </c>
      <c r="B2627" t="s">
        <v>2078</v>
      </c>
      <c r="C2627" t="s">
        <v>45</v>
      </c>
      <c r="D2627" t="s">
        <v>29</v>
      </c>
      <c r="E2627" s="1">
        <v>45632</v>
      </c>
      <c r="F2627" t="s">
        <v>79</v>
      </c>
      <c r="G2627" t="s">
        <v>174</v>
      </c>
      <c r="H2627" t="s">
        <v>32</v>
      </c>
      <c r="I2627">
        <v>11</v>
      </c>
      <c r="J2627" t="s">
        <v>73</v>
      </c>
      <c r="K2627">
        <v>1</v>
      </c>
      <c r="L2627" s="3">
        <v>8999</v>
      </c>
      <c r="M2627">
        <v>20</v>
      </c>
      <c r="N2627" s="3">
        <v>7200</v>
      </c>
      <c r="O2627" s="3">
        <v>7200</v>
      </c>
      <c r="P2627" t="s">
        <v>81</v>
      </c>
      <c r="Q2627" t="s">
        <v>82</v>
      </c>
      <c r="R2627" t="s">
        <v>36</v>
      </c>
      <c r="S2627" t="s">
        <v>354</v>
      </c>
      <c r="T2627" t="s">
        <v>355</v>
      </c>
      <c r="U2627" t="s">
        <v>39</v>
      </c>
      <c r="V2627" t="s">
        <v>969</v>
      </c>
      <c r="W2627">
        <v>3.7</v>
      </c>
      <c r="X2627" t="s">
        <v>41</v>
      </c>
      <c r="Y2627" t="s">
        <v>42</v>
      </c>
      <c r="Z2627">
        <v>5</v>
      </c>
    </row>
    <row r="2628" spans="1:26">
      <c r="A2628" t="s">
        <v>3859</v>
      </c>
      <c r="B2628" t="s">
        <v>392</v>
      </c>
      <c r="C2628" t="s">
        <v>94</v>
      </c>
      <c r="D2628" t="s">
        <v>103</v>
      </c>
      <c r="E2628" s="1">
        <v>45633</v>
      </c>
      <c r="F2628" t="s">
        <v>30</v>
      </c>
      <c r="G2628" t="s">
        <v>145</v>
      </c>
      <c r="H2628" t="s">
        <v>59</v>
      </c>
      <c r="I2628">
        <v>9</v>
      </c>
      <c r="J2628" t="s">
        <v>33</v>
      </c>
      <c r="K2628">
        <v>3</v>
      </c>
      <c r="L2628" s="3">
        <v>4999</v>
      </c>
      <c r="M2628">
        <v>0</v>
      </c>
      <c r="N2628" s="3">
        <v>5000</v>
      </c>
      <c r="O2628" s="3">
        <v>15000</v>
      </c>
      <c r="P2628" t="s">
        <v>34</v>
      </c>
      <c r="Q2628" t="s">
        <v>51</v>
      </c>
      <c r="R2628" t="s">
        <v>36</v>
      </c>
      <c r="S2628" t="s">
        <v>164</v>
      </c>
      <c r="T2628" t="s">
        <v>165</v>
      </c>
      <c r="U2628" t="s">
        <v>61</v>
      </c>
      <c r="V2628" t="s">
        <v>969</v>
      </c>
      <c r="W2628">
        <v>3.4</v>
      </c>
      <c r="X2628" t="s">
        <v>41</v>
      </c>
      <c r="Y2628" t="s">
        <v>55</v>
      </c>
      <c r="Z2628">
        <v>2</v>
      </c>
    </row>
    <row r="2629" spans="1:26">
      <c r="A2629" t="s">
        <v>3860</v>
      </c>
      <c r="B2629" t="s">
        <v>1531</v>
      </c>
      <c r="C2629" t="s">
        <v>45</v>
      </c>
      <c r="D2629" t="s">
        <v>46</v>
      </c>
      <c r="E2629" s="1">
        <v>45634</v>
      </c>
      <c r="F2629" t="s">
        <v>65</v>
      </c>
      <c r="G2629" t="s">
        <v>66</v>
      </c>
      <c r="H2629" t="s">
        <v>59</v>
      </c>
      <c r="I2629">
        <v>8</v>
      </c>
      <c r="J2629" t="s">
        <v>98</v>
      </c>
      <c r="K2629">
        <v>1</v>
      </c>
      <c r="L2629" s="3">
        <v>5799</v>
      </c>
      <c r="M2629">
        <v>25</v>
      </c>
      <c r="N2629" s="3">
        <v>4350</v>
      </c>
      <c r="O2629" s="3">
        <v>4350</v>
      </c>
      <c r="P2629" t="s">
        <v>74</v>
      </c>
      <c r="Q2629" t="s">
        <v>51</v>
      </c>
      <c r="R2629" t="s">
        <v>36</v>
      </c>
      <c r="S2629" t="s">
        <v>112</v>
      </c>
      <c r="T2629" t="s">
        <v>250</v>
      </c>
      <c r="U2629" t="s">
        <v>124</v>
      </c>
      <c r="V2629" t="s">
        <v>969</v>
      </c>
      <c r="W2629">
        <v>4</v>
      </c>
      <c r="X2629" t="s">
        <v>41</v>
      </c>
      <c r="Y2629" t="s">
        <v>147</v>
      </c>
      <c r="Z2629">
        <v>1</v>
      </c>
    </row>
    <row r="2630" spans="1:26">
      <c r="A2630" t="s">
        <v>3861</v>
      </c>
      <c r="B2630" t="s">
        <v>1491</v>
      </c>
      <c r="C2630" t="s">
        <v>45</v>
      </c>
      <c r="D2630" t="s">
        <v>95</v>
      </c>
      <c r="E2630" s="1">
        <v>45634</v>
      </c>
      <c r="F2630" t="s">
        <v>65</v>
      </c>
      <c r="G2630" t="s">
        <v>279</v>
      </c>
      <c r="H2630" t="s">
        <v>111</v>
      </c>
      <c r="I2630">
        <v>12</v>
      </c>
      <c r="J2630" t="s">
        <v>150</v>
      </c>
      <c r="K2630">
        <v>1</v>
      </c>
      <c r="L2630" s="3">
        <v>8099</v>
      </c>
      <c r="M2630">
        <v>15</v>
      </c>
      <c r="N2630" s="3">
        <v>6880</v>
      </c>
      <c r="O2630" s="3">
        <v>6880</v>
      </c>
      <c r="P2630" t="s">
        <v>74</v>
      </c>
      <c r="Q2630" t="s">
        <v>51</v>
      </c>
      <c r="R2630" t="s">
        <v>36</v>
      </c>
      <c r="S2630" t="s">
        <v>99</v>
      </c>
      <c r="T2630" t="s">
        <v>100</v>
      </c>
      <c r="U2630" t="s">
        <v>61</v>
      </c>
      <c r="V2630" t="s">
        <v>315</v>
      </c>
      <c r="W2630">
        <v>3.4</v>
      </c>
      <c r="X2630" t="s">
        <v>62</v>
      </c>
      <c r="Y2630" t="s">
        <v>42</v>
      </c>
      <c r="Z2630">
        <v>5</v>
      </c>
    </row>
    <row r="2631" spans="1:26">
      <c r="A2631" t="s">
        <v>3862</v>
      </c>
      <c r="B2631" t="s">
        <v>1953</v>
      </c>
      <c r="C2631" t="s">
        <v>94</v>
      </c>
      <c r="D2631" t="s">
        <v>95</v>
      </c>
      <c r="E2631" s="1">
        <v>45635</v>
      </c>
      <c r="F2631" t="s">
        <v>65</v>
      </c>
      <c r="G2631" t="s">
        <v>66</v>
      </c>
      <c r="H2631" t="s">
        <v>59</v>
      </c>
      <c r="I2631">
        <v>9</v>
      </c>
      <c r="J2631" t="s">
        <v>33</v>
      </c>
      <c r="K2631">
        <v>1</v>
      </c>
      <c r="L2631" s="3">
        <v>7499</v>
      </c>
      <c r="M2631">
        <v>25</v>
      </c>
      <c r="N2631" s="3">
        <v>5620</v>
      </c>
      <c r="O2631" s="3">
        <v>5620</v>
      </c>
      <c r="P2631" t="s">
        <v>74</v>
      </c>
      <c r="Q2631" t="s">
        <v>51</v>
      </c>
      <c r="R2631" t="s">
        <v>36</v>
      </c>
      <c r="S2631" t="s">
        <v>210</v>
      </c>
      <c r="T2631" t="s">
        <v>680</v>
      </c>
      <c r="U2631" t="s">
        <v>39</v>
      </c>
      <c r="V2631" t="s">
        <v>315</v>
      </c>
      <c r="W2631">
        <v>4.2</v>
      </c>
      <c r="X2631" t="s">
        <v>41</v>
      </c>
      <c r="Y2631" t="s">
        <v>55</v>
      </c>
      <c r="Z2631">
        <v>1</v>
      </c>
    </row>
    <row r="2632" spans="1:26">
      <c r="A2632" t="s">
        <v>3863</v>
      </c>
      <c r="B2632" t="s">
        <v>108</v>
      </c>
      <c r="C2632" t="s">
        <v>94</v>
      </c>
      <c r="D2632" t="s">
        <v>95</v>
      </c>
      <c r="E2632" s="1">
        <v>45635</v>
      </c>
      <c r="F2632" t="s">
        <v>30</v>
      </c>
      <c r="G2632" t="s">
        <v>31</v>
      </c>
      <c r="H2632" t="s">
        <v>32</v>
      </c>
      <c r="I2632">
        <v>9</v>
      </c>
      <c r="J2632" t="s">
        <v>150</v>
      </c>
      <c r="K2632">
        <v>1</v>
      </c>
      <c r="L2632" s="3">
        <v>7299</v>
      </c>
      <c r="M2632">
        <v>15</v>
      </c>
      <c r="N2632" s="3">
        <v>6200</v>
      </c>
      <c r="O2632" s="3">
        <v>6200</v>
      </c>
      <c r="P2632" t="s">
        <v>74</v>
      </c>
      <c r="Q2632" t="s">
        <v>51</v>
      </c>
      <c r="R2632" t="s">
        <v>36</v>
      </c>
      <c r="S2632" t="s">
        <v>141</v>
      </c>
      <c r="T2632" t="s">
        <v>294</v>
      </c>
      <c r="U2632" t="s">
        <v>61</v>
      </c>
      <c r="V2632" t="s">
        <v>315</v>
      </c>
      <c r="W2632">
        <v>3.7</v>
      </c>
      <c r="X2632" t="s">
        <v>41</v>
      </c>
      <c r="Y2632" t="s">
        <v>42</v>
      </c>
      <c r="Z2632">
        <v>5</v>
      </c>
    </row>
    <row r="2633" spans="1:26">
      <c r="A2633" t="s">
        <v>3864</v>
      </c>
      <c r="B2633" t="s">
        <v>821</v>
      </c>
      <c r="C2633" t="s">
        <v>28</v>
      </c>
      <c r="D2633" t="s">
        <v>95</v>
      </c>
      <c r="E2633" s="1">
        <v>45635</v>
      </c>
      <c r="F2633" t="s">
        <v>30</v>
      </c>
      <c r="G2633" t="s">
        <v>145</v>
      </c>
      <c r="H2633" t="s">
        <v>59</v>
      </c>
      <c r="I2633">
        <v>7</v>
      </c>
      <c r="J2633" t="s">
        <v>33</v>
      </c>
      <c r="K2633">
        <v>1</v>
      </c>
      <c r="L2633" s="3">
        <v>7399</v>
      </c>
      <c r="M2633">
        <v>25</v>
      </c>
      <c r="N2633" s="3">
        <v>5550</v>
      </c>
      <c r="O2633" s="3">
        <v>5550</v>
      </c>
      <c r="P2633" t="s">
        <v>74</v>
      </c>
      <c r="Q2633" t="s">
        <v>51</v>
      </c>
      <c r="R2633" t="s">
        <v>36</v>
      </c>
      <c r="S2633" t="s">
        <v>156</v>
      </c>
      <c r="T2633" t="s">
        <v>324</v>
      </c>
      <c r="U2633" t="s">
        <v>124</v>
      </c>
      <c r="V2633" t="s">
        <v>315</v>
      </c>
      <c r="W2633">
        <v>4.0999999999999996</v>
      </c>
      <c r="X2633" t="s">
        <v>41</v>
      </c>
      <c r="Y2633" t="s">
        <v>42</v>
      </c>
      <c r="Z2633">
        <v>2</v>
      </c>
    </row>
    <row r="2634" spans="1:26">
      <c r="A2634" t="s">
        <v>3865</v>
      </c>
      <c r="B2634" t="s">
        <v>3866</v>
      </c>
      <c r="C2634" t="s">
        <v>45</v>
      </c>
      <c r="D2634" t="s">
        <v>46</v>
      </c>
      <c r="E2634" s="1">
        <v>45635</v>
      </c>
      <c r="F2634" t="s">
        <v>79</v>
      </c>
      <c r="G2634" t="s">
        <v>174</v>
      </c>
      <c r="H2634" t="s">
        <v>32</v>
      </c>
      <c r="I2634">
        <v>6</v>
      </c>
      <c r="J2634" t="s">
        <v>33</v>
      </c>
      <c r="K2634">
        <v>2</v>
      </c>
      <c r="L2634" s="3">
        <v>4199</v>
      </c>
      <c r="M2634">
        <v>5</v>
      </c>
      <c r="N2634" s="3">
        <v>3990</v>
      </c>
      <c r="O2634" s="3">
        <v>7980</v>
      </c>
      <c r="P2634" t="s">
        <v>34</v>
      </c>
      <c r="Q2634" t="s">
        <v>82</v>
      </c>
      <c r="R2634" t="s">
        <v>36</v>
      </c>
      <c r="S2634" t="s">
        <v>89</v>
      </c>
      <c r="T2634" t="s">
        <v>1982</v>
      </c>
      <c r="U2634" t="s">
        <v>61</v>
      </c>
      <c r="V2634" t="s">
        <v>40</v>
      </c>
      <c r="W2634">
        <v>4.0999999999999996</v>
      </c>
      <c r="X2634" t="s">
        <v>41</v>
      </c>
      <c r="Y2634" t="s">
        <v>55</v>
      </c>
      <c r="Z2634">
        <v>3</v>
      </c>
    </row>
    <row r="2635" spans="1:26">
      <c r="A2635" t="s">
        <v>3867</v>
      </c>
      <c r="B2635" t="s">
        <v>3868</v>
      </c>
      <c r="C2635" t="s">
        <v>28</v>
      </c>
      <c r="D2635" t="s">
        <v>29</v>
      </c>
      <c r="E2635" s="1">
        <v>45635</v>
      </c>
      <c r="F2635" t="s">
        <v>30</v>
      </c>
      <c r="G2635" t="s">
        <v>110</v>
      </c>
      <c r="H2635" t="s">
        <v>111</v>
      </c>
      <c r="I2635">
        <v>10</v>
      </c>
      <c r="J2635" t="s">
        <v>88</v>
      </c>
      <c r="K2635">
        <v>1</v>
      </c>
      <c r="L2635" s="3">
        <v>3799</v>
      </c>
      <c r="M2635">
        <v>10</v>
      </c>
      <c r="N2635" s="3">
        <v>3420</v>
      </c>
      <c r="O2635" s="3">
        <v>3420</v>
      </c>
      <c r="P2635" t="s">
        <v>34</v>
      </c>
      <c r="Q2635" t="s">
        <v>51</v>
      </c>
      <c r="R2635" t="s">
        <v>36</v>
      </c>
      <c r="S2635" t="s">
        <v>37</v>
      </c>
      <c r="T2635" t="s">
        <v>484</v>
      </c>
      <c r="U2635" t="s">
        <v>61</v>
      </c>
      <c r="V2635" t="s">
        <v>40</v>
      </c>
      <c r="W2635">
        <v>4.0999999999999996</v>
      </c>
      <c r="X2635" t="s">
        <v>41</v>
      </c>
      <c r="Y2635" t="s">
        <v>55</v>
      </c>
      <c r="Z2635">
        <v>2</v>
      </c>
    </row>
    <row r="2636" spans="1:26">
      <c r="A2636" t="s">
        <v>3869</v>
      </c>
      <c r="B2636" t="s">
        <v>778</v>
      </c>
      <c r="C2636" t="s">
        <v>45</v>
      </c>
      <c r="D2636" t="s">
        <v>29</v>
      </c>
      <c r="E2636" s="1">
        <v>45635</v>
      </c>
      <c r="F2636" t="s">
        <v>96</v>
      </c>
      <c r="G2636" t="s">
        <v>323</v>
      </c>
      <c r="H2636" t="s">
        <v>59</v>
      </c>
      <c r="I2636">
        <v>7</v>
      </c>
      <c r="J2636" t="s">
        <v>150</v>
      </c>
      <c r="K2636">
        <v>3</v>
      </c>
      <c r="L2636" s="3">
        <v>6799</v>
      </c>
      <c r="M2636">
        <v>15</v>
      </c>
      <c r="N2636" s="3">
        <v>5780</v>
      </c>
      <c r="O2636" s="3">
        <v>17340</v>
      </c>
      <c r="P2636" t="s">
        <v>34</v>
      </c>
      <c r="Q2636" t="s">
        <v>51</v>
      </c>
      <c r="R2636" t="s">
        <v>36</v>
      </c>
      <c r="S2636" t="s">
        <v>210</v>
      </c>
      <c r="T2636" t="s">
        <v>415</v>
      </c>
      <c r="U2636" t="s">
        <v>54</v>
      </c>
      <c r="V2636" t="s">
        <v>969</v>
      </c>
      <c r="W2636">
        <v>5</v>
      </c>
      <c r="X2636" t="s">
        <v>41</v>
      </c>
      <c r="Y2636" t="s">
        <v>42</v>
      </c>
      <c r="Z2636">
        <v>5</v>
      </c>
    </row>
    <row r="2637" spans="1:26">
      <c r="A2637" t="s">
        <v>3870</v>
      </c>
      <c r="B2637" t="s">
        <v>241</v>
      </c>
      <c r="C2637" t="s">
        <v>28</v>
      </c>
      <c r="D2637" t="s">
        <v>46</v>
      </c>
      <c r="E2637" s="1">
        <v>45635</v>
      </c>
      <c r="F2637" t="s">
        <v>65</v>
      </c>
      <c r="G2637" t="s">
        <v>66</v>
      </c>
      <c r="H2637" t="s">
        <v>59</v>
      </c>
      <c r="I2637">
        <v>6</v>
      </c>
      <c r="J2637" t="s">
        <v>88</v>
      </c>
      <c r="K2637">
        <v>2</v>
      </c>
      <c r="L2637" s="3">
        <v>8399</v>
      </c>
      <c r="M2637">
        <v>20</v>
      </c>
      <c r="N2637" s="3">
        <v>6720</v>
      </c>
      <c r="O2637" s="3">
        <v>13440</v>
      </c>
      <c r="P2637" t="s">
        <v>81</v>
      </c>
      <c r="Q2637" t="s">
        <v>51</v>
      </c>
      <c r="R2637" t="s">
        <v>36</v>
      </c>
      <c r="S2637" t="s">
        <v>269</v>
      </c>
      <c r="T2637" t="s">
        <v>270</v>
      </c>
      <c r="U2637" t="s">
        <v>54</v>
      </c>
      <c r="V2637" t="s">
        <v>969</v>
      </c>
      <c r="W2637">
        <v>4</v>
      </c>
      <c r="X2637" t="s">
        <v>62</v>
      </c>
      <c r="Y2637" t="s">
        <v>55</v>
      </c>
      <c r="Z2637">
        <v>2</v>
      </c>
    </row>
    <row r="2638" spans="1:26">
      <c r="A2638" t="s">
        <v>3871</v>
      </c>
      <c r="B2638" t="s">
        <v>3872</v>
      </c>
      <c r="C2638" t="s">
        <v>45</v>
      </c>
      <c r="D2638" t="s">
        <v>29</v>
      </c>
      <c r="E2638" s="1">
        <v>45635</v>
      </c>
      <c r="F2638" t="s">
        <v>30</v>
      </c>
      <c r="G2638" t="s">
        <v>58</v>
      </c>
      <c r="H2638" t="s">
        <v>59</v>
      </c>
      <c r="I2638">
        <v>8</v>
      </c>
      <c r="J2638" t="s">
        <v>150</v>
      </c>
      <c r="K2638">
        <v>1</v>
      </c>
      <c r="L2638" s="3">
        <v>4999</v>
      </c>
      <c r="M2638">
        <v>15</v>
      </c>
      <c r="N2638" s="3">
        <v>4250</v>
      </c>
      <c r="O2638" s="3">
        <v>4250</v>
      </c>
      <c r="P2638" t="s">
        <v>74</v>
      </c>
      <c r="Q2638" t="s">
        <v>82</v>
      </c>
      <c r="R2638" t="s">
        <v>36</v>
      </c>
      <c r="S2638" t="s">
        <v>112</v>
      </c>
      <c r="T2638" t="s">
        <v>113</v>
      </c>
      <c r="U2638" t="s">
        <v>61</v>
      </c>
      <c r="V2638" t="s">
        <v>40</v>
      </c>
      <c r="W2638">
        <v>3.6</v>
      </c>
      <c r="X2638" t="s">
        <v>62</v>
      </c>
      <c r="Y2638" t="s">
        <v>42</v>
      </c>
      <c r="Z2638">
        <v>3</v>
      </c>
    </row>
    <row r="2639" spans="1:26">
      <c r="A2639" t="s">
        <v>3873</v>
      </c>
      <c r="B2639" t="s">
        <v>750</v>
      </c>
      <c r="C2639" t="s">
        <v>94</v>
      </c>
      <c r="D2639" t="s">
        <v>46</v>
      </c>
      <c r="E2639" s="1">
        <v>45636</v>
      </c>
      <c r="F2639" t="s">
        <v>47</v>
      </c>
      <c r="G2639" t="s">
        <v>121</v>
      </c>
      <c r="H2639" t="s">
        <v>111</v>
      </c>
      <c r="I2639">
        <v>6</v>
      </c>
      <c r="J2639" t="s">
        <v>98</v>
      </c>
      <c r="K2639">
        <v>1</v>
      </c>
      <c r="L2639" s="3">
        <v>5099</v>
      </c>
      <c r="M2639">
        <v>0</v>
      </c>
      <c r="N2639" s="3">
        <v>5100</v>
      </c>
      <c r="O2639" s="3">
        <v>5100</v>
      </c>
      <c r="P2639" t="s">
        <v>74</v>
      </c>
      <c r="Q2639" t="s">
        <v>51</v>
      </c>
      <c r="R2639" t="s">
        <v>36</v>
      </c>
      <c r="S2639" t="s">
        <v>104</v>
      </c>
      <c r="T2639" t="s">
        <v>291</v>
      </c>
      <c r="U2639" t="s">
        <v>54</v>
      </c>
      <c r="V2639" t="s">
        <v>315</v>
      </c>
      <c r="W2639">
        <v>3.8</v>
      </c>
      <c r="X2639" t="s">
        <v>41</v>
      </c>
      <c r="Y2639" t="s">
        <v>42</v>
      </c>
      <c r="Z2639">
        <v>5</v>
      </c>
    </row>
    <row r="2640" spans="1:26">
      <c r="A2640" t="s">
        <v>3874</v>
      </c>
      <c r="B2640" t="s">
        <v>736</v>
      </c>
      <c r="C2640" t="s">
        <v>28</v>
      </c>
      <c r="D2640" t="s">
        <v>46</v>
      </c>
      <c r="E2640" s="1">
        <v>45636</v>
      </c>
      <c r="F2640" t="s">
        <v>65</v>
      </c>
      <c r="G2640" t="s">
        <v>72</v>
      </c>
      <c r="H2640" t="s">
        <v>59</v>
      </c>
      <c r="I2640">
        <v>8</v>
      </c>
      <c r="J2640" t="s">
        <v>150</v>
      </c>
      <c r="K2640">
        <v>1</v>
      </c>
      <c r="L2640" s="3">
        <v>7599</v>
      </c>
      <c r="M2640">
        <v>35</v>
      </c>
      <c r="N2640" s="3">
        <v>4940</v>
      </c>
      <c r="O2640" s="3">
        <v>4940</v>
      </c>
      <c r="P2640" t="s">
        <v>81</v>
      </c>
      <c r="Q2640" t="s">
        <v>82</v>
      </c>
      <c r="R2640" t="s">
        <v>36</v>
      </c>
      <c r="S2640" t="s">
        <v>418</v>
      </c>
      <c r="T2640" t="s">
        <v>613</v>
      </c>
      <c r="U2640" t="s">
        <v>39</v>
      </c>
      <c r="V2640" t="s">
        <v>969</v>
      </c>
      <c r="W2640">
        <v>4.2</v>
      </c>
      <c r="X2640" t="s">
        <v>41</v>
      </c>
      <c r="Y2640" t="s">
        <v>42</v>
      </c>
      <c r="Z2640">
        <v>3</v>
      </c>
    </row>
    <row r="2641" spans="1:26">
      <c r="A2641" t="s">
        <v>3875</v>
      </c>
      <c r="B2641" t="s">
        <v>1565</v>
      </c>
      <c r="C2641" t="s">
        <v>45</v>
      </c>
      <c r="D2641" t="s">
        <v>29</v>
      </c>
      <c r="E2641" s="1">
        <v>45636</v>
      </c>
      <c r="F2641" t="s">
        <v>86</v>
      </c>
      <c r="G2641" t="s">
        <v>242</v>
      </c>
      <c r="H2641" t="s">
        <v>32</v>
      </c>
      <c r="I2641">
        <v>8</v>
      </c>
      <c r="J2641" t="s">
        <v>98</v>
      </c>
      <c r="K2641">
        <v>2</v>
      </c>
      <c r="L2641" s="3">
        <v>8899</v>
      </c>
      <c r="M2641">
        <v>15</v>
      </c>
      <c r="N2641" s="3">
        <v>7560</v>
      </c>
      <c r="O2641" s="3">
        <v>15120</v>
      </c>
      <c r="P2641" t="s">
        <v>34</v>
      </c>
      <c r="Q2641" t="s">
        <v>51</v>
      </c>
      <c r="R2641" t="s">
        <v>36</v>
      </c>
      <c r="S2641" t="s">
        <v>358</v>
      </c>
      <c r="T2641" t="s">
        <v>464</v>
      </c>
      <c r="U2641" t="s">
        <v>61</v>
      </c>
      <c r="V2641" t="s">
        <v>969</v>
      </c>
      <c r="W2641">
        <v>3.5</v>
      </c>
      <c r="X2641" t="s">
        <v>41</v>
      </c>
      <c r="Y2641" t="s">
        <v>42</v>
      </c>
      <c r="Z2641">
        <v>3</v>
      </c>
    </row>
    <row r="2642" spans="1:26">
      <c r="A2642" t="s">
        <v>3876</v>
      </c>
      <c r="B2642" t="s">
        <v>3799</v>
      </c>
      <c r="C2642" t="s">
        <v>28</v>
      </c>
      <c r="D2642" t="s">
        <v>95</v>
      </c>
      <c r="E2642" s="1">
        <v>45637</v>
      </c>
      <c r="F2642" t="s">
        <v>79</v>
      </c>
      <c r="G2642" t="s">
        <v>127</v>
      </c>
      <c r="H2642" t="s">
        <v>128</v>
      </c>
      <c r="I2642">
        <v>11</v>
      </c>
      <c r="J2642" t="s">
        <v>150</v>
      </c>
      <c r="K2642">
        <v>1</v>
      </c>
      <c r="L2642" s="3">
        <v>6899</v>
      </c>
      <c r="M2642">
        <v>10</v>
      </c>
      <c r="N2642" s="3">
        <v>6210</v>
      </c>
      <c r="O2642" s="3">
        <v>6210</v>
      </c>
      <c r="P2642" t="s">
        <v>74</v>
      </c>
      <c r="Q2642" t="s">
        <v>51</v>
      </c>
      <c r="R2642" t="s">
        <v>36</v>
      </c>
      <c r="S2642" t="s">
        <v>89</v>
      </c>
      <c r="T2642" t="s">
        <v>515</v>
      </c>
      <c r="U2642" t="s">
        <v>54</v>
      </c>
      <c r="V2642" t="s">
        <v>315</v>
      </c>
      <c r="W2642">
        <v>3.5</v>
      </c>
      <c r="X2642" t="s">
        <v>41</v>
      </c>
      <c r="Y2642" t="s">
        <v>55</v>
      </c>
      <c r="Z2642">
        <v>2</v>
      </c>
    </row>
    <row r="2643" spans="1:26">
      <c r="A2643" t="s">
        <v>3877</v>
      </c>
      <c r="B2643" t="s">
        <v>353</v>
      </c>
      <c r="C2643" t="s">
        <v>28</v>
      </c>
      <c r="D2643" t="s">
        <v>103</v>
      </c>
      <c r="E2643" s="1">
        <v>45638</v>
      </c>
      <c r="F2643" t="s">
        <v>30</v>
      </c>
      <c r="G2643" t="s">
        <v>214</v>
      </c>
      <c r="H2643" t="s">
        <v>128</v>
      </c>
      <c r="I2643">
        <v>7</v>
      </c>
      <c r="J2643" t="s">
        <v>67</v>
      </c>
      <c r="K2643">
        <v>1</v>
      </c>
      <c r="L2643" s="3">
        <v>4899</v>
      </c>
      <c r="M2643">
        <v>10</v>
      </c>
      <c r="N2643" s="3">
        <v>4410</v>
      </c>
      <c r="O2643" s="3">
        <v>4410</v>
      </c>
      <c r="P2643" t="s">
        <v>74</v>
      </c>
      <c r="Q2643" t="s">
        <v>82</v>
      </c>
      <c r="R2643" t="s">
        <v>36</v>
      </c>
      <c r="S2643" t="s">
        <v>460</v>
      </c>
      <c r="T2643" t="s">
        <v>461</v>
      </c>
      <c r="U2643" t="s">
        <v>61</v>
      </c>
      <c r="V2643" t="s">
        <v>969</v>
      </c>
      <c r="W2643">
        <v>4</v>
      </c>
      <c r="X2643" t="s">
        <v>41</v>
      </c>
      <c r="Y2643" t="s">
        <v>42</v>
      </c>
      <c r="Z2643">
        <v>2</v>
      </c>
    </row>
    <row r="2644" spans="1:26">
      <c r="A2644" t="s">
        <v>3878</v>
      </c>
      <c r="B2644" t="s">
        <v>1193</v>
      </c>
      <c r="C2644" t="s">
        <v>28</v>
      </c>
      <c r="D2644" t="s">
        <v>46</v>
      </c>
      <c r="E2644" s="1">
        <v>45638</v>
      </c>
      <c r="F2644" t="s">
        <v>86</v>
      </c>
      <c r="G2644" t="s">
        <v>242</v>
      </c>
      <c r="H2644" t="s">
        <v>32</v>
      </c>
      <c r="I2644">
        <v>10</v>
      </c>
      <c r="J2644" t="s">
        <v>67</v>
      </c>
      <c r="K2644">
        <v>1</v>
      </c>
      <c r="L2644" s="3">
        <v>5399</v>
      </c>
      <c r="M2644">
        <v>5</v>
      </c>
      <c r="N2644" s="3">
        <v>5130</v>
      </c>
      <c r="O2644" s="3">
        <v>5130</v>
      </c>
      <c r="P2644" t="s">
        <v>34</v>
      </c>
      <c r="Q2644" t="s">
        <v>35</v>
      </c>
      <c r="R2644" t="s">
        <v>36</v>
      </c>
      <c r="S2644" t="s">
        <v>191</v>
      </c>
      <c r="T2644" t="s">
        <v>572</v>
      </c>
      <c r="U2644" t="s">
        <v>124</v>
      </c>
      <c r="V2644" t="s">
        <v>969</v>
      </c>
      <c r="W2644">
        <v>2.2000000000000002</v>
      </c>
      <c r="X2644" t="s">
        <v>41</v>
      </c>
      <c r="Y2644" t="s">
        <v>55</v>
      </c>
      <c r="Z2644">
        <v>2</v>
      </c>
    </row>
    <row r="2645" spans="1:26">
      <c r="A2645" t="s">
        <v>3879</v>
      </c>
      <c r="B2645" t="s">
        <v>1306</v>
      </c>
      <c r="C2645" t="s">
        <v>45</v>
      </c>
      <c r="D2645" t="s">
        <v>109</v>
      </c>
      <c r="E2645" s="1">
        <v>45638</v>
      </c>
      <c r="F2645" t="s">
        <v>65</v>
      </c>
      <c r="G2645" t="s">
        <v>279</v>
      </c>
      <c r="H2645" t="s">
        <v>111</v>
      </c>
      <c r="I2645">
        <v>9</v>
      </c>
      <c r="J2645" t="s">
        <v>73</v>
      </c>
      <c r="K2645">
        <v>1</v>
      </c>
      <c r="L2645" s="3">
        <v>5399</v>
      </c>
      <c r="M2645">
        <v>10</v>
      </c>
      <c r="N2645" s="3">
        <v>4860</v>
      </c>
      <c r="O2645" s="3">
        <v>4860</v>
      </c>
      <c r="P2645" t="s">
        <v>74</v>
      </c>
      <c r="Q2645" t="s">
        <v>51</v>
      </c>
      <c r="R2645" t="s">
        <v>36</v>
      </c>
      <c r="S2645" t="s">
        <v>358</v>
      </c>
      <c r="T2645" t="s">
        <v>359</v>
      </c>
      <c r="U2645" t="s">
        <v>39</v>
      </c>
      <c r="V2645" t="s">
        <v>315</v>
      </c>
      <c r="W2645">
        <v>4.3</v>
      </c>
      <c r="X2645" t="s">
        <v>41</v>
      </c>
      <c r="Y2645" t="s">
        <v>55</v>
      </c>
      <c r="Z2645">
        <v>1</v>
      </c>
    </row>
    <row r="2646" spans="1:26">
      <c r="A2646" t="s">
        <v>3880</v>
      </c>
      <c r="B2646" t="s">
        <v>646</v>
      </c>
      <c r="C2646" t="s">
        <v>94</v>
      </c>
      <c r="D2646" t="s">
        <v>29</v>
      </c>
      <c r="E2646" s="1">
        <v>45639</v>
      </c>
      <c r="F2646" t="s">
        <v>65</v>
      </c>
      <c r="G2646" t="s">
        <v>268</v>
      </c>
      <c r="H2646" t="s">
        <v>128</v>
      </c>
      <c r="I2646">
        <v>8</v>
      </c>
      <c r="J2646" t="s">
        <v>67</v>
      </c>
      <c r="K2646">
        <v>2</v>
      </c>
      <c r="L2646" s="3">
        <v>5399</v>
      </c>
      <c r="M2646">
        <v>30</v>
      </c>
      <c r="N2646" s="3">
        <v>3780</v>
      </c>
      <c r="O2646" s="3">
        <v>7560</v>
      </c>
      <c r="P2646" t="s">
        <v>81</v>
      </c>
      <c r="Q2646" t="s">
        <v>51</v>
      </c>
      <c r="R2646" t="s">
        <v>36</v>
      </c>
      <c r="S2646" t="s">
        <v>186</v>
      </c>
      <c r="T2646" t="s">
        <v>222</v>
      </c>
      <c r="U2646" t="s">
        <v>91</v>
      </c>
      <c r="V2646" t="s">
        <v>969</v>
      </c>
      <c r="W2646">
        <v>3.3</v>
      </c>
      <c r="X2646" t="s">
        <v>41</v>
      </c>
      <c r="Y2646" t="s">
        <v>147</v>
      </c>
      <c r="Z2646">
        <v>1</v>
      </c>
    </row>
    <row r="2647" spans="1:26">
      <c r="A2647" t="s">
        <v>3881</v>
      </c>
      <c r="B2647" t="s">
        <v>3882</v>
      </c>
      <c r="C2647" t="s">
        <v>94</v>
      </c>
      <c r="D2647" t="s">
        <v>103</v>
      </c>
      <c r="E2647" s="1">
        <v>45640</v>
      </c>
      <c r="F2647" t="s">
        <v>79</v>
      </c>
      <c r="G2647" t="s">
        <v>127</v>
      </c>
      <c r="H2647" t="s">
        <v>128</v>
      </c>
      <c r="I2647">
        <v>12</v>
      </c>
      <c r="J2647" t="s">
        <v>98</v>
      </c>
      <c r="K2647">
        <v>2</v>
      </c>
      <c r="L2647" s="3">
        <v>4199</v>
      </c>
      <c r="M2647">
        <v>5</v>
      </c>
      <c r="N2647" s="3">
        <v>3990</v>
      </c>
      <c r="O2647" s="3">
        <v>7980</v>
      </c>
      <c r="P2647" t="s">
        <v>34</v>
      </c>
      <c r="Q2647" t="s">
        <v>35</v>
      </c>
      <c r="R2647" t="s">
        <v>36</v>
      </c>
      <c r="S2647" t="s">
        <v>75</v>
      </c>
      <c r="T2647" t="s">
        <v>796</v>
      </c>
      <c r="U2647" t="s">
        <v>61</v>
      </c>
      <c r="V2647" t="s">
        <v>40</v>
      </c>
      <c r="W2647">
        <v>3.4</v>
      </c>
      <c r="X2647" t="s">
        <v>41</v>
      </c>
      <c r="Y2647" t="s">
        <v>42</v>
      </c>
      <c r="Z2647">
        <v>3</v>
      </c>
    </row>
    <row r="2648" spans="1:26">
      <c r="A2648" t="s">
        <v>3883</v>
      </c>
      <c r="B2648" t="s">
        <v>1893</v>
      </c>
      <c r="C2648" t="s">
        <v>94</v>
      </c>
      <c r="D2648" t="s">
        <v>103</v>
      </c>
      <c r="E2648" s="1">
        <v>45640</v>
      </c>
      <c r="F2648" t="s">
        <v>96</v>
      </c>
      <c r="G2648" t="s">
        <v>171</v>
      </c>
      <c r="H2648" t="s">
        <v>128</v>
      </c>
      <c r="I2648">
        <v>10</v>
      </c>
      <c r="J2648" t="s">
        <v>67</v>
      </c>
      <c r="K2648">
        <v>2</v>
      </c>
      <c r="L2648" s="3">
        <v>4699</v>
      </c>
      <c r="M2648">
        <v>10</v>
      </c>
      <c r="N2648" s="3">
        <v>4230</v>
      </c>
      <c r="O2648" s="3">
        <v>8460</v>
      </c>
      <c r="P2648" t="s">
        <v>81</v>
      </c>
      <c r="Q2648" t="s">
        <v>35</v>
      </c>
      <c r="R2648" t="s">
        <v>36</v>
      </c>
      <c r="S2648" t="s">
        <v>354</v>
      </c>
      <c r="T2648" t="s">
        <v>355</v>
      </c>
      <c r="U2648" t="s">
        <v>39</v>
      </c>
      <c r="V2648" t="s">
        <v>969</v>
      </c>
      <c r="W2648">
        <v>3.8</v>
      </c>
      <c r="X2648" t="s">
        <v>41</v>
      </c>
      <c r="Y2648" t="s">
        <v>55</v>
      </c>
      <c r="Z2648">
        <v>1</v>
      </c>
    </row>
    <row r="2649" spans="1:26">
      <c r="A2649" t="s">
        <v>3884</v>
      </c>
      <c r="B2649" t="s">
        <v>1374</v>
      </c>
      <c r="C2649" t="s">
        <v>45</v>
      </c>
      <c r="D2649" t="s">
        <v>103</v>
      </c>
      <c r="E2649" s="1">
        <v>45641</v>
      </c>
      <c r="F2649" t="s">
        <v>86</v>
      </c>
      <c r="G2649" t="s">
        <v>285</v>
      </c>
      <c r="H2649" t="s">
        <v>111</v>
      </c>
      <c r="I2649">
        <v>7</v>
      </c>
      <c r="J2649" t="s">
        <v>67</v>
      </c>
      <c r="K2649">
        <v>1</v>
      </c>
      <c r="L2649" s="3">
        <v>5799</v>
      </c>
      <c r="M2649">
        <v>5</v>
      </c>
      <c r="N2649" s="3">
        <v>5510</v>
      </c>
      <c r="O2649" s="3">
        <v>5510</v>
      </c>
      <c r="P2649" t="s">
        <v>74</v>
      </c>
      <c r="Q2649" t="s">
        <v>82</v>
      </c>
      <c r="R2649" t="s">
        <v>36</v>
      </c>
      <c r="S2649" t="s">
        <v>160</v>
      </c>
      <c r="T2649" t="s">
        <v>160</v>
      </c>
      <c r="U2649" t="s">
        <v>39</v>
      </c>
      <c r="V2649" t="s">
        <v>969</v>
      </c>
      <c r="W2649">
        <v>5</v>
      </c>
      <c r="X2649" t="s">
        <v>41</v>
      </c>
      <c r="Y2649" t="s">
        <v>55</v>
      </c>
      <c r="Z2649">
        <v>2</v>
      </c>
    </row>
    <row r="2650" spans="1:26">
      <c r="A2650" t="s">
        <v>3885</v>
      </c>
      <c r="B2650" t="s">
        <v>590</v>
      </c>
      <c r="C2650" t="s">
        <v>45</v>
      </c>
      <c r="D2650" t="s">
        <v>46</v>
      </c>
      <c r="E2650" s="1">
        <v>45642</v>
      </c>
      <c r="F2650" t="s">
        <v>47</v>
      </c>
      <c r="G2650" t="s">
        <v>218</v>
      </c>
      <c r="H2650" t="s">
        <v>59</v>
      </c>
      <c r="I2650">
        <v>8</v>
      </c>
      <c r="J2650" t="s">
        <v>67</v>
      </c>
      <c r="K2650">
        <v>1</v>
      </c>
      <c r="L2650" s="3">
        <v>4099</v>
      </c>
      <c r="M2650">
        <v>10</v>
      </c>
      <c r="N2650" s="3">
        <v>3690</v>
      </c>
      <c r="O2650" s="3">
        <v>3690</v>
      </c>
      <c r="P2650" t="s">
        <v>34</v>
      </c>
      <c r="Q2650" t="s">
        <v>82</v>
      </c>
      <c r="R2650" t="s">
        <v>36</v>
      </c>
      <c r="S2650" t="s">
        <v>117</v>
      </c>
      <c r="T2650" t="s">
        <v>544</v>
      </c>
      <c r="U2650" t="s">
        <v>124</v>
      </c>
      <c r="V2650" t="s">
        <v>969</v>
      </c>
      <c r="W2650">
        <v>5</v>
      </c>
      <c r="X2650" t="s">
        <v>41</v>
      </c>
      <c r="Y2650" t="s">
        <v>42</v>
      </c>
      <c r="Z2650">
        <v>5</v>
      </c>
    </row>
    <row r="2651" spans="1:26">
      <c r="A2651" t="s">
        <v>3886</v>
      </c>
      <c r="B2651" t="s">
        <v>1761</v>
      </c>
      <c r="C2651" t="s">
        <v>28</v>
      </c>
      <c r="D2651" t="s">
        <v>46</v>
      </c>
      <c r="E2651" s="1">
        <v>45643</v>
      </c>
      <c r="F2651" t="s">
        <v>86</v>
      </c>
      <c r="G2651" t="s">
        <v>116</v>
      </c>
      <c r="H2651" t="s">
        <v>49</v>
      </c>
      <c r="I2651">
        <v>7</v>
      </c>
      <c r="J2651" t="s">
        <v>150</v>
      </c>
      <c r="K2651">
        <v>2</v>
      </c>
      <c r="L2651" s="3">
        <v>5899</v>
      </c>
      <c r="M2651">
        <v>10</v>
      </c>
      <c r="N2651" s="3">
        <v>5310</v>
      </c>
      <c r="O2651" s="3">
        <v>10620</v>
      </c>
      <c r="P2651" t="s">
        <v>74</v>
      </c>
      <c r="Q2651" t="s">
        <v>51</v>
      </c>
      <c r="R2651" t="s">
        <v>36</v>
      </c>
      <c r="S2651" t="s">
        <v>460</v>
      </c>
      <c r="T2651" t="s">
        <v>1868</v>
      </c>
      <c r="U2651" t="s">
        <v>54</v>
      </c>
      <c r="V2651" t="s">
        <v>969</v>
      </c>
      <c r="W2651">
        <v>3.7</v>
      </c>
      <c r="X2651" t="s">
        <v>41</v>
      </c>
      <c r="Y2651" t="s">
        <v>55</v>
      </c>
      <c r="Z2651">
        <v>4</v>
      </c>
    </row>
    <row r="2652" spans="1:26">
      <c r="A2652" t="s">
        <v>3887</v>
      </c>
      <c r="B2652" t="s">
        <v>3888</v>
      </c>
      <c r="C2652" t="s">
        <v>28</v>
      </c>
      <c r="D2652" t="s">
        <v>46</v>
      </c>
      <c r="E2652" s="1">
        <v>45643</v>
      </c>
      <c r="F2652" t="s">
        <v>65</v>
      </c>
      <c r="G2652" t="s">
        <v>66</v>
      </c>
      <c r="H2652" t="s">
        <v>59</v>
      </c>
      <c r="I2652">
        <v>10</v>
      </c>
      <c r="J2652" t="s">
        <v>98</v>
      </c>
      <c r="K2652">
        <v>1</v>
      </c>
      <c r="L2652" s="3">
        <v>6399</v>
      </c>
      <c r="M2652">
        <v>10</v>
      </c>
      <c r="N2652" s="3">
        <v>5760</v>
      </c>
      <c r="O2652" s="3">
        <v>5760</v>
      </c>
      <c r="P2652" t="s">
        <v>74</v>
      </c>
      <c r="Q2652" t="s">
        <v>51</v>
      </c>
      <c r="R2652" t="s">
        <v>36</v>
      </c>
      <c r="S2652" t="s">
        <v>358</v>
      </c>
      <c r="T2652" t="s">
        <v>359</v>
      </c>
      <c r="U2652" t="s">
        <v>124</v>
      </c>
      <c r="V2652" t="s">
        <v>40</v>
      </c>
      <c r="W2652">
        <v>4.7</v>
      </c>
      <c r="X2652" t="s">
        <v>41</v>
      </c>
      <c r="Y2652" t="s">
        <v>42</v>
      </c>
      <c r="Z2652">
        <v>1</v>
      </c>
    </row>
    <row r="2653" spans="1:26">
      <c r="A2653" t="s">
        <v>3889</v>
      </c>
      <c r="B2653" t="s">
        <v>2132</v>
      </c>
      <c r="C2653" t="s">
        <v>45</v>
      </c>
      <c r="D2653" t="s">
        <v>29</v>
      </c>
      <c r="E2653" s="1">
        <v>45644</v>
      </c>
      <c r="F2653" t="s">
        <v>79</v>
      </c>
      <c r="G2653" t="s">
        <v>80</v>
      </c>
      <c r="H2653" t="s">
        <v>59</v>
      </c>
      <c r="I2653">
        <v>7</v>
      </c>
      <c r="J2653" t="s">
        <v>67</v>
      </c>
      <c r="K2653">
        <v>2</v>
      </c>
      <c r="L2653" s="3">
        <v>7699</v>
      </c>
      <c r="M2653">
        <v>15</v>
      </c>
      <c r="N2653" s="3">
        <v>6540</v>
      </c>
      <c r="O2653" s="3">
        <v>13080</v>
      </c>
      <c r="P2653" t="s">
        <v>74</v>
      </c>
      <c r="Q2653" t="s">
        <v>82</v>
      </c>
      <c r="R2653" t="s">
        <v>36</v>
      </c>
      <c r="S2653" t="s">
        <v>156</v>
      </c>
      <c r="T2653" t="s">
        <v>324</v>
      </c>
      <c r="U2653" t="s">
        <v>91</v>
      </c>
      <c r="V2653" t="s">
        <v>315</v>
      </c>
      <c r="W2653">
        <v>4.5</v>
      </c>
      <c r="X2653" t="s">
        <v>41</v>
      </c>
      <c r="Y2653" t="s">
        <v>55</v>
      </c>
      <c r="Z2653">
        <v>4</v>
      </c>
    </row>
    <row r="2654" spans="1:26">
      <c r="A2654" t="s">
        <v>3890</v>
      </c>
      <c r="B2654" t="s">
        <v>1042</v>
      </c>
      <c r="C2654" t="s">
        <v>45</v>
      </c>
      <c r="D2654" t="s">
        <v>95</v>
      </c>
      <c r="E2654" s="1">
        <v>45644</v>
      </c>
      <c r="F2654" t="s">
        <v>30</v>
      </c>
      <c r="G2654" t="s">
        <v>214</v>
      </c>
      <c r="H2654" t="s">
        <v>128</v>
      </c>
      <c r="I2654">
        <v>10</v>
      </c>
      <c r="J2654" t="s">
        <v>98</v>
      </c>
      <c r="K2654">
        <v>1</v>
      </c>
      <c r="L2654" s="3">
        <v>8799</v>
      </c>
      <c r="M2654">
        <v>25</v>
      </c>
      <c r="N2654" s="3">
        <v>6600</v>
      </c>
      <c r="O2654" s="3">
        <v>6600</v>
      </c>
      <c r="P2654" t="s">
        <v>74</v>
      </c>
      <c r="Q2654" t="s">
        <v>35</v>
      </c>
      <c r="R2654" t="s">
        <v>36</v>
      </c>
      <c r="S2654" t="s">
        <v>117</v>
      </c>
      <c r="T2654" t="s">
        <v>118</v>
      </c>
      <c r="U2654" t="s">
        <v>124</v>
      </c>
      <c r="V2654" t="s">
        <v>315</v>
      </c>
      <c r="W2654">
        <v>4.3</v>
      </c>
      <c r="X2654" t="s">
        <v>41</v>
      </c>
      <c r="Y2654" t="s">
        <v>55</v>
      </c>
      <c r="Z2654">
        <v>2</v>
      </c>
    </row>
    <row r="2655" spans="1:26">
      <c r="A2655" t="s">
        <v>3891</v>
      </c>
      <c r="B2655" t="s">
        <v>1052</v>
      </c>
      <c r="C2655" t="s">
        <v>45</v>
      </c>
      <c r="D2655" t="s">
        <v>46</v>
      </c>
      <c r="E2655" s="1">
        <v>45645</v>
      </c>
      <c r="F2655" t="s">
        <v>79</v>
      </c>
      <c r="G2655" t="s">
        <v>517</v>
      </c>
      <c r="H2655" t="s">
        <v>59</v>
      </c>
      <c r="I2655">
        <v>8</v>
      </c>
      <c r="J2655" t="s">
        <v>88</v>
      </c>
      <c r="K2655">
        <v>1</v>
      </c>
      <c r="L2655" s="3">
        <v>8799</v>
      </c>
      <c r="M2655">
        <v>15</v>
      </c>
      <c r="N2655" s="3">
        <v>7480</v>
      </c>
      <c r="O2655" s="3">
        <v>7480</v>
      </c>
      <c r="P2655" t="s">
        <v>34</v>
      </c>
      <c r="Q2655" t="s">
        <v>51</v>
      </c>
      <c r="R2655" t="s">
        <v>36</v>
      </c>
      <c r="S2655" t="s">
        <v>175</v>
      </c>
      <c r="T2655" t="s">
        <v>495</v>
      </c>
      <c r="U2655" t="s">
        <v>39</v>
      </c>
      <c r="V2655" t="s">
        <v>969</v>
      </c>
      <c r="W2655">
        <v>4.5999999999999996</v>
      </c>
      <c r="X2655" t="s">
        <v>106</v>
      </c>
      <c r="Y2655" t="s">
        <v>55</v>
      </c>
      <c r="Z2655">
        <v>2</v>
      </c>
    </row>
    <row r="2656" spans="1:26">
      <c r="A2656" t="s">
        <v>3892</v>
      </c>
      <c r="B2656" t="s">
        <v>2383</v>
      </c>
      <c r="C2656" t="s">
        <v>28</v>
      </c>
      <c r="D2656" t="s">
        <v>46</v>
      </c>
      <c r="E2656" s="1">
        <v>45645</v>
      </c>
      <c r="F2656" t="s">
        <v>30</v>
      </c>
      <c r="G2656" t="s">
        <v>347</v>
      </c>
      <c r="H2656" t="s">
        <v>49</v>
      </c>
      <c r="I2656">
        <v>10</v>
      </c>
      <c r="J2656" t="s">
        <v>73</v>
      </c>
      <c r="K2656">
        <v>1</v>
      </c>
      <c r="L2656" s="3">
        <v>7399</v>
      </c>
      <c r="M2656">
        <v>35</v>
      </c>
      <c r="N2656" s="3">
        <v>4810</v>
      </c>
      <c r="O2656" s="3">
        <v>4810</v>
      </c>
      <c r="P2656" t="s">
        <v>74</v>
      </c>
      <c r="Q2656" t="s">
        <v>51</v>
      </c>
      <c r="R2656" t="s">
        <v>36</v>
      </c>
      <c r="S2656" t="s">
        <v>52</v>
      </c>
      <c r="T2656" t="s">
        <v>83</v>
      </c>
      <c r="U2656" t="s">
        <v>54</v>
      </c>
      <c r="V2656" t="s">
        <v>315</v>
      </c>
      <c r="W2656">
        <v>4.5</v>
      </c>
      <c r="X2656" t="s">
        <v>41</v>
      </c>
      <c r="Y2656" t="s">
        <v>42</v>
      </c>
      <c r="Z2656">
        <v>1</v>
      </c>
    </row>
    <row r="2657" spans="1:26">
      <c r="A2657" t="s">
        <v>3893</v>
      </c>
      <c r="B2657" t="s">
        <v>619</v>
      </c>
      <c r="C2657" t="s">
        <v>28</v>
      </c>
      <c r="D2657" t="s">
        <v>46</v>
      </c>
      <c r="E2657" s="1">
        <v>45645</v>
      </c>
      <c r="F2657" t="s">
        <v>79</v>
      </c>
      <c r="G2657" t="s">
        <v>301</v>
      </c>
      <c r="H2657" t="s">
        <v>49</v>
      </c>
      <c r="I2657">
        <v>10</v>
      </c>
      <c r="J2657" t="s">
        <v>33</v>
      </c>
      <c r="K2657">
        <v>1</v>
      </c>
      <c r="L2657" s="3">
        <v>7799</v>
      </c>
      <c r="M2657">
        <v>0</v>
      </c>
      <c r="N2657" s="3">
        <v>7800</v>
      </c>
      <c r="O2657" s="3">
        <v>7800</v>
      </c>
      <c r="P2657" t="s">
        <v>74</v>
      </c>
      <c r="Q2657" t="s">
        <v>51</v>
      </c>
      <c r="R2657" t="s">
        <v>36</v>
      </c>
      <c r="S2657" t="s">
        <v>89</v>
      </c>
      <c r="T2657" t="s">
        <v>425</v>
      </c>
      <c r="U2657" t="s">
        <v>124</v>
      </c>
      <c r="V2657" t="s">
        <v>969</v>
      </c>
      <c r="W2657">
        <v>5</v>
      </c>
      <c r="X2657" t="s">
        <v>41</v>
      </c>
      <c r="Y2657" t="s">
        <v>42</v>
      </c>
      <c r="Z2657">
        <v>1</v>
      </c>
    </row>
    <row r="2658" spans="1:26">
      <c r="A2658" t="s">
        <v>3894</v>
      </c>
      <c r="B2658" t="s">
        <v>361</v>
      </c>
      <c r="C2658" t="s">
        <v>45</v>
      </c>
      <c r="D2658" t="s">
        <v>29</v>
      </c>
      <c r="E2658" s="1">
        <v>45646</v>
      </c>
      <c r="F2658" t="s">
        <v>96</v>
      </c>
      <c r="G2658" t="s">
        <v>290</v>
      </c>
      <c r="H2658" t="s">
        <v>32</v>
      </c>
      <c r="I2658">
        <v>6</v>
      </c>
      <c r="J2658" t="s">
        <v>88</v>
      </c>
      <c r="K2658">
        <v>1</v>
      </c>
      <c r="L2658" s="3">
        <v>9399</v>
      </c>
      <c r="M2658">
        <v>25</v>
      </c>
      <c r="N2658" s="3">
        <v>7050</v>
      </c>
      <c r="O2658" s="3">
        <v>7050</v>
      </c>
      <c r="P2658" t="s">
        <v>81</v>
      </c>
      <c r="Q2658" t="s">
        <v>51</v>
      </c>
      <c r="R2658" t="s">
        <v>36</v>
      </c>
      <c r="S2658" t="s">
        <v>160</v>
      </c>
      <c r="T2658" t="s">
        <v>160</v>
      </c>
      <c r="U2658" t="s">
        <v>39</v>
      </c>
      <c r="V2658" t="s">
        <v>969</v>
      </c>
      <c r="W2658">
        <v>3.8</v>
      </c>
      <c r="X2658" t="s">
        <v>41</v>
      </c>
      <c r="Y2658" t="s">
        <v>55</v>
      </c>
      <c r="Z2658">
        <v>3</v>
      </c>
    </row>
    <row r="2659" spans="1:26">
      <c r="A2659" t="s">
        <v>3895</v>
      </c>
      <c r="B2659" t="s">
        <v>3896</v>
      </c>
      <c r="C2659" t="s">
        <v>28</v>
      </c>
      <c r="D2659" t="s">
        <v>103</v>
      </c>
      <c r="E2659" s="1">
        <v>45647</v>
      </c>
      <c r="F2659" t="s">
        <v>86</v>
      </c>
      <c r="G2659" t="s">
        <v>285</v>
      </c>
      <c r="H2659" t="s">
        <v>111</v>
      </c>
      <c r="I2659">
        <v>11</v>
      </c>
      <c r="J2659" t="s">
        <v>33</v>
      </c>
      <c r="K2659">
        <v>1</v>
      </c>
      <c r="L2659" s="3">
        <v>6399</v>
      </c>
      <c r="M2659">
        <v>15</v>
      </c>
      <c r="N2659" s="3">
        <v>5440</v>
      </c>
      <c r="O2659" s="3">
        <v>5440</v>
      </c>
      <c r="P2659" t="s">
        <v>74</v>
      </c>
      <c r="Q2659" t="s">
        <v>51</v>
      </c>
      <c r="R2659" t="s">
        <v>36</v>
      </c>
      <c r="S2659" t="s">
        <v>358</v>
      </c>
      <c r="T2659" t="s">
        <v>805</v>
      </c>
      <c r="U2659" t="s">
        <v>54</v>
      </c>
      <c r="V2659" t="s">
        <v>40</v>
      </c>
      <c r="W2659">
        <v>3.9</v>
      </c>
      <c r="X2659" t="s">
        <v>62</v>
      </c>
      <c r="Y2659" t="s">
        <v>42</v>
      </c>
      <c r="Z2659">
        <v>4</v>
      </c>
    </row>
    <row r="2660" spans="1:26">
      <c r="A2660" t="s">
        <v>3897</v>
      </c>
      <c r="B2660" t="s">
        <v>1923</v>
      </c>
      <c r="C2660" t="s">
        <v>28</v>
      </c>
      <c r="D2660" t="s">
        <v>46</v>
      </c>
      <c r="E2660" s="1">
        <v>45647</v>
      </c>
      <c r="F2660" t="s">
        <v>30</v>
      </c>
      <c r="G2660" t="s">
        <v>110</v>
      </c>
      <c r="H2660" t="s">
        <v>111</v>
      </c>
      <c r="I2660">
        <v>9</v>
      </c>
      <c r="J2660" t="s">
        <v>150</v>
      </c>
      <c r="K2660">
        <v>4</v>
      </c>
      <c r="L2660" s="3">
        <v>6499</v>
      </c>
      <c r="M2660">
        <v>0</v>
      </c>
      <c r="N2660" s="3">
        <v>6500</v>
      </c>
      <c r="O2660" s="3">
        <v>26000</v>
      </c>
      <c r="P2660" t="s">
        <v>74</v>
      </c>
      <c r="Q2660" t="s">
        <v>35</v>
      </c>
      <c r="R2660" t="s">
        <v>36</v>
      </c>
      <c r="S2660" t="s">
        <v>112</v>
      </c>
      <c r="T2660" t="s">
        <v>113</v>
      </c>
      <c r="U2660" t="s">
        <v>39</v>
      </c>
      <c r="V2660" t="s">
        <v>315</v>
      </c>
      <c r="W2660">
        <v>3.6</v>
      </c>
      <c r="X2660" t="s">
        <v>106</v>
      </c>
      <c r="Y2660" t="s">
        <v>55</v>
      </c>
      <c r="Z2660">
        <v>2</v>
      </c>
    </row>
    <row r="2661" spans="1:26">
      <c r="A2661" t="s">
        <v>3898</v>
      </c>
      <c r="B2661" t="s">
        <v>135</v>
      </c>
      <c r="C2661" t="s">
        <v>45</v>
      </c>
      <c r="D2661" t="s">
        <v>103</v>
      </c>
      <c r="E2661" s="1">
        <v>45647</v>
      </c>
      <c r="F2661" t="s">
        <v>79</v>
      </c>
      <c r="G2661" t="s">
        <v>480</v>
      </c>
      <c r="H2661" t="s">
        <v>111</v>
      </c>
      <c r="I2661">
        <v>9</v>
      </c>
      <c r="J2661" t="s">
        <v>88</v>
      </c>
      <c r="K2661">
        <v>2</v>
      </c>
      <c r="L2661" s="3">
        <v>3799</v>
      </c>
      <c r="M2661">
        <v>30</v>
      </c>
      <c r="N2661" s="3">
        <v>2660</v>
      </c>
      <c r="O2661" s="3">
        <v>5320</v>
      </c>
      <c r="P2661" t="s">
        <v>34</v>
      </c>
      <c r="Q2661" t="s">
        <v>82</v>
      </c>
      <c r="R2661" t="s">
        <v>36</v>
      </c>
      <c r="S2661" t="s">
        <v>136</v>
      </c>
      <c r="T2661" t="s">
        <v>638</v>
      </c>
      <c r="U2661" t="s">
        <v>61</v>
      </c>
      <c r="V2661" t="s">
        <v>969</v>
      </c>
      <c r="W2661">
        <v>3.9</v>
      </c>
      <c r="X2661" t="s">
        <v>41</v>
      </c>
      <c r="Y2661" t="s">
        <v>42</v>
      </c>
      <c r="Z2661">
        <v>1</v>
      </c>
    </row>
    <row r="2662" spans="1:26">
      <c r="A2662" t="s">
        <v>3899</v>
      </c>
      <c r="B2662" t="s">
        <v>1676</v>
      </c>
      <c r="C2662" t="s">
        <v>45</v>
      </c>
      <c r="D2662" t="s">
        <v>109</v>
      </c>
      <c r="E2662" s="1">
        <v>45648</v>
      </c>
      <c r="F2662" t="s">
        <v>47</v>
      </c>
      <c r="G2662" t="s">
        <v>199</v>
      </c>
      <c r="H2662" t="s">
        <v>59</v>
      </c>
      <c r="I2662">
        <v>9</v>
      </c>
      <c r="J2662" t="s">
        <v>150</v>
      </c>
      <c r="K2662">
        <v>3</v>
      </c>
      <c r="L2662" s="3">
        <v>7899</v>
      </c>
      <c r="M2662">
        <v>10</v>
      </c>
      <c r="N2662" s="3">
        <v>7110</v>
      </c>
      <c r="O2662" s="3">
        <v>21330</v>
      </c>
      <c r="P2662" t="s">
        <v>74</v>
      </c>
      <c r="Q2662" t="s">
        <v>82</v>
      </c>
      <c r="R2662" t="s">
        <v>36</v>
      </c>
      <c r="S2662" t="s">
        <v>37</v>
      </c>
      <c r="T2662" t="s">
        <v>484</v>
      </c>
      <c r="U2662" t="s">
        <v>124</v>
      </c>
      <c r="V2662" t="s">
        <v>315</v>
      </c>
      <c r="W2662">
        <v>2.7</v>
      </c>
      <c r="X2662" t="s">
        <v>62</v>
      </c>
      <c r="Y2662" t="s">
        <v>55</v>
      </c>
      <c r="Z2662">
        <v>2</v>
      </c>
    </row>
    <row r="2663" spans="1:26">
      <c r="A2663" t="s">
        <v>3900</v>
      </c>
      <c r="B2663" t="s">
        <v>1007</v>
      </c>
      <c r="C2663" t="s">
        <v>28</v>
      </c>
      <c r="D2663" t="s">
        <v>95</v>
      </c>
      <c r="E2663" s="1">
        <v>45648</v>
      </c>
      <c r="F2663" t="s">
        <v>47</v>
      </c>
      <c r="G2663" t="s">
        <v>140</v>
      </c>
      <c r="H2663" t="s">
        <v>128</v>
      </c>
      <c r="I2663">
        <v>8</v>
      </c>
      <c r="J2663" t="s">
        <v>98</v>
      </c>
      <c r="K2663">
        <v>3</v>
      </c>
      <c r="L2663" s="3">
        <v>3499</v>
      </c>
      <c r="M2663">
        <v>15</v>
      </c>
      <c r="N2663" s="3">
        <v>2970</v>
      </c>
      <c r="O2663" s="3">
        <v>8910</v>
      </c>
      <c r="P2663" t="s">
        <v>34</v>
      </c>
      <c r="Q2663" t="s">
        <v>51</v>
      </c>
      <c r="R2663" t="s">
        <v>36</v>
      </c>
      <c r="S2663" t="s">
        <v>141</v>
      </c>
      <c r="T2663" t="s">
        <v>294</v>
      </c>
      <c r="U2663" t="s">
        <v>54</v>
      </c>
      <c r="V2663" t="s">
        <v>969</v>
      </c>
      <c r="W2663">
        <v>2</v>
      </c>
      <c r="X2663" t="s">
        <v>41</v>
      </c>
      <c r="Y2663" t="s">
        <v>42</v>
      </c>
      <c r="Z2663">
        <v>5</v>
      </c>
    </row>
    <row r="2664" spans="1:26">
      <c r="A2664" t="s">
        <v>3901</v>
      </c>
      <c r="B2664" t="s">
        <v>2286</v>
      </c>
      <c r="C2664" t="s">
        <v>45</v>
      </c>
      <c r="D2664" t="s">
        <v>29</v>
      </c>
      <c r="E2664" s="1">
        <v>45648</v>
      </c>
      <c r="F2664" t="s">
        <v>30</v>
      </c>
      <c r="G2664" t="s">
        <v>214</v>
      </c>
      <c r="H2664" t="s">
        <v>128</v>
      </c>
      <c r="I2664">
        <v>8</v>
      </c>
      <c r="J2664" t="s">
        <v>98</v>
      </c>
      <c r="K2664">
        <v>1</v>
      </c>
      <c r="L2664" s="3">
        <v>8299</v>
      </c>
      <c r="M2664">
        <v>15</v>
      </c>
      <c r="N2664" s="3">
        <v>7050</v>
      </c>
      <c r="O2664" s="3">
        <v>7050</v>
      </c>
      <c r="P2664" t="s">
        <v>74</v>
      </c>
      <c r="Q2664" t="s">
        <v>35</v>
      </c>
      <c r="R2664" t="s">
        <v>36</v>
      </c>
      <c r="S2664" t="s">
        <v>354</v>
      </c>
      <c r="T2664" t="s">
        <v>355</v>
      </c>
      <c r="U2664" t="s">
        <v>61</v>
      </c>
      <c r="V2664" t="s">
        <v>969</v>
      </c>
      <c r="W2664">
        <v>4.2</v>
      </c>
      <c r="X2664" t="s">
        <v>106</v>
      </c>
      <c r="Y2664" t="s">
        <v>55</v>
      </c>
      <c r="Z2664">
        <v>2</v>
      </c>
    </row>
    <row r="2665" spans="1:26">
      <c r="A2665" t="s">
        <v>3902</v>
      </c>
      <c r="B2665" t="s">
        <v>3903</v>
      </c>
      <c r="C2665" t="s">
        <v>28</v>
      </c>
      <c r="D2665" t="s">
        <v>109</v>
      </c>
      <c r="E2665" s="1">
        <v>45648</v>
      </c>
      <c r="F2665" t="s">
        <v>65</v>
      </c>
      <c r="G2665" t="s">
        <v>365</v>
      </c>
      <c r="H2665" t="s">
        <v>49</v>
      </c>
      <c r="I2665">
        <v>8</v>
      </c>
      <c r="J2665" t="s">
        <v>98</v>
      </c>
      <c r="K2665">
        <v>1</v>
      </c>
      <c r="L2665" s="3">
        <v>6999</v>
      </c>
      <c r="M2665">
        <v>5</v>
      </c>
      <c r="N2665" s="3">
        <v>6650</v>
      </c>
      <c r="O2665" s="3">
        <v>6650</v>
      </c>
      <c r="P2665" t="s">
        <v>34</v>
      </c>
      <c r="Q2665" t="s">
        <v>82</v>
      </c>
      <c r="R2665" t="s">
        <v>36</v>
      </c>
      <c r="S2665" t="s">
        <v>104</v>
      </c>
      <c r="T2665" t="s">
        <v>1048</v>
      </c>
      <c r="U2665" t="s">
        <v>39</v>
      </c>
      <c r="V2665" t="s">
        <v>40</v>
      </c>
      <c r="W2665">
        <v>4.8</v>
      </c>
      <c r="X2665" t="s">
        <v>41</v>
      </c>
      <c r="Y2665" t="s">
        <v>42</v>
      </c>
      <c r="Z2665">
        <v>4</v>
      </c>
    </row>
    <row r="2666" spans="1:26">
      <c r="A2666" t="s">
        <v>3904</v>
      </c>
      <c r="B2666" t="s">
        <v>3905</v>
      </c>
      <c r="C2666" t="s">
        <v>45</v>
      </c>
      <c r="D2666" t="s">
        <v>46</v>
      </c>
      <c r="E2666" s="1">
        <v>45648</v>
      </c>
      <c r="F2666" t="s">
        <v>65</v>
      </c>
      <c r="G2666" t="s">
        <v>268</v>
      </c>
      <c r="H2666" t="s">
        <v>128</v>
      </c>
      <c r="I2666">
        <v>9</v>
      </c>
      <c r="J2666" t="s">
        <v>33</v>
      </c>
      <c r="K2666">
        <v>2</v>
      </c>
      <c r="L2666" s="3">
        <v>4499</v>
      </c>
      <c r="M2666">
        <v>15</v>
      </c>
      <c r="N2666" s="3">
        <v>3820</v>
      </c>
      <c r="O2666" s="3">
        <v>7640</v>
      </c>
      <c r="P2666" t="s">
        <v>74</v>
      </c>
      <c r="Q2666" t="s">
        <v>35</v>
      </c>
      <c r="R2666" t="s">
        <v>36</v>
      </c>
      <c r="S2666" t="s">
        <v>141</v>
      </c>
      <c r="T2666" t="s">
        <v>142</v>
      </c>
      <c r="U2666" t="s">
        <v>54</v>
      </c>
      <c r="V2666" t="s">
        <v>40</v>
      </c>
      <c r="W2666">
        <v>4.4000000000000004</v>
      </c>
      <c r="X2666" t="s">
        <v>62</v>
      </c>
      <c r="Y2666" t="s">
        <v>147</v>
      </c>
      <c r="Z2666">
        <v>1</v>
      </c>
    </row>
    <row r="2667" spans="1:26">
      <c r="A2667" t="s">
        <v>3906</v>
      </c>
      <c r="B2667" t="s">
        <v>1941</v>
      </c>
      <c r="C2667" t="s">
        <v>45</v>
      </c>
      <c r="D2667" t="s">
        <v>103</v>
      </c>
      <c r="E2667" s="1">
        <v>45649</v>
      </c>
      <c r="F2667" t="s">
        <v>79</v>
      </c>
      <c r="G2667" t="s">
        <v>480</v>
      </c>
      <c r="H2667" t="s">
        <v>111</v>
      </c>
      <c r="I2667">
        <v>6</v>
      </c>
      <c r="J2667" t="s">
        <v>67</v>
      </c>
      <c r="K2667">
        <v>1</v>
      </c>
      <c r="L2667" s="3">
        <v>5899</v>
      </c>
      <c r="M2667">
        <v>10</v>
      </c>
      <c r="N2667" s="3">
        <v>5310</v>
      </c>
      <c r="O2667" s="3">
        <v>5310</v>
      </c>
      <c r="P2667" t="s">
        <v>81</v>
      </c>
      <c r="Q2667" t="s">
        <v>35</v>
      </c>
      <c r="R2667" t="s">
        <v>36</v>
      </c>
      <c r="S2667" t="s">
        <v>156</v>
      </c>
      <c r="T2667" t="s">
        <v>369</v>
      </c>
      <c r="U2667" t="s">
        <v>54</v>
      </c>
      <c r="V2667" t="s">
        <v>315</v>
      </c>
      <c r="W2667">
        <v>4.5</v>
      </c>
      <c r="X2667" t="s">
        <v>41</v>
      </c>
      <c r="Y2667" t="s">
        <v>42</v>
      </c>
      <c r="Z2667">
        <v>3</v>
      </c>
    </row>
    <row r="2668" spans="1:26">
      <c r="A2668" t="s">
        <v>3907</v>
      </c>
      <c r="B2668" t="s">
        <v>2336</v>
      </c>
      <c r="C2668" t="s">
        <v>28</v>
      </c>
      <c r="D2668" t="s">
        <v>29</v>
      </c>
      <c r="E2668" s="1">
        <v>45649</v>
      </c>
      <c r="F2668" t="s">
        <v>96</v>
      </c>
      <c r="G2668" t="s">
        <v>323</v>
      </c>
      <c r="H2668" t="s">
        <v>59</v>
      </c>
      <c r="I2668">
        <v>7</v>
      </c>
      <c r="J2668" t="s">
        <v>67</v>
      </c>
      <c r="K2668">
        <v>1</v>
      </c>
      <c r="L2668" s="3">
        <v>7199</v>
      </c>
      <c r="M2668">
        <v>35</v>
      </c>
      <c r="N2668" s="3">
        <v>4680</v>
      </c>
      <c r="O2668" s="3">
        <v>4680</v>
      </c>
      <c r="P2668" t="s">
        <v>74</v>
      </c>
      <c r="Q2668" t="s">
        <v>82</v>
      </c>
      <c r="R2668" t="s">
        <v>36</v>
      </c>
      <c r="S2668" t="s">
        <v>164</v>
      </c>
      <c r="T2668" t="s">
        <v>314</v>
      </c>
      <c r="U2668" t="s">
        <v>61</v>
      </c>
      <c r="V2668" t="s">
        <v>315</v>
      </c>
      <c r="W2668">
        <v>3.4</v>
      </c>
      <c r="X2668" t="s">
        <v>41</v>
      </c>
      <c r="Y2668" t="s">
        <v>55</v>
      </c>
      <c r="Z2668">
        <v>2</v>
      </c>
    </row>
    <row r="2669" spans="1:26">
      <c r="A2669" t="s">
        <v>3908</v>
      </c>
      <c r="B2669" t="s">
        <v>3839</v>
      </c>
      <c r="C2669" t="s">
        <v>45</v>
      </c>
      <c r="D2669" t="s">
        <v>46</v>
      </c>
      <c r="E2669" s="1">
        <v>45649</v>
      </c>
      <c r="F2669" t="s">
        <v>65</v>
      </c>
      <c r="G2669" t="s">
        <v>268</v>
      </c>
      <c r="H2669" t="s">
        <v>128</v>
      </c>
      <c r="I2669">
        <v>10</v>
      </c>
      <c r="J2669" t="s">
        <v>98</v>
      </c>
      <c r="K2669">
        <v>1</v>
      </c>
      <c r="L2669" s="3">
        <v>6099</v>
      </c>
      <c r="M2669">
        <v>20</v>
      </c>
      <c r="N2669" s="3">
        <v>4880</v>
      </c>
      <c r="O2669" s="3">
        <v>4880</v>
      </c>
      <c r="P2669" t="s">
        <v>74</v>
      </c>
      <c r="Q2669" t="s">
        <v>35</v>
      </c>
      <c r="R2669" t="s">
        <v>36</v>
      </c>
      <c r="S2669" t="s">
        <v>136</v>
      </c>
      <c r="T2669" t="s">
        <v>225</v>
      </c>
      <c r="U2669" t="s">
        <v>39</v>
      </c>
      <c r="V2669" t="s">
        <v>315</v>
      </c>
      <c r="W2669">
        <v>4.5</v>
      </c>
      <c r="X2669" t="s">
        <v>41</v>
      </c>
      <c r="Y2669" t="s">
        <v>42</v>
      </c>
      <c r="Z2669">
        <v>3</v>
      </c>
    </row>
    <row r="2670" spans="1:26">
      <c r="A2670" t="s">
        <v>3909</v>
      </c>
      <c r="B2670" t="s">
        <v>3905</v>
      </c>
      <c r="C2670" t="s">
        <v>45</v>
      </c>
      <c r="D2670" t="s">
        <v>46</v>
      </c>
      <c r="E2670" s="1">
        <v>45650</v>
      </c>
      <c r="F2670" t="s">
        <v>86</v>
      </c>
      <c r="G2670" t="s">
        <v>285</v>
      </c>
      <c r="H2670" t="s">
        <v>111</v>
      </c>
      <c r="I2670">
        <v>11</v>
      </c>
      <c r="J2670" t="s">
        <v>98</v>
      </c>
      <c r="K2670">
        <v>3</v>
      </c>
      <c r="L2670" s="3">
        <v>7399</v>
      </c>
      <c r="M2670">
        <v>20</v>
      </c>
      <c r="N2670" s="3">
        <v>5920</v>
      </c>
      <c r="O2670" s="3">
        <v>17760</v>
      </c>
      <c r="P2670" t="s">
        <v>74</v>
      </c>
      <c r="Q2670" t="s">
        <v>35</v>
      </c>
      <c r="R2670" t="s">
        <v>36</v>
      </c>
      <c r="S2670" t="s">
        <v>164</v>
      </c>
      <c r="T2670" t="s">
        <v>165</v>
      </c>
      <c r="U2670" t="s">
        <v>39</v>
      </c>
      <c r="V2670" t="s">
        <v>315</v>
      </c>
      <c r="W2670">
        <v>3.4</v>
      </c>
      <c r="X2670" t="s">
        <v>41</v>
      </c>
      <c r="Y2670" t="s">
        <v>55</v>
      </c>
      <c r="Z2670">
        <v>2</v>
      </c>
    </row>
    <row r="2671" spans="1:26">
      <c r="A2671" t="s">
        <v>3910</v>
      </c>
      <c r="B2671" t="s">
        <v>2823</v>
      </c>
      <c r="C2671" t="s">
        <v>45</v>
      </c>
      <c r="D2671" t="s">
        <v>46</v>
      </c>
      <c r="E2671" s="1">
        <v>45650</v>
      </c>
      <c r="F2671" t="s">
        <v>96</v>
      </c>
      <c r="G2671" t="s">
        <v>290</v>
      </c>
      <c r="H2671" t="s">
        <v>32</v>
      </c>
      <c r="I2671">
        <v>8</v>
      </c>
      <c r="J2671" t="s">
        <v>98</v>
      </c>
      <c r="K2671">
        <v>1</v>
      </c>
      <c r="L2671" s="3">
        <v>4599</v>
      </c>
      <c r="M2671">
        <v>5</v>
      </c>
      <c r="N2671" s="3">
        <v>4370</v>
      </c>
      <c r="O2671" s="3">
        <v>4370</v>
      </c>
      <c r="P2671" t="s">
        <v>34</v>
      </c>
      <c r="Q2671" t="s">
        <v>51</v>
      </c>
      <c r="R2671" t="s">
        <v>36</v>
      </c>
      <c r="S2671" t="s">
        <v>122</v>
      </c>
      <c r="T2671" t="s">
        <v>382</v>
      </c>
      <c r="U2671" t="s">
        <v>61</v>
      </c>
      <c r="V2671" t="s">
        <v>969</v>
      </c>
      <c r="W2671">
        <v>4</v>
      </c>
      <c r="X2671" t="s">
        <v>41</v>
      </c>
      <c r="Y2671" t="s">
        <v>42</v>
      </c>
      <c r="Z2671">
        <v>3</v>
      </c>
    </row>
    <row r="2672" spans="1:26">
      <c r="A2672" t="s">
        <v>3911</v>
      </c>
      <c r="B2672" t="s">
        <v>3912</v>
      </c>
      <c r="C2672" t="s">
        <v>28</v>
      </c>
      <c r="D2672" t="s">
        <v>46</v>
      </c>
      <c r="E2672" s="1">
        <v>45651</v>
      </c>
      <c r="F2672" t="s">
        <v>65</v>
      </c>
      <c r="G2672" t="s">
        <v>268</v>
      </c>
      <c r="H2672" t="s">
        <v>128</v>
      </c>
      <c r="I2672">
        <v>11</v>
      </c>
      <c r="J2672" t="s">
        <v>73</v>
      </c>
      <c r="K2672">
        <v>1</v>
      </c>
      <c r="L2672" s="3">
        <v>8199</v>
      </c>
      <c r="M2672">
        <v>20</v>
      </c>
      <c r="N2672" s="3">
        <v>6560</v>
      </c>
      <c r="O2672" s="3">
        <v>6560</v>
      </c>
      <c r="P2672" t="s">
        <v>74</v>
      </c>
      <c r="Q2672" t="s">
        <v>35</v>
      </c>
      <c r="R2672" t="s">
        <v>36</v>
      </c>
      <c r="S2672" t="s">
        <v>168</v>
      </c>
      <c r="T2672" t="s">
        <v>168</v>
      </c>
      <c r="U2672" t="s">
        <v>124</v>
      </c>
      <c r="V2672" t="s">
        <v>40</v>
      </c>
      <c r="W2672">
        <v>3.5</v>
      </c>
      <c r="X2672" t="s">
        <v>62</v>
      </c>
      <c r="Y2672" t="s">
        <v>42</v>
      </c>
      <c r="Z2672">
        <v>5</v>
      </c>
    </row>
    <row r="2673" spans="1:26">
      <c r="A2673" t="s">
        <v>3913</v>
      </c>
      <c r="B2673" t="s">
        <v>1210</v>
      </c>
      <c r="C2673" t="s">
        <v>28</v>
      </c>
      <c r="D2673" t="s">
        <v>103</v>
      </c>
      <c r="E2673" s="1">
        <v>45652</v>
      </c>
      <c r="F2673" t="s">
        <v>47</v>
      </c>
      <c r="G2673" t="s">
        <v>199</v>
      </c>
      <c r="H2673" t="s">
        <v>59</v>
      </c>
      <c r="I2673">
        <v>10</v>
      </c>
      <c r="J2673" t="s">
        <v>150</v>
      </c>
      <c r="K2673">
        <v>1</v>
      </c>
      <c r="L2673" s="3">
        <v>6499</v>
      </c>
      <c r="M2673">
        <v>10</v>
      </c>
      <c r="N2673" s="3">
        <v>5850</v>
      </c>
      <c r="O2673" s="3">
        <v>5850</v>
      </c>
      <c r="P2673" t="s">
        <v>74</v>
      </c>
      <c r="Q2673" t="s">
        <v>51</v>
      </c>
      <c r="R2673" t="s">
        <v>36</v>
      </c>
      <c r="S2673" t="s">
        <v>52</v>
      </c>
      <c r="T2673" t="s">
        <v>235</v>
      </c>
      <c r="U2673" t="s">
        <v>54</v>
      </c>
      <c r="V2673" t="s">
        <v>315</v>
      </c>
      <c r="W2673">
        <v>4.7</v>
      </c>
      <c r="X2673" t="s">
        <v>62</v>
      </c>
      <c r="Y2673" t="s">
        <v>42</v>
      </c>
      <c r="Z2673">
        <v>7</v>
      </c>
    </row>
    <row r="2674" spans="1:26">
      <c r="A2674" t="s">
        <v>3914</v>
      </c>
      <c r="B2674" t="s">
        <v>1749</v>
      </c>
      <c r="C2674" t="s">
        <v>45</v>
      </c>
      <c r="D2674" t="s">
        <v>46</v>
      </c>
      <c r="E2674" s="1">
        <v>45652</v>
      </c>
      <c r="F2674" t="s">
        <v>79</v>
      </c>
      <c r="G2674" t="s">
        <v>127</v>
      </c>
      <c r="H2674" t="s">
        <v>128</v>
      </c>
      <c r="I2674">
        <v>8</v>
      </c>
      <c r="J2674" t="s">
        <v>33</v>
      </c>
      <c r="K2674">
        <v>2</v>
      </c>
      <c r="L2674" s="3">
        <v>7899</v>
      </c>
      <c r="M2674">
        <v>15</v>
      </c>
      <c r="N2674" s="3">
        <v>6710</v>
      </c>
      <c r="O2674" s="3">
        <v>13420</v>
      </c>
      <c r="P2674" t="s">
        <v>74</v>
      </c>
      <c r="Q2674" t="s">
        <v>51</v>
      </c>
      <c r="R2674" t="s">
        <v>36</v>
      </c>
      <c r="S2674" t="s">
        <v>156</v>
      </c>
      <c r="T2674" t="s">
        <v>157</v>
      </c>
      <c r="U2674" t="s">
        <v>54</v>
      </c>
      <c r="V2674" t="s">
        <v>315</v>
      </c>
      <c r="W2674">
        <v>3.8</v>
      </c>
      <c r="X2674" t="s">
        <v>41</v>
      </c>
      <c r="Y2674" t="s">
        <v>55</v>
      </c>
      <c r="Z2674">
        <v>3</v>
      </c>
    </row>
    <row r="2675" spans="1:26">
      <c r="A2675" t="s">
        <v>3915</v>
      </c>
      <c r="B2675" t="s">
        <v>368</v>
      </c>
      <c r="C2675" t="s">
        <v>94</v>
      </c>
      <c r="D2675" t="s">
        <v>46</v>
      </c>
      <c r="E2675" s="1">
        <v>45652</v>
      </c>
      <c r="F2675" t="s">
        <v>65</v>
      </c>
      <c r="G2675" t="s">
        <v>72</v>
      </c>
      <c r="H2675" t="s">
        <v>59</v>
      </c>
      <c r="I2675">
        <v>10</v>
      </c>
      <c r="J2675" t="s">
        <v>73</v>
      </c>
      <c r="K2675">
        <v>2</v>
      </c>
      <c r="L2675" s="3">
        <v>6199</v>
      </c>
      <c r="M2675">
        <v>25</v>
      </c>
      <c r="N2675" s="3">
        <v>4650</v>
      </c>
      <c r="O2675" s="3">
        <v>9300</v>
      </c>
      <c r="P2675" t="s">
        <v>34</v>
      </c>
      <c r="Q2675" t="s">
        <v>51</v>
      </c>
      <c r="R2675" t="s">
        <v>36</v>
      </c>
      <c r="S2675" t="s">
        <v>384</v>
      </c>
      <c r="T2675" t="s">
        <v>385</v>
      </c>
      <c r="U2675" t="s">
        <v>61</v>
      </c>
      <c r="V2675" t="s">
        <v>969</v>
      </c>
      <c r="W2675">
        <v>3.7</v>
      </c>
      <c r="X2675" t="s">
        <v>62</v>
      </c>
      <c r="Y2675" t="s">
        <v>55</v>
      </c>
      <c r="Z2675">
        <v>2</v>
      </c>
    </row>
    <row r="2676" spans="1:26">
      <c r="A2676" t="s">
        <v>3916</v>
      </c>
      <c r="B2676" t="s">
        <v>346</v>
      </c>
      <c r="C2676" t="s">
        <v>45</v>
      </c>
      <c r="D2676" t="s">
        <v>29</v>
      </c>
      <c r="E2676" s="1">
        <v>45653</v>
      </c>
      <c r="F2676" t="s">
        <v>96</v>
      </c>
      <c r="G2676" t="s">
        <v>290</v>
      </c>
      <c r="H2676" t="s">
        <v>32</v>
      </c>
      <c r="I2676">
        <v>12</v>
      </c>
      <c r="J2676" t="s">
        <v>33</v>
      </c>
      <c r="K2676">
        <v>1</v>
      </c>
      <c r="L2676" s="3">
        <v>8499</v>
      </c>
      <c r="M2676">
        <v>20</v>
      </c>
      <c r="N2676" s="3">
        <v>6800</v>
      </c>
      <c r="O2676" s="3">
        <v>6800</v>
      </c>
      <c r="P2676" t="s">
        <v>74</v>
      </c>
      <c r="Q2676" t="s">
        <v>51</v>
      </c>
      <c r="R2676" t="s">
        <v>36</v>
      </c>
      <c r="S2676" t="s">
        <v>68</v>
      </c>
      <c r="T2676" t="s">
        <v>811</v>
      </c>
      <c r="U2676" t="s">
        <v>39</v>
      </c>
      <c r="V2676" t="s">
        <v>315</v>
      </c>
      <c r="W2676">
        <v>4.9000000000000004</v>
      </c>
      <c r="X2676" t="s">
        <v>41</v>
      </c>
      <c r="Y2676" t="s">
        <v>55</v>
      </c>
      <c r="Z2676">
        <v>3</v>
      </c>
    </row>
    <row r="2677" spans="1:26">
      <c r="A2677" t="s">
        <v>3917</v>
      </c>
      <c r="B2677" t="s">
        <v>1587</v>
      </c>
      <c r="C2677" t="s">
        <v>94</v>
      </c>
      <c r="D2677" t="s">
        <v>95</v>
      </c>
      <c r="E2677" s="1">
        <v>45653</v>
      </c>
      <c r="F2677" t="s">
        <v>86</v>
      </c>
      <c r="G2677" t="s">
        <v>116</v>
      </c>
      <c r="H2677" t="s">
        <v>49</v>
      </c>
      <c r="I2677">
        <v>8</v>
      </c>
      <c r="J2677" t="s">
        <v>98</v>
      </c>
      <c r="K2677">
        <v>2</v>
      </c>
      <c r="L2677" s="3">
        <v>9199</v>
      </c>
      <c r="M2677">
        <v>25</v>
      </c>
      <c r="N2677" s="3">
        <v>6900</v>
      </c>
      <c r="O2677" s="3">
        <v>13800</v>
      </c>
      <c r="P2677" t="s">
        <v>81</v>
      </c>
      <c r="Q2677" t="s">
        <v>82</v>
      </c>
      <c r="R2677" t="s">
        <v>36</v>
      </c>
      <c r="S2677" t="s">
        <v>129</v>
      </c>
      <c r="T2677" t="s">
        <v>130</v>
      </c>
      <c r="U2677" t="s">
        <v>61</v>
      </c>
      <c r="V2677" t="s">
        <v>315</v>
      </c>
      <c r="W2677">
        <v>4.7</v>
      </c>
      <c r="X2677" t="s">
        <v>41</v>
      </c>
      <c r="Y2677" t="s">
        <v>55</v>
      </c>
      <c r="Z2677">
        <v>2</v>
      </c>
    </row>
    <row r="2678" spans="1:26">
      <c r="A2678" t="s">
        <v>3918</v>
      </c>
      <c r="B2678" t="s">
        <v>3311</v>
      </c>
      <c r="C2678" t="s">
        <v>45</v>
      </c>
      <c r="D2678" t="s">
        <v>46</v>
      </c>
      <c r="E2678" s="1">
        <v>45653</v>
      </c>
      <c r="F2678" t="s">
        <v>65</v>
      </c>
      <c r="G2678" t="s">
        <v>268</v>
      </c>
      <c r="H2678" t="s">
        <v>128</v>
      </c>
      <c r="I2678">
        <v>9</v>
      </c>
      <c r="J2678" t="s">
        <v>67</v>
      </c>
      <c r="K2678">
        <v>1</v>
      </c>
      <c r="L2678" s="3">
        <v>6699</v>
      </c>
      <c r="M2678">
        <v>15</v>
      </c>
      <c r="N2678" s="3">
        <v>5690</v>
      </c>
      <c r="O2678" s="3">
        <v>5690</v>
      </c>
      <c r="P2678" t="s">
        <v>34</v>
      </c>
      <c r="Q2678" t="s">
        <v>82</v>
      </c>
      <c r="R2678" t="s">
        <v>36</v>
      </c>
      <c r="S2678" t="s">
        <v>156</v>
      </c>
      <c r="T2678" t="s">
        <v>157</v>
      </c>
      <c r="U2678" t="s">
        <v>54</v>
      </c>
      <c r="V2678" t="s">
        <v>315</v>
      </c>
      <c r="W2678">
        <v>4.9000000000000004</v>
      </c>
      <c r="X2678" t="s">
        <v>41</v>
      </c>
      <c r="Y2678" t="s">
        <v>55</v>
      </c>
      <c r="Z2678">
        <v>3</v>
      </c>
    </row>
    <row r="2679" spans="1:26">
      <c r="A2679" t="s">
        <v>3919</v>
      </c>
      <c r="B2679" t="s">
        <v>1587</v>
      </c>
      <c r="C2679" t="s">
        <v>28</v>
      </c>
      <c r="D2679" t="s">
        <v>46</v>
      </c>
      <c r="E2679" s="1">
        <v>45653</v>
      </c>
      <c r="F2679" t="s">
        <v>47</v>
      </c>
      <c r="G2679" t="s">
        <v>199</v>
      </c>
      <c r="H2679" t="s">
        <v>59</v>
      </c>
      <c r="I2679">
        <v>7</v>
      </c>
      <c r="J2679" t="s">
        <v>150</v>
      </c>
      <c r="K2679">
        <v>2</v>
      </c>
      <c r="L2679" s="3">
        <v>7899</v>
      </c>
      <c r="M2679">
        <v>10</v>
      </c>
      <c r="N2679" s="3">
        <v>7110</v>
      </c>
      <c r="O2679" s="3">
        <v>14220</v>
      </c>
      <c r="P2679" t="s">
        <v>34</v>
      </c>
      <c r="Q2679" t="s">
        <v>51</v>
      </c>
      <c r="R2679" t="s">
        <v>36</v>
      </c>
      <c r="S2679" t="s">
        <v>75</v>
      </c>
      <c r="T2679" t="s">
        <v>215</v>
      </c>
      <c r="U2679" t="s">
        <v>54</v>
      </c>
      <c r="V2679" t="s">
        <v>969</v>
      </c>
      <c r="W2679">
        <v>4.5999999999999996</v>
      </c>
      <c r="X2679" t="s">
        <v>41</v>
      </c>
      <c r="Y2679" t="s">
        <v>55</v>
      </c>
      <c r="Z2679">
        <v>2</v>
      </c>
    </row>
    <row r="2680" spans="1:26">
      <c r="A2680" t="s">
        <v>3920</v>
      </c>
      <c r="B2680" t="s">
        <v>596</v>
      </c>
      <c r="C2680" t="s">
        <v>45</v>
      </c>
      <c r="D2680" t="s">
        <v>95</v>
      </c>
      <c r="E2680" s="1">
        <v>45653</v>
      </c>
      <c r="F2680" t="s">
        <v>30</v>
      </c>
      <c r="G2680" t="s">
        <v>347</v>
      </c>
      <c r="H2680" t="s">
        <v>49</v>
      </c>
      <c r="I2680">
        <v>9</v>
      </c>
      <c r="J2680" t="s">
        <v>98</v>
      </c>
      <c r="K2680">
        <v>1</v>
      </c>
      <c r="L2680" s="3">
        <v>4599</v>
      </c>
      <c r="M2680">
        <v>25</v>
      </c>
      <c r="N2680" s="3">
        <v>3450</v>
      </c>
      <c r="O2680" s="3">
        <v>3450</v>
      </c>
      <c r="P2680" t="s">
        <v>74</v>
      </c>
      <c r="Q2680" t="s">
        <v>35</v>
      </c>
      <c r="R2680" t="s">
        <v>36</v>
      </c>
      <c r="S2680" t="s">
        <v>243</v>
      </c>
      <c r="T2680" t="s">
        <v>276</v>
      </c>
      <c r="U2680" t="s">
        <v>124</v>
      </c>
      <c r="V2680" t="s">
        <v>969</v>
      </c>
      <c r="W2680">
        <v>3.7</v>
      </c>
      <c r="X2680" t="s">
        <v>41</v>
      </c>
      <c r="Y2680" t="s">
        <v>42</v>
      </c>
      <c r="Z2680">
        <v>1</v>
      </c>
    </row>
    <row r="2681" spans="1:26">
      <c r="A2681" t="s">
        <v>3921</v>
      </c>
      <c r="B2681" t="s">
        <v>3421</v>
      </c>
      <c r="C2681" t="s">
        <v>45</v>
      </c>
      <c r="D2681" t="s">
        <v>46</v>
      </c>
      <c r="E2681" s="1">
        <v>45654</v>
      </c>
      <c r="F2681" t="s">
        <v>86</v>
      </c>
      <c r="G2681" t="s">
        <v>190</v>
      </c>
      <c r="H2681" t="s">
        <v>128</v>
      </c>
      <c r="I2681">
        <v>7</v>
      </c>
      <c r="J2681" t="s">
        <v>150</v>
      </c>
      <c r="K2681">
        <v>2</v>
      </c>
      <c r="L2681" s="3">
        <v>6599</v>
      </c>
      <c r="M2681">
        <v>20</v>
      </c>
      <c r="N2681" s="3">
        <v>5280</v>
      </c>
      <c r="O2681" s="3">
        <v>10560</v>
      </c>
      <c r="P2681" t="s">
        <v>34</v>
      </c>
      <c r="Q2681" t="s">
        <v>35</v>
      </c>
      <c r="R2681" t="s">
        <v>36</v>
      </c>
      <c r="S2681" t="s">
        <v>160</v>
      </c>
      <c r="T2681" t="s">
        <v>160</v>
      </c>
      <c r="U2681" t="s">
        <v>54</v>
      </c>
      <c r="V2681" t="s">
        <v>315</v>
      </c>
      <c r="W2681">
        <v>4.7</v>
      </c>
      <c r="X2681" t="s">
        <v>41</v>
      </c>
      <c r="Y2681" t="s">
        <v>42</v>
      </c>
      <c r="Z2681">
        <v>1</v>
      </c>
    </row>
    <row r="2682" spans="1:26">
      <c r="A2682" t="s">
        <v>3922</v>
      </c>
      <c r="B2682" t="s">
        <v>833</v>
      </c>
      <c r="C2682" t="s">
        <v>45</v>
      </c>
      <c r="D2682" t="s">
        <v>46</v>
      </c>
      <c r="E2682" s="1">
        <v>45654</v>
      </c>
      <c r="F2682" t="s">
        <v>96</v>
      </c>
      <c r="G2682" t="s">
        <v>171</v>
      </c>
      <c r="H2682" t="s">
        <v>128</v>
      </c>
      <c r="I2682">
        <v>10</v>
      </c>
      <c r="J2682" t="s">
        <v>150</v>
      </c>
      <c r="K2682">
        <v>2</v>
      </c>
      <c r="L2682" s="3">
        <v>4099</v>
      </c>
      <c r="M2682">
        <v>15</v>
      </c>
      <c r="N2682" s="3">
        <v>3480</v>
      </c>
      <c r="O2682" s="3">
        <v>6960</v>
      </c>
      <c r="P2682" t="s">
        <v>34</v>
      </c>
      <c r="Q2682" t="s">
        <v>35</v>
      </c>
      <c r="R2682" t="s">
        <v>36</v>
      </c>
      <c r="S2682" t="s">
        <v>297</v>
      </c>
      <c r="T2682" t="s">
        <v>390</v>
      </c>
      <c r="U2682" t="s">
        <v>39</v>
      </c>
      <c r="V2682" t="s">
        <v>969</v>
      </c>
      <c r="W2682">
        <v>2.9</v>
      </c>
      <c r="X2682" t="s">
        <v>41</v>
      </c>
      <c r="Y2682" t="s">
        <v>42</v>
      </c>
      <c r="Z2682">
        <v>2</v>
      </c>
    </row>
    <row r="2683" spans="1:26">
      <c r="A2683" t="s">
        <v>3923</v>
      </c>
      <c r="B2683" t="s">
        <v>713</v>
      </c>
      <c r="C2683" t="s">
        <v>28</v>
      </c>
      <c r="D2683" t="s">
        <v>103</v>
      </c>
      <c r="E2683" s="1">
        <v>45658</v>
      </c>
      <c r="F2683" t="s">
        <v>79</v>
      </c>
      <c r="G2683" t="s">
        <v>80</v>
      </c>
      <c r="H2683" t="s">
        <v>59</v>
      </c>
      <c r="I2683">
        <v>7</v>
      </c>
      <c r="J2683" t="s">
        <v>67</v>
      </c>
      <c r="K2683">
        <v>1</v>
      </c>
      <c r="L2683" s="3">
        <v>5299</v>
      </c>
      <c r="M2683">
        <v>0</v>
      </c>
      <c r="N2683" s="3">
        <v>5300</v>
      </c>
      <c r="O2683" s="3">
        <v>5300</v>
      </c>
      <c r="P2683" t="s">
        <v>34</v>
      </c>
      <c r="Q2683" t="s">
        <v>35</v>
      </c>
      <c r="R2683" t="s">
        <v>36</v>
      </c>
      <c r="S2683" t="s">
        <v>75</v>
      </c>
      <c r="T2683" t="s">
        <v>796</v>
      </c>
      <c r="U2683" t="s">
        <v>124</v>
      </c>
      <c r="V2683" t="s">
        <v>969</v>
      </c>
      <c r="W2683">
        <v>3.2</v>
      </c>
      <c r="X2683" t="s">
        <v>106</v>
      </c>
      <c r="Y2683" t="s">
        <v>42</v>
      </c>
      <c r="Z2683">
        <v>5</v>
      </c>
    </row>
    <row r="2684" spans="1:26">
      <c r="A2684" t="s">
        <v>3924</v>
      </c>
      <c r="B2684" t="s">
        <v>439</v>
      </c>
      <c r="C2684" t="s">
        <v>45</v>
      </c>
      <c r="D2684" t="s">
        <v>29</v>
      </c>
      <c r="E2684" s="1">
        <v>45660</v>
      </c>
      <c r="F2684" t="s">
        <v>96</v>
      </c>
      <c r="G2684" t="s">
        <v>155</v>
      </c>
      <c r="H2684" t="s">
        <v>111</v>
      </c>
      <c r="I2684">
        <v>9</v>
      </c>
      <c r="J2684" t="s">
        <v>150</v>
      </c>
      <c r="K2684">
        <v>1</v>
      </c>
      <c r="L2684" s="3">
        <v>7399</v>
      </c>
      <c r="M2684">
        <v>15</v>
      </c>
      <c r="N2684" s="3">
        <v>6290</v>
      </c>
      <c r="O2684" s="3">
        <v>6290</v>
      </c>
      <c r="P2684" t="s">
        <v>74</v>
      </c>
      <c r="Q2684" t="s">
        <v>51</v>
      </c>
      <c r="R2684" t="s">
        <v>36</v>
      </c>
      <c r="S2684" t="s">
        <v>99</v>
      </c>
      <c r="T2684" t="s">
        <v>759</v>
      </c>
      <c r="U2684" t="s">
        <v>91</v>
      </c>
      <c r="V2684" t="s">
        <v>969</v>
      </c>
      <c r="W2684">
        <v>5</v>
      </c>
      <c r="X2684" t="s">
        <v>41</v>
      </c>
      <c r="Y2684" t="s">
        <v>42</v>
      </c>
      <c r="Z2684">
        <v>1</v>
      </c>
    </row>
    <row r="2685" spans="1:26">
      <c r="A2685" t="s">
        <v>3925</v>
      </c>
      <c r="B2685" t="s">
        <v>1908</v>
      </c>
      <c r="C2685" t="s">
        <v>28</v>
      </c>
      <c r="D2685" t="s">
        <v>109</v>
      </c>
      <c r="E2685" s="1">
        <v>45660</v>
      </c>
      <c r="F2685" t="s">
        <v>47</v>
      </c>
      <c r="G2685" t="s">
        <v>218</v>
      </c>
      <c r="H2685" t="s">
        <v>59</v>
      </c>
      <c r="I2685">
        <v>6</v>
      </c>
      <c r="J2685" t="s">
        <v>33</v>
      </c>
      <c r="K2685">
        <v>1</v>
      </c>
      <c r="L2685" s="3">
        <v>4999</v>
      </c>
      <c r="M2685">
        <v>35</v>
      </c>
      <c r="N2685" s="3">
        <v>3250</v>
      </c>
      <c r="O2685" s="3">
        <v>3250</v>
      </c>
      <c r="P2685" t="s">
        <v>74</v>
      </c>
      <c r="Q2685" t="s">
        <v>82</v>
      </c>
      <c r="R2685" t="s">
        <v>36</v>
      </c>
      <c r="S2685" t="s">
        <v>238</v>
      </c>
      <c r="T2685" t="s">
        <v>377</v>
      </c>
      <c r="U2685" t="s">
        <v>54</v>
      </c>
      <c r="V2685" t="s">
        <v>315</v>
      </c>
      <c r="W2685">
        <v>4.8</v>
      </c>
      <c r="X2685" t="s">
        <v>62</v>
      </c>
      <c r="Y2685" t="s">
        <v>42</v>
      </c>
      <c r="Z2685">
        <v>3</v>
      </c>
    </row>
    <row r="2686" spans="1:26">
      <c r="A2686" t="s">
        <v>3926</v>
      </c>
      <c r="B2686" t="s">
        <v>1315</v>
      </c>
      <c r="C2686" t="s">
        <v>45</v>
      </c>
      <c r="D2686" t="s">
        <v>103</v>
      </c>
      <c r="E2686" s="1">
        <v>45660</v>
      </c>
      <c r="F2686" t="s">
        <v>47</v>
      </c>
      <c r="G2686" t="s">
        <v>48</v>
      </c>
      <c r="H2686" t="s">
        <v>49</v>
      </c>
      <c r="I2686">
        <v>8</v>
      </c>
      <c r="J2686" t="s">
        <v>67</v>
      </c>
      <c r="K2686">
        <v>2</v>
      </c>
      <c r="L2686" s="3">
        <v>3699</v>
      </c>
      <c r="M2686">
        <v>30</v>
      </c>
      <c r="N2686" s="3">
        <v>2590</v>
      </c>
      <c r="O2686" s="3">
        <v>5180</v>
      </c>
      <c r="P2686" t="s">
        <v>34</v>
      </c>
      <c r="Q2686" t="s">
        <v>51</v>
      </c>
      <c r="R2686" t="s">
        <v>36</v>
      </c>
      <c r="S2686" t="s">
        <v>151</v>
      </c>
      <c r="T2686" t="s">
        <v>152</v>
      </c>
      <c r="U2686" t="s">
        <v>61</v>
      </c>
      <c r="V2686" t="s">
        <v>969</v>
      </c>
      <c r="W2686">
        <v>5</v>
      </c>
      <c r="X2686" t="s">
        <v>62</v>
      </c>
      <c r="Y2686" t="s">
        <v>42</v>
      </c>
      <c r="Z2686">
        <v>5</v>
      </c>
    </row>
    <row r="2687" spans="1:26">
      <c r="A2687" t="s">
        <v>3927</v>
      </c>
      <c r="B2687" t="s">
        <v>781</v>
      </c>
      <c r="C2687" t="s">
        <v>45</v>
      </c>
      <c r="D2687" t="s">
        <v>103</v>
      </c>
      <c r="E2687" s="1">
        <v>45661</v>
      </c>
      <c r="F2687" t="s">
        <v>30</v>
      </c>
      <c r="G2687" t="s">
        <v>347</v>
      </c>
      <c r="H2687" t="s">
        <v>49</v>
      </c>
      <c r="I2687">
        <v>6</v>
      </c>
      <c r="J2687" t="s">
        <v>33</v>
      </c>
      <c r="K2687">
        <v>1</v>
      </c>
      <c r="L2687" s="3">
        <v>6099</v>
      </c>
      <c r="M2687">
        <v>10</v>
      </c>
      <c r="N2687" s="3">
        <v>5490</v>
      </c>
      <c r="O2687" s="3">
        <v>5490</v>
      </c>
      <c r="P2687" t="s">
        <v>74</v>
      </c>
      <c r="Q2687" t="s">
        <v>82</v>
      </c>
      <c r="R2687" t="s">
        <v>36</v>
      </c>
      <c r="S2687" t="s">
        <v>168</v>
      </c>
      <c r="T2687" t="s">
        <v>714</v>
      </c>
      <c r="U2687" t="s">
        <v>61</v>
      </c>
      <c r="V2687" t="s">
        <v>315</v>
      </c>
      <c r="W2687">
        <v>5</v>
      </c>
      <c r="X2687" t="s">
        <v>41</v>
      </c>
      <c r="Y2687" t="s">
        <v>42</v>
      </c>
      <c r="Z2687">
        <v>1</v>
      </c>
    </row>
    <row r="2688" spans="1:26">
      <c r="A2688" t="s">
        <v>3928</v>
      </c>
      <c r="B2688" t="s">
        <v>1024</v>
      </c>
      <c r="C2688" t="s">
        <v>45</v>
      </c>
      <c r="D2688" t="s">
        <v>103</v>
      </c>
      <c r="E2688" s="1">
        <v>45661</v>
      </c>
      <c r="F2688" t="s">
        <v>65</v>
      </c>
      <c r="G2688" t="s">
        <v>365</v>
      </c>
      <c r="H2688" t="s">
        <v>49</v>
      </c>
      <c r="I2688">
        <v>7</v>
      </c>
      <c r="J2688" t="s">
        <v>73</v>
      </c>
      <c r="K2688">
        <v>1</v>
      </c>
      <c r="L2688" s="3">
        <v>5899</v>
      </c>
      <c r="M2688">
        <v>25</v>
      </c>
      <c r="N2688" s="3">
        <v>4420</v>
      </c>
      <c r="O2688" s="3">
        <v>4420</v>
      </c>
      <c r="P2688" t="s">
        <v>74</v>
      </c>
      <c r="Q2688" t="s">
        <v>51</v>
      </c>
      <c r="R2688" t="s">
        <v>36</v>
      </c>
      <c r="S2688" t="s">
        <v>104</v>
      </c>
      <c r="T2688" t="s">
        <v>1048</v>
      </c>
      <c r="U2688" t="s">
        <v>61</v>
      </c>
      <c r="V2688" t="s">
        <v>969</v>
      </c>
      <c r="W2688">
        <v>3.8</v>
      </c>
      <c r="X2688" t="s">
        <v>41</v>
      </c>
      <c r="Y2688" t="s">
        <v>42</v>
      </c>
      <c r="Z2688">
        <v>2</v>
      </c>
    </row>
    <row r="2689" spans="1:26">
      <c r="A2689" t="s">
        <v>3929</v>
      </c>
      <c r="B2689" t="s">
        <v>574</v>
      </c>
      <c r="C2689" t="s">
        <v>28</v>
      </c>
      <c r="D2689" t="s">
        <v>95</v>
      </c>
      <c r="E2689" s="1">
        <v>45662</v>
      </c>
      <c r="F2689" t="s">
        <v>79</v>
      </c>
      <c r="G2689" t="s">
        <v>80</v>
      </c>
      <c r="H2689" t="s">
        <v>59</v>
      </c>
      <c r="I2689">
        <v>12</v>
      </c>
      <c r="J2689" t="s">
        <v>88</v>
      </c>
      <c r="K2689">
        <v>1</v>
      </c>
      <c r="L2689" s="3">
        <v>8199</v>
      </c>
      <c r="M2689">
        <v>15</v>
      </c>
      <c r="N2689" s="3">
        <v>6970</v>
      </c>
      <c r="O2689" s="3">
        <v>6970</v>
      </c>
      <c r="P2689" t="s">
        <v>34</v>
      </c>
      <c r="Q2689" t="s">
        <v>82</v>
      </c>
      <c r="R2689" t="s">
        <v>36</v>
      </c>
      <c r="S2689" t="s">
        <v>269</v>
      </c>
      <c r="T2689" t="s">
        <v>270</v>
      </c>
      <c r="U2689" t="s">
        <v>39</v>
      </c>
      <c r="V2689" t="s">
        <v>969</v>
      </c>
      <c r="W2689">
        <v>4.8</v>
      </c>
      <c r="X2689" t="s">
        <v>41</v>
      </c>
      <c r="Y2689" t="s">
        <v>42</v>
      </c>
      <c r="Z2689">
        <v>4</v>
      </c>
    </row>
    <row r="2690" spans="1:26">
      <c r="A2690" t="s">
        <v>3930</v>
      </c>
      <c r="B2690" t="s">
        <v>2260</v>
      </c>
      <c r="C2690" t="s">
        <v>45</v>
      </c>
      <c r="D2690" t="s">
        <v>46</v>
      </c>
      <c r="E2690" s="1">
        <v>45664</v>
      </c>
      <c r="F2690" t="s">
        <v>65</v>
      </c>
      <c r="G2690" t="s">
        <v>256</v>
      </c>
      <c r="H2690" t="s">
        <v>32</v>
      </c>
      <c r="I2690">
        <v>7</v>
      </c>
      <c r="J2690" t="s">
        <v>67</v>
      </c>
      <c r="K2690">
        <v>1</v>
      </c>
      <c r="L2690" s="3">
        <v>7499</v>
      </c>
      <c r="M2690">
        <v>10</v>
      </c>
      <c r="N2690" s="3">
        <v>6750</v>
      </c>
      <c r="O2690" s="3">
        <v>6750</v>
      </c>
      <c r="P2690" t="s">
        <v>74</v>
      </c>
      <c r="Q2690" t="s">
        <v>51</v>
      </c>
      <c r="R2690" t="s">
        <v>36</v>
      </c>
      <c r="S2690" t="s">
        <v>182</v>
      </c>
      <c r="T2690" t="s">
        <v>604</v>
      </c>
      <c r="U2690" t="s">
        <v>54</v>
      </c>
      <c r="V2690" t="s">
        <v>315</v>
      </c>
      <c r="W2690">
        <v>4.5999999999999996</v>
      </c>
      <c r="X2690" t="s">
        <v>41</v>
      </c>
      <c r="Y2690" t="s">
        <v>42</v>
      </c>
      <c r="Z2690">
        <v>4</v>
      </c>
    </row>
    <row r="2691" spans="1:26">
      <c r="A2691" t="s">
        <v>3931</v>
      </c>
      <c r="B2691" t="s">
        <v>3678</v>
      </c>
      <c r="C2691" t="s">
        <v>28</v>
      </c>
      <c r="D2691" t="s">
        <v>95</v>
      </c>
      <c r="E2691" s="1">
        <v>45664</v>
      </c>
      <c r="F2691" t="s">
        <v>65</v>
      </c>
      <c r="G2691" t="s">
        <v>256</v>
      </c>
      <c r="H2691" t="s">
        <v>32</v>
      </c>
      <c r="I2691">
        <v>8</v>
      </c>
      <c r="J2691" t="s">
        <v>73</v>
      </c>
      <c r="K2691">
        <v>3</v>
      </c>
      <c r="L2691" s="3">
        <v>5399</v>
      </c>
      <c r="M2691">
        <v>0</v>
      </c>
      <c r="N2691" s="3">
        <v>5400</v>
      </c>
      <c r="O2691" s="3">
        <v>16200</v>
      </c>
      <c r="P2691" t="s">
        <v>34</v>
      </c>
      <c r="Q2691" t="s">
        <v>51</v>
      </c>
      <c r="R2691" t="s">
        <v>36</v>
      </c>
      <c r="S2691" t="s">
        <v>75</v>
      </c>
      <c r="T2691" t="s">
        <v>318</v>
      </c>
      <c r="U2691" t="s">
        <v>54</v>
      </c>
      <c r="V2691" t="s">
        <v>969</v>
      </c>
      <c r="W2691">
        <v>5</v>
      </c>
      <c r="X2691" t="s">
        <v>41</v>
      </c>
      <c r="Y2691" t="s">
        <v>42</v>
      </c>
      <c r="Z2691">
        <v>6</v>
      </c>
    </row>
    <row r="2692" spans="1:26">
      <c r="A2692" t="s">
        <v>3932</v>
      </c>
      <c r="B2692" t="s">
        <v>1085</v>
      </c>
      <c r="C2692" t="s">
        <v>28</v>
      </c>
      <c r="D2692" t="s">
        <v>46</v>
      </c>
      <c r="E2692" s="1">
        <v>45664</v>
      </c>
      <c r="F2692" t="s">
        <v>47</v>
      </c>
      <c r="G2692" t="s">
        <v>402</v>
      </c>
      <c r="H2692" t="s">
        <v>32</v>
      </c>
      <c r="I2692">
        <v>7</v>
      </c>
      <c r="J2692" t="s">
        <v>67</v>
      </c>
      <c r="K2692">
        <v>1</v>
      </c>
      <c r="L2692" s="3">
        <v>4899</v>
      </c>
      <c r="M2692">
        <v>15</v>
      </c>
      <c r="N2692" s="3">
        <v>4160</v>
      </c>
      <c r="O2692" s="3">
        <v>4160</v>
      </c>
      <c r="P2692" t="s">
        <v>74</v>
      </c>
      <c r="Q2692" t="s">
        <v>51</v>
      </c>
      <c r="R2692" t="s">
        <v>36</v>
      </c>
      <c r="S2692" t="s">
        <v>460</v>
      </c>
      <c r="T2692" t="s">
        <v>525</v>
      </c>
      <c r="U2692" t="s">
        <v>39</v>
      </c>
      <c r="V2692" t="s">
        <v>969</v>
      </c>
      <c r="W2692">
        <v>4.2</v>
      </c>
      <c r="X2692" t="s">
        <v>62</v>
      </c>
      <c r="Y2692" t="s">
        <v>42</v>
      </c>
      <c r="Z2692">
        <v>2</v>
      </c>
    </row>
    <row r="2693" spans="1:26">
      <c r="A2693" t="s">
        <v>3933</v>
      </c>
      <c r="B2693" t="s">
        <v>3128</v>
      </c>
      <c r="C2693" t="s">
        <v>28</v>
      </c>
      <c r="D2693" t="s">
        <v>103</v>
      </c>
      <c r="E2693" s="1">
        <v>45668</v>
      </c>
      <c r="F2693" t="s">
        <v>30</v>
      </c>
      <c r="G2693" t="s">
        <v>31</v>
      </c>
      <c r="H2693" t="s">
        <v>32</v>
      </c>
      <c r="I2693">
        <v>8</v>
      </c>
      <c r="J2693" t="s">
        <v>33</v>
      </c>
      <c r="K2693">
        <v>1</v>
      </c>
      <c r="L2693" s="3">
        <v>6299</v>
      </c>
      <c r="M2693">
        <v>15</v>
      </c>
      <c r="N2693" s="3">
        <v>5350</v>
      </c>
      <c r="O2693" s="3">
        <v>5350</v>
      </c>
      <c r="P2693" t="s">
        <v>74</v>
      </c>
      <c r="Q2693" t="s">
        <v>35</v>
      </c>
      <c r="R2693" t="s">
        <v>36</v>
      </c>
      <c r="S2693" t="s">
        <v>191</v>
      </c>
      <c r="T2693" t="s">
        <v>521</v>
      </c>
      <c r="U2693" t="s">
        <v>61</v>
      </c>
      <c r="V2693" t="s">
        <v>315</v>
      </c>
      <c r="W2693">
        <v>3.5</v>
      </c>
      <c r="X2693" t="s">
        <v>41</v>
      </c>
      <c r="Y2693" t="s">
        <v>42</v>
      </c>
      <c r="Z2693">
        <v>3</v>
      </c>
    </row>
    <row r="2694" spans="1:26">
      <c r="A2694" t="s">
        <v>3934</v>
      </c>
      <c r="B2694" t="s">
        <v>932</v>
      </c>
      <c r="C2694" t="s">
        <v>94</v>
      </c>
      <c r="D2694" t="s">
        <v>95</v>
      </c>
      <c r="E2694" s="1">
        <v>45668</v>
      </c>
      <c r="F2694" t="s">
        <v>65</v>
      </c>
      <c r="G2694" t="s">
        <v>365</v>
      </c>
      <c r="H2694" t="s">
        <v>49</v>
      </c>
      <c r="I2694">
        <v>7</v>
      </c>
      <c r="J2694" t="s">
        <v>150</v>
      </c>
      <c r="K2694">
        <v>1</v>
      </c>
      <c r="L2694" s="3">
        <v>6199</v>
      </c>
      <c r="M2694">
        <v>15</v>
      </c>
      <c r="N2694" s="3">
        <v>5270</v>
      </c>
      <c r="O2694" s="3">
        <v>5270</v>
      </c>
      <c r="P2694" t="s">
        <v>74</v>
      </c>
      <c r="Q2694" t="s">
        <v>51</v>
      </c>
      <c r="R2694" t="s">
        <v>36</v>
      </c>
      <c r="S2694" t="s">
        <v>104</v>
      </c>
      <c r="T2694" t="s">
        <v>1048</v>
      </c>
      <c r="U2694" t="s">
        <v>61</v>
      </c>
      <c r="V2694" t="s">
        <v>315</v>
      </c>
      <c r="W2694">
        <v>4.0999999999999996</v>
      </c>
      <c r="X2694" t="s">
        <v>41</v>
      </c>
      <c r="Y2694" t="s">
        <v>42</v>
      </c>
      <c r="Z2694">
        <v>2</v>
      </c>
    </row>
    <row r="2695" spans="1:26">
      <c r="A2695" t="s">
        <v>3935</v>
      </c>
      <c r="B2695" t="s">
        <v>3936</v>
      </c>
      <c r="C2695" t="s">
        <v>94</v>
      </c>
      <c r="D2695" t="s">
        <v>46</v>
      </c>
      <c r="E2695" s="1">
        <v>45671</v>
      </c>
      <c r="F2695" t="s">
        <v>65</v>
      </c>
      <c r="G2695" t="s">
        <v>279</v>
      </c>
      <c r="H2695" t="s">
        <v>111</v>
      </c>
      <c r="I2695">
        <v>8</v>
      </c>
      <c r="J2695" t="s">
        <v>73</v>
      </c>
      <c r="K2695">
        <v>2</v>
      </c>
      <c r="L2695" s="3">
        <v>7999</v>
      </c>
      <c r="M2695">
        <v>20</v>
      </c>
      <c r="N2695" s="3">
        <v>6400</v>
      </c>
      <c r="O2695" s="3">
        <v>12800</v>
      </c>
      <c r="P2695" t="s">
        <v>74</v>
      </c>
      <c r="Q2695" t="s">
        <v>35</v>
      </c>
      <c r="R2695" t="s">
        <v>36</v>
      </c>
      <c r="S2695" t="s">
        <v>156</v>
      </c>
      <c r="T2695" t="s">
        <v>369</v>
      </c>
      <c r="U2695" t="s">
        <v>124</v>
      </c>
      <c r="V2695" t="s">
        <v>40</v>
      </c>
      <c r="W2695">
        <v>3.5</v>
      </c>
      <c r="X2695" t="s">
        <v>106</v>
      </c>
      <c r="Y2695" t="s">
        <v>55</v>
      </c>
      <c r="Z2695">
        <v>1</v>
      </c>
    </row>
    <row r="2696" spans="1:26">
      <c r="A2696" t="s">
        <v>3937</v>
      </c>
      <c r="B2696" t="s">
        <v>508</v>
      </c>
      <c r="C2696" t="s">
        <v>45</v>
      </c>
      <c r="D2696" t="s">
        <v>29</v>
      </c>
      <c r="E2696" s="1">
        <v>45673</v>
      </c>
      <c r="F2696" t="s">
        <v>47</v>
      </c>
      <c r="G2696" t="s">
        <v>218</v>
      </c>
      <c r="H2696" t="s">
        <v>59</v>
      </c>
      <c r="I2696">
        <v>7</v>
      </c>
      <c r="J2696" t="s">
        <v>98</v>
      </c>
      <c r="K2696">
        <v>1</v>
      </c>
      <c r="L2696" s="3">
        <v>8499</v>
      </c>
      <c r="M2696">
        <v>15</v>
      </c>
      <c r="N2696" s="3">
        <v>7220</v>
      </c>
      <c r="O2696" s="3">
        <v>7220</v>
      </c>
      <c r="P2696" t="s">
        <v>50</v>
      </c>
      <c r="Q2696" t="s">
        <v>82</v>
      </c>
      <c r="R2696" t="s">
        <v>36</v>
      </c>
      <c r="S2696" t="s">
        <v>141</v>
      </c>
      <c r="T2696" t="s">
        <v>362</v>
      </c>
      <c r="U2696" t="s">
        <v>124</v>
      </c>
      <c r="V2696" t="s">
        <v>969</v>
      </c>
      <c r="W2696">
        <v>4.3</v>
      </c>
      <c r="X2696" t="s">
        <v>41</v>
      </c>
      <c r="Y2696" t="s">
        <v>55</v>
      </c>
      <c r="Z2696">
        <v>3</v>
      </c>
    </row>
    <row r="2697" spans="1:26">
      <c r="A2697" t="s">
        <v>3938</v>
      </c>
      <c r="B2697" t="s">
        <v>368</v>
      </c>
      <c r="C2697" t="s">
        <v>45</v>
      </c>
      <c r="D2697" t="s">
        <v>103</v>
      </c>
      <c r="E2697" s="1">
        <v>45673</v>
      </c>
      <c r="F2697" t="s">
        <v>86</v>
      </c>
      <c r="G2697" t="s">
        <v>285</v>
      </c>
      <c r="H2697" t="s">
        <v>111</v>
      </c>
      <c r="I2697">
        <v>9</v>
      </c>
      <c r="J2697" t="s">
        <v>67</v>
      </c>
      <c r="K2697">
        <v>2</v>
      </c>
      <c r="L2697" s="3">
        <v>8499</v>
      </c>
      <c r="M2697">
        <v>25</v>
      </c>
      <c r="N2697" s="3">
        <v>6370</v>
      </c>
      <c r="O2697" s="3">
        <v>12740</v>
      </c>
      <c r="P2697" t="s">
        <v>74</v>
      </c>
      <c r="Q2697" t="s">
        <v>51</v>
      </c>
      <c r="R2697" t="s">
        <v>36</v>
      </c>
      <c r="S2697" t="s">
        <v>164</v>
      </c>
      <c r="T2697" t="s">
        <v>348</v>
      </c>
      <c r="U2697" t="s">
        <v>39</v>
      </c>
      <c r="V2697" t="s">
        <v>969</v>
      </c>
      <c r="W2697">
        <v>3.9</v>
      </c>
      <c r="X2697" t="s">
        <v>41</v>
      </c>
      <c r="Y2697" t="s">
        <v>42</v>
      </c>
      <c r="Z2697">
        <v>4</v>
      </c>
    </row>
    <row r="2698" spans="1:26">
      <c r="A2698" t="s">
        <v>3939</v>
      </c>
      <c r="B2698" t="s">
        <v>657</v>
      </c>
      <c r="C2698" t="s">
        <v>28</v>
      </c>
      <c r="D2698" t="s">
        <v>103</v>
      </c>
      <c r="E2698" s="1">
        <v>45673</v>
      </c>
      <c r="F2698" t="s">
        <v>65</v>
      </c>
      <c r="G2698" t="s">
        <v>72</v>
      </c>
      <c r="H2698" t="s">
        <v>59</v>
      </c>
      <c r="I2698">
        <v>6</v>
      </c>
      <c r="J2698" t="s">
        <v>150</v>
      </c>
      <c r="K2698">
        <v>1</v>
      </c>
      <c r="L2698" s="3">
        <v>6999</v>
      </c>
      <c r="M2698">
        <v>15</v>
      </c>
      <c r="N2698" s="3">
        <v>5950</v>
      </c>
      <c r="O2698" s="3">
        <v>5950</v>
      </c>
      <c r="P2698" t="s">
        <v>34</v>
      </c>
      <c r="Q2698" t="s">
        <v>35</v>
      </c>
      <c r="R2698" t="s">
        <v>36</v>
      </c>
      <c r="S2698" t="s">
        <v>168</v>
      </c>
      <c r="T2698" t="s">
        <v>532</v>
      </c>
      <c r="U2698" t="s">
        <v>91</v>
      </c>
      <c r="V2698" t="s">
        <v>315</v>
      </c>
      <c r="W2698">
        <v>3.5</v>
      </c>
      <c r="X2698" t="s">
        <v>41</v>
      </c>
      <c r="Y2698" t="s">
        <v>42</v>
      </c>
      <c r="Z2698">
        <v>2</v>
      </c>
    </row>
    <row r="2699" spans="1:26">
      <c r="A2699" t="s">
        <v>3940</v>
      </c>
      <c r="B2699" t="s">
        <v>2354</v>
      </c>
      <c r="C2699" t="s">
        <v>94</v>
      </c>
      <c r="D2699" t="s">
        <v>109</v>
      </c>
      <c r="E2699" s="1">
        <v>45677</v>
      </c>
      <c r="F2699" t="s">
        <v>86</v>
      </c>
      <c r="G2699" t="s">
        <v>190</v>
      </c>
      <c r="H2699" t="s">
        <v>128</v>
      </c>
      <c r="I2699">
        <v>11</v>
      </c>
      <c r="J2699" t="s">
        <v>33</v>
      </c>
      <c r="K2699">
        <v>2</v>
      </c>
      <c r="L2699" s="3">
        <v>8899</v>
      </c>
      <c r="M2699">
        <v>15</v>
      </c>
      <c r="N2699" s="3">
        <v>7560</v>
      </c>
      <c r="O2699" s="3">
        <v>15120</v>
      </c>
      <c r="P2699" t="s">
        <v>34</v>
      </c>
      <c r="Q2699" t="s">
        <v>35</v>
      </c>
      <c r="R2699" t="s">
        <v>36</v>
      </c>
      <c r="S2699" t="s">
        <v>210</v>
      </c>
      <c r="T2699" t="s">
        <v>211</v>
      </c>
      <c r="U2699" t="s">
        <v>124</v>
      </c>
      <c r="V2699" t="s">
        <v>969</v>
      </c>
      <c r="W2699">
        <v>2.7</v>
      </c>
      <c r="X2699" t="s">
        <v>41</v>
      </c>
      <c r="Y2699" t="s">
        <v>42</v>
      </c>
      <c r="Z2699">
        <v>4</v>
      </c>
    </row>
    <row r="2700" spans="1:26">
      <c r="A2700" t="s">
        <v>3941</v>
      </c>
      <c r="B2700" t="s">
        <v>876</v>
      </c>
      <c r="C2700" t="s">
        <v>28</v>
      </c>
      <c r="D2700" t="s">
        <v>95</v>
      </c>
      <c r="E2700" s="1">
        <v>45678</v>
      </c>
      <c r="F2700" t="s">
        <v>79</v>
      </c>
      <c r="G2700" t="s">
        <v>127</v>
      </c>
      <c r="H2700" t="s">
        <v>128</v>
      </c>
      <c r="I2700">
        <v>9</v>
      </c>
      <c r="J2700" t="s">
        <v>88</v>
      </c>
      <c r="K2700">
        <v>2</v>
      </c>
      <c r="L2700" s="3">
        <v>4499</v>
      </c>
      <c r="M2700">
        <v>10</v>
      </c>
      <c r="N2700" s="3">
        <v>4050</v>
      </c>
      <c r="O2700" s="3">
        <v>8100</v>
      </c>
      <c r="P2700" t="s">
        <v>34</v>
      </c>
      <c r="Q2700" t="s">
        <v>51</v>
      </c>
      <c r="R2700" t="s">
        <v>36</v>
      </c>
      <c r="S2700" t="s">
        <v>243</v>
      </c>
      <c r="T2700" t="s">
        <v>328</v>
      </c>
      <c r="U2700" t="s">
        <v>39</v>
      </c>
      <c r="V2700" t="s">
        <v>315</v>
      </c>
      <c r="W2700">
        <v>4.5999999999999996</v>
      </c>
      <c r="X2700" t="s">
        <v>62</v>
      </c>
      <c r="Y2700" t="s">
        <v>42</v>
      </c>
      <c r="Z2700">
        <v>6</v>
      </c>
    </row>
    <row r="2701" spans="1:26">
      <c r="A2701" t="s">
        <v>3942</v>
      </c>
      <c r="B2701" t="s">
        <v>289</v>
      </c>
      <c r="C2701" t="s">
        <v>28</v>
      </c>
      <c r="D2701" t="s">
        <v>95</v>
      </c>
      <c r="E2701" s="1">
        <v>45679</v>
      </c>
      <c r="F2701" t="s">
        <v>65</v>
      </c>
      <c r="G2701" t="s">
        <v>365</v>
      </c>
      <c r="H2701" t="s">
        <v>49</v>
      </c>
      <c r="I2701">
        <v>7</v>
      </c>
      <c r="J2701" t="s">
        <v>33</v>
      </c>
      <c r="K2701">
        <v>1</v>
      </c>
      <c r="L2701" s="3">
        <v>5999</v>
      </c>
      <c r="M2701">
        <v>25</v>
      </c>
      <c r="N2701" s="3">
        <v>4500</v>
      </c>
      <c r="O2701" s="3">
        <v>4500</v>
      </c>
      <c r="P2701" t="s">
        <v>74</v>
      </c>
      <c r="Q2701" t="s">
        <v>82</v>
      </c>
      <c r="R2701" t="s">
        <v>36</v>
      </c>
      <c r="S2701" t="s">
        <v>200</v>
      </c>
      <c r="T2701" t="s">
        <v>219</v>
      </c>
      <c r="U2701" t="s">
        <v>91</v>
      </c>
      <c r="V2701" t="s">
        <v>969</v>
      </c>
      <c r="W2701">
        <v>4.9000000000000004</v>
      </c>
      <c r="X2701" t="s">
        <v>41</v>
      </c>
      <c r="Y2701" t="s">
        <v>147</v>
      </c>
      <c r="Z2701">
        <v>2</v>
      </c>
    </row>
    <row r="2702" spans="1:26">
      <c r="A2702" t="s">
        <v>3943</v>
      </c>
      <c r="B2702" t="s">
        <v>1081</v>
      </c>
      <c r="C2702" t="s">
        <v>28</v>
      </c>
      <c r="D2702" t="s">
        <v>46</v>
      </c>
      <c r="E2702" s="1">
        <v>45679</v>
      </c>
      <c r="F2702" t="s">
        <v>79</v>
      </c>
      <c r="G2702" t="s">
        <v>301</v>
      </c>
      <c r="H2702" t="s">
        <v>49</v>
      </c>
      <c r="I2702">
        <v>8</v>
      </c>
      <c r="J2702" t="s">
        <v>88</v>
      </c>
      <c r="K2702">
        <v>1</v>
      </c>
      <c r="L2702" s="3">
        <v>8599</v>
      </c>
      <c r="M2702">
        <v>15</v>
      </c>
      <c r="N2702" s="3">
        <v>7310</v>
      </c>
      <c r="O2702" s="3">
        <v>7310</v>
      </c>
      <c r="P2702" t="s">
        <v>74</v>
      </c>
      <c r="Q2702" t="s">
        <v>82</v>
      </c>
      <c r="R2702" t="s">
        <v>36</v>
      </c>
      <c r="S2702" t="s">
        <v>191</v>
      </c>
      <c r="T2702" t="s">
        <v>572</v>
      </c>
      <c r="U2702" t="s">
        <v>124</v>
      </c>
      <c r="V2702" t="s">
        <v>969</v>
      </c>
      <c r="W2702">
        <v>2.9</v>
      </c>
      <c r="X2702" t="s">
        <v>62</v>
      </c>
      <c r="Y2702" t="s">
        <v>42</v>
      </c>
      <c r="Z2702">
        <v>3</v>
      </c>
    </row>
    <row r="2703" spans="1:26">
      <c r="A2703" t="s">
        <v>3944</v>
      </c>
      <c r="B2703" t="s">
        <v>3025</v>
      </c>
      <c r="C2703" t="s">
        <v>45</v>
      </c>
      <c r="D2703" t="s">
        <v>46</v>
      </c>
      <c r="E2703" s="1">
        <v>45680</v>
      </c>
      <c r="F2703" t="s">
        <v>65</v>
      </c>
      <c r="G2703" t="s">
        <v>365</v>
      </c>
      <c r="H2703" t="s">
        <v>49</v>
      </c>
      <c r="I2703">
        <v>6</v>
      </c>
      <c r="J2703" t="s">
        <v>88</v>
      </c>
      <c r="K2703">
        <v>1</v>
      </c>
      <c r="L2703" s="3">
        <v>7399</v>
      </c>
      <c r="M2703">
        <v>40</v>
      </c>
      <c r="N2703" s="3">
        <v>4440</v>
      </c>
      <c r="O2703" s="3">
        <v>4440</v>
      </c>
      <c r="P2703" t="s">
        <v>34</v>
      </c>
      <c r="Q2703" t="s">
        <v>35</v>
      </c>
      <c r="R2703" t="s">
        <v>36</v>
      </c>
      <c r="S2703" t="s">
        <v>354</v>
      </c>
      <c r="T2703" t="s">
        <v>355</v>
      </c>
      <c r="U2703" t="s">
        <v>54</v>
      </c>
      <c r="V2703" t="s">
        <v>315</v>
      </c>
      <c r="W2703">
        <v>3.4</v>
      </c>
      <c r="X2703" t="s">
        <v>41</v>
      </c>
      <c r="Y2703" t="s">
        <v>42</v>
      </c>
      <c r="Z2703">
        <v>4</v>
      </c>
    </row>
    <row r="2704" spans="1:26">
      <c r="A2704" t="s">
        <v>3945</v>
      </c>
      <c r="B2704" t="s">
        <v>3946</v>
      </c>
      <c r="C2704" t="s">
        <v>94</v>
      </c>
      <c r="D2704" t="s">
        <v>29</v>
      </c>
      <c r="E2704" s="1">
        <v>45681</v>
      </c>
      <c r="F2704" t="s">
        <v>30</v>
      </c>
      <c r="G2704" t="s">
        <v>110</v>
      </c>
      <c r="H2704" t="s">
        <v>111</v>
      </c>
      <c r="I2704">
        <v>11</v>
      </c>
      <c r="J2704" t="s">
        <v>98</v>
      </c>
      <c r="K2704">
        <v>1</v>
      </c>
      <c r="L2704" s="3">
        <v>7499</v>
      </c>
      <c r="M2704">
        <v>0</v>
      </c>
      <c r="N2704" s="3">
        <v>7500</v>
      </c>
      <c r="O2704" s="3">
        <v>7500</v>
      </c>
      <c r="P2704" t="s">
        <v>74</v>
      </c>
      <c r="Q2704" t="s">
        <v>51</v>
      </c>
      <c r="R2704" t="s">
        <v>36</v>
      </c>
      <c r="S2704" t="s">
        <v>75</v>
      </c>
      <c r="T2704" t="s">
        <v>318</v>
      </c>
      <c r="U2704" t="s">
        <v>124</v>
      </c>
      <c r="V2704" t="s">
        <v>40</v>
      </c>
      <c r="W2704">
        <v>3.3</v>
      </c>
      <c r="X2704" t="s">
        <v>41</v>
      </c>
      <c r="Y2704" t="s">
        <v>55</v>
      </c>
      <c r="Z2704">
        <v>3</v>
      </c>
    </row>
    <row r="2705" spans="1:26">
      <c r="A2705" t="s">
        <v>3947</v>
      </c>
      <c r="B2705" t="s">
        <v>1139</v>
      </c>
      <c r="C2705" t="s">
        <v>28</v>
      </c>
      <c r="D2705" t="s">
        <v>103</v>
      </c>
      <c r="E2705" s="1">
        <v>45681</v>
      </c>
      <c r="F2705" t="s">
        <v>47</v>
      </c>
      <c r="G2705" t="s">
        <v>199</v>
      </c>
      <c r="H2705" t="s">
        <v>59</v>
      </c>
      <c r="I2705">
        <v>11</v>
      </c>
      <c r="J2705" t="s">
        <v>33</v>
      </c>
      <c r="K2705">
        <v>1</v>
      </c>
      <c r="L2705" s="3">
        <v>6399</v>
      </c>
      <c r="M2705">
        <v>15</v>
      </c>
      <c r="N2705" s="3">
        <v>5440</v>
      </c>
      <c r="O2705" s="3">
        <v>5440</v>
      </c>
      <c r="P2705" t="s">
        <v>74</v>
      </c>
      <c r="Q2705" t="s">
        <v>51</v>
      </c>
      <c r="R2705" t="s">
        <v>36</v>
      </c>
      <c r="S2705" t="s">
        <v>338</v>
      </c>
      <c r="T2705" t="s">
        <v>779</v>
      </c>
      <c r="U2705" t="s">
        <v>54</v>
      </c>
      <c r="V2705" t="s">
        <v>969</v>
      </c>
      <c r="W2705">
        <v>3</v>
      </c>
      <c r="X2705" t="s">
        <v>41</v>
      </c>
      <c r="Y2705" t="s">
        <v>42</v>
      </c>
      <c r="Z2705">
        <v>3</v>
      </c>
    </row>
    <row r="2706" spans="1:26">
      <c r="A2706" t="s">
        <v>3948</v>
      </c>
      <c r="B2706" t="s">
        <v>2037</v>
      </c>
      <c r="C2706" t="s">
        <v>28</v>
      </c>
      <c r="D2706" t="s">
        <v>29</v>
      </c>
      <c r="E2706" s="1">
        <v>45682</v>
      </c>
      <c r="F2706" t="s">
        <v>65</v>
      </c>
      <c r="G2706" t="s">
        <v>279</v>
      </c>
      <c r="H2706" t="s">
        <v>111</v>
      </c>
      <c r="I2706">
        <v>7</v>
      </c>
      <c r="J2706" t="s">
        <v>67</v>
      </c>
      <c r="K2706">
        <v>2</v>
      </c>
      <c r="L2706" s="3">
        <v>5599</v>
      </c>
      <c r="M2706">
        <v>30</v>
      </c>
      <c r="N2706" s="3">
        <v>3920</v>
      </c>
      <c r="O2706" s="3">
        <v>7840</v>
      </c>
      <c r="P2706" t="s">
        <v>74</v>
      </c>
      <c r="Q2706" t="s">
        <v>82</v>
      </c>
      <c r="R2706" t="s">
        <v>36</v>
      </c>
      <c r="S2706" t="s">
        <v>182</v>
      </c>
      <c r="T2706" t="s">
        <v>503</v>
      </c>
      <c r="U2706" t="s">
        <v>61</v>
      </c>
      <c r="V2706" t="s">
        <v>315</v>
      </c>
      <c r="W2706">
        <v>3.3</v>
      </c>
      <c r="X2706" t="s">
        <v>41</v>
      </c>
      <c r="Y2706" t="s">
        <v>42</v>
      </c>
      <c r="Z2706">
        <v>4</v>
      </c>
    </row>
    <row r="2707" spans="1:26">
      <c r="A2707" t="s">
        <v>3949</v>
      </c>
      <c r="B2707" t="s">
        <v>471</v>
      </c>
      <c r="C2707" t="s">
        <v>45</v>
      </c>
      <c r="D2707" t="s">
        <v>95</v>
      </c>
      <c r="E2707" s="1">
        <v>45682</v>
      </c>
      <c r="F2707" t="s">
        <v>47</v>
      </c>
      <c r="G2707" t="s">
        <v>199</v>
      </c>
      <c r="H2707" t="s">
        <v>59</v>
      </c>
      <c r="I2707">
        <v>8</v>
      </c>
      <c r="J2707" t="s">
        <v>88</v>
      </c>
      <c r="K2707">
        <v>1</v>
      </c>
      <c r="L2707" s="3">
        <v>6899</v>
      </c>
      <c r="M2707">
        <v>20</v>
      </c>
      <c r="N2707" s="3">
        <v>5520</v>
      </c>
      <c r="O2707" s="3">
        <v>5520</v>
      </c>
      <c r="P2707" t="s">
        <v>74</v>
      </c>
      <c r="Q2707" t="s">
        <v>35</v>
      </c>
      <c r="R2707" t="s">
        <v>36</v>
      </c>
      <c r="S2707" t="s">
        <v>200</v>
      </c>
      <c r="T2707" t="s">
        <v>204</v>
      </c>
      <c r="U2707" t="s">
        <v>124</v>
      </c>
      <c r="V2707" t="s">
        <v>969</v>
      </c>
      <c r="W2707">
        <v>4.5999999999999996</v>
      </c>
      <c r="X2707" t="s">
        <v>62</v>
      </c>
      <c r="Y2707" t="s">
        <v>42</v>
      </c>
      <c r="Z2707">
        <v>2</v>
      </c>
    </row>
    <row r="2708" spans="1:26">
      <c r="A2708" t="s">
        <v>3950</v>
      </c>
      <c r="B2708" t="s">
        <v>1973</v>
      </c>
      <c r="C2708" t="s">
        <v>28</v>
      </c>
      <c r="D2708" t="s">
        <v>109</v>
      </c>
      <c r="E2708" s="1">
        <v>45682</v>
      </c>
      <c r="F2708" t="s">
        <v>65</v>
      </c>
      <c r="G2708" t="s">
        <v>72</v>
      </c>
      <c r="H2708" t="s">
        <v>59</v>
      </c>
      <c r="I2708">
        <v>11</v>
      </c>
      <c r="J2708" t="s">
        <v>67</v>
      </c>
      <c r="K2708">
        <v>3</v>
      </c>
      <c r="L2708" s="3">
        <v>3399</v>
      </c>
      <c r="M2708">
        <v>25</v>
      </c>
      <c r="N2708" s="3">
        <v>2550</v>
      </c>
      <c r="O2708" s="3">
        <v>7650</v>
      </c>
      <c r="P2708" t="s">
        <v>74</v>
      </c>
      <c r="Q2708" t="s">
        <v>51</v>
      </c>
      <c r="R2708" t="s">
        <v>36</v>
      </c>
      <c r="S2708" t="s">
        <v>164</v>
      </c>
      <c r="T2708" t="s">
        <v>314</v>
      </c>
      <c r="U2708" t="s">
        <v>61</v>
      </c>
      <c r="V2708" t="s">
        <v>969</v>
      </c>
      <c r="W2708">
        <v>4.0999999999999996</v>
      </c>
      <c r="X2708" t="s">
        <v>41</v>
      </c>
      <c r="Y2708" t="s">
        <v>42</v>
      </c>
      <c r="Z2708">
        <v>5</v>
      </c>
    </row>
    <row r="2709" spans="1:26">
      <c r="A2709" t="s">
        <v>3951</v>
      </c>
      <c r="B2709" t="s">
        <v>2185</v>
      </c>
      <c r="C2709" t="s">
        <v>28</v>
      </c>
      <c r="D2709" t="s">
        <v>29</v>
      </c>
      <c r="E2709" s="1">
        <v>45683</v>
      </c>
      <c r="F2709" t="s">
        <v>86</v>
      </c>
      <c r="G2709" t="s">
        <v>312</v>
      </c>
      <c r="H2709" t="s">
        <v>59</v>
      </c>
      <c r="I2709">
        <v>12</v>
      </c>
      <c r="J2709" t="s">
        <v>98</v>
      </c>
      <c r="K2709">
        <v>1</v>
      </c>
      <c r="L2709" s="3">
        <v>6999</v>
      </c>
      <c r="M2709">
        <v>15</v>
      </c>
      <c r="N2709" s="3">
        <v>5950</v>
      </c>
      <c r="O2709" s="3">
        <v>5950</v>
      </c>
      <c r="P2709" t="s">
        <v>34</v>
      </c>
      <c r="Q2709" t="s">
        <v>51</v>
      </c>
      <c r="R2709" t="s">
        <v>36</v>
      </c>
      <c r="S2709" t="s">
        <v>358</v>
      </c>
      <c r="T2709" t="s">
        <v>359</v>
      </c>
      <c r="U2709" t="s">
        <v>91</v>
      </c>
      <c r="V2709" t="s">
        <v>315</v>
      </c>
      <c r="W2709">
        <v>4.2</v>
      </c>
      <c r="X2709" t="s">
        <v>41</v>
      </c>
      <c r="Y2709" t="s">
        <v>42</v>
      </c>
      <c r="Z2709">
        <v>1</v>
      </c>
    </row>
    <row r="2710" spans="1:26">
      <c r="A2710" t="s">
        <v>3952</v>
      </c>
      <c r="B2710" t="s">
        <v>574</v>
      </c>
      <c r="C2710" t="s">
        <v>28</v>
      </c>
      <c r="D2710" t="s">
        <v>46</v>
      </c>
      <c r="E2710" s="1">
        <v>45683</v>
      </c>
      <c r="F2710" t="s">
        <v>65</v>
      </c>
      <c r="G2710" t="s">
        <v>72</v>
      </c>
      <c r="H2710" t="s">
        <v>59</v>
      </c>
      <c r="I2710">
        <v>7</v>
      </c>
      <c r="J2710" t="s">
        <v>33</v>
      </c>
      <c r="K2710">
        <v>1</v>
      </c>
      <c r="L2710" s="3">
        <v>4699</v>
      </c>
      <c r="M2710">
        <v>20</v>
      </c>
      <c r="N2710" s="3">
        <v>3760</v>
      </c>
      <c r="O2710" s="3">
        <v>3760</v>
      </c>
      <c r="P2710" t="s">
        <v>34</v>
      </c>
      <c r="Q2710" t="s">
        <v>51</v>
      </c>
      <c r="R2710" t="s">
        <v>36</v>
      </c>
      <c r="S2710" t="s">
        <v>156</v>
      </c>
      <c r="T2710" t="s">
        <v>257</v>
      </c>
      <c r="U2710" t="s">
        <v>61</v>
      </c>
      <c r="V2710" t="s">
        <v>969</v>
      </c>
      <c r="W2710">
        <v>4.5999999999999996</v>
      </c>
      <c r="X2710" t="s">
        <v>41</v>
      </c>
      <c r="Y2710" t="s">
        <v>42</v>
      </c>
      <c r="Z2710">
        <v>3</v>
      </c>
    </row>
    <row r="2711" spans="1:26">
      <c r="A2711" t="s">
        <v>3953</v>
      </c>
      <c r="B2711" t="s">
        <v>1220</v>
      </c>
      <c r="C2711" t="s">
        <v>45</v>
      </c>
      <c r="D2711" t="s">
        <v>109</v>
      </c>
      <c r="E2711" s="1">
        <v>45684</v>
      </c>
      <c r="F2711" t="s">
        <v>96</v>
      </c>
      <c r="G2711" t="s">
        <v>290</v>
      </c>
      <c r="H2711" t="s">
        <v>32</v>
      </c>
      <c r="I2711">
        <v>8</v>
      </c>
      <c r="J2711" t="s">
        <v>67</v>
      </c>
      <c r="K2711">
        <v>1</v>
      </c>
      <c r="L2711" s="3">
        <v>8599</v>
      </c>
      <c r="M2711">
        <v>15</v>
      </c>
      <c r="N2711" s="3">
        <v>7310</v>
      </c>
      <c r="O2711" s="3">
        <v>7310</v>
      </c>
      <c r="P2711" t="s">
        <v>81</v>
      </c>
      <c r="Q2711" t="s">
        <v>82</v>
      </c>
      <c r="R2711" t="s">
        <v>36</v>
      </c>
      <c r="S2711" t="s">
        <v>297</v>
      </c>
      <c r="T2711" t="s">
        <v>298</v>
      </c>
      <c r="U2711" t="s">
        <v>91</v>
      </c>
      <c r="V2711" t="s">
        <v>315</v>
      </c>
      <c r="W2711">
        <v>3.7</v>
      </c>
      <c r="X2711" t="s">
        <v>62</v>
      </c>
      <c r="Y2711" t="s">
        <v>42</v>
      </c>
      <c r="Z2711">
        <v>3</v>
      </c>
    </row>
    <row r="2712" spans="1:26">
      <c r="A2712" t="s">
        <v>3954</v>
      </c>
      <c r="B2712" t="s">
        <v>568</v>
      </c>
      <c r="C2712" t="s">
        <v>28</v>
      </c>
      <c r="D2712" t="s">
        <v>29</v>
      </c>
      <c r="E2712" s="1">
        <v>45685</v>
      </c>
      <c r="F2712" t="s">
        <v>86</v>
      </c>
      <c r="G2712" t="s">
        <v>116</v>
      </c>
      <c r="H2712" t="s">
        <v>49</v>
      </c>
      <c r="I2712">
        <v>9</v>
      </c>
      <c r="J2712" t="s">
        <v>33</v>
      </c>
      <c r="K2712">
        <v>2</v>
      </c>
      <c r="L2712" s="3">
        <v>8799</v>
      </c>
      <c r="M2712">
        <v>20</v>
      </c>
      <c r="N2712" s="3">
        <v>7040</v>
      </c>
      <c r="O2712" s="3">
        <v>14080</v>
      </c>
      <c r="P2712" t="s">
        <v>34</v>
      </c>
      <c r="Q2712" t="s">
        <v>51</v>
      </c>
      <c r="R2712" t="s">
        <v>36</v>
      </c>
      <c r="S2712" t="s">
        <v>243</v>
      </c>
      <c r="T2712" t="s">
        <v>328</v>
      </c>
      <c r="U2712" t="s">
        <v>91</v>
      </c>
      <c r="V2712" t="s">
        <v>969</v>
      </c>
      <c r="W2712">
        <v>5</v>
      </c>
      <c r="X2712" t="s">
        <v>41</v>
      </c>
      <c r="Y2712" t="s">
        <v>55</v>
      </c>
      <c r="Z2712">
        <v>3</v>
      </c>
    </row>
    <row r="2713" spans="1:26">
      <c r="A2713" t="s">
        <v>3955</v>
      </c>
      <c r="B2713" t="s">
        <v>1100</v>
      </c>
      <c r="C2713" t="s">
        <v>94</v>
      </c>
      <c r="D2713" t="s">
        <v>103</v>
      </c>
      <c r="E2713" s="1">
        <v>45690</v>
      </c>
      <c r="F2713" t="s">
        <v>47</v>
      </c>
      <c r="G2713" t="s">
        <v>402</v>
      </c>
      <c r="H2713" t="s">
        <v>32</v>
      </c>
      <c r="I2713">
        <v>11</v>
      </c>
      <c r="J2713" t="s">
        <v>33</v>
      </c>
      <c r="K2713">
        <v>1</v>
      </c>
      <c r="L2713" s="3">
        <v>7199</v>
      </c>
      <c r="M2713">
        <v>0</v>
      </c>
      <c r="N2713" s="3">
        <v>7200</v>
      </c>
      <c r="O2713" s="3">
        <v>7200</v>
      </c>
      <c r="P2713" t="s">
        <v>74</v>
      </c>
      <c r="Q2713" t="s">
        <v>51</v>
      </c>
      <c r="R2713" t="s">
        <v>36</v>
      </c>
      <c r="S2713" t="s">
        <v>68</v>
      </c>
      <c r="T2713" t="s">
        <v>207</v>
      </c>
      <c r="U2713" t="s">
        <v>54</v>
      </c>
      <c r="V2713" t="s">
        <v>969</v>
      </c>
      <c r="W2713">
        <v>4.7</v>
      </c>
      <c r="X2713" t="s">
        <v>62</v>
      </c>
      <c r="Y2713" t="s">
        <v>42</v>
      </c>
      <c r="Z2713">
        <v>4</v>
      </c>
    </row>
    <row r="2714" spans="1:26">
      <c r="A2714" t="s">
        <v>3956</v>
      </c>
      <c r="B2714" t="s">
        <v>2126</v>
      </c>
      <c r="C2714" t="s">
        <v>28</v>
      </c>
      <c r="D2714" t="s">
        <v>46</v>
      </c>
      <c r="E2714" s="1">
        <v>45691</v>
      </c>
      <c r="F2714" t="s">
        <v>47</v>
      </c>
      <c r="G2714" t="s">
        <v>48</v>
      </c>
      <c r="H2714" t="s">
        <v>49</v>
      </c>
      <c r="I2714">
        <v>9</v>
      </c>
      <c r="J2714" t="s">
        <v>150</v>
      </c>
      <c r="K2714">
        <v>1</v>
      </c>
      <c r="L2714" s="3">
        <v>8399</v>
      </c>
      <c r="M2714">
        <v>15</v>
      </c>
      <c r="N2714" s="3">
        <v>7140</v>
      </c>
      <c r="O2714" s="3">
        <v>7140</v>
      </c>
      <c r="P2714" t="s">
        <v>74</v>
      </c>
      <c r="Q2714" t="s">
        <v>82</v>
      </c>
      <c r="R2714" t="s">
        <v>36</v>
      </c>
      <c r="S2714" t="s">
        <v>151</v>
      </c>
      <c r="T2714" t="s">
        <v>890</v>
      </c>
      <c r="U2714" t="s">
        <v>54</v>
      </c>
      <c r="V2714" t="s">
        <v>315</v>
      </c>
      <c r="W2714">
        <v>5</v>
      </c>
      <c r="X2714" t="s">
        <v>41</v>
      </c>
      <c r="Y2714" t="s">
        <v>42</v>
      </c>
      <c r="Z2714">
        <v>6</v>
      </c>
    </row>
    <row r="2715" spans="1:26">
      <c r="A2715" t="s">
        <v>3957</v>
      </c>
      <c r="B2715" t="s">
        <v>1423</v>
      </c>
      <c r="C2715" t="s">
        <v>28</v>
      </c>
      <c r="D2715" t="s">
        <v>29</v>
      </c>
      <c r="E2715" s="1">
        <v>45692</v>
      </c>
      <c r="F2715" t="s">
        <v>47</v>
      </c>
      <c r="G2715" t="s">
        <v>199</v>
      </c>
      <c r="H2715" t="s">
        <v>59</v>
      </c>
      <c r="I2715">
        <v>8</v>
      </c>
      <c r="J2715" t="s">
        <v>67</v>
      </c>
      <c r="K2715">
        <v>1</v>
      </c>
      <c r="L2715" s="3">
        <v>7699</v>
      </c>
      <c r="M2715">
        <v>25</v>
      </c>
      <c r="N2715" s="3">
        <v>5770</v>
      </c>
      <c r="O2715" s="3">
        <v>5770</v>
      </c>
      <c r="P2715" t="s">
        <v>34</v>
      </c>
      <c r="Q2715" t="s">
        <v>82</v>
      </c>
      <c r="R2715" t="s">
        <v>36</v>
      </c>
      <c r="S2715" t="s">
        <v>37</v>
      </c>
      <c r="T2715" t="s">
        <v>38</v>
      </c>
      <c r="U2715" t="s">
        <v>91</v>
      </c>
      <c r="V2715" t="s">
        <v>969</v>
      </c>
      <c r="W2715">
        <v>4.0999999999999996</v>
      </c>
      <c r="X2715" t="s">
        <v>41</v>
      </c>
      <c r="Y2715" t="s">
        <v>55</v>
      </c>
      <c r="Z2715">
        <v>3</v>
      </c>
    </row>
    <row r="2716" spans="1:26">
      <c r="A2716" t="s">
        <v>3958</v>
      </c>
      <c r="B2716" t="s">
        <v>2593</v>
      </c>
      <c r="C2716" t="s">
        <v>28</v>
      </c>
      <c r="D2716" t="s">
        <v>46</v>
      </c>
      <c r="E2716" s="1">
        <v>45692</v>
      </c>
      <c r="F2716" t="s">
        <v>47</v>
      </c>
      <c r="G2716" t="s">
        <v>140</v>
      </c>
      <c r="H2716" t="s">
        <v>128</v>
      </c>
      <c r="I2716">
        <v>8</v>
      </c>
      <c r="J2716" t="s">
        <v>73</v>
      </c>
      <c r="K2716">
        <v>1</v>
      </c>
      <c r="L2716" s="3">
        <v>4899</v>
      </c>
      <c r="M2716">
        <v>40</v>
      </c>
      <c r="N2716" s="3">
        <v>2940</v>
      </c>
      <c r="O2716" s="3">
        <v>2940</v>
      </c>
      <c r="P2716" t="s">
        <v>74</v>
      </c>
      <c r="Q2716" t="s">
        <v>82</v>
      </c>
      <c r="R2716" t="s">
        <v>36</v>
      </c>
      <c r="S2716" t="s">
        <v>68</v>
      </c>
      <c r="T2716" t="s">
        <v>811</v>
      </c>
      <c r="U2716" t="s">
        <v>54</v>
      </c>
      <c r="V2716" t="s">
        <v>969</v>
      </c>
      <c r="W2716">
        <v>4.3</v>
      </c>
      <c r="X2716" t="s">
        <v>41</v>
      </c>
      <c r="Y2716" t="s">
        <v>55</v>
      </c>
      <c r="Z2716">
        <v>2</v>
      </c>
    </row>
    <row r="2717" spans="1:26">
      <c r="A2717" t="s">
        <v>3959</v>
      </c>
      <c r="B2717" t="s">
        <v>619</v>
      </c>
      <c r="C2717" t="s">
        <v>45</v>
      </c>
      <c r="D2717" t="s">
        <v>46</v>
      </c>
      <c r="E2717" s="1">
        <v>45692</v>
      </c>
      <c r="F2717" t="s">
        <v>47</v>
      </c>
      <c r="G2717" t="s">
        <v>121</v>
      </c>
      <c r="H2717" t="s">
        <v>111</v>
      </c>
      <c r="I2717">
        <v>12</v>
      </c>
      <c r="J2717" t="s">
        <v>33</v>
      </c>
      <c r="K2717">
        <v>1</v>
      </c>
      <c r="L2717" s="3">
        <v>8899</v>
      </c>
      <c r="M2717">
        <v>40</v>
      </c>
      <c r="N2717" s="3">
        <v>5340</v>
      </c>
      <c r="O2717" s="3">
        <v>5340</v>
      </c>
      <c r="P2717" t="s">
        <v>34</v>
      </c>
      <c r="Q2717" t="s">
        <v>82</v>
      </c>
      <c r="R2717" t="s">
        <v>36</v>
      </c>
      <c r="S2717" t="s">
        <v>141</v>
      </c>
      <c r="T2717" t="s">
        <v>728</v>
      </c>
      <c r="U2717" t="s">
        <v>39</v>
      </c>
      <c r="V2717" t="s">
        <v>969</v>
      </c>
      <c r="W2717">
        <v>2.9</v>
      </c>
      <c r="X2717" t="s">
        <v>62</v>
      </c>
      <c r="Y2717" t="s">
        <v>42</v>
      </c>
      <c r="Z2717">
        <v>2</v>
      </c>
    </row>
    <row r="2718" spans="1:26">
      <c r="A2718" t="s">
        <v>3960</v>
      </c>
      <c r="B2718" t="s">
        <v>3510</v>
      </c>
      <c r="C2718" t="s">
        <v>28</v>
      </c>
      <c r="D2718" t="s">
        <v>95</v>
      </c>
      <c r="E2718" s="1">
        <v>45692</v>
      </c>
      <c r="F2718" t="s">
        <v>47</v>
      </c>
      <c r="G2718" t="s">
        <v>140</v>
      </c>
      <c r="H2718" t="s">
        <v>128</v>
      </c>
      <c r="I2718">
        <v>6</v>
      </c>
      <c r="J2718" t="s">
        <v>98</v>
      </c>
      <c r="K2718">
        <v>1</v>
      </c>
      <c r="L2718" s="3">
        <v>8699</v>
      </c>
      <c r="M2718">
        <v>15</v>
      </c>
      <c r="N2718" s="3">
        <v>7390</v>
      </c>
      <c r="O2718" s="3">
        <v>7390</v>
      </c>
      <c r="P2718" t="s">
        <v>34</v>
      </c>
      <c r="Q2718" t="s">
        <v>51</v>
      </c>
      <c r="R2718" t="s">
        <v>36</v>
      </c>
      <c r="S2718" t="s">
        <v>210</v>
      </c>
      <c r="T2718" t="s">
        <v>412</v>
      </c>
      <c r="U2718" t="s">
        <v>54</v>
      </c>
      <c r="V2718" t="s">
        <v>315</v>
      </c>
      <c r="W2718">
        <v>3.9</v>
      </c>
      <c r="X2718" t="s">
        <v>62</v>
      </c>
      <c r="Y2718" t="s">
        <v>42</v>
      </c>
      <c r="Z2718">
        <v>4</v>
      </c>
    </row>
    <row r="2719" spans="1:26">
      <c r="A2719" t="s">
        <v>3961</v>
      </c>
      <c r="B2719" t="s">
        <v>531</v>
      </c>
      <c r="C2719" t="s">
        <v>94</v>
      </c>
      <c r="D2719" t="s">
        <v>95</v>
      </c>
      <c r="E2719" s="1">
        <v>45692</v>
      </c>
      <c r="F2719" t="s">
        <v>30</v>
      </c>
      <c r="G2719" t="s">
        <v>145</v>
      </c>
      <c r="H2719" t="s">
        <v>59</v>
      </c>
      <c r="I2719">
        <v>8</v>
      </c>
      <c r="J2719" t="s">
        <v>150</v>
      </c>
      <c r="K2719">
        <v>2</v>
      </c>
      <c r="L2719" s="3">
        <v>5599</v>
      </c>
      <c r="M2719">
        <v>15</v>
      </c>
      <c r="N2719" s="3">
        <v>4760</v>
      </c>
      <c r="O2719" s="3">
        <v>9520</v>
      </c>
      <c r="P2719" t="s">
        <v>34</v>
      </c>
      <c r="Q2719" t="s">
        <v>35</v>
      </c>
      <c r="R2719" t="s">
        <v>36</v>
      </c>
      <c r="S2719" t="s">
        <v>418</v>
      </c>
      <c r="T2719" t="s">
        <v>419</v>
      </c>
      <c r="U2719" t="s">
        <v>124</v>
      </c>
      <c r="V2719" t="s">
        <v>969</v>
      </c>
      <c r="W2719">
        <v>4.0999999999999996</v>
      </c>
      <c r="X2719" t="s">
        <v>41</v>
      </c>
      <c r="Y2719" t="s">
        <v>42</v>
      </c>
      <c r="Z2719">
        <v>3</v>
      </c>
    </row>
    <row r="2720" spans="1:26">
      <c r="A2720" t="s">
        <v>3962</v>
      </c>
      <c r="B2720" t="s">
        <v>531</v>
      </c>
      <c r="C2720" t="s">
        <v>45</v>
      </c>
      <c r="D2720" t="s">
        <v>95</v>
      </c>
      <c r="E2720" s="1">
        <v>45693</v>
      </c>
      <c r="F2720" t="s">
        <v>65</v>
      </c>
      <c r="G2720" t="s">
        <v>72</v>
      </c>
      <c r="H2720" t="s">
        <v>59</v>
      </c>
      <c r="I2720">
        <v>8</v>
      </c>
      <c r="J2720" t="s">
        <v>88</v>
      </c>
      <c r="K2720">
        <v>1</v>
      </c>
      <c r="L2720" s="3">
        <v>5299</v>
      </c>
      <c r="M2720">
        <v>25</v>
      </c>
      <c r="N2720" s="3">
        <v>3970</v>
      </c>
      <c r="O2720" s="3">
        <v>3970</v>
      </c>
      <c r="P2720" t="s">
        <v>74</v>
      </c>
      <c r="Q2720" t="s">
        <v>82</v>
      </c>
      <c r="R2720" t="s">
        <v>36</v>
      </c>
      <c r="S2720" t="s">
        <v>460</v>
      </c>
      <c r="T2720" t="s">
        <v>1868</v>
      </c>
      <c r="U2720" t="s">
        <v>54</v>
      </c>
      <c r="V2720" t="s">
        <v>969</v>
      </c>
      <c r="W2720">
        <v>3.3</v>
      </c>
      <c r="X2720" t="s">
        <v>106</v>
      </c>
      <c r="Y2720" t="s">
        <v>42</v>
      </c>
      <c r="Z2720">
        <v>6</v>
      </c>
    </row>
    <row r="2721" spans="1:26">
      <c r="A2721" t="s">
        <v>3963</v>
      </c>
      <c r="B2721" t="s">
        <v>102</v>
      </c>
      <c r="C2721" t="s">
        <v>45</v>
      </c>
      <c r="D2721" t="s">
        <v>109</v>
      </c>
      <c r="E2721" s="1">
        <v>45695</v>
      </c>
      <c r="F2721" t="s">
        <v>30</v>
      </c>
      <c r="G2721" t="s">
        <v>58</v>
      </c>
      <c r="H2721" t="s">
        <v>59</v>
      </c>
      <c r="I2721">
        <v>8</v>
      </c>
      <c r="J2721" t="s">
        <v>33</v>
      </c>
      <c r="K2721">
        <v>1</v>
      </c>
      <c r="L2721" s="3">
        <v>8899</v>
      </c>
      <c r="M2721">
        <v>10</v>
      </c>
      <c r="N2721" s="3">
        <v>8010</v>
      </c>
      <c r="O2721" s="3">
        <v>8010</v>
      </c>
      <c r="P2721" t="s">
        <v>74</v>
      </c>
      <c r="Q2721" t="s">
        <v>82</v>
      </c>
      <c r="R2721" t="s">
        <v>36</v>
      </c>
      <c r="S2721" t="s">
        <v>286</v>
      </c>
      <c r="T2721" t="s">
        <v>366</v>
      </c>
      <c r="U2721" t="s">
        <v>54</v>
      </c>
      <c r="V2721" t="s">
        <v>969</v>
      </c>
      <c r="W2721">
        <v>4.0999999999999996</v>
      </c>
      <c r="X2721" t="s">
        <v>41</v>
      </c>
      <c r="Y2721" t="s">
        <v>42</v>
      </c>
      <c r="Z2721">
        <v>5</v>
      </c>
    </row>
    <row r="2722" spans="1:26">
      <c r="A2722" t="s">
        <v>3964</v>
      </c>
      <c r="B2722" t="s">
        <v>930</v>
      </c>
      <c r="C2722" t="s">
        <v>28</v>
      </c>
      <c r="D2722" t="s">
        <v>95</v>
      </c>
      <c r="E2722" s="1">
        <v>45697</v>
      </c>
      <c r="F2722" t="s">
        <v>65</v>
      </c>
      <c r="G2722" t="s">
        <v>268</v>
      </c>
      <c r="H2722" t="s">
        <v>128</v>
      </c>
      <c r="I2722">
        <v>6</v>
      </c>
      <c r="J2722" t="s">
        <v>67</v>
      </c>
      <c r="K2722">
        <v>1</v>
      </c>
      <c r="L2722" s="3">
        <v>5699</v>
      </c>
      <c r="M2722">
        <v>10</v>
      </c>
      <c r="N2722" s="3">
        <v>5130</v>
      </c>
      <c r="O2722" s="3">
        <v>5130</v>
      </c>
      <c r="P2722" t="s">
        <v>74</v>
      </c>
      <c r="Q2722" t="s">
        <v>51</v>
      </c>
      <c r="R2722" t="s">
        <v>36</v>
      </c>
      <c r="S2722" t="s">
        <v>354</v>
      </c>
      <c r="T2722" t="s">
        <v>518</v>
      </c>
      <c r="U2722" t="s">
        <v>124</v>
      </c>
      <c r="V2722" t="s">
        <v>969</v>
      </c>
      <c r="W2722">
        <v>3.7</v>
      </c>
      <c r="X2722" t="s">
        <v>62</v>
      </c>
      <c r="Y2722" t="s">
        <v>42</v>
      </c>
      <c r="Z2722">
        <v>6</v>
      </c>
    </row>
    <row r="2723" spans="1:26">
      <c r="A2723" t="s">
        <v>3965</v>
      </c>
      <c r="B2723" t="s">
        <v>2927</v>
      </c>
      <c r="C2723" t="s">
        <v>28</v>
      </c>
      <c r="D2723" t="s">
        <v>29</v>
      </c>
      <c r="E2723" s="1">
        <v>45697</v>
      </c>
      <c r="F2723" t="s">
        <v>30</v>
      </c>
      <c r="G2723" t="s">
        <v>214</v>
      </c>
      <c r="H2723" t="s">
        <v>128</v>
      </c>
      <c r="I2723">
        <v>12</v>
      </c>
      <c r="J2723" t="s">
        <v>88</v>
      </c>
      <c r="K2723">
        <v>1</v>
      </c>
      <c r="L2723" s="3">
        <v>5399</v>
      </c>
      <c r="M2723">
        <v>20</v>
      </c>
      <c r="N2723" s="3">
        <v>4320</v>
      </c>
      <c r="O2723" s="3">
        <v>4320</v>
      </c>
      <c r="P2723" t="s">
        <v>74</v>
      </c>
      <c r="Q2723" t="s">
        <v>35</v>
      </c>
      <c r="R2723" t="s">
        <v>36</v>
      </c>
      <c r="S2723" t="s">
        <v>243</v>
      </c>
      <c r="T2723" t="s">
        <v>244</v>
      </c>
      <c r="U2723" t="s">
        <v>54</v>
      </c>
      <c r="V2723" t="s">
        <v>969</v>
      </c>
      <c r="W2723">
        <v>4.2</v>
      </c>
      <c r="X2723" t="s">
        <v>62</v>
      </c>
      <c r="Y2723" t="s">
        <v>42</v>
      </c>
      <c r="Z2723">
        <v>5</v>
      </c>
    </row>
    <row r="2724" spans="1:26">
      <c r="A2724" t="s">
        <v>3966</v>
      </c>
      <c r="B2724" t="s">
        <v>3696</v>
      </c>
      <c r="C2724" t="s">
        <v>45</v>
      </c>
      <c r="D2724" t="s">
        <v>103</v>
      </c>
      <c r="E2724" s="1">
        <v>45698</v>
      </c>
      <c r="F2724" t="s">
        <v>86</v>
      </c>
      <c r="G2724" t="s">
        <v>190</v>
      </c>
      <c r="H2724" t="s">
        <v>128</v>
      </c>
      <c r="I2724">
        <v>10</v>
      </c>
      <c r="J2724" t="s">
        <v>67</v>
      </c>
      <c r="K2724">
        <v>1</v>
      </c>
      <c r="L2724" s="3">
        <v>5499</v>
      </c>
      <c r="M2724">
        <v>15</v>
      </c>
      <c r="N2724" s="3">
        <v>4670</v>
      </c>
      <c r="O2724" s="3">
        <v>4670</v>
      </c>
      <c r="P2724" t="s">
        <v>74</v>
      </c>
      <c r="Q2724" t="s">
        <v>82</v>
      </c>
      <c r="R2724" t="s">
        <v>36</v>
      </c>
      <c r="S2724" t="s">
        <v>175</v>
      </c>
      <c r="T2724" t="s">
        <v>495</v>
      </c>
      <c r="U2724" t="s">
        <v>54</v>
      </c>
      <c r="V2724" t="s">
        <v>315</v>
      </c>
      <c r="W2724">
        <v>4.0999999999999996</v>
      </c>
      <c r="X2724" t="s">
        <v>41</v>
      </c>
      <c r="Y2724" t="s">
        <v>42</v>
      </c>
      <c r="Z2724">
        <v>4</v>
      </c>
    </row>
    <row r="2725" spans="1:26">
      <c r="A2725" t="s">
        <v>3967</v>
      </c>
      <c r="B2725" t="s">
        <v>502</v>
      </c>
      <c r="C2725" t="s">
        <v>94</v>
      </c>
      <c r="D2725" t="s">
        <v>46</v>
      </c>
      <c r="E2725" s="1">
        <v>45698</v>
      </c>
      <c r="F2725" t="s">
        <v>86</v>
      </c>
      <c r="G2725" t="s">
        <v>312</v>
      </c>
      <c r="H2725" t="s">
        <v>59</v>
      </c>
      <c r="I2725">
        <v>8</v>
      </c>
      <c r="J2725" t="s">
        <v>67</v>
      </c>
      <c r="K2725">
        <v>1</v>
      </c>
      <c r="L2725" s="3">
        <v>4499</v>
      </c>
      <c r="M2725">
        <v>25</v>
      </c>
      <c r="N2725" s="3">
        <v>3370</v>
      </c>
      <c r="O2725" s="3">
        <v>3370</v>
      </c>
      <c r="P2725" t="s">
        <v>74</v>
      </c>
      <c r="Q2725" t="s">
        <v>82</v>
      </c>
      <c r="R2725" t="s">
        <v>36</v>
      </c>
      <c r="S2725" t="s">
        <v>112</v>
      </c>
      <c r="T2725" t="s">
        <v>113</v>
      </c>
      <c r="U2725" t="s">
        <v>54</v>
      </c>
      <c r="V2725" t="s">
        <v>969</v>
      </c>
      <c r="W2725">
        <v>3.9</v>
      </c>
      <c r="X2725" t="s">
        <v>106</v>
      </c>
      <c r="Y2725" t="s">
        <v>147</v>
      </c>
      <c r="Z2725">
        <v>1</v>
      </c>
    </row>
    <row r="2726" spans="1:26">
      <c r="A2726" t="s">
        <v>3968</v>
      </c>
      <c r="B2726" t="s">
        <v>763</v>
      </c>
      <c r="C2726" t="s">
        <v>45</v>
      </c>
      <c r="D2726" t="s">
        <v>29</v>
      </c>
      <c r="E2726" s="1">
        <v>45701</v>
      </c>
      <c r="F2726" t="s">
        <v>79</v>
      </c>
      <c r="G2726" t="s">
        <v>480</v>
      </c>
      <c r="H2726" t="s">
        <v>111</v>
      </c>
      <c r="I2726">
        <v>12</v>
      </c>
      <c r="J2726" t="s">
        <v>98</v>
      </c>
      <c r="K2726">
        <v>1</v>
      </c>
      <c r="L2726" s="3">
        <v>4499</v>
      </c>
      <c r="M2726">
        <v>35</v>
      </c>
      <c r="N2726" s="3">
        <v>2920</v>
      </c>
      <c r="O2726" s="3">
        <v>2920</v>
      </c>
      <c r="P2726" t="s">
        <v>74</v>
      </c>
      <c r="Q2726" t="s">
        <v>82</v>
      </c>
      <c r="R2726" t="s">
        <v>36</v>
      </c>
      <c r="S2726" t="s">
        <v>141</v>
      </c>
      <c r="T2726" t="s">
        <v>142</v>
      </c>
      <c r="U2726" t="s">
        <v>39</v>
      </c>
      <c r="V2726" t="s">
        <v>969</v>
      </c>
      <c r="W2726">
        <v>3.8</v>
      </c>
      <c r="X2726" t="s">
        <v>41</v>
      </c>
      <c r="Y2726" t="s">
        <v>42</v>
      </c>
      <c r="Z2726">
        <v>4</v>
      </c>
    </row>
    <row r="2727" spans="1:26">
      <c r="A2727" t="s">
        <v>3969</v>
      </c>
      <c r="B2727" t="s">
        <v>1862</v>
      </c>
      <c r="C2727" t="s">
        <v>28</v>
      </c>
      <c r="D2727" t="s">
        <v>29</v>
      </c>
      <c r="E2727" s="1">
        <v>45702</v>
      </c>
      <c r="F2727" t="s">
        <v>96</v>
      </c>
      <c r="G2727" t="s">
        <v>228</v>
      </c>
      <c r="H2727" t="s">
        <v>59</v>
      </c>
      <c r="I2727">
        <v>9</v>
      </c>
      <c r="J2727" t="s">
        <v>88</v>
      </c>
      <c r="K2727">
        <v>1</v>
      </c>
      <c r="L2727" s="3">
        <v>7299</v>
      </c>
      <c r="M2727">
        <v>35</v>
      </c>
      <c r="N2727" s="3">
        <v>4740</v>
      </c>
      <c r="O2727" s="3">
        <v>4740</v>
      </c>
      <c r="P2727" t="s">
        <v>74</v>
      </c>
      <c r="Q2727" t="s">
        <v>51</v>
      </c>
      <c r="R2727" t="s">
        <v>36</v>
      </c>
      <c r="S2727" t="s">
        <v>354</v>
      </c>
      <c r="T2727" t="s">
        <v>434</v>
      </c>
      <c r="U2727" t="s">
        <v>91</v>
      </c>
      <c r="V2727" t="s">
        <v>969</v>
      </c>
      <c r="W2727">
        <v>4.8</v>
      </c>
      <c r="X2727" t="s">
        <v>106</v>
      </c>
      <c r="Y2727" t="s">
        <v>55</v>
      </c>
      <c r="Z2727">
        <v>2</v>
      </c>
    </row>
    <row r="2728" spans="1:26">
      <c r="A2728" t="s">
        <v>3970</v>
      </c>
      <c r="B2728" t="s">
        <v>1179</v>
      </c>
      <c r="C2728" t="s">
        <v>94</v>
      </c>
      <c r="D2728" t="s">
        <v>103</v>
      </c>
      <c r="E2728" s="1">
        <v>45702</v>
      </c>
      <c r="F2728" t="s">
        <v>96</v>
      </c>
      <c r="G2728" t="s">
        <v>155</v>
      </c>
      <c r="H2728" t="s">
        <v>111</v>
      </c>
      <c r="I2728">
        <v>9</v>
      </c>
      <c r="J2728" t="s">
        <v>98</v>
      </c>
      <c r="K2728">
        <v>1</v>
      </c>
      <c r="L2728" s="3">
        <v>8399</v>
      </c>
      <c r="M2728">
        <v>15</v>
      </c>
      <c r="N2728" s="3">
        <v>7140</v>
      </c>
      <c r="O2728" s="3">
        <v>7140</v>
      </c>
      <c r="P2728" t="s">
        <v>74</v>
      </c>
      <c r="Q2728" t="s">
        <v>51</v>
      </c>
      <c r="R2728" t="s">
        <v>36</v>
      </c>
      <c r="S2728" t="s">
        <v>129</v>
      </c>
      <c r="T2728" t="s">
        <v>146</v>
      </c>
      <c r="U2728" t="s">
        <v>54</v>
      </c>
      <c r="V2728" t="s">
        <v>315</v>
      </c>
      <c r="W2728">
        <v>4.5</v>
      </c>
      <c r="X2728" t="s">
        <v>106</v>
      </c>
      <c r="Y2728" t="s">
        <v>42</v>
      </c>
      <c r="Z2728">
        <v>4</v>
      </c>
    </row>
    <row r="2729" spans="1:26">
      <c r="A2729" t="s">
        <v>3971</v>
      </c>
      <c r="B2729" t="s">
        <v>346</v>
      </c>
      <c r="C2729" t="s">
        <v>45</v>
      </c>
      <c r="D2729" t="s">
        <v>103</v>
      </c>
      <c r="E2729" s="1">
        <v>45703</v>
      </c>
      <c r="F2729" t="s">
        <v>65</v>
      </c>
      <c r="G2729" t="s">
        <v>365</v>
      </c>
      <c r="H2729" t="s">
        <v>49</v>
      </c>
      <c r="I2729">
        <v>10</v>
      </c>
      <c r="J2729" t="s">
        <v>150</v>
      </c>
      <c r="K2729">
        <v>1</v>
      </c>
      <c r="L2729" s="3">
        <v>5499</v>
      </c>
      <c r="M2729">
        <v>5</v>
      </c>
      <c r="N2729" s="3">
        <v>5220</v>
      </c>
      <c r="O2729" s="3">
        <v>5220</v>
      </c>
      <c r="P2729" t="s">
        <v>34</v>
      </c>
      <c r="Q2729" t="s">
        <v>35</v>
      </c>
      <c r="R2729" t="s">
        <v>36</v>
      </c>
      <c r="S2729" t="s">
        <v>354</v>
      </c>
      <c r="T2729" t="s">
        <v>518</v>
      </c>
      <c r="U2729" t="s">
        <v>39</v>
      </c>
      <c r="V2729" t="s">
        <v>969</v>
      </c>
      <c r="W2729">
        <v>4.0999999999999996</v>
      </c>
      <c r="X2729" t="s">
        <v>41</v>
      </c>
      <c r="Y2729" t="s">
        <v>55</v>
      </c>
      <c r="Z2729">
        <v>2</v>
      </c>
    </row>
    <row r="2730" spans="1:26">
      <c r="A2730" t="s">
        <v>3972</v>
      </c>
      <c r="B2730" t="s">
        <v>1780</v>
      </c>
      <c r="C2730" t="s">
        <v>45</v>
      </c>
      <c r="D2730" t="s">
        <v>103</v>
      </c>
      <c r="E2730" s="1">
        <v>45703</v>
      </c>
      <c r="F2730" t="s">
        <v>30</v>
      </c>
      <c r="G2730" t="s">
        <v>214</v>
      </c>
      <c r="H2730" t="s">
        <v>128</v>
      </c>
      <c r="I2730">
        <v>10</v>
      </c>
      <c r="J2730" t="s">
        <v>88</v>
      </c>
      <c r="K2730">
        <v>2</v>
      </c>
      <c r="L2730" s="3">
        <v>6699</v>
      </c>
      <c r="M2730">
        <v>20</v>
      </c>
      <c r="N2730" s="3">
        <v>5360</v>
      </c>
      <c r="O2730" s="3">
        <v>10720</v>
      </c>
      <c r="P2730" t="s">
        <v>34</v>
      </c>
      <c r="Q2730" t="s">
        <v>35</v>
      </c>
      <c r="R2730" t="s">
        <v>36</v>
      </c>
      <c r="S2730" t="s">
        <v>269</v>
      </c>
      <c r="T2730" t="s">
        <v>652</v>
      </c>
      <c r="U2730" t="s">
        <v>54</v>
      </c>
      <c r="V2730" t="s">
        <v>315</v>
      </c>
      <c r="W2730">
        <v>4.7</v>
      </c>
      <c r="X2730" t="s">
        <v>41</v>
      </c>
      <c r="Y2730" t="s">
        <v>55</v>
      </c>
      <c r="Z2730">
        <v>2</v>
      </c>
    </row>
    <row r="2731" spans="1:26">
      <c r="A2731" t="s">
        <v>3973</v>
      </c>
      <c r="B2731" t="s">
        <v>588</v>
      </c>
      <c r="C2731" t="s">
        <v>28</v>
      </c>
      <c r="D2731" t="s">
        <v>29</v>
      </c>
      <c r="E2731" s="1">
        <v>45704</v>
      </c>
      <c r="F2731" t="s">
        <v>86</v>
      </c>
      <c r="G2731" t="s">
        <v>190</v>
      </c>
      <c r="H2731" t="s">
        <v>128</v>
      </c>
      <c r="I2731">
        <v>11</v>
      </c>
      <c r="J2731" t="s">
        <v>150</v>
      </c>
      <c r="K2731">
        <v>1</v>
      </c>
      <c r="L2731" s="3">
        <v>8799</v>
      </c>
      <c r="M2731">
        <v>10</v>
      </c>
      <c r="N2731" s="3">
        <v>7920</v>
      </c>
      <c r="O2731" s="3">
        <v>7920</v>
      </c>
      <c r="P2731" t="s">
        <v>74</v>
      </c>
      <c r="Q2731" t="s">
        <v>82</v>
      </c>
      <c r="R2731" t="s">
        <v>36</v>
      </c>
      <c r="S2731" t="s">
        <v>141</v>
      </c>
      <c r="T2731" t="s">
        <v>142</v>
      </c>
      <c r="U2731" t="s">
        <v>91</v>
      </c>
      <c r="V2731" t="s">
        <v>315</v>
      </c>
      <c r="W2731">
        <v>3.5</v>
      </c>
      <c r="X2731" t="s">
        <v>41</v>
      </c>
      <c r="Y2731" t="s">
        <v>42</v>
      </c>
      <c r="Z2731">
        <v>6</v>
      </c>
    </row>
    <row r="2732" spans="1:26">
      <c r="A2732" t="s">
        <v>3974</v>
      </c>
      <c r="B2732" t="s">
        <v>713</v>
      </c>
      <c r="C2732" t="s">
        <v>28</v>
      </c>
      <c r="D2732" t="s">
        <v>29</v>
      </c>
      <c r="E2732" s="1">
        <v>45708</v>
      </c>
      <c r="F2732" t="s">
        <v>30</v>
      </c>
      <c r="G2732" t="s">
        <v>347</v>
      </c>
      <c r="H2732" t="s">
        <v>49</v>
      </c>
      <c r="I2732">
        <v>6</v>
      </c>
      <c r="J2732" t="s">
        <v>67</v>
      </c>
      <c r="K2732">
        <v>2</v>
      </c>
      <c r="L2732" s="3">
        <v>3599</v>
      </c>
      <c r="M2732">
        <v>0</v>
      </c>
      <c r="N2732" s="3">
        <v>3600</v>
      </c>
      <c r="O2732" s="3">
        <v>7200</v>
      </c>
      <c r="P2732" t="s">
        <v>74</v>
      </c>
      <c r="Q2732" t="s">
        <v>35</v>
      </c>
      <c r="R2732" t="s">
        <v>36</v>
      </c>
      <c r="S2732" t="s">
        <v>104</v>
      </c>
      <c r="T2732" t="s">
        <v>179</v>
      </c>
      <c r="U2732" t="s">
        <v>91</v>
      </c>
      <c r="V2732" t="s">
        <v>969</v>
      </c>
      <c r="W2732">
        <v>5</v>
      </c>
      <c r="X2732" t="s">
        <v>41</v>
      </c>
      <c r="Y2732" t="s">
        <v>42</v>
      </c>
      <c r="Z2732">
        <v>3</v>
      </c>
    </row>
    <row r="2733" spans="1:26">
      <c r="A2733" t="s">
        <v>3975</v>
      </c>
      <c r="B2733" t="s">
        <v>897</v>
      </c>
      <c r="C2733" t="s">
        <v>45</v>
      </c>
      <c r="D2733" t="s">
        <v>46</v>
      </c>
      <c r="E2733" s="1">
        <v>45709</v>
      </c>
      <c r="F2733" t="s">
        <v>65</v>
      </c>
      <c r="G2733" t="s">
        <v>66</v>
      </c>
      <c r="H2733" t="s">
        <v>59</v>
      </c>
      <c r="I2733">
        <v>9</v>
      </c>
      <c r="J2733" t="s">
        <v>33</v>
      </c>
      <c r="K2733">
        <v>1</v>
      </c>
      <c r="L2733" s="3">
        <v>6499</v>
      </c>
      <c r="M2733">
        <v>25</v>
      </c>
      <c r="N2733" s="3">
        <v>4870</v>
      </c>
      <c r="O2733" s="3">
        <v>4870</v>
      </c>
      <c r="P2733" t="s">
        <v>34</v>
      </c>
      <c r="Q2733" t="s">
        <v>82</v>
      </c>
      <c r="R2733" t="s">
        <v>36</v>
      </c>
      <c r="S2733" t="s">
        <v>52</v>
      </c>
      <c r="T2733" t="s">
        <v>53</v>
      </c>
      <c r="U2733" t="s">
        <v>61</v>
      </c>
      <c r="V2733" t="s">
        <v>969</v>
      </c>
      <c r="W2733">
        <v>4.5999999999999996</v>
      </c>
      <c r="X2733" t="s">
        <v>41</v>
      </c>
      <c r="Y2733" t="s">
        <v>42</v>
      </c>
      <c r="Z2733">
        <v>4</v>
      </c>
    </row>
    <row r="2734" spans="1:26">
      <c r="A2734" t="s">
        <v>3976</v>
      </c>
      <c r="B2734" t="s">
        <v>189</v>
      </c>
      <c r="C2734" t="s">
        <v>45</v>
      </c>
      <c r="D2734" t="s">
        <v>46</v>
      </c>
      <c r="E2734" s="1">
        <v>45710</v>
      </c>
      <c r="F2734" t="s">
        <v>30</v>
      </c>
      <c r="G2734" t="s">
        <v>58</v>
      </c>
      <c r="H2734" t="s">
        <v>59</v>
      </c>
      <c r="I2734">
        <v>11</v>
      </c>
      <c r="J2734" t="s">
        <v>73</v>
      </c>
      <c r="K2734">
        <v>1</v>
      </c>
      <c r="L2734" s="3">
        <v>4299</v>
      </c>
      <c r="M2734">
        <v>20</v>
      </c>
      <c r="N2734" s="3">
        <v>3440</v>
      </c>
      <c r="O2734" s="3">
        <v>3440</v>
      </c>
      <c r="P2734" t="s">
        <v>34</v>
      </c>
      <c r="Q2734" t="s">
        <v>51</v>
      </c>
      <c r="R2734" t="s">
        <v>36</v>
      </c>
      <c r="S2734" t="s">
        <v>75</v>
      </c>
      <c r="T2734" t="s">
        <v>796</v>
      </c>
      <c r="U2734" t="s">
        <v>54</v>
      </c>
      <c r="V2734" t="s">
        <v>969</v>
      </c>
      <c r="W2734">
        <v>3.6</v>
      </c>
      <c r="X2734" t="s">
        <v>41</v>
      </c>
      <c r="Y2734" t="s">
        <v>55</v>
      </c>
      <c r="Z2734">
        <v>3</v>
      </c>
    </row>
    <row r="2735" spans="1:26">
      <c r="A2735" t="s">
        <v>3977</v>
      </c>
      <c r="B2735" t="s">
        <v>490</v>
      </c>
      <c r="C2735" t="s">
        <v>28</v>
      </c>
      <c r="D2735" t="s">
        <v>46</v>
      </c>
      <c r="E2735" s="1">
        <v>45711</v>
      </c>
      <c r="F2735" t="s">
        <v>47</v>
      </c>
      <c r="G2735" t="s">
        <v>121</v>
      </c>
      <c r="H2735" t="s">
        <v>111</v>
      </c>
      <c r="I2735">
        <v>6</v>
      </c>
      <c r="J2735" t="s">
        <v>67</v>
      </c>
      <c r="K2735">
        <v>1</v>
      </c>
      <c r="L2735" s="3">
        <v>4899</v>
      </c>
      <c r="M2735">
        <v>0</v>
      </c>
      <c r="N2735" s="3">
        <v>4900</v>
      </c>
      <c r="O2735" s="3">
        <v>4900</v>
      </c>
      <c r="P2735" t="s">
        <v>74</v>
      </c>
      <c r="Q2735" t="s">
        <v>51</v>
      </c>
      <c r="R2735" t="s">
        <v>36</v>
      </c>
      <c r="S2735" t="s">
        <v>117</v>
      </c>
      <c r="T2735" t="s">
        <v>544</v>
      </c>
      <c r="U2735" t="s">
        <v>124</v>
      </c>
      <c r="V2735" t="s">
        <v>969</v>
      </c>
      <c r="W2735">
        <v>4.0999999999999996</v>
      </c>
      <c r="X2735" t="s">
        <v>106</v>
      </c>
      <c r="Y2735" t="s">
        <v>42</v>
      </c>
      <c r="Z2735">
        <v>5</v>
      </c>
    </row>
    <row r="2736" spans="1:26">
      <c r="A2736" t="s">
        <v>3978</v>
      </c>
      <c r="B2736" t="s">
        <v>582</v>
      </c>
      <c r="C2736" t="s">
        <v>45</v>
      </c>
      <c r="D2736" t="s">
        <v>29</v>
      </c>
      <c r="E2736" s="1">
        <v>45712</v>
      </c>
      <c r="F2736" t="s">
        <v>96</v>
      </c>
      <c r="G2736" t="s">
        <v>155</v>
      </c>
      <c r="H2736" t="s">
        <v>111</v>
      </c>
      <c r="I2736">
        <v>7</v>
      </c>
      <c r="J2736" t="s">
        <v>98</v>
      </c>
      <c r="K2736">
        <v>1</v>
      </c>
      <c r="L2736" s="3">
        <v>4299</v>
      </c>
      <c r="M2736">
        <v>35</v>
      </c>
      <c r="N2736" s="3">
        <v>2790</v>
      </c>
      <c r="O2736" s="3">
        <v>2790</v>
      </c>
      <c r="P2736" t="s">
        <v>74</v>
      </c>
      <c r="Q2736" t="s">
        <v>51</v>
      </c>
      <c r="R2736" t="s">
        <v>36</v>
      </c>
      <c r="S2736" t="s">
        <v>338</v>
      </c>
      <c r="T2736" t="s">
        <v>338</v>
      </c>
      <c r="U2736" t="s">
        <v>124</v>
      </c>
      <c r="V2736" t="s">
        <v>969</v>
      </c>
      <c r="W2736">
        <v>4.5</v>
      </c>
      <c r="X2736" t="s">
        <v>41</v>
      </c>
      <c r="Y2736" t="s">
        <v>42</v>
      </c>
      <c r="Z2736">
        <v>3</v>
      </c>
    </row>
    <row r="2737" spans="1:26">
      <c r="A2737" t="s">
        <v>3979</v>
      </c>
      <c r="B2737" t="s">
        <v>441</v>
      </c>
      <c r="C2737" t="s">
        <v>45</v>
      </c>
      <c r="D2737" t="s">
        <v>95</v>
      </c>
      <c r="E2737" s="1">
        <v>45713</v>
      </c>
      <c r="F2737" t="s">
        <v>65</v>
      </c>
      <c r="G2737" t="s">
        <v>256</v>
      </c>
      <c r="H2737" t="s">
        <v>32</v>
      </c>
      <c r="I2737">
        <v>11</v>
      </c>
      <c r="J2737" t="s">
        <v>150</v>
      </c>
      <c r="K2737">
        <v>1</v>
      </c>
      <c r="L2737" s="3">
        <v>8299</v>
      </c>
      <c r="M2737">
        <v>25</v>
      </c>
      <c r="N2737" s="3">
        <v>6220</v>
      </c>
      <c r="O2737" s="3">
        <v>6220</v>
      </c>
      <c r="P2737" t="s">
        <v>74</v>
      </c>
      <c r="Q2737" t="s">
        <v>51</v>
      </c>
      <c r="R2737" t="s">
        <v>36</v>
      </c>
      <c r="S2737" t="s">
        <v>200</v>
      </c>
      <c r="T2737" t="s">
        <v>204</v>
      </c>
      <c r="U2737" t="s">
        <v>54</v>
      </c>
      <c r="V2737" t="s">
        <v>969</v>
      </c>
      <c r="W2737">
        <v>4.5</v>
      </c>
      <c r="X2737" t="s">
        <v>106</v>
      </c>
      <c r="Y2737" t="s">
        <v>42</v>
      </c>
      <c r="Z2737">
        <v>5</v>
      </c>
    </row>
    <row r="2738" spans="1:26">
      <c r="A2738" t="s">
        <v>3980</v>
      </c>
      <c r="B2738" t="s">
        <v>1093</v>
      </c>
      <c r="C2738" t="s">
        <v>28</v>
      </c>
      <c r="D2738" t="s">
        <v>46</v>
      </c>
      <c r="E2738" s="1">
        <v>45713</v>
      </c>
      <c r="F2738" t="s">
        <v>96</v>
      </c>
      <c r="G2738" t="s">
        <v>97</v>
      </c>
      <c r="H2738" t="s">
        <v>49</v>
      </c>
      <c r="I2738">
        <v>9</v>
      </c>
      <c r="J2738" t="s">
        <v>73</v>
      </c>
      <c r="K2738">
        <v>2</v>
      </c>
      <c r="L2738" s="3">
        <v>5199</v>
      </c>
      <c r="M2738">
        <v>10</v>
      </c>
      <c r="N2738" s="3">
        <v>4680</v>
      </c>
      <c r="O2738" s="3">
        <v>9360</v>
      </c>
      <c r="P2738" t="s">
        <v>34</v>
      </c>
      <c r="Q2738" t="s">
        <v>51</v>
      </c>
      <c r="R2738" t="s">
        <v>36</v>
      </c>
      <c r="S2738" t="s">
        <v>136</v>
      </c>
      <c r="T2738" t="s">
        <v>137</v>
      </c>
      <c r="U2738" t="s">
        <v>61</v>
      </c>
      <c r="V2738" t="s">
        <v>315</v>
      </c>
      <c r="W2738">
        <v>3.5</v>
      </c>
      <c r="X2738" t="s">
        <v>62</v>
      </c>
      <c r="Y2738" t="s">
        <v>42</v>
      </c>
      <c r="Z2738">
        <v>3</v>
      </c>
    </row>
    <row r="2739" spans="1:26">
      <c r="A2739" t="s">
        <v>3981</v>
      </c>
      <c r="B2739" t="s">
        <v>303</v>
      </c>
      <c r="C2739" t="s">
        <v>45</v>
      </c>
      <c r="D2739" t="s">
        <v>29</v>
      </c>
      <c r="E2739" s="1">
        <v>45714</v>
      </c>
      <c r="F2739" t="s">
        <v>86</v>
      </c>
      <c r="G2739" t="s">
        <v>87</v>
      </c>
      <c r="H2739" t="s">
        <v>59</v>
      </c>
      <c r="I2739">
        <v>9</v>
      </c>
      <c r="J2739" t="s">
        <v>150</v>
      </c>
      <c r="K2739">
        <v>1</v>
      </c>
      <c r="L2739" s="3">
        <v>4899</v>
      </c>
      <c r="M2739">
        <v>10</v>
      </c>
      <c r="N2739" s="3">
        <v>4410</v>
      </c>
      <c r="O2739" s="3">
        <v>4410</v>
      </c>
      <c r="P2739" t="s">
        <v>74</v>
      </c>
      <c r="Q2739" t="s">
        <v>35</v>
      </c>
      <c r="R2739" t="s">
        <v>36</v>
      </c>
      <c r="S2739" t="s">
        <v>238</v>
      </c>
      <c r="T2739" t="s">
        <v>260</v>
      </c>
      <c r="U2739" t="s">
        <v>124</v>
      </c>
      <c r="V2739" t="s">
        <v>315</v>
      </c>
      <c r="W2739">
        <v>4.7</v>
      </c>
      <c r="X2739" t="s">
        <v>41</v>
      </c>
      <c r="Y2739" t="s">
        <v>42</v>
      </c>
      <c r="Z2739">
        <v>2</v>
      </c>
    </row>
    <row r="2740" spans="1:26">
      <c r="A2740" t="s">
        <v>3982</v>
      </c>
      <c r="B2740" t="s">
        <v>3355</v>
      </c>
      <c r="C2740" t="s">
        <v>28</v>
      </c>
      <c r="D2740" t="s">
        <v>29</v>
      </c>
      <c r="E2740" s="1">
        <v>45715</v>
      </c>
      <c r="F2740" t="s">
        <v>65</v>
      </c>
      <c r="G2740" t="s">
        <v>256</v>
      </c>
      <c r="H2740" t="s">
        <v>32</v>
      </c>
      <c r="I2740">
        <v>6</v>
      </c>
      <c r="J2740" t="s">
        <v>33</v>
      </c>
      <c r="K2740">
        <v>1</v>
      </c>
      <c r="L2740" s="3">
        <v>7699</v>
      </c>
      <c r="M2740">
        <v>15</v>
      </c>
      <c r="N2740" s="3">
        <v>6540</v>
      </c>
      <c r="O2740" s="3">
        <v>6540</v>
      </c>
      <c r="P2740" t="s">
        <v>81</v>
      </c>
      <c r="Q2740" t="s">
        <v>82</v>
      </c>
      <c r="R2740" t="s">
        <v>36</v>
      </c>
      <c r="S2740" t="s">
        <v>418</v>
      </c>
      <c r="T2740" t="s">
        <v>419</v>
      </c>
      <c r="U2740" t="s">
        <v>91</v>
      </c>
      <c r="V2740" t="s">
        <v>315</v>
      </c>
      <c r="W2740">
        <v>4.9000000000000004</v>
      </c>
      <c r="X2740" t="s">
        <v>41</v>
      </c>
      <c r="Y2740" t="s">
        <v>42</v>
      </c>
      <c r="Z2740">
        <v>4</v>
      </c>
    </row>
    <row r="2741" spans="1:26">
      <c r="A2741" t="s">
        <v>3983</v>
      </c>
      <c r="B2741" t="s">
        <v>669</v>
      </c>
      <c r="C2741" t="s">
        <v>28</v>
      </c>
      <c r="D2741" t="s">
        <v>95</v>
      </c>
      <c r="E2741" s="1">
        <v>45716</v>
      </c>
      <c r="F2741" t="s">
        <v>79</v>
      </c>
      <c r="G2741" t="s">
        <v>174</v>
      </c>
      <c r="H2741" t="s">
        <v>32</v>
      </c>
      <c r="I2741">
        <v>10</v>
      </c>
      <c r="J2741" t="s">
        <v>98</v>
      </c>
      <c r="K2741">
        <v>1</v>
      </c>
      <c r="L2741" s="3">
        <v>4899</v>
      </c>
      <c r="M2741">
        <v>10</v>
      </c>
      <c r="N2741" s="3">
        <v>4410</v>
      </c>
      <c r="O2741" s="3">
        <v>4410</v>
      </c>
      <c r="P2741" t="s">
        <v>50</v>
      </c>
      <c r="Q2741" t="s">
        <v>51</v>
      </c>
      <c r="R2741" t="s">
        <v>36</v>
      </c>
      <c r="S2741" t="s">
        <v>156</v>
      </c>
      <c r="T2741" t="s">
        <v>157</v>
      </c>
      <c r="U2741" t="s">
        <v>124</v>
      </c>
      <c r="V2741" t="s">
        <v>315</v>
      </c>
      <c r="W2741">
        <v>4.2</v>
      </c>
      <c r="X2741" t="s">
        <v>62</v>
      </c>
      <c r="Y2741" t="s">
        <v>42</v>
      </c>
      <c r="Z2741">
        <v>2</v>
      </c>
    </row>
    <row r="2742" spans="1:26">
      <c r="A2742" t="s">
        <v>3984</v>
      </c>
      <c r="B2742" t="s">
        <v>1968</v>
      </c>
      <c r="C2742" t="s">
        <v>28</v>
      </c>
      <c r="D2742" t="s">
        <v>29</v>
      </c>
      <c r="E2742" s="1">
        <v>45718</v>
      </c>
      <c r="F2742" t="s">
        <v>30</v>
      </c>
      <c r="G2742" t="s">
        <v>214</v>
      </c>
      <c r="H2742" t="s">
        <v>128</v>
      </c>
      <c r="I2742">
        <v>9</v>
      </c>
      <c r="J2742" t="s">
        <v>150</v>
      </c>
      <c r="K2742">
        <v>1</v>
      </c>
      <c r="L2742" s="3">
        <v>7899</v>
      </c>
      <c r="M2742">
        <v>25</v>
      </c>
      <c r="N2742" s="3">
        <v>5920</v>
      </c>
      <c r="O2742" s="3">
        <v>5920</v>
      </c>
      <c r="P2742" t="s">
        <v>74</v>
      </c>
      <c r="Q2742" t="s">
        <v>51</v>
      </c>
      <c r="R2742" t="s">
        <v>36</v>
      </c>
      <c r="S2742" t="s">
        <v>200</v>
      </c>
      <c r="T2742" t="s">
        <v>204</v>
      </c>
      <c r="U2742" t="s">
        <v>124</v>
      </c>
      <c r="V2742" t="s">
        <v>315</v>
      </c>
      <c r="W2742">
        <v>4.9000000000000004</v>
      </c>
      <c r="X2742" t="s">
        <v>41</v>
      </c>
      <c r="Y2742" t="s">
        <v>42</v>
      </c>
      <c r="Z2742">
        <v>4</v>
      </c>
    </row>
    <row r="2743" spans="1:26">
      <c r="A2743" t="s">
        <v>3985</v>
      </c>
      <c r="B2743" t="s">
        <v>1090</v>
      </c>
      <c r="C2743" t="s">
        <v>45</v>
      </c>
      <c r="D2743" t="s">
        <v>46</v>
      </c>
      <c r="E2743" s="1">
        <v>45719</v>
      </c>
      <c r="F2743" t="s">
        <v>65</v>
      </c>
      <c r="G2743" t="s">
        <v>365</v>
      </c>
      <c r="H2743" t="s">
        <v>49</v>
      </c>
      <c r="I2743">
        <v>10</v>
      </c>
      <c r="J2743" t="s">
        <v>33</v>
      </c>
      <c r="K2743">
        <v>1</v>
      </c>
      <c r="L2743" s="3">
        <v>8099</v>
      </c>
      <c r="M2743">
        <v>35</v>
      </c>
      <c r="N2743" s="3">
        <v>5260</v>
      </c>
      <c r="O2743" s="3">
        <v>5260</v>
      </c>
      <c r="P2743" t="s">
        <v>74</v>
      </c>
      <c r="Q2743" t="s">
        <v>82</v>
      </c>
      <c r="R2743" t="s">
        <v>36</v>
      </c>
      <c r="S2743" t="s">
        <v>338</v>
      </c>
      <c r="T2743" t="s">
        <v>449</v>
      </c>
      <c r="U2743" t="s">
        <v>124</v>
      </c>
      <c r="V2743" t="s">
        <v>969</v>
      </c>
      <c r="W2743">
        <v>4.2</v>
      </c>
      <c r="X2743" t="s">
        <v>41</v>
      </c>
      <c r="Y2743" t="s">
        <v>55</v>
      </c>
      <c r="Z2743">
        <v>3</v>
      </c>
    </row>
    <row r="2744" spans="1:26">
      <c r="A2744" t="s">
        <v>3986</v>
      </c>
      <c r="B2744" t="s">
        <v>303</v>
      </c>
      <c r="C2744" t="s">
        <v>28</v>
      </c>
      <c r="D2744" t="s">
        <v>95</v>
      </c>
      <c r="E2744" s="1">
        <v>45720</v>
      </c>
      <c r="F2744" t="s">
        <v>79</v>
      </c>
      <c r="G2744" t="s">
        <v>174</v>
      </c>
      <c r="H2744" t="s">
        <v>32</v>
      </c>
      <c r="I2744">
        <v>11</v>
      </c>
      <c r="J2744" t="s">
        <v>98</v>
      </c>
      <c r="K2744">
        <v>1</v>
      </c>
      <c r="L2744" s="3">
        <v>5199</v>
      </c>
      <c r="M2744">
        <v>10</v>
      </c>
      <c r="N2744" s="3">
        <v>4680</v>
      </c>
      <c r="O2744" s="3">
        <v>4680</v>
      </c>
      <c r="P2744" t="s">
        <v>74</v>
      </c>
      <c r="Q2744" t="s">
        <v>51</v>
      </c>
      <c r="R2744" t="s">
        <v>36</v>
      </c>
      <c r="S2744" t="s">
        <v>164</v>
      </c>
      <c r="T2744" t="s">
        <v>409</v>
      </c>
      <c r="U2744" t="s">
        <v>61</v>
      </c>
      <c r="V2744" t="s">
        <v>315</v>
      </c>
      <c r="W2744">
        <v>4.2</v>
      </c>
      <c r="X2744" t="s">
        <v>41</v>
      </c>
      <c r="Y2744" t="s">
        <v>147</v>
      </c>
      <c r="Z2744">
        <v>1</v>
      </c>
    </row>
    <row r="2745" spans="1:26">
      <c r="A2745" t="s">
        <v>3987</v>
      </c>
      <c r="B2745" t="s">
        <v>3066</v>
      </c>
      <c r="C2745" t="s">
        <v>45</v>
      </c>
      <c r="D2745" t="s">
        <v>46</v>
      </c>
      <c r="E2745" s="1">
        <v>45722</v>
      </c>
      <c r="F2745" t="s">
        <v>65</v>
      </c>
      <c r="G2745" t="s">
        <v>268</v>
      </c>
      <c r="H2745" t="s">
        <v>128</v>
      </c>
      <c r="I2745">
        <v>10</v>
      </c>
      <c r="J2745" t="s">
        <v>73</v>
      </c>
      <c r="K2745">
        <v>1</v>
      </c>
      <c r="L2745" s="3">
        <v>5999</v>
      </c>
      <c r="M2745">
        <v>20</v>
      </c>
      <c r="N2745" s="3">
        <v>4800</v>
      </c>
      <c r="O2745" s="3">
        <v>4800</v>
      </c>
      <c r="P2745" t="s">
        <v>74</v>
      </c>
      <c r="Q2745" t="s">
        <v>51</v>
      </c>
      <c r="R2745" t="s">
        <v>36</v>
      </c>
      <c r="S2745" t="s">
        <v>160</v>
      </c>
      <c r="T2745" t="s">
        <v>160</v>
      </c>
      <c r="U2745" t="s">
        <v>39</v>
      </c>
      <c r="V2745" t="s">
        <v>315</v>
      </c>
      <c r="W2745">
        <v>4.2</v>
      </c>
      <c r="X2745" t="s">
        <v>41</v>
      </c>
      <c r="Y2745" t="s">
        <v>42</v>
      </c>
      <c r="Z2745">
        <v>2</v>
      </c>
    </row>
    <row r="2746" spans="1:26">
      <c r="A2746" t="s">
        <v>3988</v>
      </c>
      <c r="B2746" t="s">
        <v>868</v>
      </c>
      <c r="C2746" t="s">
        <v>94</v>
      </c>
      <c r="D2746" t="s">
        <v>95</v>
      </c>
      <c r="E2746" s="1">
        <v>45724</v>
      </c>
      <c r="F2746" t="s">
        <v>96</v>
      </c>
      <c r="G2746" t="s">
        <v>97</v>
      </c>
      <c r="H2746" t="s">
        <v>49</v>
      </c>
      <c r="I2746">
        <v>7</v>
      </c>
      <c r="J2746" t="s">
        <v>67</v>
      </c>
      <c r="K2746">
        <v>1</v>
      </c>
      <c r="L2746" s="3">
        <v>6299</v>
      </c>
      <c r="M2746">
        <v>5</v>
      </c>
      <c r="N2746" s="3">
        <v>5980</v>
      </c>
      <c r="O2746" s="3">
        <v>5980</v>
      </c>
      <c r="P2746" t="s">
        <v>34</v>
      </c>
      <c r="Q2746" t="s">
        <v>82</v>
      </c>
      <c r="R2746" t="s">
        <v>36</v>
      </c>
      <c r="S2746" t="s">
        <v>186</v>
      </c>
      <c r="T2746" t="s">
        <v>187</v>
      </c>
      <c r="U2746" t="s">
        <v>54</v>
      </c>
      <c r="V2746" t="s">
        <v>315</v>
      </c>
      <c r="W2746">
        <v>3.4</v>
      </c>
      <c r="X2746" t="s">
        <v>41</v>
      </c>
      <c r="Y2746" t="s">
        <v>55</v>
      </c>
      <c r="Z2746">
        <v>3</v>
      </c>
    </row>
    <row r="2747" spans="1:26">
      <c r="A2747" t="s">
        <v>3989</v>
      </c>
      <c r="B2747" t="s">
        <v>1459</v>
      </c>
      <c r="C2747" t="s">
        <v>45</v>
      </c>
      <c r="D2747" t="s">
        <v>46</v>
      </c>
      <c r="E2747" s="1">
        <v>45725</v>
      </c>
      <c r="F2747" t="s">
        <v>86</v>
      </c>
      <c r="G2747" t="s">
        <v>87</v>
      </c>
      <c r="H2747" t="s">
        <v>59</v>
      </c>
      <c r="I2747">
        <v>10</v>
      </c>
      <c r="J2747" t="s">
        <v>33</v>
      </c>
      <c r="K2747">
        <v>1</v>
      </c>
      <c r="L2747" s="3">
        <v>5899</v>
      </c>
      <c r="M2747">
        <v>15</v>
      </c>
      <c r="N2747" s="3">
        <v>5010</v>
      </c>
      <c r="O2747" s="3">
        <v>5010</v>
      </c>
      <c r="P2747" t="s">
        <v>74</v>
      </c>
      <c r="Q2747" t="s">
        <v>51</v>
      </c>
      <c r="R2747" t="s">
        <v>36</v>
      </c>
      <c r="S2747" t="s">
        <v>460</v>
      </c>
      <c r="T2747" t="s">
        <v>525</v>
      </c>
      <c r="U2747" t="s">
        <v>39</v>
      </c>
      <c r="V2747" t="s">
        <v>969</v>
      </c>
      <c r="W2747">
        <v>3.7</v>
      </c>
      <c r="X2747" t="s">
        <v>41</v>
      </c>
      <c r="Y2747" t="s">
        <v>55</v>
      </c>
      <c r="Z2747">
        <v>4</v>
      </c>
    </row>
    <row r="2748" spans="1:26">
      <c r="A2748" t="s">
        <v>3990</v>
      </c>
      <c r="B2748" t="s">
        <v>565</v>
      </c>
      <c r="C2748" t="s">
        <v>94</v>
      </c>
      <c r="D2748" t="s">
        <v>95</v>
      </c>
      <c r="E2748" s="1">
        <v>45726</v>
      </c>
      <c r="F2748" t="s">
        <v>96</v>
      </c>
      <c r="G2748" t="s">
        <v>171</v>
      </c>
      <c r="H2748" t="s">
        <v>128</v>
      </c>
      <c r="I2748">
        <v>10</v>
      </c>
      <c r="J2748" t="s">
        <v>150</v>
      </c>
      <c r="K2748">
        <v>2</v>
      </c>
      <c r="L2748" s="3">
        <v>6499</v>
      </c>
      <c r="M2748">
        <v>25</v>
      </c>
      <c r="N2748" s="3">
        <v>4870</v>
      </c>
      <c r="O2748" s="3">
        <v>9740</v>
      </c>
      <c r="P2748" t="s">
        <v>74</v>
      </c>
      <c r="Q2748" t="s">
        <v>82</v>
      </c>
      <c r="R2748" t="s">
        <v>36</v>
      </c>
      <c r="S2748" t="s">
        <v>99</v>
      </c>
      <c r="T2748" t="s">
        <v>229</v>
      </c>
      <c r="U2748" t="s">
        <v>91</v>
      </c>
      <c r="V2748" t="s">
        <v>969</v>
      </c>
      <c r="W2748">
        <v>2.7</v>
      </c>
      <c r="X2748" t="s">
        <v>41</v>
      </c>
      <c r="Y2748" t="s">
        <v>42</v>
      </c>
      <c r="Z2748">
        <v>7</v>
      </c>
    </row>
    <row r="2749" spans="1:26">
      <c r="A2749" t="s">
        <v>3991</v>
      </c>
      <c r="B2749" t="s">
        <v>1593</v>
      </c>
      <c r="C2749" t="s">
        <v>28</v>
      </c>
      <c r="D2749" t="s">
        <v>46</v>
      </c>
      <c r="E2749" s="1">
        <v>45726</v>
      </c>
      <c r="F2749" t="s">
        <v>47</v>
      </c>
      <c r="G2749" t="s">
        <v>218</v>
      </c>
      <c r="H2749" t="s">
        <v>59</v>
      </c>
      <c r="I2749">
        <v>10</v>
      </c>
      <c r="J2749" t="s">
        <v>73</v>
      </c>
      <c r="K2749">
        <v>1</v>
      </c>
      <c r="L2749" s="3">
        <v>9499</v>
      </c>
      <c r="M2749">
        <v>10</v>
      </c>
      <c r="N2749" s="3">
        <v>8550</v>
      </c>
      <c r="O2749" s="3">
        <v>8550</v>
      </c>
      <c r="P2749" t="s">
        <v>74</v>
      </c>
      <c r="Q2749" t="s">
        <v>82</v>
      </c>
      <c r="R2749" t="s">
        <v>36</v>
      </c>
      <c r="S2749" t="s">
        <v>112</v>
      </c>
      <c r="T2749" t="s">
        <v>133</v>
      </c>
      <c r="U2749" t="s">
        <v>54</v>
      </c>
      <c r="V2749" t="s">
        <v>315</v>
      </c>
      <c r="W2749">
        <v>5</v>
      </c>
      <c r="X2749" t="s">
        <v>106</v>
      </c>
      <c r="Y2749" t="s">
        <v>55</v>
      </c>
      <c r="Z2749">
        <v>2</v>
      </c>
    </row>
    <row r="2750" spans="1:26">
      <c r="A2750" t="s">
        <v>3992</v>
      </c>
      <c r="B2750" t="s">
        <v>3829</v>
      </c>
      <c r="C2750" t="s">
        <v>45</v>
      </c>
      <c r="D2750" t="s">
        <v>103</v>
      </c>
      <c r="E2750" s="1">
        <v>45727</v>
      </c>
      <c r="F2750" t="s">
        <v>86</v>
      </c>
      <c r="G2750" t="s">
        <v>285</v>
      </c>
      <c r="H2750" t="s">
        <v>111</v>
      </c>
      <c r="I2750">
        <v>10</v>
      </c>
      <c r="J2750" t="s">
        <v>150</v>
      </c>
      <c r="K2750">
        <v>1</v>
      </c>
      <c r="L2750" s="3">
        <v>4099</v>
      </c>
      <c r="M2750">
        <v>25</v>
      </c>
      <c r="N2750" s="3">
        <v>3070</v>
      </c>
      <c r="O2750" s="3">
        <v>3070</v>
      </c>
      <c r="P2750" t="s">
        <v>74</v>
      </c>
      <c r="Q2750" t="s">
        <v>35</v>
      </c>
      <c r="R2750" t="s">
        <v>36</v>
      </c>
      <c r="S2750" t="s">
        <v>418</v>
      </c>
      <c r="T2750" t="s">
        <v>924</v>
      </c>
      <c r="U2750" t="s">
        <v>61</v>
      </c>
      <c r="V2750" t="s">
        <v>315</v>
      </c>
      <c r="W2750">
        <v>3.6</v>
      </c>
      <c r="X2750" t="s">
        <v>106</v>
      </c>
      <c r="Y2750" t="s">
        <v>147</v>
      </c>
      <c r="Z2750">
        <v>1</v>
      </c>
    </row>
    <row r="2751" spans="1:26">
      <c r="A2751" t="s">
        <v>3993</v>
      </c>
      <c r="B2751" t="s">
        <v>870</v>
      </c>
      <c r="C2751" t="s">
        <v>28</v>
      </c>
      <c r="D2751" t="s">
        <v>95</v>
      </c>
      <c r="E2751" s="1">
        <v>45728</v>
      </c>
      <c r="F2751" t="s">
        <v>30</v>
      </c>
      <c r="G2751" t="s">
        <v>145</v>
      </c>
      <c r="H2751" t="s">
        <v>59</v>
      </c>
      <c r="I2751">
        <v>11</v>
      </c>
      <c r="J2751" t="s">
        <v>150</v>
      </c>
      <c r="K2751">
        <v>1</v>
      </c>
      <c r="L2751" s="3">
        <v>6799</v>
      </c>
      <c r="M2751">
        <v>20</v>
      </c>
      <c r="N2751" s="3">
        <v>5440</v>
      </c>
      <c r="O2751" s="3">
        <v>5440</v>
      </c>
      <c r="P2751" t="s">
        <v>74</v>
      </c>
      <c r="Q2751" t="s">
        <v>51</v>
      </c>
      <c r="R2751" t="s">
        <v>36</v>
      </c>
      <c r="S2751" t="s">
        <v>338</v>
      </c>
      <c r="T2751" t="s">
        <v>779</v>
      </c>
      <c r="U2751" t="s">
        <v>39</v>
      </c>
      <c r="V2751" t="s">
        <v>969</v>
      </c>
      <c r="W2751">
        <v>3.9</v>
      </c>
      <c r="X2751" t="s">
        <v>41</v>
      </c>
      <c r="Y2751" t="s">
        <v>42</v>
      </c>
      <c r="Z2751">
        <v>1</v>
      </c>
    </row>
    <row r="2752" spans="1:26">
      <c r="A2752" t="s">
        <v>3994</v>
      </c>
      <c r="B2752" t="s">
        <v>1359</v>
      </c>
      <c r="C2752" t="s">
        <v>45</v>
      </c>
      <c r="D2752" t="s">
        <v>109</v>
      </c>
      <c r="E2752" s="1">
        <v>45728</v>
      </c>
      <c r="F2752" t="s">
        <v>79</v>
      </c>
      <c r="G2752" t="s">
        <v>301</v>
      </c>
      <c r="H2752" t="s">
        <v>49</v>
      </c>
      <c r="I2752">
        <v>8</v>
      </c>
      <c r="J2752" t="s">
        <v>150</v>
      </c>
      <c r="K2752">
        <v>1</v>
      </c>
      <c r="L2752" s="3">
        <v>4999</v>
      </c>
      <c r="M2752">
        <v>10</v>
      </c>
      <c r="N2752" s="3">
        <v>4500</v>
      </c>
      <c r="O2752" s="3">
        <v>4500</v>
      </c>
      <c r="P2752" t="s">
        <v>34</v>
      </c>
      <c r="Q2752" t="s">
        <v>51</v>
      </c>
      <c r="R2752" t="s">
        <v>36</v>
      </c>
      <c r="S2752" t="s">
        <v>354</v>
      </c>
      <c r="T2752" t="s">
        <v>355</v>
      </c>
      <c r="U2752" t="s">
        <v>54</v>
      </c>
      <c r="V2752" t="s">
        <v>315</v>
      </c>
      <c r="W2752">
        <v>4.3</v>
      </c>
      <c r="X2752" t="s">
        <v>41</v>
      </c>
      <c r="Y2752" t="s">
        <v>42</v>
      </c>
      <c r="Z2752">
        <v>2</v>
      </c>
    </row>
    <row r="2753" spans="1:26">
      <c r="A2753" t="s">
        <v>3995</v>
      </c>
      <c r="B2753" t="s">
        <v>906</v>
      </c>
      <c r="C2753" t="s">
        <v>45</v>
      </c>
      <c r="D2753" t="s">
        <v>46</v>
      </c>
      <c r="E2753" s="1">
        <v>45729</v>
      </c>
      <c r="F2753" t="s">
        <v>96</v>
      </c>
      <c r="G2753" t="s">
        <v>290</v>
      </c>
      <c r="H2753" t="s">
        <v>32</v>
      </c>
      <c r="I2753">
        <v>8</v>
      </c>
      <c r="J2753" t="s">
        <v>98</v>
      </c>
      <c r="K2753">
        <v>1</v>
      </c>
      <c r="L2753" s="3">
        <v>6899</v>
      </c>
      <c r="M2753">
        <v>35</v>
      </c>
      <c r="N2753" s="3">
        <v>4480</v>
      </c>
      <c r="O2753" s="3">
        <v>4480</v>
      </c>
      <c r="P2753" t="s">
        <v>34</v>
      </c>
      <c r="Q2753" t="s">
        <v>51</v>
      </c>
      <c r="R2753" t="s">
        <v>36</v>
      </c>
      <c r="S2753" t="s">
        <v>141</v>
      </c>
      <c r="T2753" t="s">
        <v>362</v>
      </c>
      <c r="U2753" t="s">
        <v>91</v>
      </c>
      <c r="V2753" t="s">
        <v>315</v>
      </c>
      <c r="W2753">
        <v>3.8</v>
      </c>
      <c r="X2753" t="s">
        <v>106</v>
      </c>
      <c r="Y2753" t="s">
        <v>55</v>
      </c>
      <c r="Z2753">
        <v>2</v>
      </c>
    </row>
    <row r="2754" spans="1:26">
      <c r="A2754" t="s">
        <v>3996</v>
      </c>
      <c r="B2754" t="s">
        <v>213</v>
      </c>
      <c r="C2754" t="s">
        <v>28</v>
      </c>
      <c r="D2754" t="s">
        <v>103</v>
      </c>
      <c r="E2754" s="1">
        <v>45729</v>
      </c>
      <c r="F2754" t="s">
        <v>47</v>
      </c>
      <c r="G2754" t="s">
        <v>121</v>
      </c>
      <c r="H2754" t="s">
        <v>111</v>
      </c>
      <c r="I2754">
        <v>9</v>
      </c>
      <c r="J2754" t="s">
        <v>67</v>
      </c>
      <c r="K2754">
        <v>1</v>
      </c>
      <c r="L2754" s="3">
        <v>5299</v>
      </c>
      <c r="M2754">
        <v>20</v>
      </c>
      <c r="N2754" s="3">
        <v>4240</v>
      </c>
      <c r="O2754" s="3">
        <v>4240</v>
      </c>
      <c r="P2754" t="s">
        <v>74</v>
      </c>
      <c r="Q2754" t="s">
        <v>51</v>
      </c>
      <c r="R2754" t="s">
        <v>36</v>
      </c>
      <c r="S2754" t="s">
        <v>164</v>
      </c>
      <c r="T2754" t="s">
        <v>409</v>
      </c>
      <c r="U2754" t="s">
        <v>39</v>
      </c>
      <c r="V2754" t="s">
        <v>969</v>
      </c>
      <c r="W2754">
        <v>4.4000000000000004</v>
      </c>
      <c r="X2754" t="s">
        <v>41</v>
      </c>
      <c r="Y2754" t="s">
        <v>42</v>
      </c>
      <c r="Z2754">
        <v>6</v>
      </c>
    </row>
    <row r="2755" spans="1:26">
      <c r="A2755" t="s">
        <v>3997</v>
      </c>
      <c r="B2755" t="s">
        <v>862</v>
      </c>
      <c r="C2755" t="s">
        <v>28</v>
      </c>
      <c r="D2755" t="s">
        <v>46</v>
      </c>
      <c r="E2755" s="1">
        <v>45729</v>
      </c>
      <c r="F2755" t="s">
        <v>65</v>
      </c>
      <c r="G2755" t="s">
        <v>365</v>
      </c>
      <c r="H2755" t="s">
        <v>49</v>
      </c>
      <c r="I2755">
        <v>6</v>
      </c>
      <c r="J2755" t="s">
        <v>67</v>
      </c>
      <c r="K2755">
        <v>1</v>
      </c>
      <c r="L2755" s="3">
        <v>3099</v>
      </c>
      <c r="M2755">
        <v>20</v>
      </c>
      <c r="N2755" s="3">
        <v>2480</v>
      </c>
      <c r="O2755" s="3">
        <v>2480</v>
      </c>
      <c r="P2755" t="s">
        <v>50</v>
      </c>
      <c r="Q2755" t="s">
        <v>51</v>
      </c>
      <c r="R2755" t="s">
        <v>36</v>
      </c>
      <c r="S2755" t="s">
        <v>117</v>
      </c>
      <c r="T2755" t="s">
        <v>751</v>
      </c>
      <c r="U2755" t="s">
        <v>54</v>
      </c>
      <c r="V2755" t="s">
        <v>315</v>
      </c>
      <c r="W2755">
        <v>3.9</v>
      </c>
      <c r="X2755" t="s">
        <v>41</v>
      </c>
      <c r="Y2755" t="s">
        <v>55</v>
      </c>
      <c r="Z2755">
        <v>2</v>
      </c>
    </row>
    <row r="2756" spans="1:26">
      <c r="A2756" t="s">
        <v>3998</v>
      </c>
      <c r="B2756" t="s">
        <v>2915</v>
      </c>
      <c r="C2756" t="s">
        <v>94</v>
      </c>
      <c r="D2756" t="s">
        <v>29</v>
      </c>
      <c r="E2756" s="1">
        <v>45730</v>
      </c>
      <c r="F2756" t="s">
        <v>47</v>
      </c>
      <c r="G2756" t="s">
        <v>140</v>
      </c>
      <c r="H2756" t="s">
        <v>128</v>
      </c>
      <c r="I2756">
        <v>8</v>
      </c>
      <c r="J2756" t="s">
        <v>150</v>
      </c>
      <c r="K2756">
        <v>2</v>
      </c>
      <c r="L2756" s="3">
        <v>8299</v>
      </c>
      <c r="M2756">
        <v>25</v>
      </c>
      <c r="N2756" s="3">
        <v>6220</v>
      </c>
      <c r="O2756" s="3">
        <v>12440</v>
      </c>
      <c r="P2756" t="s">
        <v>74</v>
      </c>
      <c r="Q2756" t="s">
        <v>51</v>
      </c>
      <c r="R2756" t="s">
        <v>36</v>
      </c>
      <c r="S2756" t="s">
        <v>104</v>
      </c>
      <c r="T2756" t="s">
        <v>179</v>
      </c>
      <c r="U2756" t="s">
        <v>61</v>
      </c>
      <c r="V2756" t="s">
        <v>315</v>
      </c>
      <c r="W2756">
        <v>3.2</v>
      </c>
      <c r="X2756" t="s">
        <v>41</v>
      </c>
      <c r="Y2756" t="s">
        <v>42</v>
      </c>
      <c r="Z2756">
        <v>3</v>
      </c>
    </row>
    <row r="2757" spans="1:26">
      <c r="A2757" t="s">
        <v>3999</v>
      </c>
      <c r="B2757" t="s">
        <v>527</v>
      </c>
      <c r="C2757" t="s">
        <v>45</v>
      </c>
      <c r="D2757" t="s">
        <v>29</v>
      </c>
      <c r="E2757" s="1">
        <v>45730</v>
      </c>
      <c r="F2757" t="s">
        <v>79</v>
      </c>
      <c r="G2757" t="s">
        <v>301</v>
      </c>
      <c r="H2757" t="s">
        <v>49</v>
      </c>
      <c r="I2757">
        <v>8</v>
      </c>
      <c r="J2757" t="s">
        <v>98</v>
      </c>
      <c r="K2757">
        <v>1</v>
      </c>
      <c r="L2757" s="3">
        <v>6499</v>
      </c>
      <c r="M2757">
        <v>15</v>
      </c>
      <c r="N2757" s="3">
        <v>5520</v>
      </c>
      <c r="O2757" s="3">
        <v>5520</v>
      </c>
      <c r="P2757" t="s">
        <v>74</v>
      </c>
      <c r="Q2757" t="s">
        <v>35</v>
      </c>
      <c r="R2757" t="s">
        <v>36</v>
      </c>
      <c r="S2757" t="s">
        <v>238</v>
      </c>
      <c r="T2757" t="s">
        <v>377</v>
      </c>
      <c r="U2757" t="s">
        <v>124</v>
      </c>
      <c r="V2757" t="s">
        <v>969</v>
      </c>
      <c r="W2757">
        <v>4.2</v>
      </c>
      <c r="X2757" t="s">
        <v>62</v>
      </c>
      <c r="Y2757" t="s">
        <v>42</v>
      </c>
      <c r="Z2757">
        <v>4</v>
      </c>
    </row>
    <row r="2758" spans="1:26">
      <c r="A2758" t="s">
        <v>4000</v>
      </c>
      <c r="B2758" t="s">
        <v>2609</v>
      </c>
      <c r="C2758" t="s">
        <v>45</v>
      </c>
      <c r="D2758" t="s">
        <v>29</v>
      </c>
      <c r="E2758" s="1">
        <v>45731</v>
      </c>
      <c r="F2758" t="s">
        <v>30</v>
      </c>
      <c r="G2758" t="s">
        <v>58</v>
      </c>
      <c r="H2758" t="s">
        <v>59</v>
      </c>
      <c r="I2758">
        <v>11</v>
      </c>
      <c r="J2758" t="s">
        <v>33</v>
      </c>
      <c r="K2758">
        <v>1</v>
      </c>
      <c r="L2758" s="3">
        <v>6499</v>
      </c>
      <c r="M2758">
        <v>5</v>
      </c>
      <c r="N2758" s="3">
        <v>6170</v>
      </c>
      <c r="O2758" s="3">
        <v>6170</v>
      </c>
      <c r="P2758" t="s">
        <v>34</v>
      </c>
      <c r="Q2758" t="s">
        <v>35</v>
      </c>
      <c r="R2758" t="s">
        <v>36</v>
      </c>
      <c r="S2758" t="s">
        <v>164</v>
      </c>
      <c r="T2758" t="s">
        <v>348</v>
      </c>
      <c r="U2758" t="s">
        <v>54</v>
      </c>
      <c r="V2758" t="s">
        <v>315</v>
      </c>
      <c r="W2758">
        <v>3.7</v>
      </c>
      <c r="X2758" t="s">
        <v>106</v>
      </c>
      <c r="Y2758" t="s">
        <v>42</v>
      </c>
      <c r="Z2758">
        <v>4</v>
      </c>
    </row>
    <row r="2759" spans="1:26">
      <c r="A2759" t="s">
        <v>4001</v>
      </c>
      <c r="B2759" t="s">
        <v>262</v>
      </c>
      <c r="C2759" t="s">
        <v>45</v>
      </c>
      <c r="D2759" t="s">
        <v>29</v>
      </c>
      <c r="E2759" s="1">
        <v>45734</v>
      </c>
      <c r="F2759" t="s">
        <v>47</v>
      </c>
      <c r="G2759" t="s">
        <v>140</v>
      </c>
      <c r="H2759" t="s">
        <v>128</v>
      </c>
      <c r="I2759">
        <v>11</v>
      </c>
      <c r="J2759" t="s">
        <v>98</v>
      </c>
      <c r="K2759">
        <v>1</v>
      </c>
      <c r="L2759" s="3">
        <v>9199</v>
      </c>
      <c r="M2759">
        <v>25</v>
      </c>
      <c r="N2759" s="3">
        <v>6900</v>
      </c>
      <c r="O2759" s="3">
        <v>6900</v>
      </c>
      <c r="P2759" t="s">
        <v>74</v>
      </c>
      <c r="Q2759" t="s">
        <v>51</v>
      </c>
      <c r="R2759" t="s">
        <v>36</v>
      </c>
      <c r="S2759" t="s">
        <v>164</v>
      </c>
      <c r="T2759" t="s">
        <v>314</v>
      </c>
      <c r="U2759" t="s">
        <v>91</v>
      </c>
      <c r="V2759" t="s">
        <v>969</v>
      </c>
      <c r="W2759">
        <v>3.9</v>
      </c>
      <c r="X2759" t="s">
        <v>62</v>
      </c>
      <c r="Y2759" t="s">
        <v>55</v>
      </c>
      <c r="Z2759">
        <v>2</v>
      </c>
    </row>
    <row r="2760" spans="1:26">
      <c r="A2760" t="s">
        <v>4002</v>
      </c>
      <c r="B2760" t="s">
        <v>739</v>
      </c>
      <c r="C2760" t="s">
        <v>28</v>
      </c>
      <c r="D2760" t="s">
        <v>103</v>
      </c>
      <c r="E2760" s="1">
        <v>45734</v>
      </c>
      <c r="F2760" t="s">
        <v>65</v>
      </c>
      <c r="G2760" t="s">
        <v>279</v>
      </c>
      <c r="H2760" t="s">
        <v>111</v>
      </c>
      <c r="I2760">
        <v>10</v>
      </c>
      <c r="J2760" t="s">
        <v>98</v>
      </c>
      <c r="K2760">
        <v>1</v>
      </c>
      <c r="L2760" s="3">
        <v>4199</v>
      </c>
      <c r="M2760">
        <v>5</v>
      </c>
      <c r="N2760" s="3">
        <v>3990</v>
      </c>
      <c r="O2760" s="3">
        <v>3990</v>
      </c>
      <c r="P2760" t="s">
        <v>34</v>
      </c>
      <c r="Q2760" t="s">
        <v>51</v>
      </c>
      <c r="R2760" t="s">
        <v>36</v>
      </c>
      <c r="S2760" t="s">
        <v>151</v>
      </c>
      <c r="T2760" t="s">
        <v>890</v>
      </c>
      <c r="U2760" t="s">
        <v>91</v>
      </c>
      <c r="V2760" t="s">
        <v>969</v>
      </c>
      <c r="W2760">
        <v>3.7</v>
      </c>
      <c r="X2760" t="s">
        <v>41</v>
      </c>
      <c r="Y2760" t="s">
        <v>42</v>
      </c>
      <c r="Z2760">
        <v>2</v>
      </c>
    </row>
    <row r="2761" spans="1:26">
      <c r="A2761" t="s">
        <v>4003</v>
      </c>
      <c r="B2761" t="s">
        <v>3905</v>
      </c>
      <c r="C2761" t="s">
        <v>45</v>
      </c>
      <c r="D2761" t="s">
        <v>95</v>
      </c>
      <c r="E2761" s="1">
        <v>45734</v>
      </c>
      <c r="F2761" t="s">
        <v>30</v>
      </c>
      <c r="G2761" t="s">
        <v>58</v>
      </c>
      <c r="H2761" t="s">
        <v>59</v>
      </c>
      <c r="I2761">
        <v>10</v>
      </c>
      <c r="J2761" t="s">
        <v>67</v>
      </c>
      <c r="K2761">
        <v>3</v>
      </c>
      <c r="L2761" s="3">
        <v>6299</v>
      </c>
      <c r="M2761">
        <v>30</v>
      </c>
      <c r="N2761" s="3">
        <v>4410</v>
      </c>
      <c r="O2761" s="3">
        <v>13230</v>
      </c>
      <c r="P2761" t="s">
        <v>34</v>
      </c>
      <c r="Q2761" t="s">
        <v>82</v>
      </c>
      <c r="R2761" t="s">
        <v>36</v>
      </c>
      <c r="S2761" t="s">
        <v>460</v>
      </c>
      <c r="T2761" t="s">
        <v>1868</v>
      </c>
      <c r="U2761" t="s">
        <v>91</v>
      </c>
      <c r="V2761" t="s">
        <v>315</v>
      </c>
      <c r="W2761">
        <v>4.0999999999999996</v>
      </c>
      <c r="X2761" t="s">
        <v>41</v>
      </c>
      <c r="Y2761" t="s">
        <v>55</v>
      </c>
      <c r="Z2761">
        <v>2</v>
      </c>
    </row>
    <row r="2762" spans="1:26">
      <c r="A2762" t="s">
        <v>4004</v>
      </c>
      <c r="B2762" t="s">
        <v>684</v>
      </c>
      <c r="C2762" t="s">
        <v>45</v>
      </c>
      <c r="D2762" t="s">
        <v>46</v>
      </c>
      <c r="E2762" s="1">
        <v>45734</v>
      </c>
      <c r="F2762" t="s">
        <v>79</v>
      </c>
      <c r="G2762" t="s">
        <v>127</v>
      </c>
      <c r="H2762" t="s">
        <v>128</v>
      </c>
      <c r="I2762">
        <v>9</v>
      </c>
      <c r="J2762" t="s">
        <v>98</v>
      </c>
      <c r="K2762">
        <v>2</v>
      </c>
      <c r="L2762" s="3">
        <v>6499</v>
      </c>
      <c r="M2762">
        <v>0</v>
      </c>
      <c r="N2762" s="3">
        <v>6500</v>
      </c>
      <c r="O2762" s="3">
        <v>13000</v>
      </c>
      <c r="P2762" t="s">
        <v>34</v>
      </c>
      <c r="Q2762" t="s">
        <v>51</v>
      </c>
      <c r="R2762" t="s">
        <v>36</v>
      </c>
      <c r="S2762" t="s">
        <v>200</v>
      </c>
      <c r="T2762" t="s">
        <v>232</v>
      </c>
      <c r="U2762" t="s">
        <v>54</v>
      </c>
      <c r="V2762" t="s">
        <v>969</v>
      </c>
      <c r="W2762">
        <v>3.3</v>
      </c>
      <c r="X2762" t="s">
        <v>41</v>
      </c>
      <c r="Y2762" t="s">
        <v>55</v>
      </c>
      <c r="Z2762">
        <v>1</v>
      </c>
    </row>
    <row r="2763" spans="1:26">
      <c r="A2763" t="s">
        <v>4005</v>
      </c>
      <c r="B2763" t="s">
        <v>1000</v>
      </c>
      <c r="C2763" t="s">
        <v>94</v>
      </c>
      <c r="D2763" t="s">
        <v>95</v>
      </c>
      <c r="E2763" s="1">
        <v>45735</v>
      </c>
      <c r="F2763" t="s">
        <v>96</v>
      </c>
      <c r="G2763" t="s">
        <v>171</v>
      </c>
      <c r="H2763" t="s">
        <v>128</v>
      </c>
      <c r="I2763">
        <v>6</v>
      </c>
      <c r="J2763" t="s">
        <v>98</v>
      </c>
      <c r="K2763">
        <v>2</v>
      </c>
      <c r="L2763" s="3">
        <v>8699</v>
      </c>
      <c r="M2763">
        <v>15</v>
      </c>
      <c r="N2763" s="3">
        <v>7390</v>
      </c>
      <c r="O2763" s="3">
        <v>14780</v>
      </c>
      <c r="P2763" t="s">
        <v>74</v>
      </c>
      <c r="Q2763" t="s">
        <v>51</v>
      </c>
      <c r="R2763" t="s">
        <v>36</v>
      </c>
      <c r="S2763" t="s">
        <v>418</v>
      </c>
      <c r="T2763" t="s">
        <v>924</v>
      </c>
      <c r="U2763" t="s">
        <v>39</v>
      </c>
      <c r="V2763" t="s">
        <v>315</v>
      </c>
      <c r="W2763">
        <v>4.2</v>
      </c>
      <c r="X2763" t="s">
        <v>41</v>
      </c>
      <c r="Y2763" t="s">
        <v>42</v>
      </c>
      <c r="Z2763">
        <v>7</v>
      </c>
    </row>
    <row r="2764" spans="1:26">
      <c r="A2764" t="s">
        <v>4006</v>
      </c>
      <c r="B2764" t="s">
        <v>4007</v>
      </c>
      <c r="C2764" t="s">
        <v>45</v>
      </c>
      <c r="D2764" t="s">
        <v>29</v>
      </c>
      <c r="E2764" s="1">
        <v>45738</v>
      </c>
      <c r="F2764" t="s">
        <v>30</v>
      </c>
      <c r="G2764" t="s">
        <v>110</v>
      </c>
      <c r="H2764" t="s">
        <v>111</v>
      </c>
      <c r="I2764">
        <v>10</v>
      </c>
      <c r="J2764" t="s">
        <v>67</v>
      </c>
      <c r="K2764">
        <v>1</v>
      </c>
      <c r="L2764" s="3">
        <v>5299</v>
      </c>
      <c r="M2764">
        <v>10</v>
      </c>
      <c r="N2764" s="3">
        <v>4770</v>
      </c>
      <c r="O2764" s="3">
        <v>4770</v>
      </c>
      <c r="P2764" t="s">
        <v>34</v>
      </c>
      <c r="Q2764" t="s">
        <v>51</v>
      </c>
      <c r="R2764" t="s">
        <v>36</v>
      </c>
      <c r="S2764" t="s">
        <v>384</v>
      </c>
      <c r="T2764" t="s">
        <v>444</v>
      </c>
      <c r="U2764" t="s">
        <v>54</v>
      </c>
      <c r="V2764" t="s">
        <v>40</v>
      </c>
      <c r="W2764">
        <v>4.0999999999999996</v>
      </c>
      <c r="X2764" t="s">
        <v>41</v>
      </c>
      <c r="Y2764" t="s">
        <v>42</v>
      </c>
      <c r="Z2764">
        <v>4</v>
      </c>
    </row>
    <row r="2765" spans="1:26">
      <c r="A2765" t="s">
        <v>4008</v>
      </c>
      <c r="B2765" t="s">
        <v>1046</v>
      </c>
      <c r="C2765" t="s">
        <v>45</v>
      </c>
      <c r="D2765" t="s">
        <v>95</v>
      </c>
      <c r="E2765" s="1">
        <v>45739</v>
      </c>
      <c r="F2765" t="s">
        <v>96</v>
      </c>
      <c r="G2765" t="s">
        <v>228</v>
      </c>
      <c r="H2765" t="s">
        <v>59</v>
      </c>
      <c r="I2765">
        <v>10</v>
      </c>
      <c r="J2765" t="s">
        <v>33</v>
      </c>
      <c r="K2765">
        <v>2</v>
      </c>
      <c r="L2765" s="3">
        <v>8899</v>
      </c>
      <c r="M2765">
        <v>0</v>
      </c>
      <c r="N2765" s="3">
        <v>8900</v>
      </c>
      <c r="O2765" s="3">
        <v>17800</v>
      </c>
      <c r="P2765" t="s">
        <v>74</v>
      </c>
      <c r="Q2765" t="s">
        <v>35</v>
      </c>
      <c r="R2765" t="s">
        <v>36</v>
      </c>
      <c r="S2765" t="s">
        <v>186</v>
      </c>
      <c r="T2765" t="s">
        <v>397</v>
      </c>
      <c r="U2765" t="s">
        <v>39</v>
      </c>
      <c r="V2765" t="s">
        <v>969</v>
      </c>
      <c r="W2765">
        <v>3.8</v>
      </c>
      <c r="X2765" t="s">
        <v>41</v>
      </c>
      <c r="Y2765" t="s">
        <v>42</v>
      </c>
      <c r="Z2765">
        <v>3</v>
      </c>
    </row>
    <row r="2766" spans="1:26">
      <c r="A2766" t="s">
        <v>4009</v>
      </c>
      <c r="B2766" t="s">
        <v>1231</v>
      </c>
      <c r="C2766" t="s">
        <v>94</v>
      </c>
      <c r="D2766" t="s">
        <v>46</v>
      </c>
      <c r="E2766" s="1">
        <v>45739</v>
      </c>
      <c r="F2766" t="s">
        <v>47</v>
      </c>
      <c r="G2766" t="s">
        <v>48</v>
      </c>
      <c r="H2766" t="s">
        <v>49</v>
      </c>
      <c r="I2766">
        <v>10</v>
      </c>
      <c r="J2766" t="s">
        <v>150</v>
      </c>
      <c r="K2766">
        <v>1</v>
      </c>
      <c r="L2766" s="3">
        <v>7999</v>
      </c>
      <c r="M2766">
        <v>10</v>
      </c>
      <c r="N2766" s="3">
        <v>7200</v>
      </c>
      <c r="O2766" s="3">
        <v>7200</v>
      </c>
      <c r="P2766" t="s">
        <v>74</v>
      </c>
      <c r="Q2766" t="s">
        <v>51</v>
      </c>
      <c r="R2766" t="s">
        <v>36</v>
      </c>
      <c r="S2766" t="s">
        <v>358</v>
      </c>
      <c r="T2766" t="s">
        <v>464</v>
      </c>
      <c r="U2766" t="s">
        <v>54</v>
      </c>
      <c r="V2766" t="s">
        <v>969</v>
      </c>
      <c r="W2766">
        <v>5</v>
      </c>
      <c r="X2766" t="s">
        <v>41</v>
      </c>
      <c r="Y2766" t="s">
        <v>42</v>
      </c>
      <c r="Z2766">
        <v>3</v>
      </c>
    </row>
    <row r="2767" spans="1:26">
      <c r="A2767" t="s">
        <v>4010</v>
      </c>
      <c r="B2767" t="s">
        <v>1826</v>
      </c>
      <c r="C2767" t="s">
        <v>45</v>
      </c>
      <c r="D2767" t="s">
        <v>29</v>
      </c>
      <c r="E2767" s="1">
        <v>45740</v>
      </c>
      <c r="F2767" t="s">
        <v>86</v>
      </c>
      <c r="G2767" t="s">
        <v>87</v>
      </c>
      <c r="H2767" t="s">
        <v>59</v>
      </c>
      <c r="I2767">
        <v>9</v>
      </c>
      <c r="J2767" t="s">
        <v>98</v>
      </c>
      <c r="K2767">
        <v>2</v>
      </c>
      <c r="L2767" s="3">
        <v>4899</v>
      </c>
      <c r="M2767">
        <v>10</v>
      </c>
      <c r="N2767" s="3">
        <v>4410</v>
      </c>
      <c r="O2767" s="3">
        <v>8820</v>
      </c>
      <c r="P2767" t="s">
        <v>74</v>
      </c>
      <c r="Q2767" t="s">
        <v>35</v>
      </c>
      <c r="R2767" t="s">
        <v>36</v>
      </c>
      <c r="S2767" t="s">
        <v>384</v>
      </c>
      <c r="T2767" t="s">
        <v>481</v>
      </c>
      <c r="U2767" t="s">
        <v>39</v>
      </c>
      <c r="V2767" t="s">
        <v>315</v>
      </c>
      <c r="W2767">
        <v>4.4000000000000004</v>
      </c>
      <c r="X2767" t="s">
        <v>41</v>
      </c>
      <c r="Y2767" t="s">
        <v>42</v>
      </c>
      <c r="Z2767">
        <v>4</v>
      </c>
    </row>
    <row r="2768" spans="1:26">
      <c r="A2768" t="s">
        <v>4011</v>
      </c>
      <c r="B2768" t="s">
        <v>1276</v>
      </c>
      <c r="C2768" t="s">
        <v>45</v>
      </c>
      <c r="D2768" t="s">
        <v>103</v>
      </c>
      <c r="E2768" s="1">
        <v>45740</v>
      </c>
      <c r="F2768" t="s">
        <v>86</v>
      </c>
      <c r="G2768" t="s">
        <v>285</v>
      </c>
      <c r="H2768" t="s">
        <v>111</v>
      </c>
      <c r="I2768">
        <v>9</v>
      </c>
      <c r="J2768" t="s">
        <v>88</v>
      </c>
      <c r="K2768">
        <v>2</v>
      </c>
      <c r="L2768" s="3">
        <v>8099</v>
      </c>
      <c r="M2768">
        <v>5</v>
      </c>
      <c r="N2768" s="3">
        <v>7690</v>
      </c>
      <c r="O2768" s="3">
        <v>15380</v>
      </c>
      <c r="P2768" t="s">
        <v>74</v>
      </c>
      <c r="Q2768" t="s">
        <v>82</v>
      </c>
      <c r="R2768" t="s">
        <v>36</v>
      </c>
      <c r="S2768" t="s">
        <v>37</v>
      </c>
      <c r="T2768" t="s">
        <v>509</v>
      </c>
      <c r="U2768" t="s">
        <v>91</v>
      </c>
      <c r="V2768" t="s">
        <v>969</v>
      </c>
      <c r="W2768">
        <v>4.8</v>
      </c>
      <c r="X2768" t="s">
        <v>41</v>
      </c>
      <c r="Y2768" t="s">
        <v>42</v>
      </c>
      <c r="Z2768">
        <v>5</v>
      </c>
    </row>
    <row r="2769" spans="1:26">
      <c r="A2769" t="s">
        <v>4012</v>
      </c>
      <c r="B2769" t="s">
        <v>3599</v>
      </c>
      <c r="C2769" t="s">
        <v>28</v>
      </c>
      <c r="D2769" t="s">
        <v>95</v>
      </c>
      <c r="E2769" s="1">
        <v>45740</v>
      </c>
      <c r="F2769" t="s">
        <v>30</v>
      </c>
      <c r="G2769" t="s">
        <v>347</v>
      </c>
      <c r="H2769" t="s">
        <v>49</v>
      </c>
      <c r="I2769">
        <v>8</v>
      </c>
      <c r="J2769" t="s">
        <v>98</v>
      </c>
      <c r="K2769">
        <v>2</v>
      </c>
      <c r="L2769" s="3">
        <v>3799</v>
      </c>
      <c r="M2769">
        <v>30</v>
      </c>
      <c r="N2769" s="3">
        <v>2660</v>
      </c>
      <c r="O2769" s="3">
        <v>5320</v>
      </c>
      <c r="P2769" t="s">
        <v>74</v>
      </c>
      <c r="Q2769" t="s">
        <v>51</v>
      </c>
      <c r="R2769" t="s">
        <v>36</v>
      </c>
      <c r="S2769" t="s">
        <v>200</v>
      </c>
      <c r="T2769" t="s">
        <v>204</v>
      </c>
      <c r="U2769" t="s">
        <v>61</v>
      </c>
      <c r="V2769" t="s">
        <v>315</v>
      </c>
      <c r="W2769">
        <v>4.2</v>
      </c>
      <c r="X2769" t="s">
        <v>41</v>
      </c>
      <c r="Y2769" t="s">
        <v>42</v>
      </c>
      <c r="Z2769">
        <v>6</v>
      </c>
    </row>
    <row r="2770" spans="1:26">
      <c r="A2770" t="s">
        <v>4013</v>
      </c>
      <c r="B2770" t="s">
        <v>1591</v>
      </c>
      <c r="C2770" t="s">
        <v>28</v>
      </c>
      <c r="D2770" t="s">
        <v>103</v>
      </c>
      <c r="E2770" s="1">
        <v>45741</v>
      </c>
      <c r="F2770" t="s">
        <v>86</v>
      </c>
      <c r="G2770" t="s">
        <v>242</v>
      </c>
      <c r="H2770" t="s">
        <v>32</v>
      </c>
      <c r="I2770">
        <v>11</v>
      </c>
      <c r="J2770" t="s">
        <v>67</v>
      </c>
      <c r="K2770">
        <v>2</v>
      </c>
      <c r="L2770" s="3">
        <v>6199</v>
      </c>
      <c r="M2770">
        <v>15</v>
      </c>
      <c r="N2770" s="3">
        <v>5270</v>
      </c>
      <c r="O2770" s="3">
        <v>10540</v>
      </c>
      <c r="P2770" t="s">
        <v>50</v>
      </c>
      <c r="Q2770" t="s">
        <v>35</v>
      </c>
      <c r="R2770" t="s">
        <v>36</v>
      </c>
      <c r="S2770" t="s">
        <v>286</v>
      </c>
      <c r="T2770" t="s">
        <v>737</v>
      </c>
      <c r="U2770" t="s">
        <v>61</v>
      </c>
      <c r="V2770" t="s">
        <v>969</v>
      </c>
      <c r="W2770">
        <v>4.5999999999999996</v>
      </c>
      <c r="X2770" t="s">
        <v>41</v>
      </c>
      <c r="Y2770" t="s">
        <v>42</v>
      </c>
      <c r="Z2770">
        <v>4</v>
      </c>
    </row>
    <row r="2771" spans="1:26">
      <c r="A2771" t="s">
        <v>4014</v>
      </c>
      <c r="B2771" t="s">
        <v>1961</v>
      </c>
      <c r="C2771" t="s">
        <v>28</v>
      </c>
      <c r="D2771" t="s">
        <v>95</v>
      </c>
      <c r="E2771" s="1">
        <v>45744</v>
      </c>
      <c r="F2771" t="s">
        <v>30</v>
      </c>
      <c r="G2771" t="s">
        <v>347</v>
      </c>
      <c r="H2771" t="s">
        <v>49</v>
      </c>
      <c r="I2771">
        <v>9</v>
      </c>
      <c r="J2771" t="s">
        <v>73</v>
      </c>
      <c r="K2771">
        <v>1</v>
      </c>
      <c r="L2771" s="3">
        <v>7099</v>
      </c>
      <c r="M2771">
        <v>30</v>
      </c>
      <c r="N2771" s="3">
        <v>4970</v>
      </c>
      <c r="O2771" s="3">
        <v>4970</v>
      </c>
      <c r="P2771" t="s">
        <v>74</v>
      </c>
      <c r="Q2771" t="s">
        <v>51</v>
      </c>
      <c r="R2771" t="s">
        <v>36</v>
      </c>
      <c r="S2771" t="s">
        <v>52</v>
      </c>
      <c r="T2771" t="s">
        <v>235</v>
      </c>
      <c r="U2771" t="s">
        <v>54</v>
      </c>
      <c r="V2771" t="s">
        <v>969</v>
      </c>
      <c r="W2771">
        <v>4.5999999999999996</v>
      </c>
      <c r="X2771" t="s">
        <v>106</v>
      </c>
      <c r="Y2771" t="s">
        <v>147</v>
      </c>
      <c r="Z2771">
        <v>1</v>
      </c>
    </row>
    <row r="2772" spans="1:26">
      <c r="A2772" t="s">
        <v>4015</v>
      </c>
      <c r="B2772" t="s">
        <v>1365</v>
      </c>
      <c r="C2772" t="s">
        <v>45</v>
      </c>
      <c r="D2772" t="s">
        <v>95</v>
      </c>
      <c r="E2772" s="1">
        <v>45748</v>
      </c>
      <c r="F2772" t="s">
        <v>86</v>
      </c>
      <c r="G2772" t="s">
        <v>87</v>
      </c>
      <c r="H2772" t="s">
        <v>59</v>
      </c>
      <c r="I2772">
        <v>10</v>
      </c>
      <c r="J2772" t="s">
        <v>33</v>
      </c>
      <c r="K2772">
        <v>1</v>
      </c>
      <c r="L2772" s="3">
        <v>8499</v>
      </c>
      <c r="M2772">
        <v>20</v>
      </c>
      <c r="N2772" s="3">
        <v>6800</v>
      </c>
      <c r="O2772" s="3">
        <v>6800</v>
      </c>
      <c r="P2772" t="s">
        <v>74</v>
      </c>
      <c r="Q2772" t="s">
        <v>35</v>
      </c>
      <c r="R2772" t="s">
        <v>36</v>
      </c>
      <c r="S2772" t="s">
        <v>354</v>
      </c>
      <c r="T2772" t="s">
        <v>431</v>
      </c>
      <c r="U2772" t="s">
        <v>124</v>
      </c>
      <c r="V2772" t="s">
        <v>315</v>
      </c>
      <c r="W2772">
        <v>4.5</v>
      </c>
      <c r="X2772" t="s">
        <v>106</v>
      </c>
      <c r="Y2772" t="s">
        <v>42</v>
      </c>
      <c r="Z2772">
        <v>2</v>
      </c>
    </row>
    <row r="2773" spans="1:26">
      <c r="A2773" t="s">
        <v>4016</v>
      </c>
      <c r="B2773" t="s">
        <v>2111</v>
      </c>
      <c r="C2773" t="s">
        <v>28</v>
      </c>
      <c r="D2773" t="s">
        <v>95</v>
      </c>
      <c r="E2773" s="1">
        <v>45749</v>
      </c>
      <c r="F2773" t="s">
        <v>47</v>
      </c>
      <c r="G2773" t="s">
        <v>218</v>
      </c>
      <c r="H2773" t="s">
        <v>59</v>
      </c>
      <c r="I2773">
        <v>8</v>
      </c>
      <c r="J2773" t="s">
        <v>150</v>
      </c>
      <c r="K2773">
        <v>1</v>
      </c>
      <c r="L2773" s="3">
        <v>7299</v>
      </c>
      <c r="M2773">
        <v>20</v>
      </c>
      <c r="N2773" s="3">
        <v>5840</v>
      </c>
      <c r="O2773" s="3">
        <v>5840</v>
      </c>
      <c r="P2773" t="s">
        <v>74</v>
      </c>
      <c r="Q2773" t="s">
        <v>51</v>
      </c>
      <c r="R2773" t="s">
        <v>36</v>
      </c>
      <c r="S2773" t="s">
        <v>384</v>
      </c>
      <c r="T2773" t="s">
        <v>481</v>
      </c>
      <c r="U2773" t="s">
        <v>91</v>
      </c>
      <c r="V2773" t="s">
        <v>315</v>
      </c>
      <c r="W2773">
        <v>3.9</v>
      </c>
      <c r="X2773" t="s">
        <v>41</v>
      </c>
      <c r="Y2773" t="s">
        <v>42</v>
      </c>
      <c r="Z2773">
        <v>2</v>
      </c>
    </row>
    <row r="2774" spans="1:26">
      <c r="A2774" t="s">
        <v>4017</v>
      </c>
      <c r="B2774" t="s">
        <v>2309</v>
      </c>
      <c r="C2774" t="s">
        <v>94</v>
      </c>
      <c r="D2774" t="s">
        <v>46</v>
      </c>
      <c r="E2774" s="1">
        <v>45749</v>
      </c>
      <c r="F2774" t="s">
        <v>65</v>
      </c>
      <c r="G2774" t="s">
        <v>66</v>
      </c>
      <c r="H2774" t="s">
        <v>59</v>
      </c>
      <c r="I2774">
        <v>11</v>
      </c>
      <c r="J2774" t="s">
        <v>88</v>
      </c>
      <c r="K2774">
        <v>1</v>
      </c>
      <c r="L2774" s="3">
        <v>3499</v>
      </c>
      <c r="M2774">
        <v>25</v>
      </c>
      <c r="N2774" s="3">
        <v>2620</v>
      </c>
      <c r="O2774" s="3">
        <v>2620</v>
      </c>
      <c r="P2774" t="s">
        <v>74</v>
      </c>
      <c r="Q2774" t="s">
        <v>51</v>
      </c>
      <c r="R2774" t="s">
        <v>36</v>
      </c>
      <c r="S2774" t="s">
        <v>243</v>
      </c>
      <c r="T2774" t="s">
        <v>244</v>
      </c>
      <c r="U2774" t="s">
        <v>91</v>
      </c>
      <c r="V2774" t="s">
        <v>969</v>
      </c>
      <c r="W2774">
        <v>3.6</v>
      </c>
      <c r="X2774" t="s">
        <v>41</v>
      </c>
      <c r="Y2774" t="s">
        <v>55</v>
      </c>
      <c r="Z2774">
        <v>1</v>
      </c>
    </row>
    <row r="2775" spans="1:26">
      <c r="A2775" t="s">
        <v>4018</v>
      </c>
      <c r="B2775" t="s">
        <v>1139</v>
      </c>
      <c r="C2775" t="s">
        <v>94</v>
      </c>
      <c r="D2775" t="s">
        <v>46</v>
      </c>
      <c r="E2775" s="1">
        <v>45749</v>
      </c>
      <c r="F2775" t="s">
        <v>47</v>
      </c>
      <c r="G2775" t="s">
        <v>402</v>
      </c>
      <c r="H2775" t="s">
        <v>32</v>
      </c>
      <c r="I2775">
        <v>12</v>
      </c>
      <c r="J2775" t="s">
        <v>33</v>
      </c>
      <c r="K2775">
        <v>1</v>
      </c>
      <c r="L2775" s="3">
        <v>5699</v>
      </c>
      <c r="M2775">
        <v>30</v>
      </c>
      <c r="N2775" s="3">
        <v>3990</v>
      </c>
      <c r="O2775" s="3">
        <v>3990</v>
      </c>
      <c r="P2775" t="s">
        <v>74</v>
      </c>
      <c r="Q2775" t="s">
        <v>51</v>
      </c>
      <c r="R2775" t="s">
        <v>36</v>
      </c>
      <c r="S2775" t="s">
        <v>418</v>
      </c>
      <c r="T2775" t="s">
        <v>613</v>
      </c>
      <c r="U2775" t="s">
        <v>54</v>
      </c>
      <c r="V2775" t="s">
        <v>969</v>
      </c>
      <c r="W2775">
        <v>4.0999999999999996</v>
      </c>
      <c r="X2775" t="s">
        <v>41</v>
      </c>
      <c r="Y2775" t="s">
        <v>42</v>
      </c>
      <c r="Z2775">
        <v>6</v>
      </c>
    </row>
    <row r="2776" spans="1:26">
      <c r="A2776" t="s">
        <v>4019</v>
      </c>
      <c r="B2776" t="s">
        <v>691</v>
      </c>
      <c r="C2776" t="s">
        <v>28</v>
      </c>
      <c r="D2776" t="s">
        <v>46</v>
      </c>
      <c r="E2776" s="1">
        <v>45751</v>
      </c>
      <c r="F2776" t="s">
        <v>65</v>
      </c>
      <c r="G2776" t="s">
        <v>279</v>
      </c>
      <c r="H2776" t="s">
        <v>111</v>
      </c>
      <c r="I2776">
        <v>7</v>
      </c>
      <c r="J2776" t="s">
        <v>98</v>
      </c>
      <c r="K2776">
        <v>2</v>
      </c>
      <c r="L2776" s="3">
        <v>7299</v>
      </c>
      <c r="M2776">
        <v>25</v>
      </c>
      <c r="N2776" s="3">
        <v>5470</v>
      </c>
      <c r="O2776" s="3">
        <v>10940</v>
      </c>
      <c r="P2776" t="s">
        <v>74</v>
      </c>
      <c r="Q2776" t="s">
        <v>35</v>
      </c>
      <c r="R2776" t="s">
        <v>36</v>
      </c>
      <c r="S2776" t="s">
        <v>243</v>
      </c>
      <c r="T2776" t="s">
        <v>276</v>
      </c>
      <c r="U2776" t="s">
        <v>91</v>
      </c>
      <c r="V2776" t="s">
        <v>969</v>
      </c>
      <c r="W2776">
        <v>3.6</v>
      </c>
      <c r="X2776" t="s">
        <v>106</v>
      </c>
      <c r="Y2776" t="s">
        <v>42</v>
      </c>
      <c r="Z2776">
        <v>2</v>
      </c>
    </row>
    <row r="2777" spans="1:26">
      <c r="A2777" t="s">
        <v>4020</v>
      </c>
      <c r="B2777" t="s">
        <v>765</v>
      </c>
      <c r="C2777" t="s">
        <v>94</v>
      </c>
      <c r="D2777" t="s">
        <v>29</v>
      </c>
      <c r="E2777" s="1">
        <v>45752</v>
      </c>
      <c r="F2777" t="s">
        <v>65</v>
      </c>
      <c r="G2777" t="s">
        <v>256</v>
      </c>
      <c r="H2777" t="s">
        <v>32</v>
      </c>
      <c r="I2777">
        <v>8</v>
      </c>
      <c r="J2777" t="s">
        <v>98</v>
      </c>
      <c r="K2777">
        <v>1</v>
      </c>
      <c r="L2777" s="3">
        <v>6399</v>
      </c>
      <c r="M2777">
        <v>30</v>
      </c>
      <c r="N2777" s="3">
        <v>4480</v>
      </c>
      <c r="O2777" s="3">
        <v>4480</v>
      </c>
      <c r="P2777" t="s">
        <v>74</v>
      </c>
      <c r="Q2777" t="s">
        <v>82</v>
      </c>
      <c r="R2777" t="s">
        <v>36</v>
      </c>
      <c r="S2777" t="s">
        <v>52</v>
      </c>
      <c r="T2777" t="s">
        <v>83</v>
      </c>
      <c r="U2777" t="s">
        <v>39</v>
      </c>
      <c r="V2777" t="s">
        <v>969</v>
      </c>
      <c r="W2777">
        <v>4.7</v>
      </c>
      <c r="X2777" t="s">
        <v>41</v>
      </c>
      <c r="Y2777" t="s">
        <v>42</v>
      </c>
      <c r="Z2777">
        <v>5</v>
      </c>
    </row>
    <row r="2778" spans="1:26">
      <c r="A2778" t="s">
        <v>4021</v>
      </c>
      <c r="B2778" t="s">
        <v>1640</v>
      </c>
      <c r="C2778" t="s">
        <v>28</v>
      </c>
      <c r="D2778" t="s">
        <v>109</v>
      </c>
      <c r="E2778" s="1">
        <v>45752</v>
      </c>
      <c r="F2778" t="s">
        <v>96</v>
      </c>
      <c r="G2778" t="s">
        <v>155</v>
      </c>
      <c r="H2778" t="s">
        <v>111</v>
      </c>
      <c r="I2778">
        <v>10</v>
      </c>
      <c r="J2778" t="s">
        <v>73</v>
      </c>
      <c r="K2778">
        <v>1</v>
      </c>
      <c r="L2778" s="3">
        <v>4799</v>
      </c>
      <c r="M2778">
        <v>30</v>
      </c>
      <c r="N2778" s="3">
        <v>3360</v>
      </c>
      <c r="O2778" s="3">
        <v>3360</v>
      </c>
      <c r="P2778" t="s">
        <v>74</v>
      </c>
      <c r="Q2778" t="s">
        <v>35</v>
      </c>
      <c r="R2778" t="s">
        <v>36</v>
      </c>
      <c r="S2778" t="s">
        <v>175</v>
      </c>
      <c r="T2778" t="s">
        <v>865</v>
      </c>
      <c r="U2778" t="s">
        <v>54</v>
      </c>
      <c r="V2778" t="s">
        <v>315</v>
      </c>
      <c r="W2778">
        <v>4</v>
      </c>
      <c r="X2778" t="s">
        <v>106</v>
      </c>
      <c r="Y2778" t="s">
        <v>42</v>
      </c>
      <c r="Z2778">
        <v>3</v>
      </c>
    </row>
    <row r="2779" spans="1:26">
      <c r="A2779" t="s">
        <v>4022</v>
      </c>
      <c r="B2779" t="s">
        <v>3936</v>
      </c>
      <c r="C2779" t="s">
        <v>28</v>
      </c>
      <c r="D2779" t="s">
        <v>46</v>
      </c>
      <c r="E2779" s="1">
        <v>45752</v>
      </c>
      <c r="F2779" t="s">
        <v>79</v>
      </c>
      <c r="G2779" t="s">
        <v>80</v>
      </c>
      <c r="H2779" t="s">
        <v>59</v>
      </c>
      <c r="I2779">
        <v>6</v>
      </c>
      <c r="J2779" t="s">
        <v>67</v>
      </c>
      <c r="K2779">
        <v>1</v>
      </c>
      <c r="L2779" s="3">
        <v>6999</v>
      </c>
      <c r="M2779">
        <v>35</v>
      </c>
      <c r="N2779" s="3">
        <v>4550</v>
      </c>
      <c r="O2779" s="3">
        <v>4550</v>
      </c>
      <c r="P2779" t="s">
        <v>74</v>
      </c>
      <c r="Q2779" t="s">
        <v>51</v>
      </c>
      <c r="R2779" t="s">
        <v>36</v>
      </c>
      <c r="S2779" t="s">
        <v>164</v>
      </c>
      <c r="T2779" t="s">
        <v>348</v>
      </c>
      <c r="U2779" t="s">
        <v>124</v>
      </c>
      <c r="V2779" t="s">
        <v>315</v>
      </c>
      <c r="W2779">
        <v>4.3</v>
      </c>
      <c r="X2779" t="s">
        <v>41</v>
      </c>
      <c r="Y2779" t="s">
        <v>42</v>
      </c>
      <c r="Z2779">
        <v>4</v>
      </c>
    </row>
    <row r="2780" spans="1:26">
      <c r="A2780" t="s">
        <v>4023</v>
      </c>
      <c r="B2780" t="s">
        <v>568</v>
      </c>
      <c r="C2780" t="s">
        <v>28</v>
      </c>
      <c r="D2780" t="s">
        <v>29</v>
      </c>
      <c r="E2780" s="1">
        <v>45752</v>
      </c>
      <c r="F2780" t="s">
        <v>65</v>
      </c>
      <c r="G2780" t="s">
        <v>256</v>
      </c>
      <c r="H2780" t="s">
        <v>32</v>
      </c>
      <c r="I2780">
        <v>8</v>
      </c>
      <c r="J2780" t="s">
        <v>73</v>
      </c>
      <c r="K2780">
        <v>1</v>
      </c>
      <c r="L2780" s="3">
        <v>5499</v>
      </c>
      <c r="M2780">
        <v>25</v>
      </c>
      <c r="N2780" s="3">
        <v>4120</v>
      </c>
      <c r="O2780" s="3">
        <v>4120</v>
      </c>
      <c r="P2780" t="s">
        <v>74</v>
      </c>
      <c r="Q2780" t="s">
        <v>51</v>
      </c>
      <c r="R2780" t="s">
        <v>36</v>
      </c>
      <c r="S2780" t="s">
        <v>384</v>
      </c>
      <c r="T2780" t="s">
        <v>385</v>
      </c>
      <c r="U2780" t="s">
        <v>61</v>
      </c>
      <c r="V2780" t="s">
        <v>969</v>
      </c>
      <c r="W2780">
        <v>4.5999999999999996</v>
      </c>
      <c r="X2780" t="s">
        <v>106</v>
      </c>
      <c r="Y2780" t="s">
        <v>42</v>
      </c>
      <c r="Z2780">
        <v>3</v>
      </c>
    </row>
    <row r="2781" spans="1:26">
      <c r="A2781" t="s">
        <v>4024</v>
      </c>
      <c r="B2781" t="s">
        <v>1545</v>
      </c>
      <c r="C2781" t="s">
        <v>28</v>
      </c>
      <c r="D2781" t="s">
        <v>109</v>
      </c>
      <c r="E2781" s="1">
        <v>45753</v>
      </c>
      <c r="F2781" t="s">
        <v>30</v>
      </c>
      <c r="G2781" t="s">
        <v>58</v>
      </c>
      <c r="H2781" t="s">
        <v>59</v>
      </c>
      <c r="I2781">
        <v>8</v>
      </c>
      <c r="J2781" t="s">
        <v>98</v>
      </c>
      <c r="K2781">
        <v>2</v>
      </c>
      <c r="L2781" s="3">
        <v>5099</v>
      </c>
      <c r="M2781">
        <v>5</v>
      </c>
      <c r="N2781" s="3">
        <v>4840</v>
      </c>
      <c r="O2781" s="3">
        <v>9680</v>
      </c>
      <c r="P2781" t="s">
        <v>74</v>
      </c>
      <c r="Q2781" t="s">
        <v>51</v>
      </c>
      <c r="R2781" t="s">
        <v>36</v>
      </c>
      <c r="S2781" t="s">
        <v>117</v>
      </c>
      <c r="T2781" t="s">
        <v>751</v>
      </c>
      <c r="U2781" t="s">
        <v>124</v>
      </c>
      <c r="V2781" t="s">
        <v>969</v>
      </c>
      <c r="W2781">
        <v>5</v>
      </c>
      <c r="X2781" t="s">
        <v>41</v>
      </c>
      <c r="Y2781" t="s">
        <v>55</v>
      </c>
      <c r="Z2781">
        <v>3</v>
      </c>
    </row>
    <row r="2782" spans="1:26">
      <c r="A2782" t="s">
        <v>4025</v>
      </c>
      <c r="B2782" t="s">
        <v>987</v>
      </c>
      <c r="C2782" t="s">
        <v>45</v>
      </c>
      <c r="D2782" t="s">
        <v>95</v>
      </c>
      <c r="E2782" s="1">
        <v>45754</v>
      </c>
      <c r="F2782" t="s">
        <v>96</v>
      </c>
      <c r="G2782" t="s">
        <v>323</v>
      </c>
      <c r="H2782" t="s">
        <v>59</v>
      </c>
      <c r="I2782">
        <v>11</v>
      </c>
      <c r="J2782" t="s">
        <v>150</v>
      </c>
      <c r="K2782">
        <v>1</v>
      </c>
      <c r="L2782" s="3">
        <v>6599</v>
      </c>
      <c r="M2782">
        <v>10</v>
      </c>
      <c r="N2782" s="3">
        <v>5940</v>
      </c>
      <c r="O2782" s="3">
        <v>5940</v>
      </c>
      <c r="P2782" t="s">
        <v>34</v>
      </c>
      <c r="Q2782" t="s">
        <v>51</v>
      </c>
      <c r="R2782" t="s">
        <v>36</v>
      </c>
      <c r="S2782" t="s">
        <v>168</v>
      </c>
      <c r="T2782" t="s">
        <v>168</v>
      </c>
      <c r="U2782" t="s">
        <v>124</v>
      </c>
      <c r="V2782" t="s">
        <v>969</v>
      </c>
      <c r="W2782">
        <v>3.9</v>
      </c>
      <c r="X2782" t="s">
        <v>62</v>
      </c>
      <c r="Y2782" t="s">
        <v>42</v>
      </c>
      <c r="Z2782">
        <v>5</v>
      </c>
    </row>
    <row r="2783" spans="1:26">
      <c r="A2783" t="s">
        <v>4026</v>
      </c>
      <c r="B2783" t="s">
        <v>2042</v>
      </c>
      <c r="C2783" t="s">
        <v>45</v>
      </c>
      <c r="D2783" t="s">
        <v>46</v>
      </c>
      <c r="E2783" s="1">
        <v>45754</v>
      </c>
      <c r="F2783" t="s">
        <v>86</v>
      </c>
      <c r="G2783" t="s">
        <v>312</v>
      </c>
      <c r="H2783" t="s">
        <v>59</v>
      </c>
      <c r="I2783">
        <v>6</v>
      </c>
      <c r="J2783" t="s">
        <v>67</v>
      </c>
      <c r="K2783">
        <v>2</v>
      </c>
      <c r="L2783" s="3">
        <v>9099</v>
      </c>
      <c r="M2783">
        <v>10</v>
      </c>
      <c r="N2783" s="3">
        <v>8190</v>
      </c>
      <c r="O2783" s="3">
        <v>16380</v>
      </c>
      <c r="P2783" t="s">
        <v>74</v>
      </c>
      <c r="Q2783" t="s">
        <v>82</v>
      </c>
      <c r="R2783" t="s">
        <v>36</v>
      </c>
      <c r="S2783" t="s">
        <v>358</v>
      </c>
      <c r="T2783" t="s">
        <v>464</v>
      </c>
      <c r="U2783" t="s">
        <v>124</v>
      </c>
      <c r="V2783" t="s">
        <v>315</v>
      </c>
      <c r="W2783">
        <v>3.6</v>
      </c>
      <c r="X2783" t="s">
        <v>41</v>
      </c>
      <c r="Y2783" t="s">
        <v>42</v>
      </c>
      <c r="Z2783">
        <v>4</v>
      </c>
    </row>
    <row r="2784" spans="1:26">
      <c r="A2784" t="s">
        <v>4027</v>
      </c>
      <c r="B2784" t="s">
        <v>454</v>
      </c>
      <c r="C2784" t="s">
        <v>28</v>
      </c>
      <c r="D2784" t="s">
        <v>109</v>
      </c>
      <c r="E2784" s="1">
        <v>45754</v>
      </c>
      <c r="F2784" t="s">
        <v>79</v>
      </c>
      <c r="G2784" t="s">
        <v>517</v>
      </c>
      <c r="H2784" t="s">
        <v>59</v>
      </c>
      <c r="I2784">
        <v>6</v>
      </c>
      <c r="J2784" t="s">
        <v>33</v>
      </c>
      <c r="K2784">
        <v>1</v>
      </c>
      <c r="L2784" s="3">
        <v>8999</v>
      </c>
      <c r="M2784">
        <v>0</v>
      </c>
      <c r="N2784" s="3">
        <v>9000</v>
      </c>
      <c r="O2784" s="3">
        <v>9000</v>
      </c>
      <c r="P2784" t="s">
        <v>74</v>
      </c>
      <c r="Q2784" t="s">
        <v>35</v>
      </c>
      <c r="R2784" t="s">
        <v>36</v>
      </c>
      <c r="S2784" t="s">
        <v>418</v>
      </c>
      <c r="T2784" t="s">
        <v>924</v>
      </c>
      <c r="U2784" t="s">
        <v>54</v>
      </c>
      <c r="V2784" t="s">
        <v>315</v>
      </c>
      <c r="W2784">
        <v>4.3</v>
      </c>
      <c r="X2784" t="s">
        <v>41</v>
      </c>
      <c r="Y2784" t="s">
        <v>42</v>
      </c>
      <c r="Z2784">
        <v>7</v>
      </c>
    </row>
    <row r="2785" spans="1:26">
      <c r="A2785" t="s">
        <v>4028</v>
      </c>
      <c r="B2785" t="s">
        <v>938</v>
      </c>
      <c r="C2785" t="s">
        <v>45</v>
      </c>
      <c r="D2785" t="s">
        <v>46</v>
      </c>
      <c r="E2785" s="1">
        <v>45757</v>
      </c>
      <c r="F2785" t="s">
        <v>65</v>
      </c>
      <c r="G2785" t="s">
        <v>279</v>
      </c>
      <c r="H2785" t="s">
        <v>111</v>
      </c>
      <c r="I2785">
        <v>8</v>
      </c>
      <c r="J2785" t="s">
        <v>98</v>
      </c>
      <c r="K2785">
        <v>1</v>
      </c>
      <c r="L2785" s="3">
        <v>8299</v>
      </c>
      <c r="M2785">
        <v>10</v>
      </c>
      <c r="N2785" s="3">
        <v>7470</v>
      </c>
      <c r="O2785" s="3">
        <v>7470</v>
      </c>
      <c r="P2785" t="s">
        <v>74</v>
      </c>
      <c r="Q2785" t="s">
        <v>82</v>
      </c>
      <c r="R2785" t="s">
        <v>36</v>
      </c>
      <c r="S2785" t="s">
        <v>112</v>
      </c>
      <c r="T2785" t="s">
        <v>133</v>
      </c>
      <c r="U2785" t="s">
        <v>124</v>
      </c>
      <c r="V2785" t="s">
        <v>315</v>
      </c>
      <c r="W2785">
        <v>3.8</v>
      </c>
      <c r="X2785" t="s">
        <v>41</v>
      </c>
      <c r="Y2785" t="s">
        <v>42</v>
      </c>
      <c r="Z2785">
        <v>7</v>
      </c>
    </row>
    <row r="2786" spans="1:26">
      <c r="A2786" t="s">
        <v>4029</v>
      </c>
      <c r="B2786" t="s">
        <v>4030</v>
      </c>
      <c r="C2786" t="s">
        <v>28</v>
      </c>
      <c r="D2786" t="s">
        <v>103</v>
      </c>
      <c r="E2786" s="1">
        <v>45757</v>
      </c>
      <c r="F2786" t="s">
        <v>96</v>
      </c>
      <c r="G2786" t="s">
        <v>323</v>
      </c>
      <c r="H2786" t="s">
        <v>59</v>
      </c>
      <c r="I2786">
        <v>9</v>
      </c>
      <c r="J2786" t="s">
        <v>67</v>
      </c>
      <c r="K2786">
        <v>1</v>
      </c>
      <c r="L2786" s="3">
        <v>6199</v>
      </c>
      <c r="M2786">
        <v>25</v>
      </c>
      <c r="N2786" s="3">
        <v>4650</v>
      </c>
      <c r="O2786" s="3">
        <v>4650</v>
      </c>
      <c r="P2786" t="s">
        <v>74</v>
      </c>
      <c r="Q2786" t="s">
        <v>35</v>
      </c>
      <c r="R2786" t="s">
        <v>36</v>
      </c>
      <c r="S2786" t="s">
        <v>269</v>
      </c>
      <c r="T2786" t="s">
        <v>961</v>
      </c>
      <c r="U2786" t="s">
        <v>39</v>
      </c>
      <c r="V2786" t="s">
        <v>40</v>
      </c>
      <c r="W2786">
        <v>4.3</v>
      </c>
      <c r="X2786" t="s">
        <v>62</v>
      </c>
      <c r="Y2786" t="s">
        <v>55</v>
      </c>
      <c r="Z2786">
        <v>2</v>
      </c>
    </row>
    <row r="2787" spans="1:26">
      <c r="A2787" t="s">
        <v>4031</v>
      </c>
      <c r="B2787" t="s">
        <v>912</v>
      </c>
      <c r="C2787" t="s">
        <v>28</v>
      </c>
      <c r="D2787" t="s">
        <v>29</v>
      </c>
      <c r="E2787" s="1">
        <v>45757</v>
      </c>
      <c r="F2787" t="s">
        <v>65</v>
      </c>
      <c r="G2787" t="s">
        <v>66</v>
      </c>
      <c r="H2787" t="s">
        <v>59</v>
      </c>
      <c r="I2787">
        <v>6</v>
      </c>
      <c r="J2787" t="s">
        <v>150</v>
      </c>
      <c r="K2787">
        <v>1</v>
      </c>
      <c r="L2787" s="3">
        <v>7199</v>
      </c>
      <c r="M2787">
        <v>30</v>
      </c>
      <c r="N2787" s="3">
        <v>5040</v>
      </c>
      <c r="O2787" s="3">
        <v>5040</v>
      </c>
      <c r="P2787" t="s">
        <v>74</v>
      </c>
      <c r="Q2787" t="s">
        <v>51</v>
      </c>
      <c r="R2787" t="s">
        <v>36</v>
      </c>
      <c r="S2787" t="s">
        <v>156</v>
      </c>
      <c r="T2787" t="s">
        <v>324</v>
      </c>
      <c r="U2787" t="s">
        <v>54</v>
      </c>
      <c r="V2787" t="s">
        <v>315</v>
      </c>
      <c r="W2787">
        <v>4.2</v>
      </c>
      <c r="X2787" t="s">
        <v>62</v>
      </c>
      <c r="Y2787" t="s">
        <v>42</v>
      </c>
      <c r="Z2787">
        <v>2</v>
      </c>
    </row>
    <row r="2788" spans="1:26">
      <c r="A2788" t="s">
        <v>4032</v>
      </c>
      <c r="B2788" t="s">
        <v>2637</v>
      </c>
      <c r="C2788" t="s">
        <v>45</v>
      </c>
      <c r="D2788" t="s">
        <v>46</v>
      </c>
      <c r="E2788" s="1">
        <v>45758</v>
      </c>
      <c r="F2788" t="s">
        <v>86</v>
      </c>
      <c r="G2788" t="s">
        <v>116</v>
      </c>
      <c r="H2788" t="s">
        <v>49</v>
      </c>
      <c r="I2788">
        <v>11</v>
      </c>
      <c r="J2788" t="s">
        <v>88</v>
      </c>
      <c r="K2788">
        <v>1</v>
      </c>
      <c r="L2788" s="3">
        <v>7699</v>
      </c>
      <c r="M2788">
        <v>10</v>
      </c>
      <c r="N2788" s="3">
        <v>6930</v>
      </c>
      <c r="O2788" s="3">
        <v>6930</v>
      </c>
      <c r="P2788" t="s">
        <v>74</v>
      </c>
      <c r="Q2788" t="s">
        <v>51</v>
      </c>
      <c r="R2788" t="s">
        <v>36</v>
      </c>
      <c r="S2788" t="s">
        <v>182</v>
      </c>
      <c r="T2788" t="s">
        <v>604</v>
      </c>
      <c r="U2788" t="s">
        <v>54</v>
      </c>
      <c r="V2788" t="s">
        <v>315</v>
      </c>
      <c r="W2788">
        <v>5</v>
      </c>
      <c r="X2788" t="s">
        <v>106</v>
      </c>
      <c r="Y2788" t="s">
        <v>42</v>
      </c>
      <c r="Z2788">
        <v>4</v>
      </c>
    </row>
    <row r="2789" spans="1:26">
      <c r="A2789" t="s">
        <v>4033</v>
      </c>
      <c r="B2789" t="s">
        <v>2790</v>
      </c>
      <c r="C2789" t="s">
        <v>45</v>
      </c>
      <c r="D2789" t="s">
        <v>95</v>
      </c>
      <c r="E2789" s="1">
        <v>45758</v>
      </c>
      <c r="F2789" t="s">
        <v>86</v>
      </c>
      <c r="G2789" t="s">
        <v>312</v>
      </c>
      <c r="H2789" t="s">
        <v>59</v>
      </c>
      <c r="I2789">
        <v>9</v>
      </c>
      <c r="J2789" t="s">
        <v>98</v>
      </c>
      <c r="K2789">
        <v>2</v>
      </c>
      <c r="L2789" s="3">
        <v>5799</v>
      </c>
      <c r="M2789">
        <v>25</v>
      </c>
      <c r="N2789" s="3">
        <v>4350</v>
      </c>
      <c r="O2789" s="3">
        <v>8700</v>
      </c>
      <c r="P2789" t="s">
        <v>34</v>
      </c>
      <c r="Q2789" t="s">
        <v>82</v>
      </c>
      <c r="R2789" t="s">
        <v>36</v>
      </c>
      <c r="S2789" t="s">
        <v>418</v>
      </c>
      <c r="T2789" t="s">
        <v>924</v>
      </c>
      <c r="U2789" t="s">
        <v>91</v>
      </c>
      <c r="V2789" t="s">
        <v>969</v>
      </c>
      <c r="W2789">
        <v>3.6</v>
      </c>
      <c r="X2789" t="s">
        <v>41</v>
      </c>
      <c r="Y2789" t="s">
        <v>42</v>
      </c>
      <c r="Z2789">
        <v>4</v>
      </c>
    </row>
    <row r="2790" spans="1:26">
      <c r="A2790" t="s">
        <v>4034</v>
      </c>
      <c r="B2790" t="s">
        <v>2862</v>
      </c>
      <c r="C2790" t="s">
        <v>94</v>
      </c>
      <c r="D2790" t="s">
        <v>29</v>
      </c>
      <c r="E2790" s="1">
        <v>45759</v>
      </c>
      <c r="F2790" t="s">
        <v>79</v>
      </c>
      <c r="G2790" t="s">
        <v>174</v>
      </c>
      <c r="H2790" t="s">
        <v>32</v>
      </c>
      <c r="I2790">
        <v>10</v>
      </c>
      <c r="J2790" t="s">
        <v>73</v>
      </c>
      <c r="K2790">
        <v>1</v>
      </c>
      <c r="L2790" s="3">
        <v>4599</v>
      </c>
      <c r="M2790">
        <v>20</v>
      </c>
      <c r="N2790" s="3">
        <v>3680</v>
      </c>
      <c r="O2790" s="3">
        <v>3680</v>
      </c>
      <c r="P2790" t="s">
        <v>74</v>
      </c>
      <c r="Q2790" t="s">
        <v>51</v>
      </c>
      <c r="R2790" t="s">
        <v>36</v>
      </c>
      <c r="S2790" t="s">
        <v>175</v>
      </c>
      <c r="T2790" t="s">
        <v>437</v>
      </c>
      <c r="U2790" t="s">
        <v>54</v>
      </c>
      <c r="V2790" t="s">
        <v>315</v>
      </c>
      <c r="W2790">
        <v>4.8</v>
      </c>
      <c r="X2790" t="s">
        <v>62</v>
      </c>
      <c r="Y2790" t="s">
        <v>42</v>
      </c>
      <c r="Z2790">
        <v>5</v>
      </c>
    </row>
    <row r="2791" spans="1:26">
      <c r="A2791" t="s">
        <v>4035</v>
      </c>
      <c r="B2791" t="s">
        <v>3609</v>
      </c>
      <c r="C2791" t="s">
        <v>28</v>
      </c>
      <c r="D2791" t="s">
        <v>46</v>
      </c>
      <c r="E2791" s="1">
        <v>45760</v>
      </c>
      <c r="F2791" t="s">
        <v>86</v>
      </c>
      <c r="G2791" t="s">
        <v>312</v>
      </c>
      <c r="H2791" t="s">
        <v>59</v>
      </c>
      <c r="I2791">
        <v>8</v>
      </c>
      <c r="J2791" t="s">
        <v>73</v>
      </c>
      <c r="K2791">
        <v>1</v>
      </c>
      <c r="L2791" s="3">
        <v>7699</v>
      </c>
      <c r="M2791">
        <v>25</v>
      </c>
      <c r="N2791" s="3">
        <v>5770</v>
      </c>
      <c r="O2791" s="3">
        <v>5770</v>
      </c>
      <c r="P2791" t="s">
        <v>74</v>
      </c>
      <c r="Q2791" t="s">
        <v>82</v>
      </c>
      <c r="R2791" t="s">
        <v>36</v>
      </c>
      <c r="S2791" t="s">
        <v>338</v>
      </c>
      <c r="T2791" t="s">
        <v>779</v>
      </c>
      <c r="U2791" t="s">
        <v>61</v>
      </c>
      <c r="V2791" t="s">
        <v>315</v>
      </c>
      <c r="W2791">
        <v>4.4000000000000004</v>
      </c>
      <c r="X2791" t="s">
        <v>41</v>
      </c>
      <c r="Y2791" t="s">
        <v>42</v>
      </c>
      <c r="Z2791">
        <v>3</v>
      </c>
    </row>
    <row r="2792" spans="1:26">
      <c r="A2792" t="s">
        <v>4036</v>
      </c>
      <c r="B2792" t="s">
        <v>1495</v>
      </c>
      <c r="C2792" t="s">
        <v>45</v>
      </c>
      <c r="D2792" t="s">
        <v>95</v>
      </c>
      <c r="E2792" s="1">
        <v>45761</v>
      </c>
      <c r="F2792" t="s">
        <v>30</v>
      </c>
      <c r="G2792" t="s">
        <v>145</v>
      </c>
      <c r="H2792" t="s">
        <v>59</v>
      </c>
      <c r="I2792">
        <v>11</v>
      </c>
      <c r="J2792" t="s">
        <v>67</v>
      </c>
      <c r="K2792">
        <v>1</v>
      </c>
      <c r="L2792" s="3">
        <v>9199</v>
      </c>
      <c r="M2792">
        <v>15</v>
      </c>
      <c r="N2792" s="3">
        <v>7820</v>
      </c>
      <c r="O2792" s="3">
        <v>7820</v>
      </c>
      <c r="P2792" t="s">
        <v>74</v>
      </c>
      <c r="Q2792" t="s">
        <v>51</v>
      </c>
      <c r="R2792" t="s">
        <v>36</v>
      </c>
      <c r="S2792" t="s">
        <v>75</v>
      </c>
      <c r="T2792" t="s">
        <v>76</v>
      </c>
      <c r="U2792" t="s">
        <v>54</v>
      </c>
      <c r="V2792" t="s">
        <v>969</v>
      </c>
      <c r="W2792">
        <v>4.2</v>
      </c>
      <c r="X2792" t="s">
        <v>41</v>
      </c>
      <c r="Y2792" t="s">
        <v>147</v>
      </c>
      <c r="Z2792">
        <v>1</v>
      </c>
    </row>
    <row r="2793" spans="1:26">
      <c r="A2793" t="s">
        <v>4037</v>
      </c>
      <c r="B2793" t="s">
        <v>2330</v>
      </c>
      <c r="C2793" t="s">
        <v>28</v>
      </c>
      <c r="D2793" t="s">
        <v>103</v>
      </c>
      <c r="E2793" s="1">
        <v>45762</v>
      </c>
      <c r="F2793" t="s">
        <v>96</v>
      </c>
      <c r="G2793" t="s">
        <v>290</v>
      </c>
      <c r="H2793" t="s">
        <v>32</v>
      </c>
      <c r="I2793">
        <v>8</v>
      </c>
      <c r="J2793" t="s">
        <v>67</v>
      </c>
      <c r="K2793">
        <v>3</v>
      </c>
      <c r="L2793" s="3">
        <v>4699</v>
      </c>
      <c r="M2793">
        <v>0</v>
      </c>
      <c r="N2793" s="3">
        <v>4700</v>
      </c>
      <c r="O2793" s="3">
        <v>14100</v>
      </c>
      <c r="P2793" t="s">
        <v>50</v>
      </c>
      <c r="Q2793" t="s">
        <v>35</v>
      </c>
      <c r="R2793" t="s">
        <v>36</v>
      </c>
      <c r="S2793" t="s">
        <v>182</v>
      </c>
      <c r="T2793" t="s">
        <v>503</v>
      </c>
      <c r="U2793" t="s">
        <v>91</v>
      </c>
      <c r="V2793" t="s">
        <v>969</v>
      </c>
      <c r="W2793">
        <v>5</v>
      </c>
      <c r="X2793" t="s">
        <v>41</v>
      </c>
      <c r="Y2793" t="s">
        <v>42</v>
      </c>
      <c r="Z2793">
        <v>1</v>
      </c>
    </row>
    <row r="2794" spans="1:26">
      <c r="A2794" t="s">
        <v>4038</v>
      </c>
      <c r="B2794" t="s">
        <v>3458</v>
      </c>
      <c r="C2794" t="s">
        <v>45</v>
      </c>
      <c r="D2794" t="s">
        <v>46</v>
      </c>
      <c r="E2794" s="1">
        <v>45762</v>
      </c>
      <c r="F2794" t="s">
        <v>47</v>
      </c>
      <c r="G2794" t="s">
        <v>199</v>
      </c>
      <c r="H2794" t="s">
        <v>59</v>
      </c>
      <c r="I2794">
        <v>9</v>
      </c>
      <c r="J2794" t="s">
        <v>33</v>
      </c>
      <c r="K2794">
        <v>2</v>
      </c>
      <c r="L2794" s="3">
        <v>9499</v>
      </c>
      <c r="M2794">
        <v>25</v>
      </c>
      <c r="N2794" s="3">
        <v>7120</v>
      </c>
      <c r="O2794" s="3">
        <v>14240</v>
      </c>
      <c r="P2794" t="s">
        <v>74</v>
      </c>
      <c r="Q2794" t="s">
        <v>51</v>
      </c>
      <c r="R2794" t="s">
        <v>36</v>
      </c>
      <c r="S2794" t="s">
        <v>269</v>
      </c>
      <c r="T2794" t="s">
        <v>270</v>
      </c>
      <c r="U2794" t="s">
        <v>54</v>
      </c>
      <c r="V2794" t="s">
        <v>315</v>
      </c>
      <c r="W2794">
        <v>3</v>
      </c>
      <c r="X2794" t="s">
        <v>41</v>
      </c>
      <c r="Y2794" t="s">
        <v>42</v>
      </c>
      <c r="Z2794">
        <v>3</v>
      </c>
    </row>
    <row r="2795" spans="1:26">
      <c r="A2795" t="s">
        <v>4039</v>
      </c>
      <c r="B2795" t="s">
        <v>44</v>
      </c>
      <c r="C2795" t="s">
        <v>28</v>
      </c>
      <c r="D2795" t="s">
        <v>103</v>
      </c>
      <c r="E2795" s="1">
        <v>45763</v>
      </c>
      <c r="F2795" t="s">
        <v>30</v>
      </c>
      <c r="G2795" t="s">
        <v>347</v>
      </c>
      <c r="H2795" t="s">
        <v>49</v>
      </c>
      <c r="I2795">
        <v>9</v>
      </c>
      <c r="J2795" t="s">
        <v>88</v>
      </c>
      <c r="K2795">
        <v>2</v>
      </c>
      <c r="L2795" s="3">
        <v>7699</v>
      </c>
      <c r="M2795">
        <v>10</v>
      </c>
      <c r="N2795" s="3">
        <v>6930</v>
      </c>
      <c r="O2795" s="3">
        <v>13860</v>
      </c>
      <c r="P2795" t="s">
        <v>74</v>
      </c>
      <c r="Q2795" t="s">
        <v>51</v>
      </c>
      <c r="R2795" t="s">
        <v>36</v>
      </c>
      <c r="S2795" t="s">
        <v>122</v>
      </c>
      <c r="T2795" t="s">
        <v>123</v>
      </c>
      <c r="U2795" t="s">
        <v>54</v>
      </c>
      <c r="V2795" t="s">
        <v>969</v>
      </c>
      <c r="W2795">
        <v>4.8</v>
      </c>
      <c r="X2795" t="s">
        <v>41</v>
      </c>
      <c r="Y2795" t="s">
        <v>42</v>
      </c>
      <c r="Z2795">
        <v>2</v>
      </c>
    </row>
    <row r="2796" spans="1:26">
      <c r="A2796" t="s">
        <v>4040</v>
      </c>
      <c r="B2796" t="s">
        <v>1553</v>
      </c>
      <c r="C2796" t="s">
        <v>45</v>
      </c>
      <c r="D2796" t="s">
        <v>46</v>
      </c>
      <c r="E2796" s="1">
        <v>45764</v>
      </c>
      <c r="F2796" t="s">
        <v>79</v>
      </c>
      <c r="G2796" t="s">
        <v>517</v>
      </c>
      <c r="H2796" t="s">
        <v>59</v>
      </c>
      <c r="I2796">
        <v>8</v>
      </c>
      <c r="J2796" t="s">
        <v>88</v>
      </c>
      <c r="K2796">
        <v>1</v>
      </c>
      <c r="L2796" s="3">
        <v>5499</v>
      </c>
      <c r="M2796">
        <v>25</v>
      </c>
      <c r="N2796" s="3">
        <v>4120</v>
      </c>
      <c r="O2796" s="3">
        <v>4120</v>
      </c>
      <c r="P2796" t="s">
        <v>74</v>
      </c>
      <c r="Q2796" t="s">
        <v>82</v>
      </c>
      <c r="R2796" t="s">
        <v>36</v>
      </c>
      <c r="S2796" t="s">
        <v>175</v>
      </c>
      <c r="T2796" t="s">
        <v>176</v>
      </c>
      <c r="U2796" t="s">
        <v>54</v>
      </c>
      <c r="V2796" t="s">
        <v>315</v>
      </c>
      <c r="W2796">
        <v>4.4000000000000004</v>
      </c>
      <c r="X2796" t="s">
        <v>106</v>
      </c>
      <c r="Y2796" t="s">
        <v>42</v>
      </c>
      <c r="Z2796">
        <v>4</v>
      </c>
    </row>
    <row r="2797" spans="1:26">
      <c r="A2797" t="s">
        <v>4041</v>
      </c>
      <c r="B2797" t="s">
        <v>3374</v>
      </c>
      <c r="C2797" t="s">
        <v>45</v>
      </c>
      <c r="D2797" t="s">
        <v>29</v>
      </c>
      <c r="E2797" s="1">
        <v>45765</v>
      </c>
      <c r="F2797" t="s">
        <v>86</v>
      </c>
      <c r="G2797" t="s">
        <v>116</v>
      </c>
      <c r="H2797" t="s">
        <v>49</v>
      </c>
      <c r="I2797">
        <v>6</v>
      </c>
      <c r="J2797" t="s">
        <v>98</v>
      </c>
      <c r="K2797">
        <v>1</v>
      </c>
      <c r="L2797" s="3">
        <v>7199</v>
      </c>
      <c r="M2797">
        <v>35</v>
      </c>
      <c r="N2797" s="3">
        <v>4680</v>
      </c>
      <c r="O2797" s="3">
        <v>4680</v>
      </c>
      <c r="P2797" t="s">
        <v>74</v>
      </c>
      <c r="Q2797" t="s">
        <v>51</v>
      </c>
      <c r="R2797" t="s">
        <v>36</v>
      </c>
      <c r="S2797" t="s">
        <v>191</v>
      </c>
      <c r="T2797" t="s">
        <v>521</v>
      </c>
      <c r="U2797" t="s">
        <v>124</v>
      </c>
      <c r="V2797" t="s">
        <v>315</v>
      </c>
      <c r="W2797">
        <v>4.4000000000000004</v>
      </c>
      <c r="X2797" t="s">
        <v>106</v>
      </c>
      <c r="Y2797" t="s">
        <v>42</v>
      </c>
      <c r="Z2797">
        <v>3</v>
      </c>
    </row>
    <row r="2798" spans="1:26">
      <c r="A2798" t="s">
        <v>4042</v>
      </c>
      <c r="B2798" t="s">
        <v>856</v>
      </c>
      <c r="C2798" t="s">
        <v>45</v>
      </c>
      <c r="D2798" t="s">
        <v>29</v>
      </c>
      <c r="E2798" s="1">
        <v>45765</v>
      </c>
      <c r="F2798" t="s">
        <v>47</v>
      </c>
      <c r="G2798" t="s">
        <v>140</v>
      </c>
      <c r="H2798" t="s">
        <v>128</v>
      </c>
      <c r="I2798">
        <v>9</v>
      </c>
      <c r="J2798" t="s">
        <v>67</v>
      </c>
      <c r="K2798">
        <v>3</v>
      </c>
      <c r="L2798" s="3">
        <v>8799</v>
      </c>
      <c r="M2798">
        <v>25</v>
      </c>
      <c r="N2798" s="3">
        <v>6600</v>
      </c>
      <c r="O2798" s="3">
        <v>19800</v>
      </c>
      <c r="P2798" t="s">
        <v>34</v>
      </c>
      <c r="Q2798" t="s">
        <v>51</v>
      </c>
      <c r="R2798" t="s">
        <v>36</v>
      </c>
      <c r="S2798" t="s">
        <v>210</v>
      </c>
      <c r="T2798" t="s">
        <v>680</v>
      </c>
      <c r="U2798" t="s">
        <v>39</v>
      </c>
      <c r="V2798" t="s">
        <v>969</v>
      </c>
      <c r="W2798">
        <v>3.4</v>
      </c>
      <c r="X2798" t="s">
        <v>62</v>
      </c>
      <c r="Y2798" t="s">
        <v>55</v>
      </c>
      <c r="Z2798">
        <v>1</v>
      </c>
    </row>
    <row r="2799" spans="1:26">
      <c r="A2799" t="s">
        <v>4043</v>
      </c>
      <c r="B2799" t="s">
        <v>2017</v>
      </c>
      <c r="C2799" t="s">
        <v>28</v>
      </c>
      <c r="D2799" t="s">
        <v>95</v>
      </c>
      <c r="E2799" s="1">
        <v>45766</v>
      </c>
      <c r="F2799" t="s">
        <v>65</v>
      </c>
      <c r="G2799" t="s">
        <v>72</v>
      </c>
      <c r="H2799" t="s">
        <v>59</v>
      </c>
      <c r="I2799">
        <v>10</v>
      </c>
      <c r="J2799" t="s">
        <v>33</v>
      </c>
      <c r="K2799">
        <v>4</v>
      </c>
      <c r="L2799" s="3">
        <v>3499</v>
      </c>
      <c r="M2799">
        <v>15</v>
      </c>
      <c r="N2799" s="3">
        <v>2970</v>
      </c>
      <c r="O2799" s="3">
        <v>11880</v>
      </c>
      <c r="P2799" t="s">
        <v>74</v>
      </c>
      <c r="Q2799" t="s">
        <v>35</v>
      </c>
      <c r="R2799" t="s">
        <v>36</v>
      </c>
      <c r="S2799" t="s">
        <v>112</v>
      </c>
      <c r="T2799" t="s">
        <v>265</v>
      </c>
      <c r="U2799" t="s">
        <v>54</v>
      </c>
      <c r="V2799" t="s">
        <v>969</v>
      </c>
      <c r="W2799">
        <v>4.2</v>
      </c>
      <c r="X2799" t="s">
        <v>41</v>
      </c>
      <c r="Y2799" t="s">
        <v>42</v>
      </c>
      <c r="Z2799">
        <v>5</v>
      </c>
    </row>
    <row r="2800" spans="1:26">
      <c r="A2800" t="s">
        <v>4044</v>
      </c>
      <c r="B2800" t="s">
        <v>3421</v>
      </c>
      <c r="C2800" t="s">
        <v>94</v>
      </c>
      <c r="D2800" t="s">
        <v>95</v>
      </c>
      <c r="E2800" s="1">
        <v>45766</v>
      </c>
      <c r="F2800" t="s">
        <v>30</v>
      </c>
      <c r="G2800" t="s">
        <v>214</v>
      </c>
      <c r="H2800" t="s">
        <v>128</v>
      </c>
      <c r="I2800">
        <v>11</v>
      </c>
      <c r="J2800" t="s">
        <v>150</v>
      </c>
      <c r="K2800">
        <v>1</v>
      </c>
      <c r="L2800" s="3">
        <v>7399</v>
      </c>
      <c r="M2800">
        <v>15</v>
      </c>
      <c r="N2800" s="3">
        <v>6290</v>
      </c>
      <c r="O2800" s="3">
        <v>6290</v>
      </c>
      <c r="P2800" t="s">
        <v>34</v>
      </c>
      <c r="Q2800" t="s">
        <v>82</v>
      </c>
      <c r="R2800" t="s">
        <v>36</v>
      </c>
      <c r="S2800" t="s">
        <v>243</v>
      </c>
      <c r="T2800" t="s">
        <v>276</v>
      </c>
      <c r="U2800" t="s">
        <v>91</v>
      </c>
      <c r="V2800" t="s">
        <v>315</v>
      </c>
      <c r="W2800">
        <v>4.3</v>
      </c>
      <c r="X2800" t="s">
        <v>41</v>
      </c>
      <c r="Y2800" t="s">
        <v>42</v>
      </c>
      <c r="Z2800">
        <v>3</v>
      </c>
    </row>
    <row r="2801" spans="1:26">
      <c r="A2801" t="s">
        <v>4045</v>
      </c>
      <c r="B2801" t="s">
        <v>1260</v>
      </c>
      <c r="C2801" t="s">
        <v>45</v>
      </c>
      <c r="D2801" t="s">
        <v>103</v>
      </c>
      <c r="E2801" s="1">
        <v>45768</v>
      </c>
      <c r="F2801" t="s">
        <v>65</v>
      </c>
      <c r="G2801" t="s">
        <v>268</v>
      </c>
      <c r="H2801" t="s">
        <v>128</v>
      </c>
      <c r="I2801">
        <v>8</v>
      </c>
      <c r="J2801" t="s">
        <v>150</v>
      </c>
      <c r="K2801">
        <v>2</v>
      </c>
      <c r="L2801" s="3">
        <v>3299</v>
      </c>
      <c r="M2801">
        <v>10</v>
      </c>
      <c r="N2801" s="3">
        <v>2970</v>
      </c>
      <c r="O2801" s="3">
        <v>5940</v>
      </c>
      <c r="P2801" t="s">
        <v>74</v>
      </c>
      <c r="Q2801" t="s">
        <v>35</v>
      </c>
      <c r="R2801" t="s">
        <v>36</v>
      </c>
      <c r="S2801" t="s">
        <v>122</v>
      </c>
      <c r="T2801" t="s">
        <v>123</v>
      </c>
      <c r="U2801" t="s">
        <v>39</v>
      </c>
      <c r="V2801" t="s">
        <v>969</v>
      </c>
      <c r="W2801">
        <v>4.8</v>
      </c>
      <c r="X2801" t="s">
        <v>41</v>
      </c>
      <c r="Y2801" t="s">
        <v>42</v>
      </c>
      <c r="Z2801">
        <v>5</v>
      </c>
    </row>
    <row r="2802" spans="1:26">
      <c r="A2802" t="s">
        <v>4046</v>
      </c>
      <c r="B2802" t="s">
        <v>671</v>
      </c>
      <c r="C2802" t="s">
        <v>28</v>
      </c>
      <c r="D2802" t="s">
        <v>109</v>
      </c>
      <c r="E2802" s="1">
        <v>45768</v>
      </c>
      <c r="F2802" t="s">
        <v>65</v>
      </c>
      <c r="G2802" t="s">
        <v>66</v>
      </c>
      <c r="H2802" t="s">
        <v>59</v>
      </c>
      <c r="I2802">
        <v>9</v>
      </c>
      <c r="J2802" t="s">
        <v>67</v>
      </c>
      <c r="K2802">
        <v>1</v>
      </c>
      <c r="L2802" s="3">
        <v>4899</v>
      </c>
      <c r="M2802">
        <v>10</v>
      </c>
      <c r="N2802" s="3">
        <v>4410</v>
      </c>
      <c r="O2802" s="3">
        <v>4410</v>
      </c>
      <c r="P2802" t="s">
        <v>74</v>
      </c>
      <c r="Q2802" t="s">
        <v>51</v>
      </c>
      <c r="R2802" t="s">
        <v>36</v>
      </c>
      <c r="S2802" t="s">
        <v>186</v>
      </c>
      <c r="T2802" t="s">
        <v>397</v>
      </c>
      <c r="U2802" t="s">
        <v>39</v>
      </c>
      <c r="V2802" t="s">
        <v>969</v>
      </c>
      <c r="W2802">
        <v>4.3</v>
      </c>
      <c r="X2802" t="s">
        <v>41</v>
      </c>
      <c r="Y2802" t="s">
        <v>42</v>
      </c>
      <c r="Z2802">
        <v>4</v>
      </c>
    </row>
    <row r="2803" spans="1:26">
      <c r="A2803" t="s">
        <v>4047</v>
      </c>
      <c r="B2803" t="s">
        <v>2732</v>
      </c>
      <c r="C2803" t="s">
        <v>28</v>
      </c>
      <c r="D2803" t="s">
        <v>109</v>
      </c>
      <c r="E2803" s="1">
        <v>45769</v>
      </c>
      <c r="F2803" t="s">
        <v>30</v>
      </c>
      <c r="G2803" t="s">
        <v>347</v>
      </c>
      <c r="H2803" t="s">
        <v>49</v>
      </c>
      <c r="I2803">
        <v>11</v>
      </c>
      <c r="J2803" t="s">
        <v>73</v>
      </c>
      <c r="K2803">
        <v>2</v>
      </c>
      <c r="L2803" s="3">
        <v>4399</v>
      </c>
      <c r="M2803">
        <v>35</v>
      </c>
      <c r="N2803" s="3">
        <v>2860</v>
      </c>
      <c r="O2803" s="3">
        <v>5720</v>
      </c>
      <c r="P2803" t="s">
        <v>74</v>
      </c>
      <c r="Q2803" t="s">
        <v>35</v>
      </c>
      <c r="R2803" t="s">
        <v>36</v>
      </c>
      <c r="S2803" t="s">
        <v>338</v>
      </c>
      <c r="T2803" t="s">
        <v>779</v>
      </c>
      <c r="U2803" t="s">
        <v>124</v>
      </c>
      <c r="V2803" t="s">
        <v>969</v>
      </c>
      <c r="W2803">
        <v>4.3</v>
      </c>
      <c r="X2803" t="s">
        <v>41</v>
      </c>
      <c r="Y2803" t="s">
        <v>55</v>
      </c>
      <c r="Z2803">
        <v>2</v>
      </c>
    </row>
    <row r="2804" spans="1:26">
      <c r="A2804" t="s">
        <v>4048</v>
      </c>
      <c r="B2804" t="s">
        <v>2244</v>
      </c>
      <c r="C2804" t="s">
        <v>28</v>
      </c>
      <c r="D2804" t="s">
        <v>46</v>
      </c>
      <c r="E2804" s="1">
        <v>45771</v>
      </c>
      <c r="F2804" t="s">
        <v>30</v>
      </c>
      <c r="G2804" t="s">
        <v>58</v>
      </c>
      <c r="H2804" t="s">
        <v>59</v>
      </c>
      <c r="I2804">
        <v>9</v>
      </c>
      <c r="J2804" t="s">
        <v>33</v>
      </c>
      <c r="K2804">
        <v>1</v>
      </c>
      <c r="L2804" s="3">
        <v>9599</v>
      </c>
      <c r="M2804">
        <v>0</v>
      </c>
      <c r="N2804" s="3">
        <v>9600</v>
      </c>
      <c r="O2804" s="3">
        <v>9600</v>
      </c>
      <c r="P2804" t="s">
        <v>74</v>
      </c>
      <c r="Q2804" t="s">
        <v>35</v>
      </c>
      <c r="R2804" t="s">
        <v>36</v>
      </c>
      <c r="S2804" t="s">
        <v>182</v>
      </c>
      <c r="T2804" t="s">
        <v>309</v>
      </c>
      <c r="U2804" t="s">
        <v>61</v>
      </c>
      <c r="V2804" t="s">
        <v>315</v>
      </c>
      <c r="W2804">
        <v>3.6</v>
      </c>
      <c r="X2804" t="s">
        <v>41</v>
      </c>
      <c r="Y2804" t="s">
        <v>55</v>
      </c>
      <c r="Z2804">
        <v>4</v>
      </c>
    </row>
    <row r="2805" spans="1:26">
      <c r="A2805" t="s">
        <v>4049</v>
      </c>
      <c r="B2805" t="s">
        <v>132</v>
      </c>
      <c r="C2805" t="s">
        <v>94</v>
      </c>
      <c r="D2805" t="s">
        <v>29</v>
      </c>
      <c r="E2805" s="1">
        <v>45773</v>
      </c>
      <c r="F2805" t="s">
        <v>96</v>
      </c>
      <c r="G2805" t="s">
        <v>155</v>
      </c>
      <c r="H2805" t="s">
        <v>111</v>
      </c>
      <c r="I2805">
        <v>10</v>
      </c>
      <c r="J2805" t="s">
        <v>88</v>
      </c>
      <c r="K2805">
        <v>1</v>
      </c>
      <c r="L2805" s="3">
        <v>9699</v>
      </c>
      <c r="M2805">
        <v>20</v>
      </c>
      <c r="N2805" s="3">
        <v>7760</v>
      </c>
      <c r="O2805" s="3">
        <v>7760</v>
      </c>
      <c r="P2805" t="s">
        <v>74</v>
      </c>
      <c r="Q2805" t="s">
        <v>51</v>
      </c>
      <c r="R2805" t="s">
        <v>36</v>
      </c>
      <c r="S2805" t="s">
        <v>182</v>
      </c>
      <c r="T2805" t="s">
        <v>604</v>
      </c>
      <c r="U2805" t="s">
        <v>54</v>
      </c>
      <c r="V2805" t="s">
        <v>969</v>
      </c>
      <c r="W2805">
        <v>4.3</v>
      </c>
      <c r="X2805" t="s">
        <v>41</v>
      </c>
      <c r="Y2805" t="s">
        <v>147</v>
      </c>
      <c r="Z2805">
        <v>1</v>
      </c>
    </row>
    <row r="2806" spans="1:26">
      <c r="A2806" t="s">
        <v>4050</v>
      </c>
      <c r="B2806" t="s">
        <v>770</v>
      </c>
      <c r="C2806" t="s">
        <v>45</v>
      </c>
      <c r="D2806" t="s">
        <v>103</v>
      </c>
      <c r="E2806" s="1">
        <v>45773</v>
      </c>
      <c r="F2806" t="s">
        <v>30</v>
      </c>
      <c r="G2806" t="s">
        <v>31</v>
      </c>
      <c r="H2806" t="s">
        <v>32</v>
      </c>
      <c r="I2806">
        <v>10</v>
      </c>
      <c r="J2806" t="s">
        <v>98</v>
      </c>
      <c r="K2806">
        <v>1</v>
      </c>
      <c r="L2806" s="3">
        <v>9499</v>
      </c>
      <c r="M2806">
        <v>15</v>
      </c>
      <c r="N2806" s="3">
        <v>8070</v>
      </c>
      <c r="O2806" s="3">
        <v>8070</v>
      </c>
      <c r="P2806" t="s">
        <v>34</v>
      </c>
      <c r="Q2806" t="s">
        <v>82</v>
      </c>
      <c r="R2806" t="s">
        <v>36</v>
      </c>
      <c r="S2806" t="s">
        <v>37</v>
      </c>
      <c r="T2806" t="s">
        <v>38</v>
      </c>
      <c r="U2806" t="s">
        <v>61</v>
      </c>
      <c r="V2806" t="s">
        <v>315</v>
      </c>
      <c r="W2806">
        <v>4.5999999999999996</v>
      </c>
      <c r="X2806" t="s">
        <v>41</v>
      </c>
      <c r="Y2806" t="s">
        <v>55</v>
      </c>
      <c r="Z2806">
        <v>3</v>
      </c>
    </row>
    <row r="2807" spans="1:26">
      <c r="A2807" t="s">
        <v>4051</v>
      </c>
      <c r="B2807" t="s">
        <v>289</v>
      </c>
      <c r="C2807" t="s">
        <v>45</v>
      </c>
      <c r="D2807" t="s">
        <v>103</v>
      </c>
      <c r="E2807" s="1">
        <v>45774</v>
      </c>
      <c r="F2807" t="s">
        <v>30</v>
      </c>
      <c r="G2807" t="s">
        <v>214</v>
      </c>
      <c r="H2807" t="s">
        <v>128</v>
      </c>
      <c r="I2807">
        <v>9</v>
      </c>
      <c r="J2807" t="s">
        <v>67</v>
      </c>
      <c r="K2807">
        <v>1</v>
      </c>
      <c r="L2807" s="3">
        <v>7399</v>
      </c>
      <c r="M2807">
        <v>20</v>
      </c>
      <c r="N2807" s="3">
        <v>5920</v>
      </c>
      <c r="O2807" s="3">
        <v>5920</v>
      </c>
      <c r="P2807" t="s">
        <v>74</v>
      </c>
      <c r="Q2807" t="s">
        <v>82</v>
      </c>
      <c r="R2807" t="s">
        <v>36</v>
      </c>
      <c r="S2807" t="s">
        <v>160</v>
      </c>
      <c r="T2807" t="s">
        <v>247</v>
      </c>
      <c r="U2807" t="s">
        <v>54</v>
      </c>
      <c r="V2807" t="s">
        <v>969</v>
      </c>
      <c r="W2807">
        <v>3.7</v>
      </c>
      <c r="X2807" t="s">
        <v>41</v>
      </c>
      <c r="Y2807" t="s">
        <v>42</v>
      </c>
      <c r="Z2807">
        <v>4</v>
      </c>
    </row>
    <row r="2808" spans="1:26">
      <c r="A2808" t="s">
        <v>4052</v>
      </c>
      <c r="B2808" t="s">
        <v>249</v>
      </c>
      <c r="C2808" t="s">
        <v>28</v>
      </c>
      <c r="D2808" t="s">
        <v>46</v>
      </c>
      <c r="E2808" s="1">
        <v>45774</v>
      </c>
      <c r="F2808" t="s">
        <v>86</v>
      </c>
      <c r="G2808" t="s">
        <v>87</v>
      </c>
      <c r="H2808" t="s">
        <v>59</v>
      </c>
      <c r="I2808">
        <v>7</v>
      </c>
      <c r="J2808" t="s">
        <v>88</v>
      </c>
      <c r="K2808">
        <v>2</v>
      </c>
      <c r="L2808" s="3">
        <v>9899</v>
      </c>
      <c r="M2808">
        <v>30</v>
      </c>
      <c r="N2808" s="3">
        <v>6930</v>
      </c>
      <c r="O2808" s="3">
        <v>13860</v>
      </c>
      <c r="P2808" t="s">
        <v>74</v>
      </c>
      <c r="Q2808" t="s">
        <v>51</v>
      </c>
      <c r="R2808" t="s">
        <v>36</v>
      </c>
      <c r="S2808" t="s">
        <v>37</v>
      </c>
      <c r="T2808" t="s">
        <v>509</v>
      </c>
      <c r="U2808" t="s">
        <v>54</v>
      </c>
      <c r="V2808" t="s">
        <v>969</v>
      </c>
      <c r="W2808">
        <v>4.8</v>
      </c>
      <c r="X2808" t="s">
        <v>41</v>
      </c>
      <c r="Y2808" t="s">
        <v>55</v>
      </c>
      <c r="Z2808">
        <v>1</v>
      </c>
    </row>
    <row r="2809" spans="1:26">
      <c r="A2809" t="s">
        <v>4053</v>
      </c>
      <c r="B2809" t="s">
        <v>2499</v>
      </c>
      <c r="C2809" t="s">
        <v>28</v>
      </c>
      <c r="D2809" t="s">
        <v>109</v>
      </c>
      <c r="E2809" s="1">
        <v>45778</v>
      </c>
      <c r="F2809" t="s">
        <v>30</v>
      </c>
      <c r="G2809" t="s">
        <v>145</v>
      </c>
      <c r="H2809" t="s">
        <v>59</v>
      </c>
      <c r="I2809">
        <v>8</v>
      </c>
      <c r="J2809" t="s">
        <v>150</v>
      </c>
      <c r="K2809">
        <v>2</v>
      </c>
      <c r="L2809" s="3">
        <v>6199</v>
      </c>
      <c r="M2809">
        <v>25</v>
      </c>
      <c r="N2809" s="3">
        <v>4650</v>
      </c>
      <c r="O2809" s="3">
        <v>9300</v>
      </c>
      <c r="P2809" t="s">
        <v>74</v>
      </c>
      <c r="Q2809" t="s">
        <v>51</v>
      </c>
      <c r="R2809" t="s">
        <v>36</v>
      </c>
      <c r="S2809" t="s">
        <v>112</v>
      </c>
      <c r="T2809" t="s">
        <v>250</v>
      </c>
      <c r="U2809" t="s">
        <v>61</v>
      </c>
      <c r="V2809" t="s">
        <v>315</v>
      </c>
      <c r="W2809">
        <v>3.9</v>
      </c>
      <c r="X2809" t="s">
        <v>106</v>
      </c>
      <c r="Y2809" t="s">
        <v>55</v>
      </c>
      <c r="Z2809">
        <v>3</v>
      </c>
    </row>
    <row r="2810" spans="1:26">
      <c r="A2810" t="s">
        <v>4054</v>
      </c>
      <c r="B2810" t="s">
        <v>1711</v>
      </c>
      <c r="C2810" t="s">
        <v>28</v>
      </c>
      <c r="D2810" t="s">
        <v>46</v>
      </c>
      <c r="E2810" s="1">
        <v>45778</v>
      </c>
      <c r="F2810" t="s">
        <v>79</v>
      </c>
      <c r="G2810" t="s">
        <v>174</v>
      </c>
      <c r="H2810" t="s">
        <v>32</v>
      </c>
      <c r="I2810">
        <v>7</v>
      </c>
      <c r="J2810" t="s">
        <v>88</v>
      </c>
      <c r="K2810">
        <v>1</v>
      </c>
      <c r="L2810" s="3">
        <v>4999</v>
      </c>
      <c r="M2810">
        <v>20</v>
      </c>
      <c r="N2810" s="3">
        <v>4000</v>
      </c>
      <c r="O2810" s="3">
        <v>4000</v>
      </c>
      <c r="P2810" t="s">
        <v>74</v>
      </c>
      <c r="Q2810" t="s">
        <v>51</v>
      </c>
      <c r="R2810" t="s">
        <v>36</v>
      </c>
      <c r="S2810" t="s">
        <v>238</v>
      </c>
      <c r="T2810" t="s">
        <v>260</v>
      </c>
      <c r="U2810" t="s">
        <v>61</v>
      </c>
      <c r="V2810" t="s">
        <v>969</v>
      </c>
      <c r="W2810">
        <v>4.7</v>
      </c>
      <c r="X2810" t="s">
        <v>41</v>
      </c>
      <c r="Y2810" t="s">
        <v>147</v>
      </c>
      <c r="Z2810">
        <v>2</v>
      </c>
    </row>
    <row r="2811" spans="1:26">
      <c r="A2811" t="s">
        <v>4055</v>
      </c>
      <c r="B2811" t="s">
        <v>3905</v>
      </c>
      <c r="C2811" t="s">
        <v>94</v>
      </c>
      <c r="D2811" t="s">
        <v>46</v>
      </c>
      <c r="E2811" s="1">
        <v>45778</v>
      </c>
      <c r="F2811" t="s">
        <v>86</v>
      </c>
      <c r="G2811" t="s">
        <v>242</v>
      </c>
      <c r="H2811" t="s">
        <v>32</v>
      </c>
      <c r="I2811">
        <v>10</v>
      </c>
      <c r="J2811" t="s">
        <v>73</v>
      </c>
      <c r="K2811">
        <v>1</v>
      </c>
      <c r="L2811" s="3">
        <v>7099</v>
      </c>
      <c r="M2811">
        <v>10</v>
      </c>
      <c r="N2811" s="3">
        <v>6390</v>
      </c>
      <c r="O2811" s="3">
        <v>6390</v>
      </c>
      <c r="P2811" t="s">
        <v>74</v>
      </c>
      <c r="Q2811" t="s">
        <v>51</v>
      </c>
      <c r="R2811" t="s">
        <v>36</v>
      </c>
      <c r="S2811" t="s">
        <v>210</v>
      </c>
      <c r="T2811" t="s">
        <v>680</v>
      </c>
      <c r="U2811" t="s">
        <v>124</v>
      </c>
      <c r="V2811" t="s">
        <v>969</v>
      </c>
      <c r="W2811">
        <v>4.8</v>
      </c>
      <c r="X2811" t="s">
        <v>41</v>
      </c>
      <c r="Y2811" t="s">
        <v>147</v>
      </c>
      <c r="Z2811">
        <v>1</v>
      </c>
    </row>
    <row r="2812" spans="1:26">
      <c r="A2812" t="s">
        <v>4056</v>
      </c>
      <c r="B2812" t="s">
        <v>1895</v>
      </c>
      <c r="C2812" t="s">
        <v>28</v>
      </c>
      <c r="D2812" t="s">
        <v>103</v>
      </c>
      <c r="E2812" s="1">
        <v>45778</v>
      </c>
      <c r="F2812" t="s">
        <v>79</v>
      </c>
      <c r="G2812" t="s">
        <v>517</v>
      </c>
      <c r="H2812" t="s">
        <v>59</v>
      </c>
      <c r="I2812">
        <v>6</v>
      </c>
      <c r="J2812" t="s">
        <v>88</v>
      </c>
      <c r="K2812">
        <v>1</v>
      </c>
      <c r="L2812" s="3">
        <v>6999</v>
      </c>
      <c r="M2812">
        <v>15</v>
      </c>
      <c r="N2812" s="3">
        <v>5950</v>
      </c>
      <c r="O2812" s="3">
        <v>5950</v>
      </c>
      <c r="P2812" t="s">
        <v>74</v>
      </c>
      <c r="Q2812" t="s">
        <v>51</v>
      </c>
      <c r="R2812" t="s">
        <v>36</v>
      </c>
      <c r="S2812" t="s">
        <v>117</v>
      </c>
      <c r="T2812" t="s">
        <v>253</v>
      </c>
      <c r="U2812" t="s">
        <v>61</v>
      </c>
      <c r="V2812" t="s">
        <v>969</v>
      </c>
      <c r="W2812">
        <v>4.4000000000000004</v>
      </c>
      <c r="X2812" t="s">
        <v>41</v>
      </c>
      <c r="Y2812" t="s">
        <v>55</v>
      </c>
      <c r="Z2812">
        <v>3</v>
      </c>
    </row>
    <row r="2813" spans="1:26">
      <c r="A2813" t="s">
        <v>4057</v>
      </c>
      <c r="B2813" t="s">
        <v>3560</v>
      </c>
      <c r="C2813" t="s">
        <v>28</v>
      </c>
      <c r="D2813" t="s">
        <v>29</v>
      </c>
      <c r="E2813" s="1">
        <v>45779</v>
      </c>
      <c r="F2813" t="s">
        <v>86</v>
      </c>
      <c r="G2813" t="s">
        <v>116</v>
      </c>
      <c r="H2813" t="s">
        <v>49</v>
      </c>
      <c r="I2813">
        <v>9</v>
      </c>
      <c r="J2813" t="s">
        <v>67</v>
      </c>
      <c r="K2813">
        <v>1</v>
      </c>
      <c r="L2813" s="3">
        <v>4299</v>
      </c>
      <c r="M2813">
        <v>0</v>
      </c>
      <c r="N2813" s="3">
        <v>4300</v>
      </c>
      <c r="O2813" s="3">
        <v>4300</v>
      </c>
      <c r="P2813" t="s">
        <v>74</v>
      </c>
      <c r="Q2813" t="s">
        <v>51</v>
      </c>
      <c r="R2813" t="s">
        <v>36</v>
      </c>
      <c r="S2813" t="s">
        <v>136</v>
      </c>
      <c r="T2813" t="s">
        <v>225</v>
      </c>
      <c r="U2813" t="s">
        <v>61</v>
      </c>
      <c r="V2813" t="s">
        <v>315</v>
      </c>
      <c r="W2813">
        <v>3.8</v>
      </c>
      <c r="X2813" t="s">
        <v>41</v>
      </c>
      <c r="Y2813" t="s">
        <v>42</v>
      </c>
      <c r="Z2813">
        <v>5</v>
      </c>
    </row>
    <row r="2814" spans="1:26">
      <c r="A2814" t="s">
        <v>4058</v>
      </c>
      <c r="B2814" t="s">
        <v>4059</v>
      </c>
      <c r="C2814" t="s">
        <v>28</v>
      </c>
      <c r="D2814" t="s">
        <v>103</v>
      </c>
      <c r="E2814" s="1">
        <v>45781</v>
      </c>
      <c r="F2814" t="s">
        <v>79</v>
      </c>
      <c r="G2814" t="s">
        <v>127</v>
      </c>
      <c r="H2814" t="s">
        <v>128</v>
      </c>
      <c r="I2814">
        <v>8</v>
      </c>
      <c r="J2814" t="s">
        <v>150</v>
      </c>
      <c r="K2814">
        <v>1</v>
      </c>
      <c r="L2814" s="3">
        <v>4299</v>
      </c>
      <c r="M2814">
        <v>15</v>
      </c>
      <c r="N2814" s="3">
        <v>3650</v>
      </c>
      <c r="O2814" s="3">
        <v>3650</v>
      </c>
      <c r="P2814" t="s">
        <v>34</v>
      </c>
      <c r="Q2814" t="s">
        <v>51</v>
      </c>
      <c r="R2814" t="s">
        <v>36</v>
      </c>
      <c r="S2814" t="s">
        <v>168</v>
      </c>
      <c r="T2814" t="s">
        <v>532</v>
      </c>
      <c r="U2814" t="s">
        <v>54</v>
      </c>
      <c r="V2814" t="s">
        <v>40</v>
      </c>
      <c r="W2814">
        <v>3.4</v>
      </c>
      <c r="X2814" t="s">
        <v>106</v>
      </c>
      <c r="Y2814" t="s">
        <v>42</v>
      </c>
      <c r="Z2814">
        <v>4</v>
      </c>
    </row>
    <row r="2815" spans="1:26">
      <c r="A2815" t="s">
        <v>4060</v>
      </c>
      <c r="B2815" t="s">
        <v>953</v>
      </c>
      <c r="C2815" t="s">
        <v>28</v>
      </c>
      <c r="D2815" t="s">
        <v>109</v>
      </c>
      <c r="E2815" s="1">
        <v>45783</v>
      </c>
      <c r="F2815" t="s">
        <v>96</v>
      </c>
      <c r="G2815" t="s">
        <v>228</v>
      </c>
      <c r="H2815" t="s">
        <v>59</v>
      </c>
      <c r="I2815">
        <v>10</v>
      </c>
      <c r="J2815" t="s">
        <v>98</v>
      </c>
      <c r="K2815">
        <v>1</v>
      </c>
      <c r="L2815" s="3">
        <v>5399</v>
      </c>
      <c r="M2815">
        <v>15</v>
      </c>
      <c r="N2815" s="3">
        <v>4590</v>
      </c>
      <c r="O2815" s="3">
        <v>4590</v>
      </c>
      <c r="P2815" t="s">
        <v>34</v>
      </c>
      <c r="Q2815" t="s">
        <v>82</v>
      </c>
      <c r="R2815" t="s">
        <v>36</v>
      </c>
      <c r="S2815" t="s">
        <v>182</v>
      </c>
      <c r="T2815" t="s">
        <v>503</v>
      </c>
      <c r="U2815" t="s">
        <v>124</v>
      </c>
      <c r="V2815" t="s">
        <v>969</v>
      </c>
      <c r="W2815">
        <v>4.2</v>
      </c>
      <c r="X2815" t="s">
        <v>106</v>
      </c>
      <c r="Y2815" t="s">
        <v>42</v>
      </c>
      <c r="Z2815">
        <v>3</v>
      </c>
    </row>
    <row r="2816" spans="1:26">
      <c r="A2816" t="s">
        <v>4061</v>
      </c>
      <c r="B2816" t="s">
        <v>1371</v>
      </c>
      <c r="C2816" t="s">
        <v>28</v>
      </c>
      <c r="D2816" t="s">
        <v>103</v>
      </c>
      <c r="E2816" s="1">
        <v>45784</v>
      </c>
      <c r="F2816" t="s">
        <v>79</v>
      </c>
      <c r="G2816" t="s">
        <v>480</v>
      </c>
      <c r="H2816" t="s">
        <v>111</v>
      </c>
      <c r="I2816">
        <v>11</v>
      </c>
      <c r="J2816" t="s">
        <v>98</v>
      </c>
      <c r="K2816">
        <v>1</v>
      </c>
      <c r="L2816" s="3">
        <v>6199</v>
      </c>
      <c r="M2816">
        <v>20</v>
      </c>
      <c r="N2816" s="3">
        <v>4960</v>
      </c>
      <c r="O2816" s="3">
        <v>4960</v>
      </c>
      <c r="P2816" t="s">
        <v>74</v>
      </c>
      <c r="Q2816" t="s">
        <v>35</v>
      </c>
      <c r="R2816" t="s">
        <v>36</v>
      </c>
      <c r="S2816" t="s">
        <v>129</v>
      </c>
      <c r="T2816" t="s">
        <v>282</v>
      </c>
      <c r="U2816" t="s">
        <v>61</v>
      </c>
      <c r="V2816" t="s">
        <v>315</v>
      </c>
      <c r="W2816">
        <v>4.5</v>
      </c>
      <c r="X2816" t="s">
        <v>62</v>
      </c>
      <c r="Y2816" t="s">
        <v>147</v>
      </c>
      <c r="Z2816">
        <v>1</v>
      </c>
    </row>
    <row r="2817" spans="1:26">
      <c r="A2817" t="s">
        <v>4062</v>
      </c>
      <c r="B2817" t="s">
        <v>3306</v>
      </c>
      <c r="C2817" t="s">
        <v>28</v>
      </c>
      <c r="D2817" t="s">
        <v>95</v>
      </c>
      <c r="E2817" s="1">
        <v>45787</v>
      </c>
      <c r="F2817" t="s">
        <v>30</v>
      </c>
      <c r="G2817" t="s">
        <v>145</v>
      </c>
      <c r="H2817" t="s">
        <v>59</v>
      </c>
      <c r="I2817">
        <v>10</v>
      </c>
      <c r="J2817" t="s">
        <v>67</v>
      </c>
      <c r="K2817">
        <v>1</v>
      </c>
      <c r="L2817" s="3">
        <v>9099</v>
      </c>
      <c r="M2817">
        <v>20</v>
      </c>
      <c r="N2817" s="3">
        <v>7280</v>
      </c>
      <c r="O2817" s="3">
        <v>7280</v>
      </c>
      <c r="P2817" t="s">
        <v>74</v>
      </c>
      <c r="Q2817" t="s">
        <v>51</v>
      </c>
      <c r="R2817" t="s">
        <v>36</v>
      </c>
      <c r="S2817" t="s">
        <v>243</v>
      </c>
      <c r="T2817" t="s">
        <v>273</v>
      </c>
      <c r="U2817" t="s">
        <v>124</v>
      </c>
      <c r="V2817" t="s">
        <v>315</v>
      </c>
      <c r="W2817">
        <v>4.5</v>
      </c>
      <c r="X2817" t="s">
        <v>41</v>
      </c>
      <c r="Y2817" t="s">
        <v>42</v>
      </c>
      <c r="Z2817">
        <v>7</v>
      </c>
    </row>
    <row r="2818" spans="1:26">
      <c r="A2818" t="s">
        <v>4063</v>
      </c>
      <c r="B2818" t="s">
        <v>800</v>
      </c>
      <c r="C2818" t="s">
        <v>94</v>
      </c>
      <c r="D2818" t="s">
        <v>109</v>
      </c>
      <c r="E2818" s="1">
        <v>45787</v>
      </c>
      <c r="F2818" t="s">
        <v>47</v>
      </c>
      <c r="G2818" t="s">
        <v>140</v>
      </c>
      <c r="H2818" t="s">
        <v>128</v>
      </c>
      <c r="I2818">
        <v>9</v>
      </c>
      <c r="J2818" t="s">
        <v>73</v>
      </c>
      <c r="K2818">
        <v>1</v>
      </c>
      <c r="L2818" s="3">
        <v>7799</v>
      </c>
      <c r="M2818">
        <v>0</v>
      </c>
      <c r="N2818" s="3">
        <v>7800</v>
      </c>
      <c r="O2818" s="3">
        <v>7800</v>
      </c>
      <c r="P2818" t="s">
        <v>74</v>
      </c>
      <c r="Q2818" t="s">
        <v>51</v>
      </c>
      <c r="R2818" t="s">
        <v>36</v>
      </c>
      <c r="S2818" t="s">
        <v>68</v>
      </c>
      <c r="T2818" t="s">
        <v>400</v>
      </c>
      <c r="U2818" t="s">
        <v>61</v>
      </c>
      <c r="V2818" t="s">
        <v>315</v>
      </c>
      <c r="W2818">
        <v>3.9</v>
      </c>
      <c r="X2818" t="s">
        <v>41</v>
      </c>
      <c r="Y2818" t="s">
        <v>42</v>
      </c>
      <c r="Z2818">
        <v>4</v>
      </c>
    </row>
    <row r="2819" spans="1:26">
      <c r="A2819" t="s">
        <v>4064</v>
      </c>
      <c r="B2819" t="s">
        <v>536</v>
      </c>
      <c r="C2819" t="s">
        <v>45</v>
      </c>
      <c r="D2819" t="s">
        <v>29</v>
      </c>
      <c r="E2819" s="1">
        <v>45788</v>
      </c>
      <c r="F2819" t="s">
        <v>47</v>
      </c>
      <c r="G2819" t="s">
        <v>199</v>
      </c>
      <c r="H2819" t="s">
        <v>59</v>
      </c>
      <c r="I2819">
        <v>9</v>
      </c>
      <c r="J2819" t="s">
        <v>73</v>
      </c>
      <c r="K2819">
        <v>1</v>
      </c>
      <c r="L2819" s="3">
        <v>7899</v>
      </c>
      <c r="M2819">
        <v>10</v>
      </c>
      <c r="N2819" s="3">
        <v>7110</v>
      </c>
      <c r="O2819" s="3">
        <v>7110</v>
      </c>
      <c r="P2819" t="s">
        <v>34</v>
      </c>
      <c r="Q2819" t="s">
        <v>51</v>
      </c>
      <c r="R2819" t="s">
        <v>36</v>
      </c>
      <c r="S2819" t="s">
        <v>164</v>
      </c>
      <c r="T2819" t="s">
        <v>314</v>
      </c>
      <c r="U2819" t="s">
        <v>61</v>
      </c>
      <c r="V2819" t="s">
        <v>969</v>
      </c>
      <c r="W2819">
        <v>2.6</v>
      </c>
      <c r="X2819" t="s">
        <v>62</v>
      </c>
      <c r="Y2819" t="s">
        <v>55</v>
      </c>
      <c r="Z2819">
        <v>1</v>
      </c>
    </row>
    <row r="2820" spans="1:26">
      <c r="A2820" t="s">
        <v>4065</v>
      </c>
      <c r="B2820" t="s">
        <v>4066</v>
      </c>
      <c r="C2820" t="s">
        <v>28</v>
      </c>
      <c r="D2820" t="s">
        <v>109</v>
      </c>
      <c r="E2820" s="1">
        <v>45789</v>
      </c>
      <c r="F2820" t="s">
        <v>47</v>
      </c>
      <c r="G2820" t="s">
        <v>218</v>
      </c>
      <c r="H2820" t="s">
        <v>59</v>
      </c>
      <c r="I2820">
        <v>7</v>
      </c>
      <c r="J2820" t="s">
        <v>67</v>
      </c>
      <c r="K2820">
        <v>1</v>
      </c>
      <c r="L2820" s="3">
        <v>9299</v>
      </c>
      <c r="M2820">
        <v>10</v>
      </c>
      <c r="N2820" s="3">
        <v>8370</v>
      </c>
      <c r="O2820" s="3">
        <v>8370</v>
      </c>
      <c r="P2820" t="s">
        <v>74</v>
      </c>
      <c r="Q2820" t="s">
        <v>35</v>
      </c>
      <c r="R2820" t="s">
        <v>36</v>
      </c>
      <c r="S2820" t="s">
        <v>52</v>
      </c>
      <c r="T2820" t="s">
        <v>235</v>
      </c>
      <c r="U2820" t="s">
        <v>39</v>
      </c>
      <c r="V2820" t="s">
        <v>40</v>
      </c>
      <c r="W2820">
        <v>4.5999999999999996</v>
      </c>
      <c r="X2820" t="s">
        <v>41</v>
      </c>
      <c r="Y2820" t="s">
        <v>42</v>
      </c>
      <c r="Z2820">
        <v>3</v>
      </c>
    </row>
    <row r="2821" spans="1:26">
      <c r="A2821" t="s">
        <v>4067</v>
      </c>
      <c r="B2821" t="s">
        <v>2391</v>
      </c>
      <c r="C2821" t="s">
        <v>28</v>
      </c>
      <c r="D2821" t="s">
        <v>46</v>
      </c>
      <c r="E2821" s="1">
        <v>45792</v>
      </c>
      <c r="F2821" t="s">
        <v>96</v>
      </c>
      <c r="G2821" t="s">
        <v>97</v>
      </c>
      <c r="H2821" t="s">
        <v>49</v>
      </c>
      <c r="I2821">
        <v>6</v>
      </c>
      <c r="J2821" t="s">
        <v>73</v>
      </c>
      <c r="K2821">
        <v>1</v>
      </c>
      <c r="L2821" s="3">
        <v>7399</v>
      </c>
      <c r="M2821">
        <v>15</v>
      </c>
      <c r="N2821" s="3">
        <v>6290</v>
      </c>
      <c r="O2821" s="3">
        <v>6290</v>
      </c>
      <c r="P2821" t="s">
        <v>34</v>
      </c>
      <c r="Q2821" t="s">
        <v>35</v>
      </c>
      <c r="R2821" t="s">
        <v>36</v>
      </c>
      <c r="S2821" t="s">
        <v>210</v>
      </c>
      <c r="T2821" t="s">
        <v>680</v>
      </c>
      <c r="U2821" t="s">
        <v>61</v>
      </c>
      <c r="V2821" t="s">
        <v>315</v>
      </c>
      <c r="W2821">
        <v>3.7</v>
      </c>
      <c r="X2821" t="s">
        <v>62</v>
      </c>
      <c r="Y2821" t="s">
        <v>55</v>
      </c>
      <c r="Z2821">
        <v>3</v>
      </c>
    </row>
    <row r="2822" spans="1:26">
      <c r="A2822" t="s">
        <v>4068</v>
      </c>
      <c r="B2822" t="s">
        <v>3035</v>
      </c>
      <c r="C2822" t="s">
        <v>28</v>
      </c>
      <c r="D2822" t="s">
        <v>109</v>
      </c>
      <c r="E2822" s="1">
        <v>45794</v>
      </c>
      <c r="F2822" t="s">
        <v>86</v>
      </c>
      <c r="G2822" t="s">
        <v>87</v>
      </c>
      <c r="H2822" t="s">
        <v>59</v>
      </c>
      <c r="I2822">
        <v>10</v>
      </c>
      <c r="J2822" t="s">
        <v>33</v>
      </c>
      <c r="K2822">
        <v>1</v>
      </c>
      <c r="L2822" s="3">
        <v>4399</v>
      </c>
      <c r="M2822">
        <v>15</v>
      </c>
      <c r="N2822" s="3">
        <v>3740</v>
      </c>
      <c r="O2822" s="3">
        <v>3740</v>
      </c>
      <c r="P2822" t="s">
        <v>74</v>
      </c>
      <c r="Q2822" t="s">
        <v>51</v>
      </c>
      <c r="R2822" t="s">
        <v>36</v>
      </c>
      <c r="S2822" t="s">
        <v>338</v>
      </c>
      <c r="T2822" t="s">
        <v>394</v>
      </c>
      <c r="U2822" t="s">
        <v>124</v>
      </c>
      <c r="V2822" t="s">
        <v>315</v>
      </c>
      <c r="W2822">
        <v>5</v>
      </c>
      <c r="X2822" t="s">
        <v>41</v>
      </c>
      <c r="Y2822" t="s">
        <v>147</v>
      </c>
      <c r="Z2822">
        <v>1</v>
      </c>
    </row>
    <row r="2823" spans="1:26">
      <c r="A2823" t="s">
        <v>4069</v>
      </c>
      <c r="B2823" t="s">
        <v>2103</v>
      </c>
      <c r="C2823" t="s">
        <v>94</v>
      </c>
      <c r="D2823" t="s">
        <v>46</v>
      </c>
      <c r="E2823" s="1">
        <v>45794</v>
      </c>
      <c r="F2823" t="s">
        <v>86</v>
      </c>
      <c r="G2823" t="s">
        <v>242</v>
      </c>
      <c r="H2823" t="s">
        <v>32</v>
      </c>
      <c r="I2823">
        <v>6</v>
      </c>
      <c r="J2823" t="s">
        <v>98</v>
      </c>
      <c r="K2823">
        <v>1</v>
      </c>
      <c r="L2823" s="3">
        <v>4799</v>
      </c>
      <c r="M2823">
        <v>20</v>
      </c>
      <c r="N2823" s="3">
        <v>3840</v>
      </c>
      <c r="O2823" s="3">
        <v>3840</v>
      </c>
      <c r="P2823" t="s">
        <v>74</v>
      </c>
      <c r="Q2823" t="s">
        <v>51</v>
      </c>
      <c r="R2823" t="s">
        <v>36</v>
      </c>
      <c r="S2823" t="s">
        <v>191</v>
      </c>
      <c r="T2823" t="s">
        <v>332</v>
      </c>
      <c r="U2823" t="s">
        <v>54</v>
      </c>
      <c r="V2823" t="s">
        <v>969</v>
      </c>
      <c r="W2823">
        <v>4.3</v>
      </c>
      <c r="X2823" t="s">
        <v>41</v>
      </c>
      <c r="Y2823" t="s">
        <v>42</v>
      </c>
      <c r="Z2823">
        <v>4</v>
      </c>
    </row>
    <row r="2824" spans="1:26">
      <c r="A2824" t="s">
        <v>4070</v>
      </c>
      <c r="B2824" t="s">
        <v>502</v>
      </c>
      <c r="C2824" t="s">
        <v>45</v>
      </c>
      <c r="D2824" t="s">
        <v>46</v>
      </c>
      <c r="E2824" s="1">
        <v>45794</v>
      </c>
      <c r="F2824" t="s">
        <v>96</v>
      </c>
      <c r="G2824" t="s">
        <v>155</v>
      </c>
      <c r="H2824" t="s">
        <v>111</v>
      </c>
      <c r="I2824">
        <v>6</v>
      </c>
      <c r="J2824" t="s">
        <v>98</v>
      </c>
      <c r="K2824">
        <v>2</v>
      </c>
      <c r="L2824" s="3">
        <v>4999</v>
      </c>
      <c r="M2824">
        <v>5</v>
      </c>
      <c r="N2824" s="3">
        <v>4750</v>
      </c>
      <c r="O2824" s="3">
        <v>9500</v>
      </c>
      <c r="P2824" t="s">
        <v>74</v>
      </c>
      <c r="Q2824" t="s">
        <v>35</v>
      </c>
      <c r="R2824" t="s">
        <v>36</v>
      </c>
      <c r="S2824" t="s">
        <v>191</v>
      </c>
      <c r="T2824" t="s">
        <v>332</v>
      </c>
      <c r="U2824" t="s">
        <v>54</v>
      </c>
      <c r="V2824" t="s">
        <v>969</v>
      </c>
      <c r="W2824">
        <v>4.5</v>
      </c>
      <c r="X2824" t="s">
        <v>41</v>
      </c>
      <c r="Y2824" t="s">
        <v>55</v>
      </c>
      <c r="Z2824">
        <v>4</v>
      </c>
    </row>
    <row r="2825" spans="1:26">
      <c r="A2825" t="s">
        <v>4071</v>
      </c>
      <c r="B2825" t="s">
        <v>2970</v>
      </c>
      <c r="C2825" t="s">
        <v>45</v>
      </c>
      <c r="D2825" t="s">
        <v>103</v>
      </c>
      <c r="E2825" s="1">
        <v>45794</v>
      </c>
      <c r="F2825" t="s">
        <v>79</v>
      </c>
      <c r="G2825" t="s">
        <v>127</v>
      </c>
      <c r="H2825" t="s">
        <v>128</v>
      </c>
      <c r="I2825">
        <v>8</v>
      </c>
      <c r="J2825" t="s">
        <v>73</v>
      </c>
      <c r="K2825">
        <v>1</v>
      </c>
      <c r="L2825" s="3">
        <v>6199</v>
      </c>
      <c r="M2825">
        <v>20</v>
      </c>
      <c r="N2825" s="3">
        <v>4960</v>
      </c>
      <c r="O2825" s="3">
        <v>4960</v>
      </c>
      <c r="P2825" t="s">
        <v>74</v>
      </c>
      <c r="Q2825" t="s">
        <v>82</v>
      </c>
      <c r="R2825" t="s">
        <v>36</v>
      </c>
      <c r="S2825" t="s">
        <v>122</v>
      </c>
      <c r="T2825" t="s">
        <v>372</v>
      </c>
      <c r="U2825" t="s">
        <v>54</v>
      </c>
      <c r="V2825" t="s">
        <v>969</v>
      </c>
      <c r="W2825">
        <v>3.7</v>
      </c>
      <c r="X2825" t="s">
        <v>62</v>
      </c>
      <c r="Y2825" t="s">
        <v>42</v>
      </c>
      <c r="Z2825">
        <v>4</v>
      </c>
    </row>
    <row r="2826" spans="1:26">
      <c r="A2826" t="s">
        <v>4072</v>
      </c>
      <c r="B2826" t="s">
        <v>1786</v>
      </c>
      <c r="C2826" t="s">
        <v>45</v>
      </c>
      <c r="D2826" t="s">
        <v>46</v>
      </c>
      <c r="E2826" s="1">
        <v>45795</v>
      </c>
      <c r="F2826" t="s">
        <v>65</v>
      </c>
      <c r="G2826" t="s">
        <v>365</v>
      </c>
      <c r="H2826" t="s">
        <v>49</v>
      </c>
      <c r="I2826">
        <v>7</v>
      </c>
      <c r="J2826" t="s">
        <v>98</v>
      </c>
      <c r="K2826">
        <v>2</v>
      </c>
      <c r="L2826" s="3">
        <v>3299</v>
      </c>
      <c r="M2826">
        <v>5</v>
      </c>
      <c r="N2826" s="3">
        <v>3130</v>
      </c>
      <c r="O2826" s="3">
        <v>6260</v>
      </c>
      <c r="P2826" t="s">
        <v>74</v>
      </c>
      <c r="Q2826" t="s">
        <v>82</v>
      </c>
      <c r="R2826" t="s">
        <v>36</v>
      </c>
      <c r="S2826" t="s">
        <v>200</v>
      </c>
      <c r="T2826" t="s">
        <v>219</v>
      </c>
      <c r="U2826" t="s">
        <v>54</v>
      </c>
      <c r="V2826" t="s">
        <v>969</v>
      </c>
      <c r="W2826">
        <v>5</v>
      </c>
      <c r="X2826" t="s">
        <v>106</v>
      </c>
      <c r="Y2826" t="s">
        <v>42</v>
      </c>
      <c r="Z2826">
        <v>6</v>
      </c>
    </row>
    <row r="2827" spans="1:26">
      <c r="A2827" t="s">
        <v>4073</v>
      </c>
      <c r="B2827" t="s">
        <v>3319</v>
      </c>
      <c r="C2827" t="s">
        <v>94</v>
      </c>
      <c r="D2827" t="s">
        <v>46</v>
      </c>
      <c r="E2827" s="1">
        <v>45797</v>
      </c>
      <c r="F2827" t="s">
        <v>86</v>
      </c>
      <c r="G2827" t="s">
        <v>87</v>
      </c>
      <c r="H2827" t="s">
        <v>59</v>
      </c>
      <c r="I2827">
        <v>6</v>
      </c>
      <c r="J2827" t="s">
        <v>67</v>
      </c>
      <c r="K2827">
        <v>1</v>
      </c>
      <c r="L2827" s="3">
        <v>5899</v>
      </c>
      <c r="M2827">
        <v>10</v>
      </c>
      <c r="N2827" s="3">
        <v>5310</v>
      </c>
      <c r="O2827" s="3">
        <v>5310</v>
      </c>
      <c r="P2827" t="s">
        <v>74</v>
      </c>
      <c r="Q2827" t="s">
        <v>35</v>
      </c>
      <c r="R2827" t="s">
        <v>36</v>
      </c>
      <c r="S2827" t="s">
        <v>168</v>
      </c>
      <c r="T2827" t="s">
        <v>714</v>
      </c>
      <c r="U2827" t="s">
        <v>54</v>
      </c>
      <c r="V2827" t="s">
        <v>315</v>
      </c>
      <c r="W2827">
        <v>3.3</v>
      </c>
      <c r="X2827" t="s">
        <v>41</v>
      </c>
      <c r="Y2827" t="s">
        <v>42</v>
      </c>
      <c r="Z2827">
        <v>3</v>
      </c>
    </row>
    <row r="2828" spans="1:26">
      <c r="A2828" t="s">
        <v>4074</v>
      </c>
      <c r="B2828" t="s">
        <v>571</v>
      </c>
      <c r="C2828" t="s">
        <v>28</v>
      </c>
      <c r="D2828" t="s">
        <v>46</v>
      </c>
      <c r="E2828" s="1">
        <v>45798</v>
      </c>
      <c r="F2828" t="s">
        <v>79</v>
      </c>
      <c r="G2828" t="s">
        <v>80</v>
      </c>
      <c r="H2828" t="s">
        <v>59</v>
      </c>
      <c r="I2828">
        <v>8</v>
      </c>
      <c r="J2828" t="s">
        <v>73</v>
      </c>
      <c r="K2828">
        <v>1</v>
      </c>
      <c r="L2828" s="3">
        <v>7499</v>
      </c>
      <c r="M2828">
        <v>20</v>
      </c>
      <c r="N2828" s="3">
        <v>6000</v>
      </c>
      <c r="O2828" s="3">
        <v>6000</v>
      </c>
      <c r="P2828" t="s">
        <v>74</v>
      </c>
      <c r="Q2828" t="s">
        <v>51</v>
      </c>
      <c r="R2828" t="s">
        <v>36</v>
      </c>
      <c r="S2828" t="s">
        <v>160</v>
      </c>
      <c r="T2828" t="s">
        <v>344</v>
      </c>
      <c r="U2828" t="s">
        <v>39</v>
      </c>
      <c r="V2828" t="s">
        <v>315</v>
      </c>
      <c r="W2828">
        <v>4.2</v>
      </c>
      <c r="X2828" t="s">
        <v>41</v>
      </c>
      <c r="Y2828" t="s">
        <v>42</v>
      </c>
      <c r="Z2828">
        <v>3</v>
      </c>
    </row>
    <row r="2829" spans="1:26">
      <c r="A2829" t="s">
        <v>4075</v>
      </c>
      <c r="B2829" t="s">
        <v>3905</v>
      </c>
      <c r="C2829" t="s">
        <v>45</v>
      </c>
      <c r="D2829" t="s">
        <v>29</v>
      </c>
      <c r="E2829" s="1">
        <v>45798</v>
      </c>
      <c r="F2829" t="s">
        <v>47</v>
      </c>
      <c r="G2829" t="s">
        <v>402</v>
      </c>
      <c r="H2829" t="s">
        <v>32</v>
      </c>
      <c r="I2829">
        <v>8</v>
      </c>
      <c r="J2829" t="s">
        <v>33</v>
      </c>
      <c r="K2829">
        <v>2</v>
      </c>
      <c r="L2829" s="3">
        <v>5199</v>
      </c>
      <c r="M2829">
        <v>5</v>
      </c>
      <c r="N2829" s="3">
        <v>4940</v>
      </c>
      <c r="O2829" s="3">
        <v>9880</v>
      </c>
      <c r="P2829" t="s">
        <v>34</v>
      </c>
      <c r="Q2829" t="s">
        <v>51</v>
      </c>
      <c r="R2829" t="s">
        <v>36</v>
      </c>
      <c r="S2829" t="s">
        <v>99</v>
      </c>
      <c r="T2829" t="s">
        <v>100</v>
      </c>
      <c r="U2829" t="s">
        <v>61</v>
      </c>
      <c r="V2829" t="s">
        <v>969</v>
      </c>
      <c r="W2829">
        <v>4.0999999999999996</v>
      </c>
      <c r="X2829" t="s">
        <v>41</v>
      </c>
      <c r="Y2829" t="s">
        <v>55</v>
      </c>
      <c r="Z2829">
        <v>2</v>
      </c>
    </row>
    <row r="2830" spans="1:26">
      <c r="A2830" t="s">
        <v>4076</v>
      </c>
      <c r="B2830" t="s">
        <v>671</v>
      </c>
      <c r="C2830" t="s">
        <v>45</v>
      </c>
      <c r="D2830" t="s">
        <v>29</v>
      </c>
      <c r="E2830" s="1">
        <v>45799</v>
      </c>
      <c r="F2830" t="s">
        <v>86</v>
      </c>
      <c r="G2830" t="s">
        <v>190</v>
      </c>
      <c r="H2830" t="s">
        <v>128</v>
      </c>
      <c r="I2830">
        <v>10</v>
      </c>
      <c r="J2830" t="s">
        <v>67</v>
      </c>
      <c r="K2830">
        <v>1</v>
      </c>
      <c r="L2830" s="3">
        <v>8899</v>
      </c>
      <c r="M2830">
        <v>35</v>
      </c>
      <c r="N2830" s="3">
        <v>5780</v>
      </c>
      <c r="O2830" s="3">
        <v>5780</v>
      </c>
      <c r="P2830" t="s">
        <v>34</v>
      </c>
      <c r="Q2830" t="s">
        <v>51</v>
      </c>
      <c r="R2830" t="s">
        <v>36</v>
      </c>
      <c r="S2830" t="s">
        <v>200</v>
      </c>
      <c r="T2830" t="s">
        <v>201</v>
      </c>
      <c r="U2830" t="s">
        <v>91</v>
      </c>
      <c r="V2830" t="s">
        <v>969</v>
      </c>
      <c r="W2830">
        <v>3.4</v>
      </c>
      <c r="X2830" t="s">
        <v>41</v>
      </c>
      <c r="Y2830" t="s">
        <v>42</v>
      </c>
      <c r="Z2830">
        <v>4</v>
      </c>
    </row>
    <row r="2831" spans="1:26">
      <c r="A2831" t="s">
        <v>4077</v>
      </c>
      <c r="B2831" t="s">
        <v>4078</v>
      </c>
      <c r="C2831" t="s">
        <v>94</v>
      </c>
      <c r="D2831" t="s">
        <v>109</v>
      </c>
      <c r="E2831" s="1">
        <v>45799</v>
      </c>
      <c r="F2831" t="s">
        <v>86</v>
      </c>
      <c r="G2831" t="s">
        <v>116</v>
      </c>
      <c r="H2831" t="s">
        <v>49</v>
      </c>
      <c r="I2831">
        <v>10</v>
      </c>
      <c r="J2831" t="s">
        <v>33</v>
      </c>
      <c r="K2831">
        <v>1</v>
      </c>
      <c r="L2831" s="3">
        <v>3799</v>
      </c>
      <c r="M2831">
        <v>20</v>
      </c>
      <c r="N2831" s="3">
        <v>3040</v>
      </c>
      <c r="O2831" s="3">
        <v>3040</v>
      </c>
      <c r="P2831" t="s">
        <v>74</v>
      </c>
      <c r="Q2831" t="s">
        <v>82</v>
      </c>
      <c r="R2831" t="s">
        <v>36</v>
      </c>
      <c r="S2831" t="s">
        <v>156</v>
      </c>
      <c r="T2831" t="s">
        <v>257</v>
      </c>
      <c r="U2831" t="s">
        <v>124</v>
      </c>
      <c r="V2831" t="s">
        <v>40</v>
      </c>
      <c r="W2831">
        <v>3.4</v>
      </c>
      <c r="X2831" t="s">
        <v>62</v>
      </c>
      <c r="Y2831" t="s">
        <v>55</v>
      </c>
      <c r="Z2831">
        <v>4</v>
      </c>
    </row>
    <row r="2832" spans="1:26">
      <c r="A2832" t="s">
        <v>4079</v>
      </c>
      <c r="B2832" t="s">
        <v>399</v>
      </c>
      <c r="C2832" t="s">
        <v>94</v>
      </c>
      <c r="D2832" t="s">
        <v>95</v>
      </c>
      <c r="E2832" s="1">
        <v>45800</v>
      </c>
      <c r="F2832" t="s">
        <v>86</v>
      </c>
      <c r="G2832" t="s">
        <v>242</v>
      </c>
      <c r="H2832" t="s">
        <v>32</v>
      </c>
      <c r="I2832">
        <v>9</v>
      </c>
      <c r="J2832" t="s">
        <v>98</v>
      </c>
      <c r="K2832">
        <v>1</v>
      </c>
      <c r="L2832" s="3">
        <v>5899</v>
      </c>
      <c r="M2832">
        <v>15</v>
      </c>
      <c r="N2832" s="3">
        <v>5010</v>
      </c>
      <c r="O2832" s="3">
        <v>5010</v>
      </c>
      <c r="P2832" t="s">
        <v>34</v>
      </c>
      <c r="Q2832" t="s">
        <v>82</v>
      </c>
      <c r="R2832" t="s">
        <v>36</v>
      </c>
      <c r="S2832" t="s">
        <v>358</v>
      </c>
      <c r="T2832" t="s">
        <v>464</v>
      </c>
      <c r="U2832" t="s">
        <v>61</v>
      </c>
      <c r="V2832" t="s">
        <v>969</v>
      </c>
      <c r="W2832">
        <v>4.3</v>
      </c>
      <c r="X2832" t="s">
        <v>41</v>
      </c>
      <c r="Y2832" t="s">
        <v>55</v>
      </c>
      <c r="Z2832">
        <v>2</v>
      </c>
    </row>
    <row r="2833" spans="1:26">
      <c r="A2833" t="s">
        <v>4080</v>
      </c>
      <c r="B2833" t="s">
        <v>3696</v>
      </c>
      <c r="C2833" t="s">
        <v>94</v>
      </c>
      <c r="D2833" t="s">
        <v>103</v>
      </c>
      <c r="E2833" s="1">
        <v>45800</v>
      </c>
      <c r="F2833" t="s">
        <v>65</v>
      </c>
      <c r="G2833" t="s">
        <v>72</v>
      </c>
      <c r="H2833" t="s">
        <v>59</v>
      </c>
      <c r="I2833">
        <v>7</v>
      </c>
      <c r="J2833" t="s">
        <v>67</v>
      </c>
      <c r="K2833">
        <v>1</v>
      </c>
      <c r="L2833" s="3">
        <v>8199</v>
      </c>
      <c r="M2833">
        <v>20</v>
      </c>
      <c r="N2833" s="3">
        <v>6560</v>
      </c>
      <c r="O2833" s="3">
        <v>6560</v>
      </c>
      <c r="P2833" t="s">
        <v>74</v>
      </c>
      <c r="Q2833" t="s">
        <v>51</v>
      </c>
      <c r="R2833" t="s">
        <v>36</v>
      </c>
      <c r="S2833" t="s">
        <v>243</v>
      </c>
      <c r="T2833" t="s">
        <v>244</v>
      </c>
      <c r="U2833" t="s">
        <v>124</v>
      </c>
      <c r="V2833" t="s">
        <v>315</v>
      </c>
      <c r="W2833">
        <v>3.8</v>
      </c>
      <c r="X2833" t="s">
        <v>62</v>
      </c>
      <c r="Y2833" t="s">
        <v>42</v>
      </c>
      <c r="Z2833">
        <v>4</v>
      </c>
    </row>
    <row r="2834" spans="1:26">
      <c r="A2834" t="s">
        <v>4081</v>
      </c>
      <c r="B2834" t="s">
        <v>1565</v>
      </c>
      <c r="C2834" t="s">
        <v>45</v>
      </c>
      <c r="D2834" t="s">
        <v>46</v>
      </c>
      <c r="E2834" s="1">
        <v>45801</v>
      </c>
      <c r="F2834" t="s">
        <v>96</v>
      </c>
      <c r="G2834" t="s">
        <v>171</v>
      </c>
      <c r="H2834" t="s">
        <v>128</v>
      </c>
      <c r="I2834">
        <v>8</v>
      </c>
      <c r="J2834" t="s">
        <v>150</v>
      </c>
      <c r="K2834">
        <v>1</v>
      </c>
      <c r="L2834" s="3">
        <v>6499</v>
      </c>
      <c r="M2834">
        <v>10</v>
      </c>
      <c r="N2834" s="3">
        <v>5850</v>
      </c>
      <c r="O2834" s="3">
        <v>5850</v>
      </c>
      <c r="P2834" t="s">
        <v>34</v>
      </c>
      <c r="Q2834" t="s">
        <v>82</v>
      </c>
      <c r="R2834" t="s">
        <v>36</v>
      </c>
      <c r="S2834" t="s">
        <v>191</v>
      </c>
      <c r="T2834" t="s">
        <v>521</v>
      </c>
      <c r="U2834" t="s">
        <v>61</v>
      </c>
      <c r="V2834" t="s">
        <v>969</v>
      </c>
      <c r="W2834">
        <v>3.6</v>
      </c>
      <c r="X2834" t="s">
        <v>41</v>
      </c>
      <c r="Y2834" t="s">
        <v>42</v>
      </c>
      <c r="Z2834">
        <v>3</v>
      </c>
    </row>
    <row r="2835" spans="1:26">
      <c r="A2835" t="s">
        <v>4082</v>
      </c>
      <c r="B2835" t="s">
        <v>2294</v>
      </c>
      <c r="C2835" t="s">
        <v>28</v>
      </c>
      <c r="D2835" t="s">
        <v>103</v>
      </c>
      <c r="E2835" s="1">
        <v>45803</v>
      </c>
      <c r="F2835" t="s">
        <v>96</v>
      </c>
      <c r="G2835" t="s">
        <v>97</v>
      </c>
      <c r="H2835" t="s">
        <v>49</v>
      </c>
      <c r="I2835">
        <v>8</v>
      </c>
      <c r="J2835" t="s">
        <v>88</v>
      </c>
      <c r="K2835">
        <v>1</v>
      </c>
      <c r="L2835" s="3">
        <v>9099</v>
      </c>
      <c r="M2835">
        <v>15</v>
      </c>
      <c r="N2835" s="3">
        <v>7730</v>
      </c>
      <c r="O2835" s="3">
        <v>7730</v>
      </c>
      <c r="P2835" t="s">
        <v>50</v>
      </c>
      <c r="Q2835" t="s">
        <v>82</v>
      </c>
      <c r="R2835" t="s">
        <v>36</v>
      </c>
      <c r="S2835" t="s">
        <v>129</v>
      </c>
      <c r="T2835" t="s">
        <v>130</v>
      </c>
      <c r="U2835" t="s">
        <v>39</v>
      </c>
      <c r="V2835" t="s">
        <v>315</v>
      </c>
      <c r="W2835">
        <v>4.2</v>
      </c>
      <c r="X2835" t="s">
        <v>106</v>
      </c>
      <c r="Y2835" t="s">
        <v>42</v>
      </c>
      <c r="Z2835">
        <v>5</v>
      </c>
    </row>
    <row r="2836" spans="1:26">
      <c r="A2836" t="s">
        <v>4083</v>
      </c>
      <c r="B2836" t="s">
        <v>1229</v>
      </c>
      <c r="C2836" t="s">
        <v>94</v>
      </c>
      <c r="D2836" t="s">
        <v>103</v>
      </c>
      <c r="E2836" s="1">
        <v>45803</v>
      </c>
      <c r="F2836" t="s">
        <v>65</v>
      </c>
      <c r="G2836" t="s">
        <v>66</v>
      </c>
      <c r="H2836" t="s">
        <v>59</v>
      </c>
      <c r="I2836">
        <v>6</v>
      </c>
      <c r="J2836" t="s">
        <v>67</v>
      </c>
      <c r="K2836">
        <v>1</v>
      </c>
      <c r="L2836" s="3">
        <v>4299</v>
      </c>
      <c r="M2836">
        <v>20</v>
      </c>
      <c r="N2836" s="3">
        <v>3440</v>
      </c>
      <c r="O2836" s="3">
        <v>3440</v>
      </c>
      <c r="P2836" t="s">
        <v>34</v>
      </c>
      <c r="Q2836" t="s">
        <v>82</v>
      </c>
      <c r="R2836" t="s">
        <v>36</v>
      </c>
      <c r="S2836" t="s">
        <v>52</v>
      </c>
      <c r="T2836" t="s">
        <v>235</v>
      </c>
      <c r="U2836" t="s">
        <v>61</v>
      </c>
      <c r="V2836" t="s">
        <v>969</v>
      </c>
      <c r="W2836">
        <v>5</v>
      </c>
      <c r="X2836" t="s">
        <v>41</v>
      </c>
      <c r="Y2836" t="s">
        <v>42</v>
      </c>
      <c r="Z2836">
        <v>3</v>
      </c>
    </row>
    <row r="2837" spans="1:26">
      <c r="A2837" t="s">
        <v>4084</v>
      </c>
      <c r="B2837" t="s">
        <v>1661</v>
      </c>
      <c r="C2837" t="s">
        <v>28</v>
      </c>
      <c r="D2837" t="s">
        <v>103</v>
      </c>
      <c r="E2837" s="1">
        <v>45804</v>
      </c>
      <c r="F2837" t="s">
        <v>47</v>
      </c>
      <c r="G2837" t="s">
        <v>48</v>
      </c>
      <c r="H2837" t="s">
        <v>49</v>
      </c>
      <c r="I2837">
        <v>12</v>
      </c>
      <c r="J2837" t="s">
        <v>33</v>
      </c>
      <c r="K2837">
        <v>1</v>
      </c>
      <c r="L2837" s="3">
        <v>4499</v>
      </c>
      <c r="M2837">
        <v>35</v>
      </c>
      <c r="N2837" s="3">
        <v>2920</v>
      </c>
      <c r="O2837" s="3">
        <v>2920</v>
      </c>
      <c r="P2837" t="s">
        <v>34</v>
      </c>
      <c r="Q2837" t="s">
        <v>51</v>
      </c>
      <c r="R2837" t="s">
        <v>36</v>
      </c>
      <c r="S2837" t="s">
        <v>52</v>
      </c>
      <c r="T2837" t="s">
        <v>235</v>
      </c>
      <c r="U2837" t="s">
        <v>61</v>
      </c>
      <c r="V2837" t="s">
        <v>969</v>
      </c>
      <c r="W2837">
        <v>4.8</v>
      </c>
      <c r="X2837" t="s">
        <v>41</v>
      </c>
      <c r="Y2837" t="s">
        <v>42</v>
      </c>
      <c r="Z2837">
        <v>3</v>
      </c>
    </row>
    <row r="2838" spans="1:26">
      <c r="A2838" t="s">
        <v>4085</v>
      </c>
      <c r="B2838" t="s">
        <v>1824</v>
      </c>
      <c r="C2838" t="s">
        <v>28</v>
      </c>
      <c r="D2838" t="s">
        <v>46</v>
      </c>
      <c r="E2838" s="1">
        <v>45804</v>
      </c>
      <c r="F2838" t="s">
        <v>47</v>
      </c>
      <c r="G2838" t="s">
        <v>199</v>
      </c>
      <c r="H2838" t="s">
        <v>59</v>
      </c>
      <c r="I2838">
        <v>6</v>
      </c>
      <c r="J2838" t="s">
        <v>98</v>
      </c>
      <c r="K2838">
        <v>1</v>
      </c>
      <c r="L2838" s="3">
        <v>6999</v>
      </c>
      <c r="M2838">
        <v>15</v>
      </c>
      <c r="N2838" s="3">
        <v>5950</v>
      </c>
      <c r="O2838" s="3">
        <v>5950</v>
      </c>
      <c r="P2838" t="s">
        <v>74</v>
      </c>
      <c r="Q2838" t="s">
        <v>35</v>
      </c>
      <c r="R2838" t="s">
        <v>36</v>
      </c>
      <c r="S2838" t="s">
        <v>156</v>
      </c>
      <c r="T2838" t="s">
        <v>157</v>
      </c>
      <c r="U2838" t="s">
        <v>91</v>
      </c>
      <c r="V2838" t="s">
        <v>315</v>
      </c>
      <c r="W2838">
        <v>3.1</v>
      </c>
      <c r="X2838" t="s">
        <v>41</v>
      </c>
      <c r="Y2838" t="s">
        <v>42</v>
      </c>
      <c r="Z2838">
        <v>1</v>
      </c>
    </row>
    <row r="2839" spans="1:26">
      <c r="A2839" t="s">
        <v>4086</v>
      </c>
      <c r="B2839" t="s">
        <v>411</v>
      </c>
      <c r="C2839" t="s">
        <v>45</v>
      </c>
      <c r="D2839" t="s">
        <v>103</v>
      </c>
      <c r="E2839" s="1">
        <v>45805</v>
      </c>
      <c r="F2839" t="s">
        <v>86</v>
      </c>
      <c r="G2839" t="s">
        <v>312</v>
      </c>
      <c r="H2839" t="s">
        <v>59</v>
      </c>
      <c r="I2839">
        <v>11</v>
      </c>
      <c r="J2839" t="s">
        <v>33</v>
      </c>
      <c r="K2839">
        <v>3</v>
      </c>
      <c r="L2839" s="3">
        <v>7699</v>
      </c>
      <c r="M2839">
        <v>25</v>
      </c>
      <c r="N2839" s="3">
        <v>5770</v>
      </c>
      <c r="O2839" s="3">
        <v>17310</v>
      </c>
      <c r="P2839" t="s">
        <v>34</v>
      </c>
      <c r="Q2839" t="s">
        <v>51</v>
      </c>
      <c r="R2839" t="s">
        <v>36</v>
      </c>
      <c r="S2839" t="s">
        <v>191</v>
      </c>
      <c r="T2839" t="s">
        <v>192</v>
      </c>
      <c r="U2839" t="s">
        <v>39</v>
      </c>
      <c r="V2839" t="s">
        <v>969</v>
      </c>
      <c r="W2839">
        <v>4</v>
      </c>
      <c r="X2839" t="s">
        <v>106</v>
      </c>
      <c r="Y2839" t="s">
        <v>42</v>
      </c>
      <c r="Z2839">
        <v>5</v>
      </c>
    </row>
    <row r="2840" spans="1:26">
      <c r="A2840" t="s">
        <v>4087</v>
      </c>
      <c r="B2840" t="s">
        <v>1002</v>
      </c>
      <c r="C2840" t="s">
        <v>45</v>
      </c>
      <c r="D2840" t="s">
        <v>46</v>
      </c>
      <c r="E2840" s="1">
        <v>45805</v>
      </c>
      <c r="F2840" t="s">
        <v>65</v>
      </c>
      <c r="G2840" t="s">
        <v>72</v>
      </c>
      <c r="H2840" t="s">
        <v>59</v>
      </c>
      <c r="I2840">
        <v>10</v>
      </c>
      <c r="J2840" t="s">
        <v>98</v>
      </c>
      <c r="K2840">
        <v>1</v>
      </c>
      <c r="L2840" s="3">
        <v>5299</v>
      </c>
      <c r="M2840">
        <v>20</v>
      </c>
      <c r="N2840" s="3">
        <v>4240</v>
      </c>
      <c r="O2840" s="3">
        <v>4240</v>
      </c>
      <c r="P2840" t="s">
        <v>74</v>
      </c>
      <c r="Q2840" t="s">
        <v>35</v>
      </c>
      <c r="R2840" t="s">
        <v>36</v>
      </c>
      <c r="S2840" t="s">
        <v>338</v>
      </c>
      <c r="T2840" t="s">
        <v>394</v>
      </c>
      <c r="U2840" t="s">
        <v>39</v>
      </c>
      <c r="V2840" t="s">
        <v>315</v>
      </c>
      <c r="W2840">
        <v>2.9</v>
      </c>
      <c r="X2840" t="s">
        <v>41</v>
      </c>
      <c r="Y2840" t="s">
        <v>42</v>
      </c>
      <c r="Z2840">
        <v>6</v>
      </c>
    </row>
    <row r="2841" spans="1:26">
      <c r="A2841" t="s">
        <v>4088</v>
      </c>
      <c r="B2841" t="s">
        <v>1349</v>
      </c>
      <c r="C2841" t="s">
        <v>28</v>
      </c>
      <c r="D2841" t="s">
        <v>46</v>
      </c>
      <c r="E2841" s="1">
        <v>45805</v>
      </c>
      <c r="F2841" t="s">
        <v>96</v>
      </c>
      <c r="G2841" t="s">
        <v>290</v>
      </c>
      <c r="H2841" t="s">
        <v>32</v>
      </c>
      <c r="I2841">
        <v>8</v>
      </c>
      <c r="J2841" t="s">
        <v>67</v>
      </c>
      <c r="K2841">
        <v>1</v>
      </c>
      <c r="L2841" s="3">
        <v>5999</v>
      </c>
      <c r="M2841">
        <v>5</v>
      </c>
      <c r="N2841" s="3">
        <v>5700</v>
      </c>
      <c r="O2841" s="3">
        <v>5700</v>
      </c>
      <c r="P2841" t="s">
        <v>34</v>
      </c>
      <c r="Q2841" t="s">
        <v>51</v>
      </c>
      <c r="R2841" t="s">
        <v>36</v>
      </c>
      <c r="S2841" t="s">
        <v>112</v>
      </c>
      <c r="T2841" t="s">
        <v>250</v>
      </c>
      <c r="U2841" t="s">
        <v>91</v>
      </c>
      <c r="V2841" t="s">
        <v>315</v>
      </c>
      <c r="W2841">
        <v>4.3</v>
      </c>
      <c r="X2841" t="s">
        <v>41</v>
      </c>
      <c r="Y2841" t="s">
        <v>55</v>
      </c>
      <c r="Z2841">
        <v>2</v>
      </c>
    </row>
    <row r="2842" spans="1:26">
      <c r="A2842" t="s">
        <v>4089</v>
      </c>
      <c r="B2842" t="s">
        <v>2238</v>
      </c>
      <c r="C2842" t="s">
        <v>94</v>
      </c>
      <c r="D2842" t="s">
        <v>46</v>
      </c>
      <c r="E2842" s="1">
        <v>45809</v>
      </c>
      <c r="F2842" t="s">
        <v>86</v>
      </c>
      <c r="G2842" t="s">
        <v>87</v>
      </c>
      <c r="H2842" t="s">
        <v>59</v>
      </c>
      <c r="I2842">
        <v>7</v>
      </c>
      <c r="J2842" t="s">
        <v>73</v>
      </c>
      <c r="K2842">
        <v>1</v>
      </c>
      <c r="L2842" s="3">
        <v>7299</v>
      </c>
      <c r="M2842">
        <v>5</v>
      </c>
      <c r="N2842" s="3">
        <v>6930</v>
      </c>
      <c r="O2842" s="3">
        <v>6930</v>
      </c>
      <c r="P2842" t="s">
        <v>34</v>
      </c>
      <c r="Q2842" t="s">
        <v>82</v>
      </c>
      <c r="R2842" t="s">
        <v>36</v>
      </c>
      <c r="S2842" t="s">
        <v>164</v>
      </c>
      <c r="T2842" t="s">
        <v>314</v>
      </c>
      <c r="U2842" t="s">
        <v>54</v>
      </c>
      <c r="V2842" t="s">
        <v>969</v>
      </c>
      <c r="W2842">
        <v>3.1</v>
      </c>
      <c r="X2842" t="s">
        <v>41</v>
      </c>
      <c r="Y2842" t="s">
        <v>55</v>
      </c>
      <c r="Z2842">
        <v>4</v>
      </c>
    </row>
    <row r="2843" spans="1:26">
      <c r="A2843" t="s">
        <v>4090</v>
      </c>
      <c r="B2843" t="s">
        <v>1074</v>
      </c>
      <c r="C2843" t="s">
        <v>28</v>
      </c>
      <c r="D2843" t="s">
        <v>46</v>
      </c>
      <c r="E2843" s="1">
        <v>45811</v>
      </c>
      <c r="F2843" t="s">
        <v>86</v>
      </c>
      <c r="G2843" t="s">
        <v>116</v>
      </c>
      <c r="H2843" t="s">
        <v>49</v>
      </c>
      <c r="I2843">
        <v>9</v>
      </c>
      <c r="J2843" t="s">
        <v>150</v>
      </c>
      <c r="K2843">
        <v>1</v>
      </c>
      <c r="L2843" s="3">
        <v>6399</v>
      </c>
      <c r="M2843">
        <v>20</v>
      </c>
      <c r="N2843" s="3">
        <v>5120</v>
      </c>
      <c r="O2843" s="3">
        <v>5120</v>
      </c>
      <c r="P2843" t="s">
        <v>74</v>
      </c>
      <c r="Q2843" t="s">
        <v>35</v>
      </c>
      <c r="R2843" t="s">
        <v>36</v>
      </c>
      <c r="S2843" t="s">
        <v>75</v>
      </c>
      <c r="T2843" t="s">
        <v>76</v>
      </c>
      <c r="U2843" t="s">
        <v>39</v>
      </c>
      <c r="V2843" t="s">
        <v>969</v>
      </c>
      <c r="W2843">
        <v>3.9</v>
      </c>
      <c r="X2843" t="s">
        <v>41</v>
      </c>
      <c r="Y2843" t="s">
        <v>147</v>
      </c>
      <c r="Z2843">
        <v>1</v>
      </c>
    </row>
    <row r="2844" spans="1:26">
      <c r="A2844" t="s">
        <v>4091</v>
      </c>
      <c r="B2844" t="s">
        <v>608</v>
      </c>
      <c r="C2844" t="s">
        <v>28</v>
      </c>
      <c r="D2844" t="s">
        <v>46</v>
      </c>
      <c r="E2844" s="1">
        <v>45812</v>
      </c>
      <c r="F2844" t="s">
        <v>30</v>
      </c>
      <c r="G2844" t="s">
        <v>347</v>
      </c>
      <c r="H2844" t="s">
        <v>49</v>
      </c>
      <c r="I2844">
        <v>9</v>
      </c>
      <c r="J2844" t="s">
        <v>88</v>
      </c>
      <c r="K2844">
        <v>1</v>
      </c>
      <c r="L2844" s="3">
        <v>9099</v>
      </c>
      <c r="M2844">
        <v>20</v>
      </c>
      <c r="N2844" s="3">
        <v>7280</v>
      </c>
      <c r="O2844" s="3">
        <v>7280</v>
      </c>
      <c r="P2844" t="s">
        <v>34</v>
      </c>
      <c r="Q2844" t="s">
        <v>51</v>
      </c>
      <c r="R2844" t="s">
        <v>36</v>
      </c>
      <c r="S2844" t="s">
        <v>117</v>
      </c>
      <c r="T2844" t="s">
        <v>544</v>
      </c>
      <c r="U2844" t="s">
        <v>39</v>
      </c>
      <c r="V2844" t="s">
        <v>969</v>
      </c>
      <c r="W2844">
        <v>4.5999999999999996</v>
      </c>
      <c r="X2844" t="s">
        <v>41</v>
      </c>
      <c r="Y2844" t="s">
        <v>42</v>
      </c>
      <c r="Z2844">
        <v>4</v>
      </c>
    </row>
    <row r="2845" spans="1:26">
      <c r="A2845" t="s">
        <v>4092</v>
      </c>
      <c r="B2845" t="s">
        <v>126</v>
      </c>
      <c r="C2845" t="s">
        <v>45</v>
      </c>
      <c r="D2845" t="s">
        <v>103</v>
      </c>
      <c r="E2845" s="1">
        <v>45812</v>
      </c>
      <c r="F2845" t="s">
        <v>65</v>
      </c>
      <c r="G2845" t="s">
        <v>365</v>
      </c>
      <c r="H2845" t="s">
        <v>49</v>
      </c>
      <c r="I2845">
        <v>10</v>
      </c>
      <c r="J2845" t="s">
        <v>88</v>
      </c>
      <c r="K2845">
        <v>1</v>
      </c>
      <c r="L2845" s="3">
        <v>7199</v>
      </c>
      <c r="M2845">
        <v>10</v>
      </c>
      <c r="N2845" s="3">
        <v>6480</v>
      </c>
      <c r="O2845" s="3">
        <v>6480</v>
      </c>
      <c r="P2845" t="s">
        <v>74</v>
      </c>
      <c r="Q2845" t="s">
        <v>51</v>
      </c>
      <c r="R2845" t="s">
        <v>36</v>
      </c>
      <c r="S2845" t="s">
        <v>384</v>
      </c>
      <c r="T2845" t="s">
        <v>1217</v>
      </c>
      <c r="U2845" t="s">
        <v>61</v>
      </c>
      <c r="V2845" t="s">
        <v>315</v>
      </c>
      <c r="W2845">
        <v>5</v>
      </c>
      <c r="X2845" t="s">
        <v>41</v>
      </c>
      <c r="Y2845" t="s">
        <v>42</v>
      </c>
      <c r="Z2845">
        <v>4</v>
      </c>
    </row>
    <row r="2846" spans="1:26">
      <c r="A2846" t="s">
        <v>4093</v>
      </c>
      <c r="B2846" t="s">
        <v>4094</v>
      </c>
      <c r="C2846" t="s">
        <v>28</v>
      </c>
      <c r="D2846" t="s">
        <v>95</v>
      </c>
      <c r="E2846" s="1">
        <v>45813</v>
      </c>
      <c r="F2846" t="s">
        <v>30</v>
      </c>
      <c r="G2846" t="s">
        <v>214</v>
      </c>
      <c r="H2846" t="s">
        <v>128</v>
      </c>
      <c r="I2846">
        <v>6</v>
      </c>
      <c r="J2846" t="s">
        <v>73</v>
      </c>
      <c r="K2846">
        <v>4</v>
      </c>
      <c r="L2846" s="3">
        <v>3799</v>
      </c>
      <c r="M2846">
        <v>10</v>
      </c>
      <c r="N2846" s="3">
        <v>3420</v>
      </c>
      <c r="O2846" s="3">
        <v>13680</v>
      </c>
      <c r="P2846" t="s">
        <v>34</v>
      </c>
      <c r="Q2846" t="s">
        <v>35</v>
      </c>
      <c r="R2846" t="s">
        <v>36</v>
      </c>
      <c r="S2846" t="s">
        <v>354</v>
      </c>
      <c r="T2846" t="s">
        <v>434</v>
      </c>
      <c r="U2846" t="s">
        <v>61</v>
      </c>
      <c r="V2846" t="s">
        <v>40</v>
      </c>
      <c r="W2846">
        <v>4.5</v>
      </c>
      <c r="X2846" t="s">
        <v>41</v>
      </c>
      <c r="Y2846" t="s">
        <v>42</v>
      </c>
      <c r="Z2846">
        <v>3</v>
      </c>
    </row>
    <row r="2847" spans="1:26">
      <c r="A2847" t="s">
        <v>4095</v>
      </c>
      <c r="B2847" t="s">
        <v>1165</v>
      </c>
      <c r="C2847" t="s">
        <v>45</v>
      </c>
      <c r="D2847" t="s">
        <v>46</v>
      </c>
      <c r="E2847" s="1">
        <v>45813</v>
      </c>
      <c r="F2847" t="s">
        <v>30</v>
      </c>
      <c r="G2847" t="s">
        <v>58</v>
      </c>
      <c r="H2847" t="s">
        <v>59</v>
      </c>
      <c r="I2847">
        <v>11</v>
      </c>
      <c r="J2847" t="s">
        <v>33</v>
      </c>
      <c r="K2847">
        <v>1</v>
      </c>
      <c r="L2847" s="3">
        <v>8699</v>
      </c>
      <c r="M2847">
        <v>20</v>
      </c>
      <c r="N2847" s="3">
        <v>6960</v>
      </c>
      <c r="O2847" s="3">
        <v>6960</v>
      </c>
      <c r="P2847" t="s">
        <v>34</v>
      </c>
      <c r="Q2847" t="s">
        <v>35</v>
      </c>
      <c r="R2847" t="s">
        <v>36</v>
      </c>
      <c r="S2847" t="s">
        <v>297</v>
      </c>
      <c r="T2847" t="s">
        <v>298</v>
      </c>
      <c r="U2847" t="s">
        <v>39</v>
      </c>
      <c r="V2847" t="s">
        <v>969</v>
      </c>
      <c r="W2847">
        <v>4.3</v>
      </c>
      <c r="X2847" t="s">
        <v>62</v>
      </c>
      <c r="Y2847" t="s">
        <v>42</v>
      </c>
      <c r="Z2847">
        <v>1</v>
      </c>
    </row>
    <row r="2848" spans="1:26">
      <c r="A2848" t="s">
        <v>4096</v>
      </c>
      <c r="B2848" t="s">
        <v>816</v>
      </c>
      <c r="C2848" t="s">
        <v>94</v>
      </c>
      <c r="D2848" t="s">
        <v>29</v>
      </c>
      <c r="E2848" s="1">
        <v>45813</v>
      </c>
      <c r="F2848" t="s">
        <v>65</v>
      </c>
      <c r="G2848" t="s">
        <v>66</v>
      </c>
      <c r="H2848" t="s">
        <v>59</v>
      </c>
      <c r="I2848">
        <v>9</v>
      </c>
      <c r="J2848" t="s">
        <v>73</v>
      </c>
      <c r="K2848">
        <v>2</v>
      </c>
      <c r="L2848" s="3">
        <v>5099</v>
      </c>
      <c r="M2848">
        <v>25</v>
      </c>
      <c r="N2848" s="3">
        <v>3820</v>
      </c>
      <c r="O2848" s="3">
        <v>7640</v>
      </c>
      <c r="P2848" t="s">
        <v>74</v>
      </c>
      <c r="Q2848" t="s">
        <v>35</v>
      </c>
      <c r="R2848" t="s">
        <v>36</v>
      </c>
      <c r="S2848" t="s">
        <v>286</v>
      </c>
      <c r="T2848" t="s">
        <v>737</v>
      </c>
      <c r="U2848" t="s">
        <v>91</v>
      </c>
      <c r="V2848" t="s">
        <v>969</v>
      </c>
      <c r="W2848">
        <v>5</v>
      </c>
      <c r="X2848" t="s">
        <v>62</v>
      </c>
      <c r="Y2848" t="s">
        <v>42</v>
      </c>
      <c r="Z2848">
        <v>1</v>
      </c>
    </row>
    <row r="2849" spans="1:26">
      <c r="A2849" t="s">
        <v>4097</v>
      </c>
      <c r="B2849" t="s">
        <v>2021</v>
      </c>
      <c r="C2849" t="s">
        <v>45</v>
      </c>
      <c r="D2849" t="s">
        <v>103</v>
      </c>
      <c r="E2849" s="1">
        <v>45815</v>
      </c>
      <c r="F2849" t="s">
        <v>96</v>
      </c>
      <c r="G2849" t="s">
        <v>171</v>
      </c>
      <c r="H2849" t="s">
        <v>128</v>
      </c>
      <c r="I2849">
        <v>9</v>
      </c>
      <c r="J2849" t="s">
        <v>73</v>
      </c>
      <c r="K2849">
        <v>1</v>
      </c>
      <c r="L2849" s="3">
        <v>8699</v>
      </c>
      <c r="M2849">
        <v>20</v>
      </c>
      <c r="N2849" s="3">
        <v>6960</v>
      </c>
      <c r="O2849" s="3">
        <v>6960</v>
      </c>
      <c r="P2849" t="s">
        <v>74</v>
      </c>
      <c r="Q2849" t="s">
        <v>82</v>
      </c>
      <c r="R2849" t="s">
        <v>36</v>
      </c>
      <c r="S2849" t="s">
        <v>164</v>
      </c>
      <c r="T2849" t="s">
        <v>409</v>
      </c>
      <c r="U2849" t="s">
        <v>39</v>
      </c>
      <c r="V2849" t="s">
        <v>969</v>
      </c>
      <c r="W2849">
        <v>3.9</v>
      </c>
      <c r="X2849" t="s">
        <v>62</v>
      </c>
      <c r="Y2849" t="s">
        <v>42</v>
      </c>
      <c r="Z2849">
        <v>4</v>
      </c>
    </row>
    <row r="2850" spans="1:26">
      <c r="A2850" t="s">
        <v>4098</v>
      </c>
      <c r="B2850" t="s">
        <v>2144</v>
      </c>
      <c r="C2850" t="s">
        <v>45</v>
      </c>
      <c r="D2850" t="s">
        <v>103</v>
      </c>
      <c r="E2850" s="1">
        <v>45815</v>
      </c>
      <c r="F2850" t="s">
        <v>86</v>
      </c>
      <c r="G2850" t="s">
        <v>87</v>
      </c>
      <c r="H2850" t="s">
        <v>59</v>
      </c>
      <c r="I2850">
        <v>9</v>
      </c>
      <c r="J2850" t="s">
        <v>150</v>
      </c>
      <c r="K2850">
        <v>1</v>
      </c>
      <c r="L2850" s="3">
        <v>7699</v>
      </c>
      <c r="M2850">
        <v>20</v>
      </c>
      <c r="N2850" s="3">
        <v>6160</v>
      </c>
      <c r="O2850" s="3">
        <v>6160</v>
      </c>
      <c r="P2850" t="s">
        <v>74</v>
      </c>
      <c r="Q2850" t="s">
        <v>82</v>
      </c>
      <c r="R2850" t="s">
        <v>36</v>
      </c>
      <c r="S2850" t="s">
        <v>195</v>
      </c>
      <c r="T2850" t="s">
        <v>665</v>
      </c>
      <c r="U2850" t="s">
        <v>124</v>
      </c>
      <c r="V2850" t="s">
        <v>969</v>
      </c>
      <c r="W2850">
        <v>3.6</v>
      </c>
      <c r="X2850" t="s">
        <v>41</v>
      </c>
      <c r="Y2850" t="s">
        <v>42</v>
      </c>
      <c r="Z2850">
        <v>4</v>
      </c>
    </row>
    <row r="2851" spans="1:26">
      <c r="A2851" t="s">
        <v>4099</v>
      </c>
      <c r="B2851" t="s">
        <v>1805</v>
      </c>
      <c r="C2851" t="s">
        <v>94</v>
      </c>
      <c r="D2851" t="s">
        <v>103</v>
      </c>
      <c r="E2851" s="1">
        <v>45816</v>
      </c>
      <c r="F2851" t="s">
        <v>30</v>
      </c>
      <c r="G2851" t="s">
        <v>110</v>
      </c>
      <c r="H2851" t="s">
        <v>111</v>
      </c>
      <c r="I2851">
        <v>9</v>
      </c>
      <c r="J2851" t="s">
        <v>33</v>
      </c>
      <c r="K2851">
        <v>1</v>
      </c>
      <c r="L2851" s="3">
        <v>8599</v>
      </c>
      <c r="M2851">
        <v>15</v>
      </c>
      <c r="N2851" s="3">
        <v>7310</v>
      </c>
      <c r="O2851" s="3">
        <v>7310</v>
      </c>
      <c r="P2851" t="s">
        <v>74</v>
      </c>
      <c r="Q2851" t="s">
        <v>82</v>
      </c>
      <c r="R2851" t="s">
        <v>36</v>
      </c>
      <c r="S2851" t="s">
        <v>195</v>
      </c>
      <c r="T2851" t="s">
        <v>196</v>
      </c>
      <c r="U2851" t="s">
        <v>54</v>
      </c>
      <c r="V2851" t="s">
        <v>969</v>
      </c>
      <c r="W2851">
        <v>5</v>
      </c>
      <c r="X2851" t="s">
        <v>41</v>
      </c>
      <c r="Y2851" t="s">
        <v>42</v>
      </c>
      <c r="Z2851">
        <v>6</v>
      </c>
    </row>
    <row r="2852" spans="1:26">
      <c r="A2852" t="s">
        <v>4100</v>
      </c>
      <c r="B2852" t="s">
        <v>275</v>
      </c>
      <c r="C2852" t="s">
        <v>28</v>
      </c>
      <c r="D2852" t="s">
        <v>109</v>
      </c>
      <c r="E2852" s="1">
        <v>45817</v>
      </c>
      <c r="F2852" t="s">
        <v>65</v>
      </c>
      <c r="G2852" t="s">
        <v>66</v>
      </c>
      <c r="H2852" t="s">
        <v>59</v>
      </c>
      <c r="I2852">
        <v>9</v>
      </c>
      <c r="J2852" t="s">
        <v>73</v>
      </c>
      <c r="K2852">
        <v>1</v>
      </c>
      <c r="L2852" s="3">
        <v>5299</v>
      </c>
      <c r="M2852">
        <v>10</v>
      </c>
      <c r="N2852" s="3">
        <v>4770</v>
      </c>
      <c r="O2852" s="3">
        <v>4770</v>
      </c>
      <c r="P2852" t="s">
        <v>74</v>
      </c>
      <c r="Q2852" t="s">
        <v>35</v>
      </c>
      <c r="R2852" t="s">
        <v>36</v>
      </c>
      <c r="S2852" t="s">
        <v>117</v>
      </c>
      <c r="T2852" t="s">
        <v>253</v>
      </c>
      <c r="U2852" t="s">
        <v>39</v>
      </c>
      <c r="V2852" t="s">
        <v>969</v>
      </c>
      <c r="W2852">
        <v>3.6</v>
      </c>
      <c r="X2852" t="s">
        <v>106</v>
      </c>
      <c r="Y2852" t="s">
        <v>42</v>
      </c>
      <c r="Z2852">
        <v>4</v>
      </c>
    </row>
    <row r="2853" spans="1:26">
      <c r="A2853" t="s">
        <v>4101</v>
      </c>
      <c r="B2853" t="s">
        <v>1765</v>
      </c>
      <c r="C2853" t="s">
        <v>94</v>
      </c>
      <c r="D2853" t="s">
        <v>29</v>
      </c>
      <c r="E2853" s="1">
        <v>45819</v>
      </c>
      <c r="F2853" t="s">
        <v>30</v>
      </c>
      <c r="G2853" t="s">
        <v>347</v>
      </c>
      <c r="H2853" t="s">
        <v>49</v>
      </c>
      <c r="I2853">
        <v>8</v>
      </c>
      <c r="J2853" t="s">
        <v>98</v>
      </c>
      <c r="K2853">
        <v>3</v>
      </c>
      <c r="L2853" s="3">
        <v>6499</v>
      </c>
      <c r="M2853">
        <v>5</v>
      </c>
      <c r="N2853" s="3">
        <v>6170</v>
      </c>
      <c r="O2853" s="3">
        <v>18510</v>
      </c>
      <c r="P2853" t="s">
        <v>34</v>
      </c>
      <c r="Q2853" t="s">
        <v>51</v>
      </c>
      <c r="R2853" t="s">
        <v>36</v>
      </c>
      <c r="S2853" t="s">
        <v>75</v>
      </c>
      <c r="T2853" t="s">
        <v>796</v>
      </c>
      <c r="U2853" t="s">
        <v>54</v>
      </c>
      <c r="V2853" t="s">
        <v>315</v>
      </c>
      <c r="W2853">
        <v>3.3</v>
      </c>
      <c r="X2853" t="s">
        <v>41</v>
      </c>
      <c r="Y2853" t="s">
        <v>42</v>
      </c>
      <c r="Z2853">
        <v>4</v>
      </c>
    </row>
    <row r="2854" spans="1:26">
      <c r="A2854" t="s">
        <v>4102</v>
      </c>
      <c r="B2854" t="s">
        <v>2649</v>
      </c>
      <c r="C2854" t="s">
        <v>45</v>
      </c>
      <c r="D2854" t="s">
        <v>29</v>
      </c>
      <c r="E2854" s="1">
        <v>45820</v>
      </c>
      <c r="F2854" t="s">
        <v>30</v>
      </c>
      <c r="G2854" t="s">
        <v>347</v>
      </c>
      <c r="H2854" t="s">
        <v>49</v>
      </c>
      <c r="I2854">
        <v>8</v>
      </c>
      <c r="J2854" t="s">
        <v>33</v>
      </c>
      <c r="K2854">
        <v>3</v>
      </c>
      <c r="L2854" s="3">
        <v>7699</v>
      </c>
      <c r="M2854">
        <v>5</v>
      </c>
      <c r="N2854" s="3">
        <v>7310</v>
      </c>
      <c r="O2854" s="3">
        <v>21930</v>
      </c>
      <c r="P2854" t="s">
        <v>34</v>
      </c>
      <c r="Q2854" t="s">
        <v>51</v>
      </c>
      <c r="R2854" t="s">
        <v>36</v>
      </c>
      <c r="S2854" t="s">
        <v>156</v>
      </c>
      <c r="T2854" t="s">
        <v>324</v>
      </c>
      <c r="U2854" t="s">
        <v>39</v>
      </c>
      <c r="V2854" t="s">
        <v>969</v>
      </c>
      <c r="W2854">
        <v>4.3</v>
      </c>
      <c r="X2854" t="s">
        <v>41</v>
      </c>
      <c r="Y2854" t="s">
        <v>42</v>
      </c>
      <c r="Z2854">
        <v>4</v>
      </c>
    </row>
    <row r="2855" spans="1:26">
      <c r="A2855" t="s">
        <v>4103</v>
      </c>
      <c r="B2855" t="s">
        <v>841</v>
      </c>
      <c r="C2855" t="s">
        <v>45</v>
      </c>
      <c r="D2855" t="s">
        <v>103</v>
      </c>
      <c r="E2855" s="1">
        <v>45820</v>
      </c>
      <c r="F2855" t="s">
        <v>47</v>
      </c>
      <c r="G2855" t="s">
        <v>218</v>
      </c>
      <c r="H2855" t="s">
        <v>59</v>
      </c>
      <c r="I2855">
        <v>8</v>
      </c>
      <c r="J2855" t="s">
        <v>150</v>
      </c>
      <c r="K2855">
        <v>1</v>
      </c>
      <c r="L2855" s="3">
        <v>7399</v>
      </c>
      <c r="M2855">
        <v>20</v>
      </c>
      <c r="N2855" s="3">
        <v>5920</v>
      </c>
      <c r="O2855" s="3">
        <v>5920</v>
      </c>
      <c r="P2855" t="s">
        <v>74</v>
      </c>
      <c r="Q2855" t="s">
        <v>51</v>
      </c>
      <c r="R2855" t="s">
        <v>36</v>
      </c>
      <c r="S2855" t="s">
        <v>286</v>
      </c>
      <c r="T2855" t="s">
        <v>768</v>
      </c>
      <c r="U2855" t="s">
        <v>124</v>
      </c>
      <c r="V2855" t="s">
        <v>969</v>
      </c>
      <c r="W2855">
        <v>4</v>
      </c>
      <c r="X2855" t="s">
        <v>41</v>
      </c>
      <c r="Y2855" t="s">
        <v>42</v>
      </c>
      <c r="Z2855">
        <v>4</v>
      </c>
    </row>
    <row r="2856" spans="1:26">
      <c r="A2856" t="s">
        <v>4104</v>
      </c>
      <c r="B2856" t="s">
        <v>1172</v>
      </c>
      <c r="C2856" t="s">
        <v>28</v>
      </c>
      <c r="D2856" t="s">
        <v>46</v>
      </c>
      <c r="E2856" s="1">
        <v>45822</v>
      </c>
      <c r="F2856" t="s">
        <v>30</v>
      </c>
      <c r="G2856" t="s">
        <v>145</v>
      </c>
      <c r="H2856" t="s">
        <v>59</v>
      </c>
      <c r="I2856">
        <v>7</v>
      </c>
      <c r="J2856" t="s">
        <v>98</v>
      </c>
      <c r="K2856">
        <v>1</v>
      </c>
      <c r="L2856" s="3">
        <v>4199</v>
      </c>
      <c r="M2856">
        <v>15</v>
      </c>
      <c r="N2856" s="3">
        <v>3570</v>
      </c>
      <c r="O2856" s="3">
        <v>3570</v>
      </c>
      <c r="P2856" t="s">
        <v>74</v>
      </c>
      <c r="Q2856" t="s">
        <v>35</v>
      </c>
      <c r="R2856" t="s">
        <v>36</v>
      </c>
      <c r="S2856" t="s">
        <v>89</v>
      </c>
      <c r="T2856" t="s">
        <v>90</v>
      </c>
      <c r="U2856" t="s">
        <v>124</v>
      </c>
      <c r="V2856" t="s">
        <v>315</v>
      </c>
      <c r="W2856">
        <v>3.5</v>
      </c>
      <c r="X2856" t="s">
        <v>41</v>
      </c>
      <c r="Y2856" t="s">
        <v>55</v>
      </c>
      <c r="Z2856">
        <v>3</v>
      </c>
    </row>
    <row r="2857" spans="1:26">
      <c r="A2857" t="s">
        <v>4105</v>
      </c>
      <c r="B2857" t="s">
        <v>619</v>
      </c>
      <c r="C2857" t="s">
        <v>45</v>
      </c>
      <c r="D2857" t="s">
        <v>103</v>
      </c>
      <c r="E2857" s="1">
        <v>45822</v>
      </c>
      <c r="F2857" t="s">
        <v>47</v>
      </c>
      <c r="G2857" t="s">
        <v>140</v>
      </c>
      <c r="H2857" t="s">
        <v>128</v>
      </c>
      <c r="I2857">
        <v>9</v>
      </c>
      <c r="J2857" t="s">
        <v>67</v>
      </c>
      <c r="K2857">
        <v>1</v>
      </c>
      <c r="L2857" s="3">
        <v>6199</v>
      </c>
      <c r="M2857">
        <v>10</v>
      </c>
      <c r="N2857" s="3">
        <v>5580</v>
      </c>
      <c r="O2857" s="3">
        <v>5580</v>
      </c>
      <c r="P2857" t="s">
        <v>74</v>
      </c>
      <c r="Q2857" t="s">
        <v>51</v>
      </c>
      <c r="R2857" t="s">
        <v>36</v>
      </c>
      <c r="S2857" t="s">
        <v>195</v>
      </c>
      <c r="T2857" t="s">
        <v>665</v>
      </c>
      <c r="U2857" t="s">
        <v>54</v>
      </c>
      <c r="V2857" t="s">
        <v>969</v>
      </c>
      <c r="W2857">
        <v>4.5</v>
      </c>
      <c r="X2857" t="s">
        <v>41</v>
      </c>
      <c r="Y2857" t="s">
        <v>42</v>
      </c>
      <c r="Z2857">
        <v>3</v>
      </c>
    </row>
    <row r="2858" spans="1:26">
      <c r="A2858" t="s">
        <v>4106</v>
      </c>
      <c r="B2858" t="s">
        <v>1367</v>
      </c>
      <c r="C2858" t="s">
        <v>28</v>
      </c>
      <c r="D2858" t="s">
        <v>29</v>
      </c>
      <c r="E2858" s="1">
        <v>45824</v>
      </c>
      <c r="F2858" t="s">
        <v>86</v>
      </c>
      <c r="G2858" t="s">
        <v>190</v>
      </c>
      <c r="H2858" t="s">
        <v>128</v>
      </c>
      <c r="I2858">
        <v>9</v>
      </c>
      <c r="J2858" t="s">
        <v>33</v>
      </c>
      <c r="K2858">
        <v>1</v>
      </c>
      <c r="L2858" s="3">
        <v>6099</v>
      </c>
      <c r="M2858">
        <v>15</v>
      </c>
      <c r="N2858" s="3">
        <v>5180</v>
      </c>
      <c r="O2858" s="3">
        <v>5180</v>
      </c>
      <c r="P2858" t="s">
        <v>34</v>
      </c>
      <c r="Q2858" t="s">
        <v>51</v>
      </c>
      <c r="R2858" t="s">
        <v>36</v>
      </c>
      <c r="S2858" t="s">
        <v>151</v>
      </c>
      <c r="T2858" t="s">
        <v>152</v>
      </c>
      <c r="U2858" t="s">
        <v>54</v>
      </c>
      <c r="V2858" t="s">
        <v>969</v>
      </c>
      <c r="W2858">
        <v>4.2</v>
      </c>
      <c r="X2858" t="s">
        <v>41</v>
      </c>
      <c r="Y2858" t="s">
        <v>55</v>
      </c>
      <c r="Z2858">
        <v>3</v>
      </c>
    </row>
    <row r="2859" spans="1:26">
      <c r="A2859" t="s">
        <v>4107</v>
      </c>
      <c r="B2859" t="s">
        <v>2802</v>
      </c>
      <c r="C2859" t="s">
        <v>28</v>
      </c>
      <c r="D2859" t="s">
        <v>103</v>
      </c>
      <c r="E2859" s="1">
        <v>45825</v>
      </c>
      <c r="F2859" t="s">
        <v>65</v>
      </c>
      <c r="G2859" t="s">
        <v>72</v>
      </c>
      <c r="H2859" t="s">
        <v>59</v>
      </c>
      <c r="I2859">
        <v>9</v>
      </c>
      <c r="J2859" t="s">
        <v>67</v>
      </c>
      <c r="K2859">
        <v>1</v>
      </c>
      <c r="L2859" s="3">
        <v>7399</v>
      </c>
      <c r="M2859">
        <v>20</v>
      </c>
      <c r="N2859" s="3">
        <v>5920</v>
      </c>
      <c r="O2859" s="3">
        <v>5920</v>
      </c>
      <c r="P2859" t="s">
        <v>81</v>
      </c>
      <c r="Q2859" t="s">
        <v>35</v>
      </c>
      <c r="R2859" t="s">
        <v>36</v>
      </c>
      <c r="S2859" t="s">
        <v>297</v>
      </c>
      <c r="T2859" t="s">
        <v>298</v>
      </c>
      <c r="U2859" t="s">
        <v>61</v>
      </c>
      <c r="V2859" t="s">
        <v>315</v>
      </c>
      <c r="W2859">
        <v>3.3</v>
      </c>
      <c r="X2859" t="s">
        <v>41</v>
      </c>
      <c r="Y2859" t="s">
        <v>55</v>
      </c>
      <c r="Z2859">
        <v>2</v>
      </c>
    </row>
    <row r="2860" spans="1:26">
      <c r="A2860" t="s">
        <v>4108</v>
      </c>
      <c r="B2860" t="s">
        <v>2465</v>
      </c>
      <c r="C2860" t="s">
        <v>28</v>
      </c>
      <c r="D2860" t="s">
        <v>103</v>
      </c>
      <c r="E2860" s="1">
        <v>45828</v>
      </c>
      <c r="F2860" t="s">
        <v>47</v>
      </c>
      <c r="G2860" t="s">
        <v>402</v>
      </c>
      <c r="H2860" t="s">
        <v>32</v>
      </c>
      <c r="I2860">
        <v>10</v>
      </c>
      <c r="J2860" t="s">
        <v>98</v>
      </c>
      <c r="K2860">
        <v>2</v>
      </c>
      <c r="L2860" s="3">
        <v>5699</v>
      </c>
      <c r="M2860">
        <v>15</v>
      </c>
      <c r="N2860" s="3">
        <v>4840</v>
      </c>
      <c r="O2860" s="3">
        <v>9680</v>
      </c>
      <c r="P2860" t="s">
        <v>74</v>
      </c>
      <c r="Q2860" t="s">
        <v>51</v>
      </c>
      <c r="R2860" t="s">
        <v>36</v>
      </c>
      <c r="S2860" t="s">
        <v>297</v>
      </c>
      <c r="T2860" t="s">
        <v>298</v>
      </c>
      <c r="U2860" t="s">
        <v>61</v>
      </c>
      <c r="V2860" t="s">
        <v>315</v>
      </c>
      <c r="W2860">
        <v>5</v>
      </c>
      <c r="X2860" t="s">
        <v>41</v>
      </c>
      <c r="Y2860" t="s">
        <v>42</v>
      </c>
      <c r="Z2860">
        <v>2</v>
      </c>
    </row>
    <row r="2861" spans="1:26">
      <c r="A2861" t="s">
        <v>4109</v>
      </c>
      <c r="B2861" t="s">
        <v>3696</v>
      </c>
      <c r="C2861" t="s">
        <v>45</v>
      </c>
      <c r="D2861" t="s">
        <v>46</v>
      </c>
      <c r="E2861" s="1">
        <v>45832</v>
      </c>
      <c r="F2861" t="s">
        <v>30</v>
      </c>
      <c r="G2861" t="s">
        <v>110</v>
      </c>
      <c r="H2861" t="s">
        <v>111</v>
      </c>
      <c r="I2861">
        <v>8</v>
      </c>
      <c r="J2861" t="s">
        <v>67</v>
      </c>
      <c r="K2861">
        <v>2</v>
      </c>
      <c r="L2861" s="3">
        <v>4599</v>
      </c>
      <c r="M2861">
        <v>15</v>
      </c>
      <c r="N2861" s="3">
        <v>3910</v>
      </c>
      <c r="O2861" s="3">
        <v>7820</v>
      </c>
      <c r="P2861" t="s">
        <v>81</v>
      </c>
      <c r="Q2861" t="s">
        <v>51</v>
      </c>
      <c r="R2861" t="s">
        <v>36</v>
      </c>
      <c r="S2861" t="s">
        <v>164</v>
      </c>
      <c r="T2861" t="s">
        <v>348</v>
      </c>
      <c r="U2861" t="s">
        <v>54</v>
      </c>
      <c r="V2861" t="s">
        <v>969</v>
      </c>
      <c r="W2861">
        <v>4.4000000000000004</v>
      </c>
      <c r="X2861" t="s">
        <v>41</v>
      </c>
      <c r="Y2861" t="s">
        <v>42</v>
      </c>
      <c r="Z2861">
        <v>1</v>
      </c>
    </row>
    <row r="2862" spans="1:26">
      <c r="A2862" t="s">
        <v>4110</v>
      </c>
      <c r="B2862" t="s">
        <v>3622</v>
      </c>
      <c r="C2862" t="s">
        <v>28</v>
      </c>
      <c r="D2862" t="s">
        <v>95</v>
      </c>
      <c r="E2862" s="1">
        <v>45832</v>
      </c>
      <c r="F2862" t="s">
        <v>30</v>
      </c>
      <c r="G2862" t="s">
        <v>214</v>
      </c>
      <c r="H2862" t="s">
        <v>128</v>
      </c>
      <c r="I2862">
        <v>10</v>
      </c>
      <c r="J2862" t="s">
        <v>67</v>
      </c>
      <c r="K2862">
        <v>1</v>
      </c>
      <c r="L2862" s="3">
        <v>7999</v>
      </c>
      <c r="M2862">
        <v>0</v>
      </c>
      <c r="N2862" s="3">
        <v>8000</v>
      </c>
      <c r="O2862" s="3">
        <v>8000</v>
      </c>
      <c r="P2862" t="s">
        <v>34</v>
      </c>
      <c r="Q2862" t="s">
        <v>51</v>
      </c>
      <c r="R2862" t="s">
        <v>36</v>
      </c>
      <c r="S2862" t="s">
        <v>156</v>
      </c>
      <c r="T2862" t="s">
        <v>324</v>
      </c>
      <c r="U2862" t="s">
        <v>91</v>
      </c>
      <c r="V2862" t="s">
        <v>315</v>
      </c>
      <c r="W2862">
        <v>4.0999999999999996</v>
      </c>
      <c r="X2862" t="s">
        <v>41</v>
      </c>
      <c r="Y2862" t="s">
        <v>55</v>
      </c>
      <c r="Z2862">
        <v>2</v>
      </c>
    </row>
    <row r="2863" spans="1:26">
      <c r="A2863" t="s">
        <v>4111</v>
      </c>
      <c r="B2863" t="s">
        <v>264</v>
      </c>
      <c r="C2863" t="s">
        <v>28</v>
      </c>
      <c r="D2863" t="s">
        <v>29</v>
      </c>
      <c r="E2863" s="1">
        <v>45833</v>
      </c>
      <c r="F2863" t="s">
        <v>96</v>
      </c>
      <c r="G2863" t="s">
        <v>290</v>
      </c>
      <c r="H2863" t="s">
        <v>32</v>
      </c>
      <c r="I2863">
        <v>8</v>
      </c>
      <c r="J2863" t="s">
        <v>88</v>
      </c>
      <c r="K2863">
        <v>2</v>
      </c>
      <c r="L2863" s="3">
        <v>8699</v>
      </c>
      <c r="M2863">
        <v>15</v>
      </c>
      <c r="N2863" s="3">
        <v>7390</v>
      </c>
      <c r="O2863" s="3">
        <v>14780</v>
      </c>
      <c r="P2863" t="s">
        <v>74</v>
      </c>
      <c r="Q2863" t="s">
        <v>82</v>
      </c>
      <c r="R2863" t="s">
        <v>36</v>
      </c>
      <c r="S2863" t="s">
        <v>297</v>
      </c>
      <c r="T2863" t="s">
        <v>298</v>
      </c>
      <c r="U2863" t="s">
        <v>54</v>
      </c>
      <c r="V2863" t="s">
        <v>315</v>
      </c>
      <c r="W2863">
        <v>4.5</v>
      </c>
      <c r="X2863" t="s">
        <v>62</v>
      </c>
      <c r="Y2863" t="s">
        <v>55</v>
      </c>
      <c r="Z2863">
        <v>3</v>
      </c>
    </row>
    <row r="2864" spans="1:26">
      <c r="A2864" t="s">
        <v>4112</v>
      </c>
      <c r="B2864" t="s">
        <v>4113</v>
      </c>
      <c r="C2864" t="s">
        <v>45</v>
      </c>
      <c r="D2864" t="s">
        <v>95</v>
      </c>
      <c r="E2864" s="1">
        <v>45833</v>
      </c>
      <c r="F2864" t="s">
        <v>30</v>
      </c>
      <c r="G2864" t="s">
        <v>110</v>
      </c>
      <c r="H2864" t="s">
        <v>111</v>
      </c>
      <c r="I2864">
        <v>9</v>
      </c>
      <c r="J2864" t="s">
        <v>98</v>
      </c>
      <c r="K2864">
        <v>2</v>
      </c>
      <c r="L2864" s="3">
        <v>6499</v>
      </c>
      <c r="M2864">
        <v>35</v>
      </c>
      <c r="N2864" s="3">
        <v>4220</v>
      </c>
      <c r="O2864" s="3">
        <v>8440</v>
      </c>
      <c r="P2864" t="s">
        <v>74</v>
      </c>
      <c r="Q2864" t="s">
        <v>82</v>
      </c>
      <c r="R2864" t="s">
        <v>36</v>
      </c>
      <c r="S2864" t="s">
        <v>136</v>
      </c>
      <c r="T2864" t="s">
        <v>225</v>
      </c>
      <c r="U2864" t="s">
        <v>91</v>
      </c>
      <c r="V2864" t="s">
        <v>40</v>
      </c>
      <c r="W2864">
        <v>4</v>
      </c>
      <c r="X2864" t="s">
        <v>62</v>
      </c>
      <c r="Y2864" t="s">
        <v>42</v>
      </c>
      <c r="Z2864">
        <v>6</v>
      </c>
    </row>
    <row r="2865" spans="1:26">
      <c r="A2865" t="s">
        <v>4114</v>
      </c>
      <c r="B2865" t="s">
        <v>2042</v>
      </c>
      <c r="C2865" t="s">
        <v>28</v>
      </c>
      <c r="D2865" t="s">
        <v>29</v>
      </c>
      <c r="E2865" s="1">
        <v>45834</v>
      </c>
      <c r="F2865" t="s">
        <v>65</v>
      </c>
      <c r="G2865" t="s">
        <v>268</v>
      </c>
      <c r="H2865" t="s">
        <v>128</v>
      </c>
      <c r="I2865">
        <v>11</v>
      </c>
      <c r="J2865" t="s">
        <v>73</v>
      </c>
      <c r="K2865">
        <v>2</v>
      </c>
      <c r="L2865" s="3">
        <v>5999</v>
      </c>
      <c r="M2865">
        <v>20</v>
      </c>
      <c r="N2865" s="3">
        <v>4800</v>
      </c>
      <c r="O2865" s="3">
        <v>9600</v>
      </c>
      <c r="P2865" t="s">
        <v>74</v>
      </c>
      <c r="Q2865" t="s">
        <v>51</v>
      </c>
      <c r="R2865" t="s">
        <v>36</v>
      </c>
      <c r="S2865" t="s">
        <v>210</v>
      </c>
      <c r="T2865" t="s">
        <v>680</v>
      </c>
      <c r="U2865" t="s">
        <v>54</v>
      </c>
      <c r="V2865" t="s">
        <v>315</v>
      </c>
      <c r="W2865">
        <v>3.6</v>
      </c>
      <c r="X2865" t="s">
        <v>41</v>
      </c>
      <c r="Y2865" t="s">
        <v>42</v>
      </c>
      <c r="Z2865">
        <v>1</v>
      </c>
    </row>
    <row r="2866" spans="1:26">
      <c r="A2866" t="s">
        <v>4115</v>
      </c>
      <c r="B2866" t="s">
        <v>798</v>
      </c>
      <c r="C2866" t="s">
        <v>28</v>
      </c>
      <c r="D2866" t="s">
        <v>95</v>
      </c>
      <c r="E2866" s="1">
        <v>45834</v>
      </c>
      <c r="F2866" t="s">
        <v>79</v>
      </c>
      <c r="G2866" t="s">
        <v>127</v>
      </c>
      <c r="H2866" t="s">
        <v>128</v>
      </c>
      <c r="I2866">
        <v>11</v>
      </c>
      <c r="J2866" t="s">
        <v>73</v>
      </c>
      <c r="K2866">
        <v>1</v>
      </c>
      <c r="L2866" s="3">
        <v>4299</v>
      </c>
      <c r="M2866">
        <v>5</v>
      </c>
      <c r="N2866" s="3">
        <v>4080</v>
      </c>
      <c r="O2866" s="3">
        <v>4080</v>
      </c>
      <c r="P2866" t="s">
        <v>74</v>
      </c>
      <c r="Q2866" t="s">
        <v>35</v>
      </c>
      <c r="R2866" t="s">
        <v>36</v>
      </c>
      <c r="S2866" t="s">
        <v>186</v>
      </c>
      <c r="T2866" t="s">
        <v>397</v>
      </c>
      <c r="U2866" t="s">
        <v>91</v>
      </c>
      <c r="V2866" t="s">
        <v>969</v>
      </c>
      <c r="W2866">
        <v>4.5</v>
      </c>
      <c r="X2866" t="s">
        <v>106</v>
      </c>
      <c r="Y2866" t="s">
        <v>42</v>
      </c>
      <c r="Z2866">
        <v>4</v>
      </c>
    </row>
    <row r="2867" spans="1:26">
      <c r="A2867" t="s">
        <v>4116</v>
      </c>
      <c r="B2867" t="s">
        <v>2917</v>
      </c>
      <c r="C2867" t="s">
        <v>28</v>
      </c>
      <c r="D2867" t="s">
        <v>46</v>
      </c>
      <c r="E2867" s="1">
        <v>45835</v>
      </c>
      <c r="F2867" t="s">
        <v>96</v>
      </c>
      <c r="G2867" t="s">
        <v>171</v>
      </c>
      <c r="H2867" t="s">
        <v>128</v>
      </c>
      <c r="I2867">
        <v>11</v>
      </c>
      <c r="J2867" t="s">
        <v>73</v>
      </c>
      <c r="K2867">
        <v>1</v>
      </c>
      <c r="L2867" s="3">
        <v>6299</v>
      </c>
      <c r="M2867">
        <v>0</v>
      </c>
      <c r="N2867" s="3">
        <v>6300</v>
      </c>
      <c r="O2867" s="3">
        <v>6300</v>
      </c>
      <c r="P2867" t="s">
        <v>50</v>
      </c>
      <c r="Q2867" t="s">
        <v>51</v>
      </c>
      <c r="R2867" t="s">
        <v>36</v>
      </c>
      <c r="S2867" t="s">
        <v>117</v>
      </c>
      <c r="T2867" t="s">
        <v>118</v>
      </c>
      <c r="U2867" t="s">
        <v>39</v>
      </c>
      <c r="V2867" t="s">
        <v>315</v>
      </c>
      <c r="W2867">
        <v>4</v>
      </c>
      <c r="X2867" t="s">
        <v>41</v>
      </c>
      <c r="Y2867" t="s">
        <v>42</v>
      </c>
      <c r="Z2867">
        <v>1</v>
      </c>
    </row>
    <row r="2868" spans="1:26">
      <c r="A2868" t="s">
        <v>4117</v>
      </c>
      <c r="B2868" t="s">
        <v>2269</v>
      </c>
      <c r="C2868" t="s">
        <v>28</v>
      </c>
      <c r="D2868" t="s">
        <v>29</v>
      </c>
      <c r="E2868" s="1">
        <v>45835</v>
      </c>
      <c r="F2868" t="s">
        <v>65</v>
      </c>
      <c r="G2868" t="s">
        <v>268</v>
      </c>
      <c r="H2868" t="s">
        <v>128</v>
      </c>
      <c r="I2868">
        <v>7</v>
      </c>
      <c r="J2868" t="s">
        <v>98</v>
      </c>
      <c r="K2868">
        <v>1</v>
      </c>
      <c r="L2868" s="3">
        <v>5499</v>
      </c>
      <c r="M2868">
        <v>15</v>
      </c>
      <c r="N2868" s="3">
        <v>4670</v>
      </c>
      <c r="O2868" s="3">
        <v>4670</v>
      </c>
      <c r="P2868" t="s">
        <v>74</v>
      </c>
      <c r="Q2868" t="s">
        <v>82</v>
      </c>
      <c r="R2868" t="s">
        <v>36</v>
      </c>
      <c r="S2868" t="s">
        <v>112</v>
      </c>
      <c r="T2868" t="s">
        <v>133</v>
      </c>
      <c r="U2868" t="s">
        <v>39</v>
      </c>
      <c r="V2868" t="s">
        <v>969</v>
      </c>
      <c r="W2868">
        <v>4.0999999999999996</v>
      </c>
      <c r="X2868" t="s">
        <v>41</v>
      </c>
      <c r="Y2868" t="s">
        <v>42</v>
      </c>
      <c r="Z2868">
        <v>3</v>
      </c>
    </row>
    <row r="2869" spans="1:26">
      <c r="A2869" t="s">
        <v>4118</v>
      </c>
      <c r="B2869" t="s">
        <v>213</v>
      </c>
      <c r="C2869" t="s">
        <v>28</v>
      </c>
      <c r="D2869" t="s">
        <v>95</v>
      </c>
      <c r="E2869" s="1">
        <v>45839</v>
      </c>
      <c r="F2869" t="s">
        <v>79</v>
      </c>
      <c r="G2869" t="s">
        <v>517</v>
      </c>
      <c r="H2869" t="s">
        <v>59</v>
      </c>
      <c r="I2869">
        <v>8</v>
      </c>
      <c r="J2869" t="s">
        <v>67</v>
      </c>
      <c r="K2869">
        <v>2</v>
      </c>
      <c r="L2869" s="3">
        <v>6099</v>
      </c>
      <c r="M2869">
        <v>5</v>
      </c>
      <c r="N2869" s="3">
        <v>5790</v>
      </c>
      <c r="O2869" s="3">
        <v>11580</v>
      </c>
      <c r="P2869" t="s">
        <v>74</v>
      </c>
      <c r="Q2869" t="s">
        <v>35</v>
      </c>
      <c r="R2869" t="s">
        <v>36</v>
      </c>
      <c r="S2869" t="s">
        <v>338</v>
      </c>
      <c r="T2869" t="s">
        <v>779</v>
      </c>
      <c r="U2869" t="s">
        <v>54</v>
      </c>
      <c r="V2869" t="s">
        <v>969</v>
      </c>
      <c r="W2869">
        <v>4.3</v>
      </c>
      <c r="X2869" t="s">
        <v>106</v>
      </c>
      <c r="Y2869" t="s">
        <v>42</v>
      </c>
      <c r="Z2869">
        <v>4</v>
      </c>
    </row>
    <row r="2870" spans="1:26">
      <c r="A2870" t="s">
        <v>4119</v>
      </c>
      <c r="B2870" t="s">
        <v>1105</v>
      </c>
      <c r="C2870" t="s">
        <v>45</v>
      </c>
      <c r="D2870" t="s">
        <v>46</v>
      </c>
      <c r="E2870" s="1">
        <v>45839</v>
      </c>
      <c r="F2870" t="s">
        <v>47</v>
      </c>
      <c r="G2870" t="s">
        <v>218</v>
      </c>
      <c r="H2870" t="s">
        <v>59</v>
      </c>
      <c r="I2870">
        <v>7</v>
      </c>
      <c r="J2870" t="s">
        <v>98</v>
      </c>
      <c r="K2870">
        <v>1</v>
      </c>
      <c r="L2870" s="3">
        <v>4499</v>
      </c>
      <c r="M2870">
        <v>30</v>
      </c>
      <c r="N2870" s="3">
        <v>3150</v>
      </c>
      <c r="O2870" s="3">
        <v>3150</v>
      </c>
      <c r="P2870" t="s">
        <v>74</v>
      </c>
      <c r="Q2870" t="s">
        <v>82</v>
      </c>
      <c r="R2870" t="s">
        <v>36</v>
      </c>
      <c r="S2870" t="s">
        <v>122</v>
      </c>
      <c r="T2870" t="s">
        <v>123</v>
      </c>
      <c r="U2870" t="s">
        <v>54</v>
      </c>
      <c r="V2870" t="s">
        <v>969</v>
      </c>
      <c r="W2870">
        <v>3.7</v>
      </c>
      <c r="X2870" t="s">
        <v>41</v>
      </c>
      <c r="Y2870" t="s">
        <v>55</v>
      </c>
      <c r="Z2870">
        <v>3</v>
      </c>
    </row>
    <row r="2871" spans="1:26">
      <c r="A2871" t="s">
        <v>4120</v>
      </c>
      <c r="B2871" t="s">
        <v>827</v>
      </c>
      <c r="C2871" t="s">
        <v>45</v>
      </c>
      <c r="D2871" t="s">
        <v>109</v>
      </c>
      <c r="E2871" s="1">
        <v>45840</v>
      </c>
      <c r="F2871" t="s">
        <v>65</v>
      </c>
      <c r="G2871" t="s">
        <v>268</v>
      </c>
      <c r="H2871" t="s">
        <v>128</v>
      </c>
      <c r="I2871">
        <v>11</v>
      </c>
      <c r="J2871" t="s">
        <v>98</v>
      </c>
      <c r="K2871">
        <v>1</v>
      </c>
      <c r="L2871" s="3">
        <v>3599</v>
      </c>
      <c r="M2871">
        <v>15</v>
      </c>
      <c r="N2871" s="3">
        <v>3060</v>
      </c>
      <c r="O2871" s="3">
        <v>3060</v>
      </c>
      <c r="P2871" t="s">
        <v>74</v>
      </c>
      <c r="Q2871" t="s">
        <v>51</v>
      </c>
      <c r="R2871" t="s">
        <v>36</v>
      </c>
      <c r="S2871" t="s">
        <v>52</v>
      </c>
      <c r="T2871" t="s">
        <v>83</v>
      </c>
      <c r="U2871" t="s">
        <v>124</v>
      </c>
      <c r="V2871" t="s">
        <v>969</v>
      </c>
      <c r="W2871">
        <v>4.8</v>
      </c>
      <c r="X2871" t="s">
        <v>41</v>
      </c>
      <c r="Y2871" t="s">
        <v>55</v>
      </c>
      <c r="Z2871">
        <v>2</v>
      </c>
    </row>
    <row r="2872" spans="1:26">
      <c r="A2872" t="s">
        <v>4121</v>
      </c>
      <c r="B2872" t="s">
        <v>1205</v>
      </c>
      <c r="C2872" t="s">
        <v>45</v>
      </c>
      <c r="D2872" t="s">
        <v>46</v>
      </c>
      <c r="E2872" s="1">
        <v>45840</v>
      </c>
      <c r="F2872" t="s">
        <v>79</v>
      </c>
      <c r="G2872" t="s">
        <v>301</v>
      </c>
      <c r="H2872" t="s">
        <v>49</v>
      </c>
      <c r="I2872">
        <v>7</v>
      </c>
      <c r="J2872" t="s">
        <v>67</v>
      </c>
      <c r="K2872">
        <v>1</v>
      </c>
      <c r="L2872" s="3">
        <v>4999</v>
      </c>
      <c r="M2872">
        <v>15</v>
      </c>
      <c r="N2872" s="3">
        <v>4250</v>
      </c>
      <c r="O2872" s="3">
        <v>4250</v>
      </c>
      <c r="P2872" t="s">
        <v>74</v>
      </c>
      <c r="Q2872" t="s">
        <v>51</v>
      </c>
      <c r="R2872" t="s">
        <v>36</v>
      </c>
      <c r="S2872" t="s">
        <v>358</v>
      </c>
      <c r="T2872" t="s">
        <v>359</v>
      </c>
      <c r="U2872" t="s">
        <v>61</v>
      </c>
      <c r="V2872" t="s">
        <v>315</v>
      </c>
      <c r="W2872">
        <v>3.8</v>
      </c>
      <c r="X2872" t="s">
        <v>41</v>
      </c>
      <c r="Y2872" t="s">
        <v>42</v>
      </c>
      <c r="Z2872">
        <v>1</v>
      </c>
    </row>
    <row r="2873" spans="1:26">
      <c r="A2873" t="s">
        <v>4122</v>
      </c>
      <c r="B2873" t="s">
        <v>563</v>
      </c>
      <c r="C2873" t="s">
        <v>28</v>
      </c>
      <c r="D2873" t="s">
        <v>103</v>
      </c>
      <c r="E2873" s="1">
        <v>45840</v>
      </c>
      <c r="F2873" t="s">
        <v>96</v>
      </c>
      <c r="G2873" t="s">
        <v>323</v>
      </c>
      <c r="H2873" t="s">
        <v>59</v>
      </c>
      <c r="I2873">
        <v>7</v>
      </c>
      <c r="J2873" t="s">
        <v>98</v>
      </c>
      <c r="K2873">
        <v>1</v>
      </c>
      <c r="L2873" s="3">
        <v>8599</v>
      </c>
      <c r="M2873">
        <v>15</v>
      </c>
      <c r="N2873" s="3">
        <v>7310</v>
      </c>
      <c r="O2873" s="3">
        <v>7310</v>
      </c>
      <c r="P2873" t="s">
        <v>74</v>
      </c>
      <c r="Q2873" t="s">
        <v>51</v>
      </c>
      <c r="R2873" t="s">
        <v>36</v>
      </c>
      <c r="S2873" t="s">
        <v>243</v>
      </c>
      <c r="T2873" t="s">
        <v>244</v>
      </c>
      <c r="U2873" t="s">
        <v>91</v>
      </c>
      <c r="V2873" t="s">
        <v>315</v>
      </c>
      <c r="W2873">
        <v>3.9</v>
      </c>
      <c r="X2873" t="s">
        <v>41</v>
      </c>
      <c r="Y2873" t="s">
        <v>42</v>
      </c>
      <c r="Z2873">
        <v>1</v>
      </c>
    </row>
    <row r="2874" spans="1:26">
      <c r="A2874" t="s">
        <v>4123</v>
      </c>
      <c r="B2874" t="s">
        <v>2984</v>
      </c>
      <c r="C2874" t="s">
        <v>28</v>
      </c>
      <c r="D2874" t="s">
        <v>109</v>
      </c>
      <c r="E2874" s="1">
        <v>45841</v>
      </c>
      <c r="F2874" t="s">
        <v>30</v>
      </c>
      <c r="G2874" t="s">
        <v>58</v>
      </c>
      <c r="H2874" t="s">
        <v>59</v>
      </c>
      <c r="I2874">
        <v>8</v>
      </c>
      <c r="J2874" t="s">
        <v>73</v>
      </c>
      <c r="K2874">
        <v>1</v>
      </c>
      <c r="L2874" s="3">
        <v>8399</v>
      </c>
      <c r="M2874">
        <v>20</v>
      </c>
      <c r="N2874" s="3">
        <v>6720</v>
      </c>
      <c r="O2874" s="3">
        <v>6720</v>
      </c>
      <c r="P2874" t="s">
        <v>34</v>
      </c>
      <c r="Q2874" t="s">
        <v>35</v>
      </c>
      <c r="R2874" t="s">
        <v>36</v>
      </c>
      <c r="S2874" t="s">
        <v>129</v>
      </c>
      <c r="T2874" t="s">
        <v>655</v>
      </c>
      <c r="U2874" t="s">
        <v>124</v>
      </c>
      <c r="V2874" t="s">
        <v>315</v>
      </c>
      <c r="W2874">
        <v>4</v>
      </c>
      <c r="X2874" t="s">
        <v>41</v>
      </c>
      <c r="Y2874" t="s">
        <v>147</v>
      </c>
      <c r="Z2874">
        <v>1</v>
      </c>
    </row>
    <row r="2875" spans="1:26">
      <c r="A2875" t="s">
        <v>4124</v>
      </c>
      <c r="B2875" t="s">
        <v>1302</v>
      </c>
      <c r="C2875" t="s">
        <v>28</v>
      </c>
      <c r="D2875" t="s">
        <v>46</v>
      </c>
      <c r="E2875" s="1">
        <v>45843</v>
      </c>
      <c r="F2875" t="s">
        <v>65</v>
      </c>
      <c r="G2875" t="s">
        <v>72</v>
      </c>
      <c r="H2875" t="s">
        <v>59</v>
      </c>
      <c r="I2875">
        <v>7</v>
      </c>
      <c r="J2875" t="s">
        <v>150</v>
      </c>
      <c r="K2875">
        <v>1</v>
      </c>
      <c r="L2875" s="3">
        <v>3499</v>
      </c>
      <c r="M2875">
        <v>10</v>
      </c>
      <c r="N2875" s="3">
        <v>3150</v>
      </c>
      <c r="O2875" s="3">
        <v>3150</v>
      </c>
      <c r="P2875" t="s">
        <v>74</v>
      </c>
      <c r="Q2875" t="s">
        <v>82</v>
      </c>
      <c r="R2875" t="s">
        <v>36</v>
      </c>
      <c r="S2875" t="s">
        <v>238</v>
      </c>
      <c r="T2875" t="s">
        <v>377</v>
      </c>
      <c r="U2875" t="s">
        <v>39</v>
      </c>
      <c r="V2875" t="s">
        <v>969</v>
      </c>
      <c r="W2875">
        <v>3.1</v>
      </c>
      <c r="X2875" t="s">
        <v>41</v>
      </c>
      <c r="Y2875" t="s">
        <v>42</v>
      </c>
      <c r="Z2875">
        <v>6</v>
      </c>
    </row>
    <row r="2876" spans="1:26">
      <c r="A2876" t="s">
        <v>4125</v>
      </c>
      <c r="B2876" t="s">
        <v>2114</v>
      </c>
      <c r="C2876" t="s">
        <v>28</v>
      </c>
      <c r="D2876" t="s">
        <v>109</v>
      </c>
      <c r="E2876" s="1">
        <v>45844</v>
      </c>
      <c r="F2876" t="s">
        <v>30</v>
      </c>
      <c r="G2876" t="s">
        <v>58</v>
      </c>
      <c r="H2876" t="s">
        <v>59</v>
      </c>
      <c r="I2876">
        <v>6</v>
      </c>
      <c r="J2876" t="s">
        <v>73</v>
      </c>
      <c r="K2876">
        <v>2</v>
      </c>
      <c r="L2876" s="3">
        <v>4699</v>
      </c>
      <c r="M2876">
        <v>20</v>
      </c>
      <c r="N2876" s="3">
        <v>3760</v>
      </c>
      <c r="O2876" s="3">
        <v>7520</v>
      </c>
      <c r="P2876" t="s">
        <v>34</v>
      </c>
      <c r="Q2876" t="s">
        <v>51</v>
      </c>
      <c r="R2876" t="s">
        <v>36</v>
      </c>
      <c r="S2876" t="s">
        <v>164</v>
      </c>
      <c r="T2876" t="s">
        <v>165</v>
      </c>
      <c r="U2876" t="s">
        <v>61</v>
      </c>
      <c r="V2876" t="s">
        <v>315</v>
      </c>
      <c r="W2876">
        <v>4.0999999999999996</v>
      </c>
      <c r="X2876" t="s">
        <v>106</v>
      </c>
      <c r="Y2876" t="s">
        <v>42</v>
      </c>
      <c r="Z2876">
        <v>3</v>
      </c>
    </row>
    <row r="2877" spans="1:26">
      <c r="A2877" t="s">
        <v>4126</v>
      </c>
      <c r="B2877" t="s">
        <v>927</v>
      </c>
      <c r="C2877" t="s">
        <v>28</v>
      </c>
      <c r="D2877" t="s">
        <v>46</v>
      </c>
      <c r="E2877" s="1">
        <v>45844</v>
      </c>
      <c r="F2877" t="s">
        <v>47</v>
      </c>
      <c r="G2877" t="s">
        <v>140</v>
      </c>
      <c r="H2877" t="s">
        <v>128</v>
      </c>
      <c r="I2877">
        <v>11</v>
      </c>
      <c r="J2877" t="s">
        <v>33</v>
      </c>
      <c r="K2877">
        <v>1</v>
      </c>
      <c r="L2877" s="3">
        <v>6599</v>
      </c>
      <c r="M2877">
        <v>20</v>
      </c>
      <c r="N2877" s="3">
        <v>5280</v>
      </c>
      <c r="O2877" s="3">
        <v>5280</v>
      </c>
      <c r="P2877" t="s">
        <v>34</v>
      </c>
      <c r="Q2877" t="s">
        <v>51</v>
      </c>
      <c r="R2877" t="s">
        <v>36</v>
      </c>
      <c r="S2877" t="s">
        <v>418</v>
      </c>
      <c r="T2877" t="s">
        <v>924</v>
      </c>
      <c r="U2877" t="s">
        <v>61</v>
      </c>
      <c r="V2877" t="s">
        <v>969</v>
      </c>
      <c r="W2877">
        <v>4.3</v>
      </c>
      <c r="X2877" t="s">
        <v>41</v>
      </c>
      <c r="Y2877" t="s">
        <v>55</v>
      </c>
      <c r="Z2877">
        <v>2</v>
      </c>
    </row>
    <row r="2878" spans="1:26">
      <c r="A2878" t="s">
        <v>4127</v>
      </c>
      <c r="B2878" t="s">
        <v>3343</v>
      </c>
      <c r="C2878" t="s">
        <v>45</v>
      </c>
      <c r="D2878" t="s">
        <v>29</v>
      </c>
      <c r="E2878" s="1">
        <v>45844</v>
      </c>
      <c r="F2878" t="s">
        <v>79</v>
      </c>
      <c r="G2878" t="s">
        <v>301</v>
      </c>
      <c r="H2878" t="s">
        <v>49</v>
      </c>
      <c r="I2878">
        <v>9</v>
      </c>
      <c r="J2878" t="s">
        <v>98</v>
      </c>
      <c r="K2878">
        <v>1</v>
      </c>
      <c r="L2878" s="3">
        <v>6999</v>
      </c>
      <c r="M2878">
        <v>10</v>
      </c>
      <c r="N2878" s="3">
        <v>6300</v>
      </c>
      <c r="O2878" s="3">
        <v>6300</v>
      </c>
      <c r="P2878" t="s">
        <v>74</v>
      </c>
      <c r="Q2878" t="s">
        <v>51</v>
      </c>
      <c r="R2878" t="s">
        <v>36</v>
      </c>
      <c r="S2878" t="s">
        <v>160</v>
      </c>
      <c r="T2878" t="s">
        <v>161</v>
      </c>
      <c r="U2878" t="s">
        <v>124</v>
      </c>
      <c r="V2878" t="s">
        <v>315</v>
      </c>
      <c r="W2878">
        <v>5</v>
      </c>
      <c r="X2878" t="s">
        <v>41</v>
      </c>
      <c r="Y2878" t="s">
        <v>42</v>
      </c>
      <c r="Z2878">
        <v>6</v>
      </c>
    </row>
    <row r="2879" spans="1:26">
      <c r="A2879" t="s">
        <v>4128</v>
      </c>
      <c r="B2879" t="s">
        <v>4129</v>
      </c>
      <c r="C2879" t="s">
        <v>94</v>
      </c>
      <c r="D2879" t="s">
        <v>29</v>
      </c>
      <c r="E2879" s="1">
        <v>45845</v>
      </c>
      <c r="F2879" t="s">
        <v>96</v>
      </c>
      <c r="G2879" t="s">
        <v>290</v>
      </c>
      <c r="H2879" t="s">
        <v>32</v>
      </c>
      <c r="I2879">
        <v>7</v>
      </c>
      <c r="J2879" t="s">
        <v>67</v>
      </c>
      <c r="K2879">
        <v>2</v>
      </c>
      <c r="L2879" s="3">
        <v>9999</v>
      </c>
      <c r="M2879">
        <v>20</v>
      </c>
      <c r="N2879" s="3">
        <v>8000</v>
      </c>
      <c r="O2879" s="3">
        <v>16000</v>
      </c>
      <c r="P2879" t="s">
        <v>34</v>
      </c>
      <c r="Q2879" t="s">
        <v>51</v>
      </c>
      <c r="R2879" t="s">
        <v>36</v>
      </c>
      <c r="S2879" t="s">
        <v>141</v>
      </c>
      <c r="T2879" t="s">
        <v>294</v>
      </c>
      <c r="U2879" t="s">
        <v>124</v>
      </c>
      <c r="V2879" t="s">
        <v>40</v>
      </c>
      <c r="W2879">
        <v>2.4</v>
      </c>
      <c r="X2879" t="s">
        <v>41</v>
      </c>
      <c r="Y2879" t="s">
        <v>55</v>
      </c>
      <c r="Z2879">
        <v>1</v>
      </c>
    </row>
    <row r="2880" spans="1:26">
      <c r="A2880" t="s">
        <v>4130</v>
      </c>
      <c r="B2880" t="s">
        <v>2055</v>
      </c>
      <c r="C2880" t="s">
        <v>28</v>
      </c>
      <c r="D2880" t="s">
        <v>46</v>
      </c>
      <c r="E2880" s="1">
        <v>45847</v>
      </c>
      <c r="F2880" t="s">
        <v>30</v>
      </c>
      <c r="G2880" t="s">
        <v>214</v>
      </c>
      <c r="H2880" t="s">
        <v>128</v>
      </c>
      <c r="I2880">
        <v>12</v>
      </c>
      <c r="J2880" t="s">
        <v>150</v>
      </c>
      <c r="K2880">
        <v>4</v>
      </c>
      <c r="L2880" s="3">
        <v>4999</v>
      </c>
      <c r="M2880">
        <v>35</v>
      </c>
      <c r="N2880" s="3">
        <v>3250</v>
      </c>
      <c r="O2880" s="3">
        <v>13000</v>
      </c>
      <c r="P2880" t="s">
        <v>74</v>
      </c>
      <c r="Q2880" t="s">
        <v>51</v>
      </c>
      <c r="R2880" t="s">
        <v>36</v>
      </c>
      <c r="S2880" t="s">
        <v>112</v>
      </c>
      <c r="T2880" t="s">
        <v>113</v>
      </c>
      <c r="U2880" t="s">
        <v>54</v>
      </c>
      <c r="V2880" t="s">
        <v>315</v>
      </c>
      <c r="W2880">
        <v>4.4000000000000004</v>
      </c>
      <c r="X2880" t="s">
        <v>41</v>
      </c>
      <c r="Y2880" t="s">
        <v>42</v>
      </c>
      <c r="Z2880">
        <v>3</v>
      </c>
    </row>
    <row r="2881" spans="1:26">
      <c r="A2881" t="s">
        <v>4131</v>
      </c>
      <c r="B2881" t="s">
        <v>2703</v>
      </c>
      <c r="C2881" t="s">
        <v>28</v>
      </c>
      <c r="D2881" t="s">
        <v>103</v>
      </c>
      <c r="E2881" s="1">
        <v>45848</v>
      </c>
      <c r="F2881" t="s">
        <v>86</v>
      </c>
      <c r="G2881" t="s">
        <v>285</v>
      </c>
      <c r="H2881" t="s">
        <v>111</v>
      </c>
      <c r="I2881">
        <v>6</v>
      </c>
      <c r="J2881" t="s">
        <v>67</v>
      </c>
      <c r="K2881">
        <v>1</v>
      </c>
      <c r="L2881" s="3">
        <v>7199</v>
      </c>
      <c r="M2881">
        <v>20</v>
      </c>
      <c r="N2881" s="3">
        <v>5760</v>
      </c>
      <c r="O2881" s="3">
        <v>5760</v>
      </c>
      <c r="P2881" t="s">
        <v>50</v>
      </c>
      <c r="Q2881" t="s">
        <v>51</v>
      </c>
      <c r="R2881" t="s">
        <v>36</v>
      </c>
      <c r="S2881" t="s">
        <v>168</v>
      </c>
      <c r="T2881" t="s">
        <v>557</v>
      </c>
      <c r="U2881" t="s">
        <v>124</v>
      </c>
      <c r="V2881" t="s">
        <v>315</v>
      </c>
      <c r="W2881">
        <v>4.8</v>
      </c>
      <c r="X2881" t="s">
        <v>41</v>
      </c>
      <c r="Y2881" t="s">
        <v>42</v>
      </c>
      <c r="Z2881">
        <v>3</v>
      </c>
    </row>
    <row r="2882" spans="1:26">
      <c r="A2882" t="s">
        <v>4132</v>
      </c>
      <c r="B2882" t="s">
        <v>1992</v>
      </c>
      <c r="C2882" t="s">
        <v>45</v>
      </c>
      <c r="D2882" t="s">
        <v>29</v>
      </c>
      <c r="E2882" s="1">
        <v>45849</v>
      </c>
      <c r="F2882" t="s">
        <v>96</v>
      </c>
      <c r="G2882" t="s">
        <v>290</v>
      </c>
      <c r="H2882" t="s">
        <v>32</v>
      </c>
      <c r="I2882">
        <v>8</v>
      </c>
      <c r="J2882" t="s">
        <v>150</v>
      </c>
      <c r="K2882">
        <v>1</v>
      </c>
      <c r="L2882" s="3">
        <v>5599</v>
      </c>
      <c r="M2882">
        <v>15</v>
      </c>
      <c r="N2882" s="3">
        <v>4760</v>
      </c>
      <c r="O2882" s="3">
        <v>4760</v>
      </c>
      <c r="P2882" t="s">
        <v>74</v>
      </c>
      <c r="Q2882" t="s">
        <v>51</v>
      </c>
      <c r="R2882" t="s">
        <v>36</v>
      </c>
      <c r="S2882" t="s">
        <v>238</v>
      </c>
      <c r="T2882" t="s">
        <v>498</v>
      </c>
      <c r="U2882" t="s">
        <v>54</v>
      </c>
      <c r="V2882" t="s">
        <v>969</v>
      </c>
      <c r="W2882">
        <v>4.7</v>
      </c>
      <c r="X2882" t="s">
        <v>41</v>
      </c>
      <c r="Y2882" t="s">
        <v>55</v>
      </c>
      <c r="Z2882">
        <v>2</v>
      </c>
    </row>
    <row r="2883" spans="1:26">
      <c r="A2883" t="s">
        <v>4133</v>
      </c>
      <c r="B2883" t="s">
        <v>831</v>
      </c>
      <c r="C2883" t="s">
        <v>28</v>
      </c>
      <c r="D2883" t="s">
        <v>103</v>
      </c>
      <c r="E2883" s="1">
        <v>45849</v>
      </c>
      <c r="F2883" t="s">
        <v>96</v>
      </c>
      <c r="G2883" t="s">
        <v>97</v>
      </c>
      <c r="H2883" t="s">
        <v>49</v>
      </c>
      <c r="I2883">
        <v>7</v>
      </c>
      <c r="J2883" t="s">
        <v>33</v>
      </c>
      <c r="K2883">
        <v>1</v>
      </c>
      <c r="L2883" s="3">
        <v>5799</v>
      </c>
      <c r="M2883">
        <v>10</v>
      </c>
      <c r="N2883" s="3">
        <v>5220</v>
      </c>
      <c r="O2883" s="3">
        <v>5220</v>
      </c>
      <c r="P2883" t="s">
        <v>74</v>
      </c>
      <c r="Q2883" t="s">
        <v>51</v>
      </c>
      <c r="R2883" t="s">
        <v>36</v>
      </c>
      <c r="S2883" t="s">
        <v>37</v>
      </c>
      <c r="T2883" t="s">
        <v>509</v>
      </c>
      <c r="U2883" t="s">
        <v>61</v>
      </c>
      <c r="V2883" t="s">
        <v>969</v>
      </c>
      <c r="W2883">
        <v>2.9</v>
      </c>
      <c r="X2883" t="s">
        <v>106</v>
      </c>
      <c r="Y2883" t="s">
        <v>42</v>
      </c>
      <c r="Z2883">
        <v>5</v>
      </c>
    </row>
    <row r="2884" spans="1:26">
      <c r="A2884" t="s">
        <v>4134</v>
      </c>
      <c r="B2884" t="s">
        <v>1459</v>
      </c>
      <c r="C2884" t="s">
        <v>28</v>
      </c>
      <c r="D2884" t="s">
        <v>109</v>
      </c>
      <c r="E2884" s="1">
        <v>45851</v>
      </c>
      <c r="F2884" t="s">
        <v>79</v>
      </c>
      <c r="G2884" t="s">
        <v>517</v>
      </c>
      <c r="H2884" t="s">
        <v>59</v>
      </c>
      <c r="I2884">
        <v>10</v>
      </c>
      <c r="J2884" t="s">
        <v>150</v>
      </c>
      <c r="K2884">
        <v>2</v>
      </c>
      <c r="L2884" s="3">
        <v>7599</v>
      </c>
      <c r="M2884">
        <v>15</v>
      </c>
      <c r="N2884" s="3">
        <v>6460</v>
      </c>
      <c r="O2884" s="3">
        <v>12920</v>
      </c>
      <c r="P2884" t="s">
        <v>74</v>
      </c>
      <c r="Q2884" t="s">
        <v>82</v>
      </c>
      <c r="R2884" t="s">
        <v>36</v>
      </c>
      <c r="S2884" t="s">
        <v>129</v>
      </c>
      <c r="T2884" t="s">
        <v>130</v>
      </c>
      <c r="U2884" t="s">
        <v>124</v>
      </c>
      <c r="V2884" t="s">
        <v>969</v>
      </c>
      <c r="W2884">
        <v>3.7</v>
      </c>
      <c r="X2884" t="s">
        <v>62</v>
      </c>
      <c r="Y2884" t="s">
        <v>55</v>
      </c>
      <c r="Z2884">
        <v>2</v>
      </c>
    </row>
    <row r="2885" spans="1:26">
      <c r="A2885" t="s">
        <v>4135</v>
      </c>
      <c r="B2885" t="s">
        <v>2294</v>
      </c>
      <c r="C2885" t="s">
        <v>28</v>
      </c>
      <c r="D2885" t="s">
        <v>95</v>
      </c>
      <c r="E2885" s="1">
        <v>45851</v>
      </c>
      <c r="F2885" t="s">
        <v>30</v>
      </c>
      <c r="G2885" t="s">
        <v>145</v>
      </c>
      <c r="H2885" t="s">
        <v>59</v>
      </c>
      <c r="I2885">
        <v>6</v>
      </c>
      <c r="J2885" t="s">
        <v>98</v>
      </c>
      <c r="K2885">
        <v>1</v>
      </c>
      <c r="L2885" s="3">
        <v>9499</v>
      </c>
      <c r="M2885">
        <v>20</v>
      </c>
      <c r="N2885" s="3">
        <v>7600</v>
      </c>
      <c r="O2885" s="3">
        <v>7600</v>
      </c>
      <c r="P2885" t="s">
        <v>34</v>
      </c>
      <c r="Q2885" t="s">
        <v>51</v>
      </c>
      <c r="R2885" t="s">
        <v>36</v>
      </c>
      <c r="S2885" t="s">
        <v>141</v>
      </c>
      <c r="T2885" t="s">
        <v>728</v>
      </c>
      <c r="U2885" t="s">
        <v>39</v>
      </c>
      <c r="V2885" t="s">
        <v>315</v>
      </c>
      <c r="W2885">
        <v>3.5</v>
      </c>
      <c r="X2885" t="s">
        <v>41</v>
      </c>
      <c r="Y2885" t="s">
        <v>42</v>
      </c>
      <c r="Z2885">
        <v>3</v>
      </c>
    </row>
    <row r="2886" spans="1:26">
      <c r="A2886" t="s">
        <v>4136</v>
      </c>
      <c r="B2886" t="s">
        <v>194</v>
      </c>
      <c r="C2886" t="s">
        <v>45</v>
      </c>
      <c r="D2886" t="s">
        <v>46</v>
      </c>
      <c r="E2886" s="1">
        <v>45852</v>
      </c>
      <c r="F2886" t="s">
        <v>30</v>
      </c>
      <c r="G2886" t="s">
        <v>145</v>
      </c>
      <c r="H2886" t="s">
        <v>59</v>
      </c>
      <c r="I2886">
        <v>9</v>
      </c>
      <c r="J2886" t="s">
        <v>150</v>
      </c>
      <c r="K2886">
        <v>1</v>
      </c>
      <c r="L2886" s="3">
        <v>7299</v>
      </c>
      <c r="M2886">
        <v>10</v>
      </c>
      <c r="N2886" s="3">
        <v>6570</v>
      </c>
      <c r="O2886" s="3">
        <v>6570</v>
      </c>
      <c r="P2886" t="s">
        <v>34</v>
      </c>
      <c r="Q2886" t="s">
        <v>35</v>
      </c>
      <c r="R2886" t="s">
        <v>36</v>
      </c>
      <c r="S2886" t="s">
        <v>210</v>
      </c>
      <c r="T2886" t="s">
        <v>680</v>
      </c>
      <c r="U2886" t="s">
        <v>61</v>
      </c>
      <c r="V2886" t="s">
        <v>969</v>
      </c>
      <c r="W2886">
        <v>3.2</v>
      </c>
      <c r="X2886" t="s">
        <v>41</v>
      </c>
      <c r="Y2886" t="s">
        <v>42</v>
      </c>
      <c r="Z2886">
        <v>6</v>
      </c>
    </row>
    <row r="2887" spans="1:26">
      <c r="A2887" t="s">
        <v>4137</v>
      </c>
      <c r="B2887" t="s">
        <v>2468</v>
      </c>
      <c r="C2887" t="s">
        <v>94</v>
      </c>
      <c r="D2887" t="s">
        <v>29</v>
      </c>
      <c r="E2887" s="1">
        <v>45852</v>
      </c>
      <c r="F2887" t="s">
        <v>96</v>
      </c>
      <c r="G2887" t="s">
        <v>171</v>
      </c>
      <c r="H2887" t="s">
        <v>128</v>
      </c>
      <c r="I2887">
        <v>12</v>
      </c>
      <c r="J2887" t="s">
        <v>33</v>
      </c>
      <c r="K2887">
        <v>1</v>
      </c>
      <c r="L2887" s="3">
        <v>6599</v>
      </c>
      <c r="M2887">
        <v>5</v>
      </c>
      <c r="N2887" s="3">
        <v>6270</v>
      </c>
      <c r="O2887" s="3">
        <v>6270</v>
      </c>
      <c r="P2887" t="s">
        <v>50</v>
      </c>
      <c r="Q2887" t="s">
        <v>51</v>
      </c>
      <c r="R2887" t="s">
        <v>36</v>
      </c>
      <c r="S2887" t="s">
        <v>286</v>
      </c>
      <c r="T2887" t="s">
        <v>366</v>
      </c>
      <c r="U2887" t="s">
        <v>54</v>
      </c>
      <c r="V2887" t="s">
        <v>969</v>
      </c>
      <c r="W2887">
        <v>4.3</v>
      </c>
      <c r="X2887" t="s">
        <v>41</v>
      </c>
      <c r="Y2887" t="s">
        <v>42</v>
      </c>
      <c r="Z2887">
        <v>3</v>
      </c>
    </row>
    <row r="2888" spans="1:26">
      <c r="A2888" t="s">
        <v>4138</v>
      </c>
      <c r="B2888" t="s">
        <v>1495</v>
      </c>
      <c r="C2888" t="s">
        <v>28</v>
      </c>
      <c r="D2888" t="s">
        <v>103</v>
      </c>
      <c r="E2888" s="1">
        <v>45852</v>
      </c>
      <c r="F2888" t="s">
        <v>65</v>
      </c>
      <c r="G2888" t="s">
        <v>66</v>
      </c>
      <c r="H2888" t="s">
        <v>59</v>
      </c>
      <c r="I2888">
        <v>8</v>
      </c>
      <c r="J2888" t="s">
        <v>98</v>
      </c>
      <c r="K2888">
        <v>1</v>
      </c>
      <c r="L2888" s="3">
        <v>3899</v>
      </c>
      <c r="M2888">
        <v>10</v>
      </c>
      <c r="N2888" s="3">
        <v>3510</v>
      </c>
      <c r="O2888" s="3">
        <v>3510</v>
      </c>
      <c r="P2888" t="s">
        <v>34</v>
      </c>
      <c r="Q2888" t="s">
        <v>51</v>
      </c>
      <c r="R2888" t="s">
        <v>36</v>
      </c>
      <c r="S2888" t="s">
        <v>136</v>
      </c>
      <c r="T2888" t="s">
        <v>638</v>
      </c>
      <c r="U2888" t="s">
        <v>124</v>
      </c>
      <c r="V2888" t="s">
        <v>969</v>
      </c>
      <c r="W2888">
        <v>3.2</v>
      </c>
      <c r="X2888" t="s">
        <v>106</v>
      </c>
      <c r="Y2888" t="s">
        <v>42</v>
      </c>
      <c r="Z2888">
        <v>4</v>
      </c>
    </row>
    <row r="2889" spans="1:26">
      <c r="A2889" t="s">
        <v>4139</v>
      </c>
      <c r="B2889" t="s">
        <v>149</v>
      </c>
      <c r="C2889" t="s">
        <v>28</v>
      </c>
      <c r="D2889" t="s">
        <v>29</v>
      </c>
      <c r="E2889" s="1">
        <v>45854</v>
      </c>
      <c r="F2889" t="s">
        <v>86</v>
      </c>
      <c r="G2889" t="s">
        <v>242</v>
      </c>
      <c r="H2889" t="s">
        <v>32</v>
      </c>
      <c r="I2889">
        <v>6</v>
      </c>
      <c r="J2889" t="s">
        <v>73</v>
      </c>
      <c r="K2889">
        <v>1</v>
      </c>
      <c r="L2889" s="3">
        <v>7899</v>
      </c>
      <c r="M2889">
        <v>10</v>
      </c>
      <c r="N2889" s="3">
        <v>7110</v>
      </c>
      <c r="O2889" s="3">
        <v>7110</v>
      </c>
      <c r="P2889" t="s">
        <v>74</v>
      </c>
      <c r="Q2889" t="s">
        <v>51</v>
      </c>
      <c r="R2889" t="s">
        <v>36</v>
      </c>
      <c r="S2889" t="s">
        <v>210</v>
      </c>
      <c r="T2889" t="s">
        <v>680</v>
      </c>
      <c r="U2889" t="s">
        <v>54</v>
      </c>
      <c r="V2889" t="s">
        <v>969</v>
      </c>
      <c r="W2889">
        <v>3.2</v>
      </c>
      <c r="X2889" t="s">
        <v>41</v>
      </c>
      <c r="Y2889" t="s">
        <v>42</v>
      </c>
      <c r="Z2889">
        <v>5</v>
      </c>
    </row>
    <row r="2890" spans="1:26">
      <c r="A2890" t="s">
        <v>4140</v>
      </c>
      <c r="B2890" t="s">
        <v>758</v>
      </c>
      <c r="C2890" t="s">
        <v>28</v>
      </c>
      <c r="D2890" t="s">
        <v>29</v>
      </c>
      <c r="E2890" s="1">
        <v>45856</v>
      </c>
      <c r="F2890" t="s">
        <v>65</v>
      </c>
      <c r="G2890" t="s">
        <v>72</v>
      </c>
      <c r="H2890" t="s">
        <v>59</v>
      </c>
      <c r="I2890">
        <v>7</v>
      </c>
      <c r="J2890" t="s">
        <v>33</v>
      </c>
      <c r="K2890">
        <v>1</v>
      </c>
      <c r="L2890" s="3">
        <v>5399</v>
      </c>
      <c r="M2890">
        <v>35</v>
      </c>
      <c r="N2890" s="3">
        <v>3510</v>
      </c>
      <c r="O2890" s="3">
        <v>3510</v>
      </c>
      <c r="P2890" t="s">
        <v>74</v>
      </c>
      <c r="Q2890" t="s">
        <v>51</v>
      </c>
      <c r="R2890" t="s">
        <v>36</v>
      </c>
      <c r="S2890" t="s">
        <v>186</v>
      </c>
      <c r="T2890" t="s">
        <v>341</v>
      </c>
      <c r="U2890" t="s">
        <v>61</v>
      </c>
      <c r="V2890" t="s">
        <v>969</v>
      </c>
      <c r="W2890">
        <v>3.7</v>
      </c>
      <c r="X2890" t="s">
        <v>41</v>
      </c>
      <c r="Y2890" t="s">
        <v>42</v>
      </c>
      <c r="Z2890">
        <v>3</v>
      </c>
    </row>
    <row r="2891" spans="1:26">
      <c r="A2891" t="s">
        <v>4141</v>
      </c>
      <c r="B2891" t="s">
        <v>903</v>
      </c>
      <c r="C2891" t="s">
        <v>28</v>
      </c>
      <c r="D2891" t="s">
        <v>103</v>
      </c>
      <c r="E2891" s="1">
        <v>45857</v>
      </c>
      <c r="F2891" t="s">
        <v>96</v>
      </c>
      <c r="G2891" t="s">
        <v>290</v>
      </c>
      <c r="H2891" t="s">
        <v>32</v>
      </c>
      <c r="I2891">
        <v>9</v>
      </c>
      <c r="J2891" t="s">
        <v>33</v>
      </c>
      <c r="K2891">
        <v>3</v>
      </c>
      <c r="L2891" s="3">
        <v>7699</v>
      </c>
      <c r="M2891">
        <v>5</v>
      </c>
      <c r="N2891" s="3">
        <v>7310</v>
      </c>
      <c r="O2891" s="3">
        <v>21930</v>
      </c>
      <c r="P2891" t="s">
        <v>74</v>
      </c>
      <c r="Q2891" t="s">
        <v>51</v>
      </c>
      <c r="R2891" t="s">
        <v>36</v>
      </c>
      <c r="S2891" t="s">
        <v>160</v>
      </c>
      <c r="T2891" t="s">
        <v>160</v>
      </c>
      <c r="U2891" t="s">
        <v>54</v>
      </c>
      <c r="V2891" t="s">
        <v>969</v>
      </c>
      <c r="W2891">
        <v>4.9000000000000004</v>
      </c>
      <c r="X2891" t="s">
        <v>41</v>
      </c>
      <c r="Y2891" t="s">
        <v>147</v>
      </c>
      <c r="Z2891">
        <v>2</v>
      </c>
    </row>
    <row r="2892" spans="1:26">
      <c r="A2892" t="s">
        <v>4142</v>
      </c>
      <c r="B2892" t="s">
        <v>2804</v>
      </c>
      <c r="C2892" t="s">
        <v>45</v>
      </c>
      <c r="D2892" t="s">
        <v>46</v>
      </c>
      <c r="E2892" s="1">
        <v>45857</v>
      </c>
      <c r="F2892" t="s">
        <v>30</v>
      </c>
      <c r="G2892" t="s">
        <v>145</v>
      </c>
      <c r="H2892" t="s">
        <v>59</v>
      </c>
      <c r="I2892">
        <v>10</v>
      </c>
      <c r="J2892" t="s">
        <v>98</v>
      </c>
      <c r="K2892">
        <v>3</v>
      </c>
      <c r="L2892" s="3">
        <v>4899</v>
      </c>
      <c r="M2892">
        <v>20</v>
      </c>
      <c r="N2892" s="3">
        <v>3920</v>
      </c>
      <c r="O2892" s="3">
        <v>11760</v>
      </c>
      <c r="P2892" t="s">
        <v>74</v>
      </c>
      <c r="Q2892" t="s">
        <v>51</v>
      </c>
      <c r="R2892" t="s">
        <v>36</v>
      </c>
      <c r="S2892" t="s">
        <v>191</v>
      </c>
      <c r="T2892" t="s">
        <v>192</v>
      </c>
      <c r="U2892" t="s">
        <v>91</v>
      </c>
      <c r="V2892" t="s">
        <v>315</v>
      </c>
      <c r="W2892">
        <v>4.3</v>
      </c>
      <c r="X2892" t="s">
        <v>106</v>
      </c>
      <c r="Y2892" t="s">
        <v>42</v>
      </c>
      <c r="Z2892">
        <v>3</v>
      </c>
    </row>
    <row r="2893" spans="1:26">
      <c r="A2893" t="s">
        <v>4143</v>
      </c>
      <c r="B2893" t="s">
        <v>3374</v>
      </c>
      <c r="C2893" t="s">
        <v>94</v>
      </c>
      <c r="D2893" t="s">
        <v>103</v>
      </c>
      <c r="E2893" s="1">
        <v>45857</v>
      </c>
      <c r="F2893" t="s">
        <v>65</v>
      </c>
      <c r="G2893" t="s">
        <v>256</v>
      </c>
      <c r="H2893" t="s">
        <v>32</v>
      </c>
      <c r="I2893">
        <v>9</v>
      </c>
      <c r="J2893" t="s">
        <v>73</v>
      </c>
      <c r="K2893">
        <v>1</v>
      </c>
      <c r="L2893" s="3">
        <v>5999</v>
      </c>
      <c r="M2893">
        <v>10</v>
      </c>
      <c r="N2893" s="3">
        <v>5400</v>
      </c>
      <c r="O2893" s="3">
        <v>5400</v>
      </c>
      <c r="P2893" t="s">
        <v>50</v>
      </c>
      <c r="Q2893" t="s">
        <v>35</v>
      </c>
      <c r="R2893" t="s">
        <v>36</v>
      </c>
      <c r="S2893" t="s">
        <v>37</v>
      </c>
      <c r="T2893" t="s">
        <v>509</v>
      </c>
      <c r="U2893" t="s">
        <v>124</v>
      </c>
      <c r="V2893" t="s">
        <v>315</v>
      </c>
      <c r="W2893">
        <v>5</v>
      </c>
      <c r="X2893" t="s">
        <v>41</v>
      </c>
      <c r="Y2893" t="s">
        <v>42</v>
      </c>
      <c r="Z2893">
        <v>2</v>
      </c>
    </row>
    <row r="2894" spans="1:26">
      <c r="A2894" t="s">
        <v>4144</v>
      </c>
      <c r="B2894" t="s">
        <v>511</v>
      </c>
      <c r="C2894" t="s">
        <v>45</v>
      </c>
      <c r="D2894" t="s">
        <v>95</v>
      </c>
      <c r="E2894" s="1">
        <v>45858</v>
      </c>
      <c r="F2894" t="s">
        <v>86</v>
      </c>
      <c r="G2894" t="s">
        <v>312</v>
      </c>
      <c r="H2894" t="s">
        <v>59</v>
      </c>
      <c r="I2894">
        <v>6</v>
      </c>
      <c r="J2894" t="s">
        <v>73</v>
      </c>
      <c r="K2894">
        <v>1</v>
      </c>
      <c r="L2894" s="3">
        <v>4799</v>
      </c>
      <c r="M2894">
        <v>15</v>
      </c>
      <c r="N2894" s="3">
        <v>4080</v>
      </c>
      <c r="O2894" s="3">
        <v>4080</v>
      </c>
      <c r="P2894" t="s">
        <v>34</v>
      </c>
      <c r="Q2894" t="s">
        <v>82</v>
      </c>
      <c r="R2894" t="s">
        <v>36</v>
      </c>
      <c r="S2894" t="s">
        <v>418</v>
      </c>
      <c r="T2894" t="s">
        <v>549</v>
      </c>
      <c r="U2894" t="s">
        <v>91</v>
      </c>
      <c r="V2894" t="s">
        <v>969</v>
      </c>
      <c r="W2894">
        <v>4.9000000000000004</v>
      </c>
      <c r="X2894" t="s">
        <v>41</v>
      </c>
      <c r="Y2894" t="s">
        <v>42</v>
      </c>
      <c r="Z2894">
        <v>3</v>
      </c>
    </row>
    <row r="2895" spans="1:26">
      <c r="A2895" t="s">
        <v>4145</v>
      </c>
      <c r="B2895" t="s">
        <v>3642</v>
      </c>
      <c r="C2895" t="s">
        <v>28</v>
      </c>
      <c r="D2895" t="s">
        <v>109</v>
      </c>
      <c r="E2895" s="1">
        <v>45859</v>
      </c>
      <c r="F2895" t="s">
        <v>47</v>
      </c>
      <c r="G2895" t="s">
        <v>402</v>
      </c>
      <c r="H2895" t="s">
        <v>32</v>
      </c>
      <c r="I2895">
        <v>10</v>
      </c>
      <c r="J2895" t="s">
        <v>98</v>
      </c>
      <c r="K2895">
        <v>1</v>
      </c>
      <c r="L2895" s="3">
        <v>5799</v>
      </c>
      <c r="M2895">
        <v>10</v>
      </c>
      <c r="N2895" s="3">
        <v>5220</v>
      </c>
      <c r="O2895" s="3">
        <v>5220</v>
      </c>
      <c r="P2895" t="s">
        <v>34</v>
      </c>
      <c r="Q2895" t="s">
        <v>51</v>
      </c>
      <c r="R2895" t="s">
        <v>36</v>
      </c>
      <c r="S2895" t="s">
        <v>269</v>
      </c>
      <c r="T2895" t="s">
        <v>652</v>
      </c>
      <c r="U2895" t="s">
        <v>124</v>
      </c>
      <c r="V2895" t="s">
        <v>315</v>
      </c>
      <c r="W2895">
        <v>4.0999999999999996</v>
      </c>
      <c r="X2895" t="s">
        <v>62</v>
      </c>
      <c r="Y2895" t="s">
        <v>42</v>
      </c>
      <c r="Z2895">
        <v>5</v>
      </c>
    </row>
    <row r="2896" spans="1:26">
      <c r="A2896" t="s">
        <v>4146</v>
      </c>
      <c r="B2896" t="s">
        <v>2157</v>
      </c>
      <c r="C2896" t="s">
        <v>45</v>
      </c>
      <c r="D2896" t="s">
        <v>103</v>
      </c>
      <c r="E2896" s="1">
        <v>45859</v>
      </c>
      <c r="F2896" t="s">
        <v>65</v>
      </c>
      <c r="G2896" t="s">
        <v>72</v>
      </c>
      <c r="H2896" t="s">
        <v>59</v>
      </c>
      <c r="I2896">
        <v>10</v>
      </c>
      <c r="J2896" t="s">
        <v>98</v>
      </c>
      <c r="K2896">
        <v>1</v>
      </c>
      <c r="L2896" s="3">
        <v>7899</v>
      </c>
      <c r="M2896">
        <v>0</v>
      </c>
      <c r="N2896" s="3">
        <v>7900</v>
      </c>
      <c r="O2896" s="3">
        <v>7900</v>
      </c>
      <c r="P2896" t="s">
        <v>50</v>
      </c>
      <c r="Q2896" t="s">
        <v>51</v>
      </c>
      <c r="R2896" t="s">
        <v>36</v>
      </c>
      <c r="S2896" t="s">
        <v>164</v>
      </c>
      <c r="T2896" t="s">
        <v>314</v>
      </c>
      <c r="U2896" t="s">
        <v>61</v>
      </c>
      <c r="V2896" t="s">
        <v>969</v>
      </c>
      <c r="W2896">
        <v>4.3</v>
      </c>
      <c r="X2896" t="s">
        <v>41</v>
      </c>
      <c r="Y2896" t="s">
        <v>55</v>
      </c>
      <c r="Z2896">
        <v>3</v>
      </c>
    </row>
    <row r="2897" spans="1:26">
      <c r="A2897" t="s">
        <v>4147</v>
      </c>
      <c r="B2897" t="s">
        <v>4148</v>
      </c>
      <c r="C2897" t="s">
        <v>28</v>
      </c>
      <c r="D2897" t="s">
        <v>95</v>
      </c>
      <c r="E2897" s="1">
        <v>45860</v>
      </c>
      <c r="F2897" t="s">
        <v>47</v>
      </c>
      <c r="G2897" t="s">
        <v>199</v>
      </c>
      <c r="H2897" t="s">
        <v>59</v>
      </c>
      <c r="I2897">
        <v>9</v>
      </c>
      <c r="J2897" t="s">
        <v>98</v>
      </c>
      <c r="K2897">
        <v>1</v>
      </c>
      <c r="L2897" s="3">
        <v>9599</v>
      </c>
      <c r="M2897">
        <v>15</v>
      </c>
      <c r="N2897" s="3">
        <v>8160</v>
      </c>
      <c r="O2897" s="3">
        <v>8160</v>
      </c>
      <c r="P2897" t="s">
        <v>74</v>
      </c>
      <c r="Q2897" t="s">
        <v>35</v>
      </c>
      <c r="R2897" t="s">
        <v>36</v>
      </c>
      <c r="S2897" t="s">
        <v>297</v>
      </c>
      <c r="T2897" t="s">
        <v>390</v>
      </c>
      <c r="U2897" t="s">
        <v>61</v>
      </c>
      <c r="V2897" t="s">
        <v>40</v>
      </c>
      <c r="W2897">
        <v>5</v>
      </c>
      <c r="X2897" t="s">
        <v>41</v>
      </c>
      <c r="Y2897" t="s">
        <v>42</v>
      </c>
      <c r="Z2897">
        <v>4</v>
      </c>
    </row>
    <row r="2898" spans="1:26">
      <c r="A2898" t="s">
        <v>4149</v>
      </c>
      <c r="B2898" t="s">
        <v>1154</v>
      </c>
      <c r="C2898" t="s">
        <v>28</v>
      </c>
      <c r="D2898" t="s">
        <v>29</v>
      </c>
      <c r="E2898" s="1">
        <v>45861</v>
      </c>
      <c r="F2898" t="s">
        <v>65</v>
      </c>
      <c r="G2898" t="s">
        <v>72</v>
      </c>
      <c r="H2898" t="s">
        <v>59</v>
      </c>
      <c r="I2898">
        <v>9</v>
      </c>
      <c r="J2898" t="s">
        <v>150</v>
      </c>
      <c r="K2898">
        <v>1</v>
      </c>
      <c r="L2898" s="3">
        <v>3199</v>
      </c>
      <c r="M2898">
        <v>10</v>
      </c>
      <c r="N2898" s="3">
        <v>2880</v>
      </c>
      <c r="O2898" s="3">
        <v>2880</v>
      </c>
      <c r="P2898" t="s">
        <v>74</v>
      </c>
      <c r="Q2898" t="s">
        <v>51</v>
      </c>
      <c r="R2898" t="s">
        <v>36</v>
      </c>
      <c r="S2898" t="s">
        <v>186</v>
      </c>
      <c r="T2898" t="s">
        <v>187</v>
      </c>
      <c r="U2898" t="s">
        <v>54</v>
      </c>
      <c r="V2898" t="s">
        <v>315</v>
      </c>
      <c r="W2898">
        <v>5</v>
      </c>
      <c r="X2898" t="s">
        <v>106</v>
      </c>
      <c r="Y2898" t="s">
        <v>55</v>
      </c>
      <c r="Z2898">
        <v>1</v>
      </c>
    </row>
    <row r="2899" spans="1:26">
      <c r="A2899" t="s">
        <v>4150</v>
      </c>
      <c r="B2899" t="s">
        <v>2812</v>
      </c>
      <c r="C2899" t="s">
        <v>28</v>
      </c>
      <c r="D2899" t="s">
        <v>109</v>
      </c>
      <c r="E2899" s="1">
        <v>45861</v>
      </c>
      <c r="F2899" t="s">
        <v>79</v>
      </c>
      <c r="G2899" t="s">
        <v>127</v>
      </c>
      <c r="H2899" t="s">
        <v>128</v>
      </c>
      <c r="I2899">
        <v>7</v>
      </c>
      <c r="J2899" t="s">
        <v>67</v>
      </c>
      <c r="K2899">
        <v>1</v>
      </c>
      <c r="L2899" s="3">
        <v>5899</v>
      </c>
      <c r="M2899">
        <v>10</v>
      </c>
      <c r="N2899" s="3">
        <v>5310</v>
      </c>
      <c r="O2899" s="3">
        <v>5310</v>
      </c>
      <c r="P2899" t="s">
        <v>34</v>
      </c>
      <c r="Q2899" t="s">
        <v>51</v>
      </c>
      <c r="R2899" t="s">
        <v>36</v>
      </c>
      <c r="S2899" t="s">
        <v>160</v>
      </c>
      <c r="T2899" t="s">
        <v>344</v>
      </c>
      <c r="U2899" t="s">
        <v>91</v>
      </c>
      <c r="V2899" t="s">
        <v>315</v>
      </c>
      <c r="W2899">
        <v>3.9</v>
      </c>
      <c r="X2899" t="s">
        <v>41</v>
      </c>
      <c r="Y2899" t="s">
        <v>42</v>
      </c>
      <c r="Z2899">
        <v>2</v>
      </c>
    </row>
    <row r="2900" spans="1:26">
      <c r="A2900" t="s">
        <v>4151</v>
      </c>
      <c r="B2900" t="s">
        <v>2398</v>
      </c>
      <c r="C2900" t="s">
        <v>28</v>
      </c>
      <c r="D2900" t="s">
        <v>29</v>
      </c>
      <c r="E2900" s="1">
        <v>45861</v>
      </c>
      <c r="F2900" t="s">
        <v>86</v>
      </c>
      <c r="G2900" t="s">
        <v>87</v>
      </c>
      <c r="H2900" t="s">
        <v>59</v>
      </c>
      <c r="I2900">
        <v>7</v>
      </c>
      <c r="J2900" t="s">
        <v>98</v>
      </c>
      <c r="K2900">
        <v>1</v>
      </c>
      <c r="L2900" s="3">
        <v>5499</v>
      </c>
      <c r="M2900">
        <v>15</v>
      </c>
      <c r="N2900" s="3">
        <v>4670</v>
      </c>
      <c r="O2900" s="3">
        <v>4670</v>
      </c>
      <c r="P2900" t="s">
        <v>34</v>
      </c>
      <c r="Q2900" t="s">
        <v>51</v>
      </c>
      <c r="R2900" t="s">
        <v>36</v>
      </c>
      <c r="S2900" t="s">
        <v>68</v>
      </c>
      <c r="T2900" t="s">
        <v>207</v>
      </c>
      <c r="U2900" t="s">
        <v>54</v>
      </c>
      <c r="V2900" t="s">
        <v>969</v>
      </c>
      <c r="W2900">
        <v>3</v>
      </c>
      <c r="X2900" t="s">
        <v>41</v>
      </c>
      <c r="Y2900" t="s">
        <v>55</v>
      </c>
      <c r="Z2900">
        <v>2</v>
      </c>
    </row>
    <row r="2901" spans="1:26">
      <c r="A2901" t="s">
        <v>4152</v>
      </c>
      <c r="B2901" t="s">
        <v>2764</v>
      </c>
      <c r="C2901" t="s">
        <v>45</v>
      </c>
      <c r="D2901" t="s">
        <v>109</v>
      </c>
      <c r="E2901" s="1">
        <v>45862</v>
      </c>
      <c r="F2901" t="s">
        <v>86</v>
      </c>
      <c r="G2901" t="s">
        <v>242</v>
      </c>
      <c r="H2901" t="s">
        <v>32</v>
      </c>
      <c r="I2901">
        <v>10</v>
      </c>
      <c r="J2901" t="s">
        <v>88</v>
      </c>
      <c r="K2901">
        <v>2</v>
      </c>
      <c r="L2901" s="3">
        <v>7599</v>
      </c>
      <c r="M2901">
        <v>15</v>
      </c>
      <c r="N2901" s="3">
        <v>6460</v>
      </c>
      <c r="O2901" s="3">
        <v>12920</v>
      </c>
      <c r="P2901" t="s">
        <v>74</v>
      </c>
      <c r="Q2901" t="s">
        <v>35</v>
      </c>
      <c r="R2901" t="s">
        <v>36</v>
      </c>
      <c r="S2901" t="s">
        <v>122</v>
      </c>
      <c r="T2901" t="s">
        <v>123</v>
      </c>
      <c r="U2901" t="s">
        <v>39</v>
      </c>
      <c r="V2901" t="s">
        <v>315</v>
      </c>
      <c r="W2901">
        <v>4.4000000000000004</v>
      </c>
      <c r="X2901" t="s">
        <v>41</v>
      </c>
      <c r="Y2901" t="s">
        <v>42</v>
      </c>
      <c r="Z2901">
        <v>4</v>
      </c>
    </row>
    <row r="2902" spans="1:26">
      <c r="A2902" t="s">
        <v>4153</v>
      </c>
      <c r="B2902" t="s">
        <v>1505</v>
      </c>
      <c r="C2902" t="s">
        <v>28</v>
      </c>
      <c r="D2902" t="s">
        <v>46</v>
      </c>
      <c r="E2902" s="1">
        <v>45862</v>
      </c>
      <c r="F2902" t="s">
        <v>30</v>
      </c>
      <c r="G2902" t="s">
        <v>145</v>
      </c>
      <c r="H2902" t="s">
        <v>59</v>
      </c>
      <c r="I2902">
        <v>12</v>
      </c>
      <c r="J2902" t="s">
        <v>88</v>
      </c>
      <c r="K2902">
        <v>2</v>
      </c>
      <c r="L2902" s="3">
        <v>8499</v>
      </c>
      <c r="M2902">
        <v>25</v>
      </c>
      <c r="N2902" s="3">
        <v>6370</v>
      </c>
      <c r="O2902" s="3">
        <v>12740</v>
      </c>
      <c r="P2902" t="s">
        <v>34</v>
      </c>
      <c r="Q2902" t="s">
        <v>82</v>
      </c>
      <c r="R2902" t="s">
        <v>36</v>
      </c>
      <c r="S2902" t="s">
        <v>112</v>
      </c>
      <c r="T2902" t="s">
        <v>113</v>
      </c>
      <c r="U2902" t="s">
        <v>39</v>
      </c>
      <c r="V2902" t="s">
        <v>315</v>
      </c>
      <c r="W2902">
        <v>3.6</v>
      </c>
      <c r="X2902" t="s">
        <v>41</v>
      </c>
      <c r="Y2902" t="s">
        <v>42</v>
      </c>
      <c r="Z2902">
        <v>6</v>
      </c>
    </row>
    <row r="2903" spans="1:26">
      <c r="A2903" t="s">
        <v>4154</v>
      </c>
      <c r="B2903" t="s">
        <v>823</v>
      </c>
      <c r="C2903" t="s">
        <v>94</v>
      </c>
      <c r="D2903" t="s">
        <v>46</v>
      </c>
      <c r="E2903" s="1">
        <v>45865</v>
      </c>
      <c r="F2903" t="s">
        <v>65</v>
      </c>
      <c r="G2903" t="s">
        <v>365</v>
      </c>
      <c r="H2903" t="s">
        <v>49</v>
      </c>
      <c r="I2903">
        <v>9</v>
      </c>
      <c r="J2903" t="s">
        <v>73</v>
      </c>
      <c r="K2903">
        <v>1</v>
      </c>
      <c r="L2903" s="3">
        <v>7399</v>
      </c>
      <c r="M2903">
        <v>5</v>
      </c>
      <c r="N2903" s="3">
        <v>7030</v>
      </c>
      <c r="O2903" s="3">
        <v>7030</v>
      </c>
      <c r="P2903" t="s">
        <v>74</v>
      </c>
      <c r="Q2903" t="s">
        <v>51</v>
      </c>
      <c r="R2903" t="s">
        <v>36</v>
      </c>
      <c r="S2903" t="s">
        <v>354</v>
      </c>
      <c r="T2903" t="s">
        <v>431</v>
      </c>
      <c r="U2903" t="s">
        <v>91</v>
      </c>
      <c r="V2903" t="s">
        <v>969</v>
      </c>
      <c r="W2903">
        <v>3.8</v>
      </c>
      <c r="X2903" t="s">
        <v>41</v>
      </c>
      <c r="Y2903" t="s">
        <v>42</v>
      </c>
      <c r="Z2903">
        <v>3</v>
      </c>
    </row>
    <row r="2904" spans="1:26">
      <c r="A2904" t="s">
        <v>4155</v>
      </c>
      <c r="B2904" t="s">
        <v>4156</v>
      </c>
      <c r="C2904" t="s">
        <v>28</v>
      </c>
      <c r="D2904" t="s">
        <v>103</v>
      </c>
      <c r="E2904" s="1">
        <v>45870</v>
      </c>
      <c r="F2904" t="s">
        <v>86</v>
      </c>
      <c r="G2904" t="s">
        <v>242</v>
      </c>
      <c r="H2904" t="s">
        <v>32</v>
      </c>
      <c r="I2904">
        <v>10</v>
      </c>
      <c r="J2904" t="s">
        <v>33</v>
      </c>
      <c r="K2904">
        <v>1</v>
      </c>
      <c r="L2904" s="3">
        <v>8499</v>
      </c>
      <c r="M2904">
        <v>35</v>
      </c>
      <c r="N2904" s="3">
        <v>5520</v>
      </c>
      <c r="O2904" s="3">
        <v>5520</v>
      </c>
      <c r="P2904" t="s">
        <v>34</v>
      </c>
      <c r="Q2904" t="s">
        <v>82</v>
      </c>
      <c r="R2904" t="s">
        <v>36</v>
      </c>
      <c r="S2904" t="s">
        <v>164</v>
      </c>
      <c r="T2904" t="s">
        <v>348</v>
      </c>
      <c r="U2904" t="s">
        <v>39</v>
      </c>
      <c r="V2904" t="s">
        <v>40</v>
      </c>
      <c r="W2904">
        <v>4.3</v>
      </c>
      <c r="X2904" t="s">
        <v>106</v>
      </c>
      <c r="Y2904" t="s">
        <v>42</v>
      </c>
      <c r="Z2904">
        <v>7</v>
      </c>
    </row>
    <row r="2905" spans="1:26">
      <c r="A2905" t="s">
        <v>4157</v>
      </c>
      <c r="B2905" t="s">
        <v>1253</v>
      </c>
      <c r="C2905" t="s">
        <v>28</v>
      </c>
      <c r="D2905" t="s">
        <v>95</v>
      </c>
      <c r="E2905" s="1">
        <v>45874</v>
      </c>
      <c r="F2905" t="s">
        <v>30</v>
      </c>
      <c r="G2905" t="s">
        <v>214</v>
      </c>
      <c r="H2905" t="s">
        <v>128</v>
      </c>
      <c r="I2905">
        <v>10</v>
      </c>
      <c r="J2905" t="s">
        <v>88</v>
      </c>
      <c r="K2905">
        <v>1</v>
      </c>
      <c r="L2905" s="3">
        <v>4299</v>
      </c>
      <c r="M2905">
        <v>25</v>
      </c>
      <c r="N2905" s="3">
        <v>3220</v>
      </c>
      <c r="O2905" s="3">
        <v>3220</v>
      </c>
      <c r="P2905" t="s">
        <v>74</v>
      </c>
      <c r="Q2905" t="s">
        <v>35</v>
      </c>
      <c r="R2905" t="s">
        <v>36</v>
      </c>
      <c r="S2905" t="s">
        <v>160</v>
      </c>
      <c r="T2905" t="s">
        <v>344</v>
      </c>
      <c r="U2905" t="s">
        <v>39</v>
      </c>
      <c r="V2905" t="s">
        <v>969</v>
      </c>
      <c r="W2905">
        <v>4.0999999999999996</v>
      </c>
      <c r="X2905" t="s">
        <v>41</v>
      </c>
      <c r="Y2905" t="s">
        <v>147</v>
      </c>
      <c r="Z2905">
        <v>1</v>
      </c>
    </row>
    <row r="2906" spans="1:26">
      <c r="A2906" t="s">
        <v>4158</v>
      </c>
      <c r="B2906" t="s">
        <v>3548</v>
      </c>
      <c r="C2906" t="s">
        <v>28</v>
      </c>
      <c r="D2906" t="s">
        <v>46</v>
      </c>
      <c r="E2906" s="1">
        <v>45874</v>
      </c>
      <c r="F2906" t="s">
        <v>65</v>
      </c>
      <c r="G2906" t="s">
        <v>66</v>
      </c>
      <c r="H2906" t="s">
        <v>59</v>
      </c>
      <c r="I2906">
        <v>9</v>
      </c>
      <c r="J2906" t="s">
        <v>98</v>
      </c>
      <c r="K2906">
        <v>4</v>
      </c>
      <c r="L2906" s="3">
        <v>4799</v>
      </c>
      <c r="M2906">
        <v>25</v>
      </c>
      <c r="N2906" s="3">
        <v>3600</v>
      </c>
      <c r="O2906" s="3">
        <v>14400</v>
      </c>
      <c r="P2906" t="s">
        <v>34</v>
      </c>
      <c r="Q2906" t="s">
        <v>51</v>
      </c>
      <c r="R2906" t="s">
        <v>36</v>
      </c>
      <c r="S2906" t="s">
        <v>52</v>
      </c>
      <c r="T2906" t="s">
        <v>53</v>
      </c>
      <c r="U2906" t="s">
        <v>61</v>
      </c>
      <c r="V2906" t="s">
        <v>315</v>
      </c>
      <c r="W2906">
        <v>3.9</v>
      </c>
      <c r="X2906" t="s">
        <v>41</v>
      </c>
      <c r="Y2906" t="s">
        <v>42</v>
      </c>
      <c r="Z2906">
        <v>3</v>
      </c>
    </row>
    <row r="2907" spans="1:26">
      <c r="A2907" t="s">
        <v>4159</v>
      </c>
      <c r="B2907" t="s">
        <v>227</v>
      </c>
      <c r="C2907" t="s">
        <v>45</v>
      </c>
      <c r="D2907" t="s">
        <v>46</v>
      </c>
      <c r="E2907" s="1">
        <v>45875</v>
      </c>
      <c r="F2907" t="s">
        <v>96</v>
      </c>
      <c r="G2907" t="s">
        <v>290</v>
      </c>
      <c r="H2907" t="s">
        <v>32</v>
      </c>
      <c r="I2907">
        <v>7</v>
      </c>
      <c r="J2907" t="s">
        <v>150</v>
      </c>
      <c r="K2907">
        <v>1</v>
      </c>
      <c r="L2907" s="3">
        <v>6499</v>
      </c>
      <c r="M2907">
        <v>10</v>
      </c>
      <c r="N2907" s="3">
        <v>5850</v>
      </c>
      <c r="O2907" s="3">
        <v>5850</v>
      </c>
      <c r="P2907" t="s">
        <v>34</v>
      </c>
      <c r="Q2907" t="s">
        <v>51</v>
      </c>
      <c r="R2907" t="s">
        <v>36</v>
      </c>
      <c r="S2907" t="s">
        <v>195</v>
      </c>
      <c r="T2907" t="s">
        <v>428</v>
      </c>
      <c r="U2907" t="s">
        <v>54</v>
      </c>
      <c r="V2907" t="s">
        <v>315</v>
      </c>
      <c r="W2907">
        <v>3.6</v>
      </c>
      <c r="X2907" t="s">
        <v>62</v>
      </c>
      <c r="Y2907" t="s">
        <v>42</v>
      </c>
      <c r="Z2907">
        <v>3</v>
      </c>
    </row>
    <row r="2908" spans="1:26">
      <c r="A2908" t="s">
        <v>4160</v>
      </c>
      <c r="B2908" t="s">
        <v>2037</v>
      </c>
      <c r="C2908" t="s">
        <v>28</v>
      </c>
      <c r="D2908" t="s">
        <v>95</v>
      </c>
      <c r="E2908" s="1">
        <v>45876</v>
      </c>
      <c r="F2908" t="s">
        <v>47</v>
      </c>
      <c r="G2908" t="s">
        <v>48</v>
      </c>
      <c r="H2908" t="s">
        <v>49</v>
      </c>
      <c r="I2908">
        <v>11</v>
      </c>
      <c r="J2908" t="s">
        <v>98</v>
      </c>
      <c r="K2908">
        <v>1</v>
      </c>
      <c r="L2908" s="3">
        <v>4299</v>
      </c>
      <c r="M2908">
        <v>25</v>
      </c>
      <c r="N2908" s="3">
        <v>3220</v>
      </c>
      <c r="O2908" s="3">
        <v>3220</v>
      </c>
      <c r="P2908" t="s">
        <v>74</v>
      </c>
      <c r="Q2908" t="s">
        <v>51</v>
      </c>
      <c r="R2908" t="s">
        <v>36</v>
      </c>
      <c r="S2908" t="s">
        <v>75</v>
      </c>
      <c r="T2908" t="s">
        <v>796</v>
      </c>
      <c r="U2908" t="s">
        <v>124</v>
      </c>
      <c r="V2908" t="s">
        <v>969</v>
      </c>
      <c r="W2908">
        <v>4.4000000000000004</v>
      </c>
      <c r="X2908" t="s">
        <v>62</v>
      </c>
      <c r="Y2908" t="s">
        <v>42</v>
      </c>
      <c r="Z2908">
        <v>3</v>
      </c>
    </row>
    <row r="2909" spans="1:26">
      <c r="A2909" t="s">
        <v>4161</v>
      </c>
      <c r="B2909" t="s">
        <v>4162</v>
      </c>
      <c r="C2909" t="s">
        <v>45</v>
      </c>
      <c r="D2909" t="s">
        <v>29</v>
      </c>
      <c r="E2909" s="1">
        <v>45877</v>
      </c>
      <c r="F2909" t="s">
        <v>86</v>
      </c>
      <c r="G2909" t="s">
        <v>116</v>
      </c>
      <c r="H2909" t="s">
        <v>49</v>
      </c>
      <c r="I2909">
        <v>7</v>
      </c>
      <c r="J2909" t="s">
        <v>98</v>
      </c>
      <c r="K2909">
        <v>3</v>
      </c>
      <c r="L2909" s="3">
        <v>7599</v>
      </c>
      <c r="M2909">
        <v>15</v>
      </c>
      <c r="N2909" s="3">
        <v>6460</v>
      </c>
      <c r="O2909" s="3">
        <v>19380</v>
      </c>
      <c r="P2909" t="s">
        <v>74</v>
      </c>
      <c r="Q2909" t="s">
        <v>82</v>
      </c>
      <c r="R2909" t="s">
        <v>36</v>
      </c>
      <c r="S2909" t="s">
        <v>269</v>
      </c>
      <c r="T2909" t="s">
        <v>652</v>
      </c>
      <c r="U2909" t="s">
        <v>39</v>
      </c>
      <c r="V2909" t="s">
        <v>40</v>
      </c>
      <c r="W2909">
        <v>3.7</v>
      </c>
      <c r="X2909" t="s">
        <v>62</v>
      </c>
      <c r="Y2909" t="s">
        <v>42</v>
      </c>
      <c r="Z2909">
        <v>3</v>
      </c>
    </row>
    <row r="2910" spans="1:26">
      <c r="A2910" t="s">
        <v>4163</v>
      </c>
      <c r="B2910" t="s">
        <v>1553</v>
      </c>
      <c r="C2910" t="s">
        <v>28</v>
      </c>
      <c r="D2910" t="s">
        <v>46</v>
      </c>
      <c r="E2910" s="1">
        <v>45878</v>
      </c>
      <c r="F2910" t="s">
        <v>30</v>
      </c>
      <c r="G2910" t="s">
        <v>110</v>
      </c>
      <c r="H2910" t="s">
        <v>111</v>
      </c>
      <c r="I2910">
        <v>9</v>
      </c>
      <c r="J2910" t="s">
        <v>33</v>
      </c>
      <c r="K2910">
        <v>2</v>
      </c>
      <c r="L2910" s="3">
        <v>9299</v>
      </c>
      <c r="M2910">
        <v>20</v>
      </c>
      <c r="N2910" s="3">
        <v>7440</v>
      </c>
      <c r="O2910" s="3">
        <v>14880</v>
      </c>
      <c r="P2910" t="s">
        <v>74</v>
      </c>
      <c r="Q2910" t="s">
        <v>35</v>
      </c>
      <c r="R2910" t="s">
        <v>36</v>
      </c>
      <c r="S2910" t="s">
        <v>160</v>
      </c>
      <c r="T2910" t="s">
        <v>344</v>
      </c>
      <c r="U2910" t="s">
        <v>54</v>
      </c>
      <c r="V2910" t="s">
        <v>315</v>
      </c>
      <c r="W2910">
        <v>4.5</v>
      </c>
      <c r="X2910" t="s">
        <v>41</v>
      </c>
      <c r="Y2910" t="s">
        <v>42</v>
      </c>
      <c r="Z2910">
        <v>4</v>
      </c>
    </row>
    <row r="2911" spans="1:26">
      <c r="A2911" t="s">
        <v>4164</v>
      </c>
      <c r="B2911" t="s">
        <v>619</v>
      </c>
      <c r="C2911" t="s">
        <v>45</v>
      </c>
      <c r="D2911" t="s">
        <v>103</v>
      </c>
      <c r="E2911" s="1">
        <v>45879</v>
      </c>
      <c r="F2911" t="s">
        <v>47</v>
      </c>
      <c r="G2911" t="s">
        <v>402</v>
      </c>
      <c r="H2911" t="s">
        <v>32</v>
      </c>
      <c r="I2911">
        <v>10</v>
      </c>
      <c r="J2911" t="s">
        <v>150</v>
      </c>
      <c r="K2911">
        <v>3</v>
      </c>
      <c r="L2911" s="3">
        <v>9499</v>
      </c>
      <c r="M2911">
        <v>15</v>
      </c>
      <c r="N2911" s="3">
        <v>8070</v>
      </c>
      <c r="O2911" s="3">
        <v>24210</v>
      </c>
      <c r="P2911" t="s">
        <v>74</v>
      </c>
      <c r="Q2911" t="s">
        <v>35</v>
      </c>
      <c r="R2911" t="s">
        <v>36</v>
      </c>
      <c r="S2911" t="s">
        <v>238</v>
      </c>
      <c r="T2911" t="s">
        <v>377</v>
      </c>
      <c r="U2911" t="s">
        <v>39</v>
      </c>
      <c r="V2911" t="s">
        <v>969</v>
      </c>
      <c r="W2911">
        <v>3.5</v>
      </c>
      <c r="X2911" t="s">
        <v>62</v>
      </c>
      <c r="Y2911" t="s">
        <v>42</v>
      </c>
      <c r="Z2911">
        <v>2</v>
      </c>
    </row>
    <row r="2912" spans="1:26">
      <c r="A2912" t="s">
        <v>4165</v>
      </c>
      <c r="B2912" t="s">
        <v>371</v>
      </c>
      <c r="C2912" t="s">
        <v>28</v>
      </c>
      <c r="D2912" t="s">
        <v>29</v>
      </c>
      <c r="E2912" s="1">
        <v>45880</v>
      </c>
      <c r="F2912" t="s">
        <v>96</v>
      </c>
      <c r="G2912" t="s">
        <v>155</v>
      </c>
      <c r="H2912" t="s">
        <v>111</v>
      </c>
      <c r="I2912">
        <v>10</v>
      </c>
      <c r="J2912" t="s">
        <v>98</v>
      </c>
      <c r="K2912">
        <v>1</v>
      </c>
      <c r="L2912" s="3">
        <v>8299</v>
      </c>
      <c r="M2912">
        <v>30</v>
      </c>
      <c r="N2912" s="3">
        <v>5810</v>
      </c>
      <c r="O2912" s="3">
        <v>5810</v>
      </c>
      <c r="P2912" t="s">
        <v>74</v>
      </c>
      <c r="Q2912" t="s">
        <v>51</v>
      </c>
      <c r="R2912" t="s">
        <v>36</v>
      </c>
      <c r="S2912" t="s">
        <v>354</v>
      </c>
      <c r="T2912" t="s">
        <v>434</v>
      </c>
      <c r="U2912" t="s">
        <v>61</v>
      </c>
      <c r="V2912" t="s">
        <v>969</v>
      </c>
      <c r="W2912">
        <v>4.2</v>
      </c>
      <c r="X2912" t="s">
        <v>41</v>
      </c>
      <c r="Y2912" t="s">
        <v>42</v>
      </c>
      <c r="Z2912">
        <v>4</v>
      </c>
    </row>
    <row r="2913" spans="1:26">
      <c r="A2913" t="s">
        <v>4166</v>
      </c>
      <c r="B2913" t="s">
        <v>3827</v>
      </c>
      <c r="C2913" t="s">
        <v>28</v>
      </c>
      <c r="D2913" t="s">
        <v>29</v>
      </c>
      <c r="E2913" s="1">
        <v>45881</v>
      </c>
      <c r="F2913" t="s">
        <v>47</v>
      </c>
      <c r="G2913" t="s">
        <v>121</v>
      </c>
      <c r="H2913" t="s">
        <v>111</v>
      </c>
      <c r="I2913">
        <v>8</v>
      </c>
      <c r="J2913" t="s">
        <v>150</v>
      </c>
      <c r="K2913">
        <v>3</v>
      </c>
      <c r="L2913" s="3">
        <v>4699</v>
      </c>
      <c r="M2913">
        <v>25</v>
      </c>
      <c r="N2913" s="3">
        <v>3520</v>
      </c>
      <c r="O2913" s="3">
        <v>10560</v>
      </c>
      <c r="P2913" t="s">
        <v>74</v>
      </c>
      <c r="Q2913" t="s">
        <v>82</v>
      </c>
      <c r="R2913" t="s">
        <v>36</v>
      </c>
      <c r="S2913" t="s">
        <v>354</v>
      </c>
      <c r="T2913" t="s">
        <v>355</v>
      </c>
      <c r="U2913" t="s">
        <v>91</v>
      </c>
      <c r="V2913" t="s">
        <v>315</v>
      </c>
      <c r="W2913">
        <v>4</v>
      </c>
      <c r="X2913" t="s">
        <v>106</v>
      </c>
      <c r="Y2913" t="s">
        <v>42</v>
      </c>
      <c r="Z2913">
        <v>4</v>
      </c>
    </row>
    <row r="2914" spans="1:26">
      <c r="A2914" t="s">
        <v>4167</v>
      </c>
      <c r="B2914" t="s">
        <v>912</v>
      </c>
      <c r="C2914" t="s">
        <v>94</v>
      </c>
      <c r="D2914" t="s">
        <v>46</v>
      </c>
      <c r="E2914" s="1">
        <v>45883</v>
      </c>
      <c r="F2914" t="s">
        <v>79</v>
      </c>
      <c r="G2914" t="s">
        <v>80</v>
      </c>
      <c r="H2914" t="s">
        <v>59</v>
      </c>
      <c r="I2914">
        <v>10</v>
      </c>
      <c r="J2914" t="s">
        <v>73</v>
      </c>
      <c r="K2914">
        <v>1</v>
      </c>
      <c r="L2914" s="3">
        <v>7599</v>
      </c>
      <c r="M2914">
        <v>25</v>
      </c>
      <c r="N2914" s="3">
        <v>5700</v>
      </c>
      <c r="O2914" s="3">
        <v>5700</v>
      </c>
      <c r="P2914" t="s">
        <v>74</v>
      </c>
      <c r="Q2914" t="s">
        <v>51</v>
      </c>
      <c r="R2914" t="s">
        <v>36</v>
      </c>
      <c r="S2914" t="s">
        <v>200</v>
      </c>
      <c r="T2914" t="s">
        <v>204</v>
      </c>
      <c r="U2914" t="s">
        <v>124</v>
      </c>
      <c r="V2914" t="s">
        <v>969</v>
      </c>
      <c r="W2914">
        <v>3.8</v>
      </c>
      <c r="X2914" t="s">
        <v>41</v>
      </c>
      <c r="Y2914" t="s">
        <v>42</v>
      </c>
      <c r="Z2914">
        <v>2</v>
      </c>
    </row>
    <row r="2915" spans="1:26">
      <c r="A2915" t="s">
        <v>4168</v>
      </c>
      <c r="B2915" t="s">
        <v>3488</v>
      </c>
      <c r="C2915" t="s">
        <v>94</v>
      </c>
      <c r="D2915" t="s">
        <v>95</v>
      </c>
      <c r="E2915" s="1">
        <v>45883</v>
      </c>
      <c r="F2915" t="s">
        <v>30</v>
      </c>
      <c r="G2915" t="s">
        <v>58</v>
      </c>
      <c r="H2915" t="s">
        <v>59</v>
      </c>
      <c r="I2915">
        <v>9</v>
      </c>
      <c r="J2915" t="s">
        <v>67</v>
      </c>
      <c r="K2915">
        <v>3</v>
      </c>
      <c r="L2915" s="3">
        <v>5299</v>
      </c>
      <c r="M2915">
        <v>10</v>
      </c>
      <c r="N2915" s="3">
        <v>4770</v>
      </c>
      <c r="O2915" s="3">
        <v>14310</v>
      </c>
      <c r="P2915" t="s">
        <v>74</v>
      </c>
      <c r="Q2915" t="s">
        <v>51</v>
      </c>
      <c r="R2915" t="s">
        <v>36</v>
      </c>
      <c r="S2915" t="s">
        <v>160</v>
      </c>
      <c r="T2915" t="s">
        <v>247</v>
      </c>
      <c r="U2915" t="s">
        <v>61</v>
      </c>
      <c r="V2915" t="s">
        <v>315</v>
      </c>
      <c r="W2915">
        <v>5</v>
      </c>
      <c r="X2915" t="s">
        <v>41</v>
      </c>
      <c r="Y2915" t="s">
        <v>42</v>
      </c>
      <c r="Z2915">
        <v>4</v>
      </c>
    </row>
    <row r="2916" spans="1:26">
      <c r="A2916" t="s">
        <v>4169</v>
      </c>
      <c r="B2916" t="s">
        <v>664</v>
      </c>
      <c r="C2916" t="s">
        <v>28</v>
      </c>
      <c r="D2916" t="s">
        <v>46</v>
      </c>
      <c r="E2916" s="1">
        <v>45883</v>
      </c>
      <c r="F2916" t="s">
        <v>86</v>
      </c>
      <c r="G2916" t="s">
        <v>312</v>
      </c>
      <c r="H2916" t="s">
        <v>59</v>
      </c>
      <c r="I2916">
        <v>8</v>
      </c>
      <c r="J2916" t="s">
        <v>67</v>
      </c>
      <c r="K2916">
        <v>2</v>
      </c>
      <c r="L2916" s="3">
        <v>8899</v>
      </c>
      <c r="M2916">
        <v>15</v>
      </c>
      <c r="N2916" s="3">
        <v>7560</v>
      </c>
      <c r="O2916" s="3">
        <v>15120</v>
      </c>
      <c r="P2916" t="s">
        <v>74</v>
      </c>
      <c r="Q2916" t="s">
        <v>51</v>
      </c>
      <c r="R2916" t="s">
        <v>36</v>
      </c>
      <c r="S2916" t="s">
        <v>68</v>
      </c>
      <c r="T2916" t="s">
        <v>207</v>
      </c>
      <c r="U2916" t="s">
        <v>39</v>
      </c>
      <c r="V2916" t="s">
        <v>969</v>
      </c>
      <c r="W2916">
        <v>4.2</v>
      </c>
      <c r="X2916" t="s">
        <v>41</v>
      </c>
      <c r="Y2916" t="s">
        <v>55</v>
      </c>
      <c r="Z2916">
        <v>2</v>
      </c>
    </row>
    <row r="2917" spans="1:26">
      <c r="A2917" t="s">
        <v>4170</v>
      </c>
      <c r="B2917" t="s">
        <v>998</v>
      </c>
      <c r="C2917" t="s">
        <v>28</v>
      </c>
      <c r="D2917" t="s">
        <v>103</v>
      </c>
      <c r="E2917" s="1">
        <v>45883</v>
      </c>
      <c r="F2917" t="s">
        <v>86</v>
      </c>
      <c r="G2917" t="s">
        <v>242</v>
      </c>
      <c r="H2917" t="s">
        <v>32</v>
      </c>
      <c r="I2917">
        <v>8</v>
      </c>
      <c r="J2917" t="s">
        <v>67</v>
      </c>
      <c r="K2917">
        <v>2</v>
      </c>
      <c r="L2917" s="3">
        <v>8199</v>
      </c>
      <c r="M2917">
        <v>0</v>
      </c>
      <c r="N2917" s="3">
        <v>8200</v>
      </c>
      <c r="O2917" s="3">
        <v>16400</v>
      </c>
      <c r="P2917" t="s">
        <v>74</v>
      </c>
      <c r="Q2917" t="s">
        <v>51</v>
      </c>
      <c r="R2917" t="s">
        <v>36</v>
      </c>
      <c r="S2917" t="s">
        <v>104</v>
      </c>
      <c r="T2917" t="s">
        <v>105</v>
      </c>
      <c r="U2917" t="s">
        <v>39</v>
      </c>
      <c r="V2917" t="s">
        <v>969</v>
      </c>
      <c r="W2917">
        <v>2.9</v>
      </c>
      <c r="X2917" t="s">
        <v>41</v>
      </c>
      <c r="Y2917" t="s">
        <v>55</v>
      </c>
      <c r="Z2917">
        <v>1</v>
      </c>
    </row>
    <row r="2918" spans="1:26">
      <c r="A2918" t="s">
        <v>4171</v>
      </c>
      <c r="B2918" t="s">
        <v>173</v>
      </c>
      <c r="C2918" t="s">
        <v>45</v>
      </c>
      <c r="D2918" t="s">
        <v>95</v>
      </c>
      <c r="E2918" s="1">
        <v>45883</v>
      </c>
      <c r="F2918" t="s">
        <v>79</v>
      </c>
      <c r="G2918" t="s">
        <v>80</v>
      </c>
      <c r="H2918" t="s">
        <v>59</v>
      </c>
      <c r="I2918">
        <v>9</v>
      </c>
      <c r="J2918" t="s">
        <v>67</v>
      </c>
      <c r="K2918">
        <v>1</v>
      </c>
      <c r="L2918" s="3">
        <v>4299</v>
      </c>
      <c r="M2918">
        <v>20</v>
      </c>
      <c r="N2918" s="3">
        <v>3440</v>
      </c>
      <c r="O2918" s="3">
        <v>3440</v>
      </c>
      <c r="P2918" t="s">
        <v>74</v>
      </c>
      <c r="Q2918" t="s">
        <v>82</v>
      </c>
      <c r="R2918" t="s">
        <v>36</v>
      </c>
      <c r="S2918" t="s">
        <v>89</v>
      </c>
      <c r="T2918" t="s">
        <v>425</v>
      </c>
      <c r="U2918" t="s">
        <v>39</v>
      </c>
      <c r="V2918" t="s">
        <v>969</v>
      </c>
      <c r="W2918">
        <v>3.6</v>
      </c>
      <c r="X2918" t="s">
        <v>41</v>
      </c>
      <c r="Y2918" t="s">
        <v>42</v>
      </c>
      <c r="Z2918">
        <v>6</v>
      </c>
    </row>
    <row r="2919" spans="1:26">
      <c r="A2919" t="s">
        <v>4172</v>
      </c>
      <c r="B2919" t="s">
        <v>4173</v>
      </c>
      <c r="C2919" t="s">
        <v>28</v>
      </c>
      <c r="D2919" t="s">
        <v>95</v>
      </c>
      <c r="E2919" s="1">
        <v>45883</v>
      </c>
      <c r="F2919" t="s">
        <v>96</v>
      </c>
      <c r="G2919" t="s">
        <v>228</v>
      </c>
      <c r="H2919" t="s">
        <v>59</v>
      </c>
      <c r="I2919">
        <v>12</v>
      </c>
      <c r="J2919" t="s">
        <v>150</v>
      </c>
      <c r="K2919">
        <v>3</v>
      </c>
      <c r="L2919" s="3">
        <v>7799</v>
      </c>
      <c r="M2919">
        <v>15</v>
      </c>
      <c r="N2919" s="3">
        <v>6630</v>
      </c>
      <c r="O2919" s="3">
        <v>19890</v>
      </c>
      <c r="P2919" t="s">
        <v>74</v>
      </c>
      <c r="Q2919" t="s">
        <v>35</v>
      </c>
      <c r="R2919" t="s">
        <v>36</v>
      </c>
      <c r="S2919" t="s">
        <v>122</v>
      </c>
      <c r="T2919" t="s">
        <v>372</v>
      </c>
      <c r="U2919" t="s">
        <v>61</v>
      </c>
      <c r="V2919" t="s">
        <v>40</v>
      </c>
      <c r="W2919">
        <v>4.3</v>
      </c>
      <c r="X2919" t="s">
        <v>41</v>
      </c>
      <c r="Y2919" t="s">
        <v>42</v>
      </c>
      <c r="Z2919">
        <v>3</v>
      </c>
    </row>
    <row r="2920" spans="1:26">
      <c r="A2920" t="s">
        <v>4174</v>
      </c>
      <c r="B2920" t="s">
        <v>3226</v>
      </c>
      <c r="C2920" t="s">
        <v>28</v>
      </c>
      <c r="D2920" t="s">
        <v>29</v>
      </c>
      <c r="E2920" s="1">
        <v>45885</v>
      </c>
      <c r="F2920" t="s">
        <v>47</v>
      </c>
      <c r="G2920" t="s">
        <v>121</v>
      </c>
      <c r="H2920" t="s">
        <v>111</v>
      </c>
      <c r="I2920">
        <v>10</v>
      </c>
      <c r="J2920" t="s">
        <v>98</v>
      </c>
      <c r="K2920">
        <v>2</v>
      </c>
      <c r="L2920" s="3">
        <v>8499</v>
      </c>
      <c r="M2920">
        <v>20</v>
      </c>
      <c r="N2920" s="3">
        <v>6800</v>
      </c>
      <c r="O2920" s="3">
        <v>13600</v>
      </c>
      <c r="P2920" t="s">
        <v>74</v>
      </c>
      <c r="Q2920" t="s">
        <v>51</v>
      </c>
      <c r="R2920" t="s">
        <v>36</v>
      </c>
      <c r="S2920" t="s">
        <v>195</v>
      </c>
      <c r="T2920" t="s">
        <v>665</v>
      </c>
      <c r="U2920" t="s">
        <v>54</v>
      </c>
      <c r="V2920" t="s">
        <v>315</v>
      </c>
      <c r="W2920">
        <v>4.2</v>
      </c>
      <c r="X2920" t="s">
        <v>41</v>
      </c>
      <c r="Y2920" t="s">
        <v>55</v>
      </c>
      <c r="Z2920">
        <v>3</v>
      </c>
    </row>
    <row r="2921" spans="1:26">
      <c r="A2921" t="s">
        <v>4175</v>
      </c>
      <c r="B2921" t="s">
        <v>4176</v>
      </c>
      <c r="C2921" t="s">
        <v>94</v>
      </c>
      <c r="D2921" t="s">
        <v>29</v>
      </c>
      <c r="E2921" s="1">
        <v>45887</v>
      </c>
      <c r="F2921" t="s">
        <v>65</v>
      </c>
      <c r="G2921" t="s">
        <v>268</v>
      </c>
      <c r="H2921" t="s">
        <v>128</v>
      </c>
      <c r="I2921">
        <v>10</v>
      </c>
      <c r="J2921" t="s">
        <v>67</v>
      </c>
      <c r="K2921">
        <v>1</v>
      </c>
      <c r="L2921" s="3">
        <v>6699</v>
      </c>
      <c r="M2921">
        <v>25</v>
      </c>
      <c r="N2921" s="3">
        <v>5020</v>
      </c>
      <c r="O2921" s="3">
        <v>5020</v>
      </c>
      <c r="P2921" t="s">
        <v>74</v>
      </c>
      <c r="Q2921" t="s">
        <v>35</v>
      </c>
      <c r="R2921" t="s">
        <v>36</v>
      </c>
      <c r="S2921" t="s">
        <v>75</v>
      </c>
      <c r="T2921" t="s">
        <v>796</v>
      </c>
      <c r="U2921" t="s">
        <v>124</v>
      </c>
      <c r="V2921" t="s">
        <v>40</v>
      </c>
      <c r="W2921">
        <v>2.8</v>
      </c>
      <c r="X2921" t="s">
        <v>41</v>
      </c>
      <c r="Y2921" t="s">
        <v>42</v>
      </c>
      <c r="Z2921">
        <v>5</v>
      </c>
    </row>
    <row r="2922" spans="1:26">
      <c r="A2922" t="s">
        <v>4177</v>
      </c>
      <c r="B2922" t="s">
        <v>4178</v>
      </c>
      <c r="C2922" t="s">
        <v>28</v>
      </c>
      <c r="D2922" t="s">
        <v>109</v>
      </c>
      <c r="E2922" s="1">
        <v>45887</v>
      </c>
      <c r="F2922" t="s">
        <v>86</v>
      </c>
      <c r="G2922" t="s">
        <v>116</v>
      </c>
      <c r="H2922" t="s">
        <v>49</v>
      </c>
      <c r="I2922">
        <v>6</v>
      </c>
      <c r="J2922" t="s">
        <v>88</v>
      </c>
      <c r="K2922">
        <v>1</v>
      </c>
      <c r="L2922" s="3">
        <v>4999</v>
      </c>
      <c r="M2922">
        <v>20</v>
      </c>
      <c r="N2922" s="3">
        <v>4000</v>
      </c>
      <c r="O2922" s="3">
        <v>4000</v>
      </c>
      <c r="P2922" t="s">
        <v>34</v>
      </c>
      <c r="Q2922" t="s">
        <v>51</v>
      </c>
      <c r="R2922" t="s">
        <v>36</v>
      </c>
      <c r="S2922" t="s">
        <v>338</v>
      </c>
      <c r="T2922" t="s">
        <v>338</v>
      </c>
      <c r="U2922" t="s">
        <v>124</v>
      </c>
      <c r="V2922" t="s">
        <v>40</v>
      </c>
      <c r="W2922">
        <v>4.5999999999999996</v>
      </c>
      <c r="X2922" t="s">
        <v>41</v>
      </c>
      <c r="Y2922" t="s">
        <v>42</v>
      </c>
      <c r="Z2922">
        <v>2</v>
      </c>
    </row>
    <row r="2923" spans="1:26">
      <c r="A2923" t="s">
        <v>4179</v>
      </c>
      <c r="B2923" t="s">
        <v>1279</v>
      </c>
      <c r="C2923" t="s">
        <v>28</v>
      </c>
      <c r="D2923" t="s">
        <v>103</v>
      </c>
      <c r="E2923" s="1">
        <v>45887</v>
      </c>
      <c r="F2923" t="s">
        <v>65</v>
      </c>
      <c r="G2923" t="s">
        <v>365</v>
      </c>
      <c r="H2923" t="s">
        <v>49</v>
      </c>
      <c r="I2923">
        <v>8</v>
      </c>
      <c r="J2923" t="s">
        <v>88</v>
      </c>
      <c r="K2923">
        <v>1</v>
      </c>
      <c r="L2923" s="3">
        <v>8299</v>
      </c>
      <c r="M2923">
        <v>15</v>
      </c>
      <c r="N2923" s="3">
        <v>7050</v>
      </c>
      <c r="O2923" s="3">
        <v>7050</v>
      </c>
      <c r="P2923" t="s">
        <v>74</v>
      </c>
      <c r="Q2923" t="s">
        <v>51</v>
      </c>
      <c r="R2923" t="s">
        <v>36</v>
      </c>
      <c r="S2923" t="s">
        <v>460</v>
      </c>
      <c r="T2923" t="s">
        <v>1868</v>
      </c>
      <c r="U2923" t="s">
        <v>61</v>
      </c>
      <c r="V2923" t="s">
        <v>969</v>
      </c>
      <c r="W2923">
        <v>4.3</v>
      </c>
      <c r="X2923" t="s">
        <v>106</v>
      </c>
      <c r="Y2923" t="s">
        <v>55</v>
      </c>
      <c r="Z2923">
        <v>3</v>
      </c>
    </row>
    <row r="2924" spans="1:26">
      <c r="A2924" t="s">
        <v>4180</v>
      </c>
      <c r="B2924" t="s">
        <v>870</v>
      </c>
      <c r="C2924" t="s">
        <v>28</v>
      </c>
      <c r="D2924" t="s">
        <v>95</v>
      </c>
      <c r="E2924" s="1">
        <v>45890</v>
      </c>
      <c r="F2924" t="s">
        <v>30</v>
      </c>
      <c r="G2924" t="s">
        <v>145</v>
      </c>
      <c r="H2924" t="s">
        <v>59</v>
      </c>
      <c r="I2924">
        <v>9</v>
      </c>
      <c r="J2924" t="s">
        <v>98</v>
      </c>
      <c r="K2924">
        <v>1</v>
      </c>
      <c r="L2924" s="3">
        <v>9499</v>
      </c>
      <c r="M2924">
        <v>20</v>
      </c>
      <c r="N2924" s="3">
        <v>7600</v>
      </c>
      <c r="O2924" s="3">
        <v>7600</v>
      </c>
      <c r="P2924" t="s">
        <v>81</v>
      </c>
      <c r="Q2924" t="s">
        <v>82</v>
      </c>
      <c r="R2924" t="s">
        <v>36</v>
      </c>
      <c r="S2924" t="s">
        <v>286</v>
      </c>
      <c r="T2924" t="s">
        <v>737</v>
      </c>
      <c r="U2924" t="s">
        <v>91</v>
      </c>
      <c r="V2924" t="s">
        <v>969</v>
      </c>
      <c r="W2924">
        <v>4</v>
      </c>
      <c r="X2924" t="s">
        <v>41</v>
      </c>
      <c r="Y2924" t="s">
        <v>55</v>
      </c>
      <c r="Z2924">
        <v>3</v>
      </c>
    </row>
    <row r="2925" spans="1:26">
      <c r="A2925" t="s">
        <v>4181</v>
      </c>
      <c r="B2925" t="s">
        <v>1780</v>
      </c>
      <c r="C2925" t="s">
        <v>28</v>
      </c>
      <c r="D2925" t="s">
        <v>103</v>
      </c>
      <c r="E2925" s="1">
        <v>45890</v>
      </c>
      <c r="F2925" t="s">
        <v>79</v>
      </c>
      <c r="G2925" t="s">
        <v>80</v>
      </c>
      <c r="H2925" t="s">
        <v>59</v>
      </c>
      <c r="I2925">
        <v>7</v>
      </c>
      <c r="J2925" t="s">
        <v>33</v>
      </c>
      <c r="K2925">
        <v>2</v>
      </c>
      <c r="L2925" s="3">
        <v>3999</v>
      </c>
      <c r="M2925">
        <v>20</v>
      </c>
      <c r="N2925" s="3">
        <v>3200</v>
      </c>
      <c r="O2925" s="3">
        <v>6400</v>
      </c>
      <c r="P2925" t="s">
        <v>74</v>
      </c>
      <c r="Q2925" t="s">
        <v>82</v>
      </c>
      <c r="R2925" t="s">
        <v>36</v>
      </c>
      <c r="S2925" t="s">
        <v>195</v>
      </c>
      <c r="T2925" t="s">
        <v>428</v>
      </c>
      <c r="U2925" t="s">
        <v>91</v>
      </c>
      <c r="V2925" t="s">
        <v>969</v>
      </c>
      <c r="W2925">
        <v>4.7</v>
      </c>
      <c r="X2925" t="s">
        <v>41</v>
      </c>
      <c r="Y2925" t="s">
        <v>42</v>
      </c>
      <c r="Z2925">
        <v>4</v>
      </c>
    </row>
    <row r="2926" spans="1:26">
      <c r="A2926" t="s">
        <v>4182</v>
      </c>
      <c r="B2926" t="s">
        <v>2468</v>
      </c>
      <c r="C2926" t="s">
        <v>28</v>
      </c>
      <c r="D2926" t="s">
        <v>103</v>
      </c>
      <c r="E2926" s="1">
        <v>45891</v>
      </c>
      <c r="F2926" t="s">
        <v>47</v>
      </c>
      <c r="G2926" t="s">
        <v>402</v>
      </c>
      <c r="H2926" t="s">
        <v>32</v>
      </c>
      <c r="I2926">
        <v>7</v>
      </c>
      <c r="J2926" t="s">
        <v>88</v>
      </c>
      <c r="K2926">
        <v>2</v>
      </c>
      <c r="L2926" s="3">
        <v>5999</v>
      </c>
      <c r="M2926">
        <v>20</v>
      </c>
      <c r="N2926" s="3">
        <v>4800</v>
      </c>
      <c r="O2926" s="3">
        <v>9600</v>
      </c>
      <c r="P2926" t="s">
        <v>81</v>
      </c>
      <c r="Q2926" t="s">
        <v>82</v>
      </c>
      <c r="R2926" t="s">
        <v>36</v>
      </c>
      <c r="S2926" t="s">
        <v>37</v>
      </c>
      <c r="T2926" t="s">
        <v>38</v>
      </c>
      <c r="U2926" t="s">
        <v>124</v>
      </c>
      <c r="V2926" t="s">
        <v>969</v>
      </c>
      <c r="W2926">
        <v>4.0999999999999996</v>
      </c>
      <c r="X2926" t="s">
        <v>41</v>
      </c>
      <c r="Y2926" t="s">
        <v>42</v>
      </c>
      <c r="Z2926">
        <v>6</v>
      </c>
    </row>
    <row r="2927" spans="1:26">
      <c r="A2927" t="s">
        <v>4183</v>
      </c>
      <c r="B2927" t="s">
        <v>1201</v>
      </c>
      <c r="C2927" t="s">
        <v>94</v>
      </c>
      <c r="D2927" t="s">
        <v>29</v>
      </c>
      <c r="E2927" s="1">
        <v>45892</v>
      </c>
      <c r="F2927" t="s">
        <v>47</v>
      </c>
      <c r="G2927" t="s">
        <v>48</v>
      </c>
      <c r="H2927" t="s">
        <v>49</v>
      </c>
      <c r="I2927">
        <v>10</v>
      </c>
      <c r="J2927" t="s">
        <v>67</v>
      </c>
      <c r="K2927">
        <v>1</v>
      </c>
      <c r="L2927" s="3">
        <v>3999</v>
      </c>
      <c r="M2927">
        <v>20</v>
      </c>
      <c r="N2927" s="3">
        <v>3200</v>
      </c>
      <c r="O2927" s="3">
        <v>3200</v>
      </c>
      <c r="P2927" t="s">
        <v>74</v>
      </c>
      <c r="Q2927" t="s">
        <v>82</v>
      </c>
      <c r="R2927" t="s">
        <v>36</v>
      </c>
      <c r="S2927" t="s">
        <v>89</v>
      </c>
      <c r="T2927" t="s">
        <v>90</v>
      </c>
      <c r="U2927" t="s">
        <v>124</v>
      </c>
      <c r="V2927" t="s">
        <v>969</v>
      </c>
      <c r="W2927">
        <v>3.6</v>
      </c>
      <c r="X2927" t="s">
        <v>41</v>
      </c>
      <c r="Y2927" t="s">
        <v>42</v>
      </c>
      <c r="Z2927">
        <v>6</v>
      </c>
    </row>
    <row r="2928" spans="1:26">
      <c r="A2928" t="s">
        <v>4184</v>
      </c>
      <c r="B2928" t="s">
        <v>2231</v>
      </c>
      <c r="C2928" t="s">
        <v>45</v>
      </c>
      <c r="D2928" t="s">
        <v>46</v>
      </c>
      <c r="E2928" s="1">
        <v>45893</v>
      </c>
      <c r="F2928" t="s">
        <v>65</v>
      </c>
      <c r="G2928" t="s">
        <v>268</v>
      </c>
      <c r="H2928" t="s">
        <v>128</v>
      </c>
      <c r="I2928">
        <v>7</v>
      </c>
      <c r="J2928" t="s">
        <v>98</v>
      </c>
      <c r="K2928">
        <v>1</v>
      </c>
      <c r="L2928" s="3">
        <v>6299</v>
      </c>
      <c r="M2928">
        <v>20</v>
      </c>
      <c r="N2928" s="3">
        <v>5040</v>
      </c>
      <c r="O2928" s="3">
        <v>5040</v>
      </c>
      <c r="P2928" t="s">
        <v>74</v>
      </c>
      <c r="Q2928" t="s">
        <v>51</v>
      </c>
      <c r="R2928" t="s">
        <v>36</v>
      </c>
      <c r="S2928" t="s">
        <v>384</v>
      </c>
      <c r="T2928" t="s">
        <v>481</v>
      </c>
      <c r="U2928" t="s">
        <v>124</v>
      </c>
      <c r="V2928" t="s">
        <v>969</v>
      </c>
      <c r="W2928">
        <v>4</v>
      </c>
      <c r="X2928" t="s">
        <v>41</v>
      </c>
      <c r="Y2928" t="s">
        <v>42</v>
      </c>
      <c r="Z2928">
        <v>3</v>
      </c>
    </row>
    <row r="2929" spans="1:26">
      <c r="A2929" t="s">
        <v>4185</v>
      </c>
      <c r="B2929" t="s">
        <v>1000</v>
      </c>
      <c r="C2929" t="s">
        <v>28</v>
      </c>
      <c r="D2929" t="s">
        <v>46</v>
      </c>
      <c r="E2929" s="1">
        <v>45893</v>
      </c>
      <c r="F2929" t="s">
        <v>96</v>
      </c>
      <c r="G2929" t="s">
        <v>155</v>
      </c>
      <c r="H2929" t="s">
        <v>111</v>
      </c>
      <c r="I2929">
        <v>7</v>
      </c>
      <c r="J2929" t="s">
        <v>150</v>
      </c>
      <c r="K2929">
        <v>1</v>
      </c>
      <c r="L2929" s="3">
        <v>8699</v>
      </c>
      <c r="M2929">
        <v>0</v>
      </c>
      <c r="N2929" s="3">
        <v>8700</v>
      </c>
      <c r="O2929" s="3">
        <v>8700</v>
      </c>
      <c r="P2929" t="s">
        <v>34</v>
      </c>
      <c r="Q2929" t="s">
        <v>35</v>
      </c>
      <c r="R2929" t="s">
        <v>36</v>
      </c>
      <c r="S2929" t="s">
        <v>338</v>
      </c>
      <c r="T2929" t="s">
        <v>338</v>
      </c>
      <c r="U2929" t="s">
        <v>54</v>
      </c>
      <c r="V2929" t="s">
        <v>315</v>
      </c>
      <c r="W2929">
        <v>3.7</v>
      </c>
      <c r="X2929" t="s">
        <v>62</v>
      </c>
      <c r="Y2929" t="s">
        <v>42</v>
      </c>
      <c r="Z2929">
        <v>3</v>
      </c>
    </row>
    <row r="2930" spans="1:26">
      <c r="A2930" t="s">
        <v>4186</v>
      </c>
      <c r="B2930" t="s">
        <v>2446</v>
      </c>
      <c r="C2930" t="s">
        <v>28</v>
      </c>
      <c r="D2930" t="s">
        <v>95</v>
      </c>
      <c r="E2930" s="1">
        <v>45894</v>
      </c>
      <c r="F2930" t="s">
        <v>79</v>
      </c>
      <c r="G2930" t="s">
        <v>517</v>
      </c>
      <c r="H2930" t="s">
        <v>59</v>
      </c>
      <c r="I2930">
        <v>8</v>
      </c>
      <c r="J2930" t="s">
        <v>98</v>
      </c>
      <c r="K2930">
        <v>1</v>
      </c>
      <c r="L2930" s="3">
        <v>6399</v>
      </c>
      <c r="M2930">
        <v>15</v>
      </c>
      <c r="N2930" s="3">
        <v>5440</v>
      </c>
      <c r="O2930" s="3">
        <v>5440</v>
      </c>
      <c r="P2930" t="s">
        <v>74</v>
      </c>
      <c r="Q2930" t="s">
        <v>35</v>
      </c>
      <c r="R2930" t="s">
        <v>36</v>
      </c>
      <c r="S2930" t="s">
        <v>89</v>
      </c>
      <c r="T2930" t="s">
        <v>90</v>
      </c>
      <c r="U2930" t="s">
        <v>54</v>
      </c>
      <c r="V2930" t="s">
        <v>315</v>
      </c>
      <c r="W2930">
        <v>4</v>
      </c>
      <c r="X2930" t="s">
        <v>62</v>
      </c>
      <c r="Y2930" t="s">
        <v>42</v>
      </c>
      <c r="Z2930">
        <v>1</v>
      </c>
    </row>
    <row r="2931" spans="1:26">
      <c r="A2931" t="s">
        <v>4187</v>
      </c>
      <c r="B2931" t="s">
        <v>590</v>
      </c>
      <c r="C2931" t="s">
        <v>28</v>
      </c>
      <c r="D2931" t="s">
        <v>46</v>
      </c>
      <c r="E2931" s="1">
        <v>45895</v>
      </c>
      <c r="F2931" t="s">
        <v>47</v>
      </c>
      <c r="G2931" t="s">
        <v>199</v>
      </c>
      <c r="H2931" t="s">
        <v>59</v>
      </c>
      <c r="I2931">
        <v>11</v>
      </c>
      <c r="J2931" t="s">
        <v>98</v>
      </c>
      <c r="K2931">
        <v>1</v>
      </c>
      <c r="L2931" s="3">
        <v>9599</v>
      </c>
      <c r="M2931">
        <v>15</v>
      </c>
      <c r="N2931" s="3">
        <v>8160</v>
      </c>
      <c r="O2931" s="3">
        <v>8160</v>
      </c>
      <c r="P2931" t="s">
        <v>74</v>
      </c>
      <c r="Q2931" t="s">
        <v>82</v>
      </c>
      <c r="R2931" t="s">
        <v>36</v>
      </c>
      <c r="S2931" t="s">
        <v>243</v>
      </c>
      <c r="T2931" t="s">
        <v>328</v>
      </c>
      <c r="U2931" t="s">
        <v>54</v>
      </c>
      <c r="V2931" t="s">
        <v>969</v>
      </c>
      <c r="W2931">
        <v>3.1</v>
      </c>
      <c r="X2931" t="s">
        <v>41</v>
      </c>
      <c r="Y2931" t="s">
        <v>42</v>
      </c>
      <c r="Z2931">
        <v>4</v>
      </c>
    </row>
    <row r="2932" spans="1:26">
      <c r="A2932" t="s">
        <v>4188</v>
      </c>
      <c r="B2932" t="s">
        <v>899</v>
      </c>
      <c r="C2932" t="s">
        <v>28</v>
      </c>
      <c r="D2932" t="s">
        <v>103</v>
      </c>
      <c r="E2932" s="1">
        <v>45896</v>
      </c>
      <c r="F2932" t="s">
        <v>79</v>
      </c>
      <c r="G2932" t="s">
        <v>517</v>
      </c>
      <c r="H2932" t="s">
        <v>59</v>
      </c>
      <c r="I2932">
        <v>8</v>
      </c>
      <c r="J2932" t="s">
        <v>98</v>
      </c>
      <c r="K2932">
        <v>2</v>
      </c>
      <c r="L2932" s="3">
        <v>7199</v>
      </c>
      <c r="M2932">
        <v>10</v>
      </c>
      <c r="N2932" s="3">
        <v>6480</v>
      </c>
      <c r="O2932" s="3">
        <v>12960</v>
      </c>
      <c r="P2932" t="s">
        <v>81</v>
      </c>
      <c r="Q2932" t="s">
        <v>82</v>
      </c>
      <c r="R2932" t="s">
        <v>36</v>
      </c>
      <c r="S2932" t="s">
        <v>354</v>
      </c>
      <c r="T2932" t="s">
        <v>518</v>
      </c>
      <c r="U2932" t="s">
        <v>124</v>
      </c>
      <c r="V2932" t="s">
        <v>969</v>
      </c>
      <c r="W2932">
        <v>5</v>
      </c>
      <c r="X2932" t="s">
        <v>41</v>
      </c>
      <c r="Y2932" t="s">
        <v>42</v>
      </c>
      <c r="Z2932">
        <v>1</v>
      </c>
    </row>
    <row r="2933" spans="1:26">
      <c r="A2933" t="s">
        <v>4189</v>
      </c>
      <c r="B2933" t="s">
        <v>3409</v>
      </c>
      <c r="C2933" t="s">
        <v>28</v>
      </c>
      <c r="D2933" t="s">
        <v>46</v>
      </c>
      <c r="E2933" s="1">
        <v>45896</v>
      </c>
      <c r="F2933" t="s">
        <v>79</v>
      </c>
      <c r="G2933" t="s">
        <v>480</v>
      </c>
      <c r="H2933" t="s">
        <v>111</v>
      </c>
      <c r="I2933">
        <v>9</v>
      </c>
      <c r="J2933" t="s">
        <v>98</v>
      </c>
      <c r="K2933">
        <v>1</v>
      </c>
      <c r="L2933" s="3">
        <v>4599</v>
      </c>
      <c r="M2933">
        <v>20</v>
      </c>
      <c r="N2933" s="3">
        <v>3680</v>
      </c>
      <c r="O2933" s="3">
        <v>3680</v>
      </c>
      <c r="P2933" t="s">
        <v>74</v>
      </c>
      <c r="Q2933" t="s">
        <v>51</v>
      </c>
      <c r="R2933" t="s">
        <v>36</v>
      </c>
      <c r="S2933" t="s">
        <v>175</v>
      </c>
      <c r="T2933" t="s">
        <v>865</v>
      </c>
      <c r="U2933" t="s">
        <v>39</v>
      </c>
      <c r="V2933" t="s">
        <v>315</v>
      </c>
      <c r="W2933">
        <v>5</v>
      </c>
      <c r="X2933" t="s">
        <v>41</v>
      </c>
      <c r="Y2933" t="s">
        <v>42</v>
      </c>
      <c r="Z2933">
        <v>5</v>
      </c>
    </row>
    <row r="2934" spans="1:26">
      <c r="A2934" t="s">
        <v>4190</v>
      </c>
      <c r="B2934" t="s">
        <v>198</v>
      </c>
      <c r="C2934" t="s">
        <v>94</v>
      </c>
      <c r="D2934" t="s">
        <v>46</v>
      </c>
      <c r="E2934" s="1">
        <v>45897</v>
      </c>
      <c r="F2934" t="s">
        <v>96</v>
      </c>
      <c r="G2934" t="s">
        <v>290</v>
      </c>
      <c r="H2934" t="s">
        <v>32</v>
      </c>
      <c r="I2934">
        <v>8</v>
      </c>
      <c r="J2934" t="s">
        <v>67</v>
      </c>
      <c r="K2934">
        <v>2</v>
      </c>
      <c r="L2934" s="3">
        <v>7699</v>
      </c>
      <c r="M2934">
        <v>30</v>
      </c>
      <c r="N2934" s="3">
        <v>5390</v>
      </c>
      <c r="O2934" s="3">
        <v>10780</v>
      </c>
      <c r="P2934" t="s">
        <v>74</v>
      </c>
      <c r="Q2934" t="s">
        <v>51</v>
      </c>
      <c r="R2934" t="s">
        <v>36</v>
      </c>
      <c r="S2934" t="s">
        <v>200</v>
      </c>
      <c r="T2934" t="s">
        <v>204</v>
      </c>
      <c r="U2934" t="s">
        <v>54</v>
      </c>
      <c r="V2934" t="s">
        <v>969</v>
      </c>
      <c r="W2934">
        <v>4.4000000000000004</v>
      </c>
      <c r="X2934" t="s">
        <v>41</v>
      </c>
      <c r="Y2934" t="s">
        <v>55</v>
      </c>
      <c r="Z2934">
        <v>2</v>
      </c>
    </row>
    <row r="2935" spans="1:26">
      <c r="A2935" t="s">
        <v>4191</v>
      </c>
      <c r="B2935" t="s">
        <v>178</v>
      </c>
      <c r="C2935" t="s">
        <v>28</v>
      </c>
      <c r="D2935" t="s">
        <v>103</v>
      </c>
      <c r="E2935" s="1">
        <v>45901</v>
      </c>
      <c r="F2935" t="s">
        <v>47</v>
      </c>
      <c r="G2935" t="s">
        <v>121</v>
      </c>
      <c r="H2935" t="s">
        <v>111</v>
      </c>
      <c r="I2935">
        <v>6</v>
      </c>
      <c r="J2935" t="s">
        <v>67</v>
      </c>
      <c r="K2935">
        <v>1</v>
      </c>
      <c r="L2935" s="3">
        <v>4399</v>
      </c>
      <c r="M2935">
        <v>10</v>
      </c>
      <c r="N2935" s="3">
        <v>3960</v>
      </c>
      <c r="O2935" s="3">
        <v>3960</v>
      </c>
      <c r="P2935" t="s">
        <v>34</v>
      </c>
      <c r="Q2935" t="s">
        <v>51</v>
      </c>
      <c r="R2935" t="s">
        <v>36</v>
      </c>
      <c r="S2935" t="s">
        <v>99</v>
      </c>
      <c r="T2935" t="s">
        <v>759</v>
      </c>
      <c r="U2935" t="s">
        <v>39</v>
      </c>
      <c r="V2935" t="s">
        <v>315</v>
      </c>
      <c r="W2935">
        <v>4</v>
      </c>
      <c r="X2935" t="s">
        <v>41</v>
      </c>
      <c r="Y2935" t="s">
        <v>42</v>
      </c>
      <c r="Z2935">
        <v>5</v>
      </c>
    </row>
    <row r="2936" spans="1:26">
      <c r="A2936" t="s">
        <v>4192</v>
      </c>
      <c r="B2936" t="s">
        <v>1449</v>
      </c>
      <c r="C2936" t="s">
        <v>28</v>
      </c>
      <c r="D2936" t="s">
        <v>46</v>
      </c>
      <c r="E2936" s="1">
        <v>45902</v>
      </c>
      <c r="F2936" t="s">
        <v>30</v>
      </c>
      <c r="G2936" t="s">
        <v>58</v>
      </c>
      <c r="H2936" t="s">
        <v>59</v>
      </c>
      <c r="I2936">
        <v>10</v>
      </c>
      <c r="J2936" t="s">
        <v>150</v>
      </c>
      <c r="K2936">
        <v>1</v>
      </c>
      <c r="L2936" s="3">
        <v>8599</v>
      </c>
      <c r="M2936">
        <v>10</v>
      </c>
      <c r="N2936" s="3">
        <v>7740</v>
      </c>
      <c r="O2936" s="3">
        <v>7740</v>
      </c>
      <c r="P2936" t="s">
        <v>34</v>
      </c>
      <c r="Q2936" t="s">
        <v>82</v>
      </c>
      <c r="R2936" t="s">
        <v>36</v>
      </c>
      <c r="S2936" t="s">
        <v>156</v>
      </c>
      <c r="T2936" t="s">
        <v>157</v>
      </c>
      <c r="U2936" t="s">
        <v>61</v>
      </c>
      <c r="V2936" t="s">
        <v>315</v>
      </c>
      <c r="W2936">
        <v>3.6</v>
      </c>
      <c r="X2936" t="s">
        <v>106</v>
      </c>
      <c r="Y2936" t="s">
        <v>147</v>
      </c>
      <c r="Z2936">
        <v>1</v>
      </c>
    </row>
    <row r="2937" spans="1:26">
      <c r="A2937" t="s">
        <v>4193</v>
      </c>
      <c r="B2937" t="s">
        <v>4194</v>
      </c>
      <c r="C2937" t="s">
        <v>28</v>
      </c>
      <c r="D2937" t="s">
        <v>46</v>
      </c>
      <c r="E2937" s="1">
        <v>45902</v>
      </c>
      <c r="F2937" t="s">
        <v>65</v>
      </c>
      <c r="G2937" t="s">
        <v>256</v>
      </c>
      <c r="H2937" t="s">
        <v>32</v>
      </c>
      <c r="I2937">
        <v>10</v>
      </c>
      <c r="J2937" t="s">
        <v>88</v>
      </c>
      <c r="K2937">
        <v>1</v>
      </c>
      <c r="L2937" s="3">
        <v>8799</v>
      </c>
      <c r="M2937">
        <v>15</v>
      </c>
      <c r="N2937" s="3">
        <v>7480</v>
      </c>
      <c r="O2937" s="3">
        <v>7480</v>
      </c>
      <c r="P2937" t="s">
        <v>74</v>
      </c>
      <c r="Q2937" t="s">
        <v>51</v>
      </c>
      <c r="R2937" t="s">
        <v>36</v>
      </c>
      <c r="S2937" t="s">
        <v>191</v>
      </c>
      <c r="T2937" t="s">
        <v>521</v>
      </c>
      <c r="U2937" t="s">
        <v>54</v>
      </c>
      <c r="V2937" t="s">
        <v>40</v>
      </c>
      <c r="W2937">
        <v>3</v>
      </c>
      <c r="X2937" t="s">
        <v>41</v>
      </c>
      <c r="Y2937" t="s">
        <v>42</v>
      </c>
      <c r="Z2937">
        <v>5</v>
      </c>
    </row>
    <row r="2938" spans="1:26">
      <c r="A2938" t="s">
        <v>4195</v>
      </c>
      <c r="B2938" t="s">
        <v>1238</v>
      </c>
      <c r="C2938" t="s">
        <v>45</v>
      </c>
      <c r="D2938" t="s">
        <v>29</v>
      </c>
      <c r="E2938" s="1">
        <v>45903</v>
      </c>
      <c r="F2938" t="s">
        <v>96</v>
      </c>
      <c r="G2938" t="s">
        <v>290</v>
      </c>
      <c r="H2938" t="s">
        <v>32</v>
      </c>
      <c r="I2938">
        <v>9</v>
      </c>
      <c r="J2938" t="s">
        <v>88</v>
      </c>
      <c r="K2938">
        <v>1</v>
      </c>
      <c r="L2938" s="3">
        <v>5899</v>
      </c>
      <c r="M2938">
        <v>20</v>
      </c>
      <c r="N2938" s="3">
        <v>4720</v>
      </c>
      <c r="O2938" s="3">
        <v>4720</v>
      </c>
      <c r="P2938" t="s">
        <v>50</v>
      </c>
      <c r="Q2938" t="s">
        <v>51</v>
      </c>
      <c r="R2938" t="s">
        <v>36</v>
      </c>
      <c r="S2938" t="s">
        <v>338</v>
      </c>
      <c r="T2938" t="s">
        <v>338</v>
      </c>
      <c r="U2938" t="s">
        <v>61</v>
      </c>
      <c r="V2938" t="s">
        <v>969</v>
      </c>
      <c r="W2938">
        <v>3</v>
      </c>
      <c r="X2938" t="s">
        <v>41</v>
      </c>
      <c r="Y2938" t="s">
        <v>42</v>
      </c>
      <c r="Z2938">
        <v>3</v>
      </c>
    </row>
    <row r="2939" spans="1:26">
      <c r="A2939" t="s">
        <v>4196</v>
      </c>
      <c r="B2939" t="s">
        <v>381</v>
      </c>
      <c r="C2939" t="s">
        <v>28</v>
      </c>
      <c r="D2939" t="s">
        <v>46</v>
      </c>
      <c r="E2939" s="1">
        <v>45903</v>
      </c>
      <c r="F2939" t="s">
        <v>79</v>
      </c>
      <c r="G2939" t="s">
        <v>517</v>
      </c>
      <c r="H2939" t="s">
        <v>59</v>
      </c>
      <c r="I2939">
        <v>9</v>
      </c>
      <c r="J2939" t="s">
        <v>67</v>
      </c>
      <c r="K2939">
        <v>2</v>
      </c>
      <c r="L2939" s="3">
        <v>7099</v>
      </c>
      <c r="M2939">
        <v>5</v>
      </c>
      <c r="N2939" s="3">
        <v>6740</v>
      </c>
      <c r="O2939" s="3">
        <v>13480</v>
      </c>
      <c r="P2939" t="s">
        <v>74</v>
      </c>
      <c r="Q2939" t="s">
        <v>51</v>
      </c>
      <c r="R2939" t="s">
        <v>36</v>
      </c>
      <c r="S2939" t="s">
        <v>182</v>
      </c>
      <c r="T2939" t="s">
        <v>604</v>
      </c>
      <c r="U2939" t="s">
        <v>91</v>
      </c>
      <c r="V2939" t="s">
        <v>969</v>
      </c>
      <c r="W2939">
        <v>3.6</v>
      </c>
      <c r="X2939" t="s">
        <v>41</v>
      </c>
      <c r="Y2939" t="s">
        <v>42</v>
      </c>
      <c r="Z2939">
        <v>3</v>
      </c>
    </row>
    <row r="2940" spans="1:26">
      <c r="A2940" t="s">
        <v>4197</v>
      </c>
      <c r="B2940" t="s">
        <v>1152</v>
      </c>
      <c r="C2940" t="s">
        <v>45</v>
      </c>
      <c r="D2940" t="s">
        <v>46</v>
      </c>
      <c r="E2940" s="1">
        <v>45904</v>
      </c>
      <c r="F2940" t="s">
        <v>30</v>
      </c>
      <c r="G2940" t="s">
        <v>110</v>
      </c>
      <c r="H2940" t="s">
        <v>111</v>
      </c>
      <c r="I2940">
        <v>10</v>
      </c>
      <c r="J2940" t="s">
        <v>150</v>
      </c>
      <c r="K2940">
        <v>1</v>
      </c>
      <c r="L2940" s="3">
        <v>4099</v>
      </c>
      <c r="M2940">
        <v>25</v>
      </c>
      <c r="N2940" s="3">
        <v>3070</v>
      </c>
      <c r="O2940" s="3">
        <v>3070</v>
      </c>
      <c r="P2940" t="s">
        <v>74</v>
      </c>
      <c r="Q2940" t="s">
        <v>51</v>
      </c>
      <c r="R2940" t="s">
        <v>36</v>
      </c>
      <c r="S2940" t="s">
        <v>182</v>
      </c>
      <c r="T2940" t="s">
        <v>503</v>
      </c>
      <c r="U2940" t="s">
        <v>54</v>
      </c>
      <c r="V2940" t="s">
        <v>969</v>
      </c>
      <c r="W2940">
        <v>4.2</v>
      </c>
      <c r="X2940" t="s">
        <v>41</v>
      </c>
      <c r="Y2940" t="s">
        <v>55</v>
      </c>
      <c r="Z2940">
        <v>2</v>
      </c>
    </row>
    <row r="2941" spans="1:26">
      <c r="A2941" t="s">
        <v>4198</v>
      </c>
      <c r="B2941" t="s">
        <v>2167</v>
      </c>
      <c r="C2941" t="s">
        <v>28</v>
      </c>
      <c r="D2941" t="s">
        <v>29</v>
      </c>
      <c r="E2941" s="1">
        <v>45904</v>
      </c>
      <c r="F2941" t="s">
        <v>65</v>
      </c>
      <c r="G2941" t="s">
        <v>365</v>
      </c>
      <c r="H2941" t="s">
        <v>49</v>
      </c>
      <c r="I2941">
        <v>8</v>
      </c>
      <c r="J2941" t="s">
        <v>67</v>
      </c>
      <c r="K2941">
        <v>1</v>
      </c>
      <c r="L2941" s="3">
        <v>6999</v>
      </c>
      <c r="M2941">
        <v>10</v>
      </c>
      <c r="N2941" s="3">
        <v>6300</v>
      </c>
      <c r="O2941" s="3">
        <v>6300</v>
      </c>
      <c r="P2941" t="s">
        <v>74</v>
      </c>
      <c r="Q2941" t="s">
        <v>82</v>
      </c>
      <c r="R2941" t="s">
        <v>36</v>
      </c>
      <c r="S2941" t="s">
        <v>156</v>
      </c>
      <c r="T2941" t="s">
        <v>369</v>
      </c>
      <c r="U2941" t="s">
        <v>61</v>
      </c>
      <c r="V2941" t="s">
        <v>969</v>
      </c>
      <c r="W2941">
        <v>3.1</v>
      </c>
      <c r="X2941" t="s">
        <v>41</v>
      </c>
      <c r="Y2941" t="s">
        <v>55</v>
      </c>
      <c r="Z2941">
        <v>1</v>
      </c>
    </row>
    <row r="2942" spans="1:26">
      <c r="A2942" t="s">
        <v>4199</v>
      </c>
      <c r="B2942" t="s">
        <v>1146</v>
      </c>
      <c r="C2942" t="s">
        <v>45</v>
      </c>
      <c r="D2942" t="s">
        <v>95</v>
      </c>
      <c r="E2942" s="1">
        <v>45907</v>
      </c>
      <c r="F2942" t="s">
        <v>30</v>
      </c>
      <c r="G2942" t="s">
        <v>31</v>
      </c>
      <c r="H2942" t="s">
        <v>32</v>
      </c>
      <c r="I2942">
        <v>12</v>
      </c>
      <c r="J2942" t="s">
        <v>67</v>
      </c>
      <c r="K2942">
        <v>1</v>
      </c>
      <c r="L2942" s="3">
        <v>5399</v>
      </c>
      <c r="M2942">
        <v>10</v>
      </c>
      <c r="N2942" s="3">
        <v>4860</v>
      </c>
      <c r="O2942" s="3">
        <v>4860</v>
      </c>
      <c r="P2942" t="s">
        <v>74</v>
      </c>
      <c r="Q2942" t="s">
        <v>82</v>
      </c>
      <c r="R2942" t="s">
        <v>36</v>
      </c>
      <c r="S2942" t="s">
        <v>210</v>
      </c>
      <c r="T2942" t="s">
        <v>412</v>
      </c>
      <c r="U2942" t="s">
        <v>54</v>
      </c>
      <c r="V2942" t="s">
        <v>315</v>
      </c>
      <c r="W2942">
        <v>4.3</v>
      </c>
      <c r="X2942" t="s">
        <v>106</v>
      </c>
      <c r="Y2942" t="s">
        <v>42</v>
      </c>
      <c r="Z2942">
        <v>3</v>
      </c>
    </row>
    <row r="2943" spans="1:26">
      <c r="A2943" t="s">
        <v>4200</v>
      </c>
      <c r="B2943" t="s">
        <v>330</v>
      </c>
      <c r="C2943" t="s">
        <v>94</v>
      </c>
      <c r="D2943" t="s">
        <v>46</v>
      </c>
      <c r="E2943" s="1">
        <v>45907</v>
      </c>
      <c r="F2943" t="s">
        <v>30</v>
      </c>
      <c r="G2943" t="s">
        <v>145</v>
      </c>
      <c r="H2943" t="s">
        <v>59</v>
      </c>
      <c r="I2943">
        <v>12</v>
      </c>
      <c r="J2943" t="s">
        <v>98</v>
      </c>
      <c r="K2943">
        <v>1</v>
      </c>
      <c r="L2943" s="3">
        <v>6499</v>
      </c>
      <c r="M2943">
        <v>25</v>
      </c>
      <c r="N2943" s="3">
        <v>4870</v>
      </c>
      <c r="O2943" s="3">
        <v>4870</v>
      </c>
      <c r="P2943" t="s">
        <v>34</v>
      </c>
      <c r="Q2943" t="s">
        <v>35</v>
      </c>
      <c r="R2943" t="s">
        <v>36</v>
      </c>
      <c r="S2943" t="s">
        <v>182</v>
      </c>
      <c r="T2943" t="s">
        <v>604</v>
      </c>
      <c r="U2943" t="s">
        <v>54</v>
      </c>
      <c r="V2943" t="s">
        <v>969</v>
      </c>
      <c r="W2943">
        <v>4</v>
      </c>
      <c r="X2943" t="s">
        <v>62</v>
      </c>
      <c r="Y2943" t="s">
        <v>55</v>
      </c>
      <c r="Z2943">
        <v>4</v>
      </c>
    </row>
    <row r="2944" spans="1:26">
      <c r="A2944" t="s">
        <v>4201</v>
      </c>
      <c r="B2944" t="s">
        <v>3458</v>
      </c>
      <c r="C2944" t="s">
        <v>94</v>
      </c>
      <c r="D2944" t="s">
        <v>29</v>
      </c>
      <c r="E2944" s="1">
        <v>45908</v>
      </c>
      <c r="F2944" t="s">
        <v>30</v>
      </c>
      <c r="G2944" t="s">
        <v>347</v>
      </c>
      <c r="H2944" t="s">
        <v>49</v>
      </c>
      <c r="I2944">
        <v>9</v>
      </c>
      <c r="J2944" t="s">
        <v>98</v>
      </c>
      <c r="K2944">
        <v>1</v>
      </c>
      <c r="L2944" s="3">
        <v>7299</v>
      </c>
      <c r="M2944">
        <v>10</v>
      </c>
      <c r="N2944" s="3">
        <v>6570</v>
      </c>
      <c r="O2944" s="3">
        <v>6570</v>
      </c>
      <c r="P2944" t="s">
        <v>74</v>
      </c>
      <c r="Q2944" t="s">
        <v>51</v>
      </c>
      <c r="R2944" t="s">
        <v>36</v>
      </c>
      <c r="S2944" t="s">
        <v>104</v>
      </c>
      <c r="T2944" t="s">
        <v>1048</v>
      </c>
      <c r="U2944" t="s">
        <v>91</v>
      </c>
      <c r="V2944" t="s">
        <v>315</v>
      </c>
      <c r="W2944">
        <v>4.0999999999999996</v>
      </c>
      <c r="X2944" t="s">
        <v>106</v>
      </c>
      <c r="Y2944" t="s">
        <v>42</v>
      </c>
      <c r="Z2944">
        <v>3</v>
      </c>
    </row>
    <row r="2945" spans="1:26">
      <c r="A2945" t="s">
        <v>4202</v>
      </c>
      <c r="B2945" t="s">
        <v>441</v>
      </c>
      <c r="C2945" t="s">
        <v>45</v>
      </c>
      <c r="D2945" t="s">
        <v>103</v>
      </c>
      <c r="E2945" s="1">
        <v>45909</v>
      </c>
      <c r="F2945" t="s">
        <v>30</v>
      </c>
      <c r="G2945" t="s">
        <v>214</v>
      </c>
      <c r="H2945" t="s">
        <v>128</v>
      </c>
      <c r="I2945">
        <v>8</v>
      </c>
      <c r="J2945" t="s">
        <v>73</v>
      </c>
      <c r="K2945">
        <v>1</v>
      </c>
      <c r="L2945" s="3">
        <v>8199</v>
      </c>
      <c r="M2945">
        <v>20</v>
      </c>
      <c r="N2945" s="3">
        <v>6560</v>
      </c>
      <c r="O2945" s="3">
        <v>6560</v>
      </c>
      <c r="P2945" t="s">
        <v>74</v>
      </c>
      <c r="Q2945" t="s">
        <v>82</v>
      </c>
      <c r="R2945" t="s">
        <v>36</v>
      </c>
      <c r="S2945" t="s">
        <v>151</v>
      </c>
      <c r="T2945" t="s">
        <v>452</v>
      </c>
      <c r="U2945" t="s">
        <v>54</v>
      </c>
      <c r="V2945" t="s">
        <v>969</v>
      </c>
      <c r="W2945">
        <v>3.4</v>
      </c>
      <c r="X2945" t="s">
        <v>41</v>
      </c>
      <c r="Y2945" t="s">
        <v>42</v>
      </c>
      <c r="Z2945">
        <v>2</v>
      </c>
    </row>
    <row r="2946" spans="1:26">
      <c r="A2946" t="s">
        <v>4203</v>
      </c>
      <c r="B2946" t="s">
        <v>1170</v>
      </c>
      <c r="C2946" t="s">
        <v>28</v>
      </c>
      <c r="D2946" t="s">
        <v>29</v>
      </c>
      <c r="E2946" s="1">
        <v>45910</v>
      </c>
      <c r="F2946" t="s">
        <v>79</v>
      </c>
      <c r="G2946" t="s">
        <v>127</v>
      </c>
      <c r="H2946" t="s">
        <v>128</v>
      </c>
      <c r="I2946">
        <v>8</v>
      </c>
      <c r="J2946" t="s">
        <v>88</v>
      </c>
      <c r="K2946">
        <v>3</v>
      </c>
      <c r="L2946" s="3">
        <v>7899</v>
      </c>
      <c r="M2946">
        <v>10</v>
      </c>
      <c r="N2946" s="3">
        <v>7110</v>
      </c>
      <c r="O2946" s="3">
        <v>21330</v>
      </c>
      <c r="P2946" t="s">
        <v>74</v>
      </c>
      <c r="Q2946" t="s">
        <v>82</v>
      </c>
      <c r="R2946" t="s">
        <v>36</v>
      </c>
      <c r="S2946" t="s">
        <v>52</v>
      </c>
      <c r="T2946" t="s">
        <v>83</v>
      </c>
      <c r="U2946" t="s">
        <v>91</v>
      </c>
      <c r="V2946" t="s">
        <v>315</v>
      </c>
      <c r="W2946">
        <v>3.5</v>
      </c>
      <c r="X2946" t="s">
        <v>106</v>
      </c>
      <c r="Y2946" t="s">
        <v>42</v>
      </c>
      <c r="Z2946">
        <v>2</v>
      </c>
    </row>
    <row r="2947" spans="1:26">
      <c r="A2947" t="s">
        <v>4204</v>
      </c>
      <c r="B2947" t="s">
        <v>841</v>
      </c>
      <c r="C2947" t="s">
        <v>45</v>
      </c>
      <c r="D2947" t="s">
        <v>109</v>
      </c>
      <c r="E2947" s="1">
        <v>45910</v>
      </c>
      <c r="F2947" t="s">
        <v>65</v>
      </c>
      <c r="G2947" t="s">
        <v>268</v>
      </c>
      <c r="H2947" t="s">
        <v>128</v>
      </c>
      <c r="I2947">
        <v>8</v>
      </c>
      <c r="J2947" t="s">
        <v>150</v>
      </c>
      <c r="K2947">
        <v>2</v>
      </c>
      <c r="L2947" s="3">
        <v>4399</v>
      </c>
      <c r="M2947">
        <v>15</v>
      </c>
      <c r="N2947" s="3">
        <v>3740</v>
      </c>
      <c r="O2947" s="3">
        <v>7480</v>
      </c>
      <c r="P2947" t="s">
        <v>74</v>
      </c>
      <c r="Q2947" t="s">
        <v>82</v>
      </c>
      <c r="R2947" t="s">
        <v>36</v>
      </c>
      <c r="S2947" t="s">
        <v>52</v>
      </c>
      <c r="T2947" t="s">
        <v>235</v>
      </c>
      <c r="U2947" t="s">
        <v>39</v>
      </c>
      <c r="V2947" t="s">
        <v>969</v>
      </c>
      <c r="W2947">
        <v>4</v>
      </c>
      <c r="X2947" t="s">
        <v>62</v>
      </c>
      <c r="Y2947" t="s">
        <v>42</v>
      </c>
      <c r="Z2947">
        <v>4</v>
      </c>
    </row>
    <row r="2948" spans="1:26">
      <c r="A2948" t="s">
        <v>4205</v>
      </c>
      <c r="B2948" t="s">
        <v>615</v>
      </c>
      <c r="C2948" t="s">
        <v>28</v>
      </c>
      <c r="D2948" t="s">
        <v>46</v>
      </c>
      <c r="E2948" s="1">
        <v>45911</v>
      </c>
      <c r="F2948" t="s">
        <v>79</v>
      </c>
      <c r="G2948" t="s">
        <v>127</v>
      </c>
      <c r="H2948" t="s">
        <v>128</v>
      </c>
      <c r="I2948">
        <v>8</v>
      </c>
      <c r="J2948" t="s">
        <v>67</v>
      </c>
      <c r="K2948">
        <v>1</v>
      </c>
      <c r="L2948" s="3">
        <v>5399</v>
      </c>
      <c r="M2948">
        <v>15</v>
      </c>
      <c r="N2948" s="3">
        <v>4590</v>
      </c>
      <c r="O2948" s="3">
        <v>4590</v>
      </c>
      <c r="P2948" t="s">
        <v>74</v>
      </c>
      <c r="Q2948" t="s">
        <v>35</v>
      </c>
      <c r="R2948" t="s">
        <v>36</v>
      </c>
      <c r="S2948" t="s">
        <v>384</v>
      </c>
      <c r="T2948" t="s">
        <v>481</v>
      </c>
      <c r="U2948" t="s">
        <v>39</v>
      </c>
      <c r="V2948" t="s">
        <v>315</v>
      </c>
      <c r="W2948">
        <v>3.9</v>
      </c>
      <c r="X2948" t="s">
        <v>41</v>
      </c>
      <c r="Y2948" t="s">
        <v>55</v>
      </c>
      <c r="Z2948">
        <v>2</v>
      </c>
    </row>
    <row r="2949" spans="1:26">
      <c r="A2949" t="s">
        <v>4206</v>
      </c>
      <c r="B2949" t="s">
        <v>2395</v>
      </c>
      <c r="C2949" t="s">
        <v>28</v>
      </c>
      <c r="D2949" t="s">
        <v>46</v>
      </c>
      <c r="E2949" s="1">
        <v>45912</v>
      </c>
      <c r="F2949" t="s">
        <v>86</v>
      </c>
      <c r="G2949" t="s">
        <v>87</v>
      </c>
      <c r="H2949" t="s">
        <v>59</v>
      </c>
      <c r="I2949">
        <v>7</v>
      </c>
      <c r="J2949" t="s">
        <v>33</v>
      </c>
      <c r="K2949">
        <v>3</v>
      </c>
      <c r="L2949" s="3">
        <v>9599</v>
      </c>
      <c r="M2949">
        <v>20</v>
      </c>
      <c r="N2949" s="3">
        <v>7680</v>
      </c>
      <c r="O2949" s="3">
        <v>23040</v>
      </c>
      <c r="P2949" t="s">
        <v>34</v>
      </c>
      <c r="Q2949" t="s">
        <v>82</v>
      </c>
      <c r="R2949" t="s">
        <v>36</v>
      </c>
      <c r="S2949" t="s">
        <v>136</v>
      </c>
      <c r="T2949" t="s">
        <v>137</v>
      </c>
      <c r="U2949" t="s">
        <v>124</v>
      </c>
      <c r="V2949" t="s">
        <v>315</v>
      </c>
      <c r="W2949">
        <v>3.2</v>
      </c>
      <c r="X2949" t="s">
        <v>106</v>
      </c>
      <c r="Y2949" t="s">
        <v>55</v>
      </c>
      <c r="Z2949">
        <v>3</v>
      </c>
    </row>
    <row r="2950" spans="1:26">
      <c r="A2950" t="s">
        <v>4207</v>
      </c>
      <c r="B2950" t="s">
        <v>727</v>
      </c>
      <c r="C2950" t="s">
        <v>94</v>
      </c>
      <c r="D2950" t="s">
        <v>29</v>
      </c>
      <c r="E2950" s="1">
        <v>45912</v>
      </c>
      <c r="F2950" t="s">
        <v>86</v>
      </c>
      <c r="G2950" t="s">
        <v>190</v>
      </c>
      <c r="H2950" t="s">
        <v>128</v>
      </c>
      <c r="I2950">
        <v>7</v>
      </c>
      <c r="J2950" t="s">
        <v>150</v>
      </c>
      <c r="K2950">
        <v>1</v>
      </c>
      <c r="L2950" s="3">
        <v>5799</v>
      </c>
      <c r="M2950">
        <v>20</v>
      </c>
      <c r="N2950" s="3">
        <v>4640</v>
      </c>
      <c r="O2950" s="3">
        <v>4640</v>
      </c>
      <c r="P2950" t="s">
        <v>74</v>
      </c>
      <c r="Q2950" t="s">
        <v>82</v>
      </c>
      <c r="R2950" t="s">
        <v>36</v>
      </c>
      <c r="S2950" t="s">
        <v>186</v>
      </c>
      <c r="T2950" t="s">
        <v>187</v>
      </c>
      <c r="U2950" t="s">
        <v>39</v>
      </c>
      <c r="V2950" t="s">
        <v>969</v>
      </c>
      <c r="W2950">
        <v>4.4000000000000004</v>
      </c>
      <c r="X2950" t="s">
        <v>41</v>
      </c>
      <c r="Y2950" t="s">
        <v>147</v>
      </c>
      <c r="Z2950">
        <v>2</v>
      </c>
    </row>
    <row r="2951" spans="1:26">
      <c r="A2951" t="s">
        <v>4208</v>
      </c>
      <c r="B2951" t="s">
        <v>1459</v>
      </c>
      <c r="C2951" t="s">
        <v>45</v>
      </c>
      <c r="D2951" t="s">
        <v>103</v>
      </c>
      <c r="E2951" s="1">
        <v>45914</v>
      </c>
      <c r="F2951" t="s">
        <v>30</v>
      </c>
      <c r="G2951" t="s">
        <v>110</v>
      </c>
      <c r="H2951" t="s">
        <v>111</v>
      </c>
      <c r="I2951">
        <v>9</v>
      </c>
      <c r="J2951" t="s">
        <v>73</v>
      </c>
      <c r="K2951">
        <v>1</v>
      </c>
      <c r="L2951" s="3">
        <v>6699</v>
      </c>
      <c r="M2951">
        <v>15</v>
      </c>
      <c r="N2951" s="3">
        <v>5690</v>
      </c>
      <c r="O2951" s="3">
        <v>5690</v>
      </c>
      <c r="P2951" t="s">
        <v>34</v>
      </c>
      <c r="Q2951" t="s">
        <v>51</v>
      </c>
      <c r="R2951" t="s">
        <v>36</v>
      </c>
      <c r="S2951" t="s">
        <v>460</v>
      </c>
      <c r="T2951" t="s">
        <v>461</v>
      </c>
      <c r="U2951" t="s">
        <v>124</v>
      </c>
      <c r="V2951" t="s">
        <v>969</v>
      </c>
      <c r="W2951">
        <v>3.8</v>
      </c>
      <c r="X2951" t="s">
        <v>41</v>
      </c>
      <c r="Y2951" t="s">
        <v>55</v>
      </c>
      <c r="Z2951">
        <v>2</v>
      </c>
    </row>
    <row r="2952" spans="1:26">
      <c r="A2952" t="s">
        <v>4209</v>
      </c>
      <c r="B2952" t="s">
        <v>554</v>
      </c>
      <c r="C2952" t="s">
        <v>28</v>
      </c>
      <c r="D2952" t="s">
        <v>29</v>
      </c>
      <c r="E2952" s="1">
        <v>45915</v>
      </c>
      <c r="F2952" t="s">
        <v>65</v>
      </c>
      <c r="G2952" t="s">
        <v>279</v>
      </c>
      <c r="H2952" t="s">
        <v>111</v>
      </c>
      <c r="I2952">
        <v>12</v>
      </c>
      <c r="J2952" t="s">
        <v>150</v>
      </c>
      <c r="K2952">
        <v>2</v>
      </c>
      <c r="L2952" s="3">
        <v>6799</v>
      </c>
      <c r="M2952">
        <v>25</v>
      </c>
      <c r="N2952" s="3">
        <v>5100</v>
      </c>
      <c r="O2952" s="3">
        <v>10200</v>
      </c>
      <c r="P2952" t="s">
        <v>74</v>
      </c>
      <c r="Q2952" t="s">
        <v>82</v>
      </c>
      <c r="R2952" t="s">
        <v>36</v>
      </c>
      <c r="S2952" t="s">
        <v>384</v>
      </c>
      <c r="T2952" t="s">
        <v>385</v>
      </c>
      <c r="U2952" t="s">
        <v>124</v>
      </c>
      <c r="V2952" t="s">
        <v>315</v>
      </c>
      <c r="W2952">
        <v>3.2</v>
      </c>
      <c r="X2952" t="s">
        <v>41</v>
      </c>
      <c r="Y2952" t="s">
        <v>42</v>
      </c>
      <c r="Z2952">
        <v>4</v>
      </c>
    </row>
    <row r="2953" spans="1:26">
      <c r="A2953" t="s">
        <v>4210</v>
      </c>
      <c r="B2953" t="s">
        <v>2200</v>
      </c>
      <c r="C2953" t="s">
        <v>28</v>
      </c>
      <c r="D2953" t="s">
        <v>103</v>
      </c>
      <c r="E2953" s="1">
        <v>45915</v>
      </c>
      <c r="F2953" t="s">
        <v>96</v>
      </c>
      <c r="G2953" t="s">
        <v>290</v>
      </c>
      <c r="H2953" t="s">
        <v>32</v>
      </c>
      <c r="I2953">
        <v>10</v>
      </c>
      <c r="J2953" t="s">
        <v>150</v>
      </c>
      <c r="K2953">
        <v>1</v>
      </c>
      <c r="L2953" s="3">
        <v>7999</v>
      </c>
      <c r="M2953">
        <v>20</v>
      </c>
      <c r="N2953" s="3">
        <v>6400</v>
      </c>
      <c r="O2953" s="3">
        <v>6400</v>
      </c>
      <c r="P2953" t="s">
        <v>34</v>
      </c>
      <c r="Q2953" t="s">
        <v>51</v>
      </c>
      <c r="R2953" t="s">
        <v>36</v>
      </c>
      <c r="S2953" t="s">
        <v>297</v>
      </c>
      <c r="T2953" t="s">
        <v>390</v>
      </c>
      <c r="U2953" t="s">
        <v>39</v>
      </c>
      <c r="V2953" t="s">
        <v>969</v>
      </c>
      <c r="W2953">
        <v>3.9</v>
      </c>
      <c r="X2953" t="s">
        <v>41</v>
      </c>
      <c r="Y2953" t="s">
        <v>55</v>
      </c>
      <c r="Z2953">
        <v>1</v>
      </c>
    </row>
    <row r="2954" spans="1:26">
      <c r="A2954" t="s">
        <v>4211</v>
      </c>
      <c r="B2954" t="s">
        <v>2828</v>
      </c>
      <c r="C2954" t="s">
        <v>45</v>
      </c>
      <c r="D2954" t="s">
        <v>29</v>
      </c>
      <c r="E2954" s="1">
        <v>45916</v>
      </c>
      <c r="F2954" t="s">
        <v>79</v>
      </c>
      <c r="G2954" t="s">
        <v>480</v>
      </c>
      <c r="H2954" t="s">
        <v>111</v>
      </c>
      <c r="I2954">
        <v>8</v>
      </c>
      <c r="J2954" t="s">
        <v>150</v>
      </c>
      <c r="K2954">
        <v>2</v>
      </c>
      <c r="L2954" s="3">
        <v>3599</v>
      </c>
      <c r="M2954">
        <v>25</v>
      </c>
      <c r="N2954" s="3">
        <v>2700</v>
      </c>
      <c r="O2954" s="3">
        <v>5400</v>
      </c>
      <c r="P2954" t="s">
        <v>74</v>
      </c>
      <c r="Q2954" t="s">
        <v>35</v>
      </c>
      <c r="R2954" t="s">
        <v>36</v>
      </c>
      <c r="S2954" t="s">
        <v>210</v>
      </c>
      <c r="T2954" t="s">
        <v>412</v>
      </c>
      <c r="U2954" t="s">
        <v>54</v>
      </c>
      <c r="V2954" t="s">
        <v>315</v>
      </c>
      <c r="W2954">
        <v>3.6</v>
      </c>
      <c r="X2954" t="s">
        <v>41</v>
      </c>
      <c r="Y2954" t="s">
        <v>55</v>
      </c>
      <c r="Z2954">
        <v>1</v>
      </c>
    </row>
    <row r="2955" spans="1:26">
      <c r="A2955" t="s">
        <v>4212</v>
      </c>
      <c r="B2955" t="s">
        <v>947</v>
      </c>
      <c r="C2955" t="s">
        <v>28</v>
      </c>
      <c r="D2955" t="s">
        <v>103</v>
      </c>
      <c r="E2955" s="1">
        <v>45918</v>
      </c>
      <c r="F2955" t="s">
        <v>96</v>
      </c>
      <c r="G2955" t="s">
        <v>323</v>
      </c>
      <c r="H2955" t="s">
        <v>59</v>
      </c>
      <c r="I2955">
        <v>10</v>
      </c>
      <c r="J2955" t="s">
        <v>150</v>
      </c>
      <c r="K2955">
        <v>4</v>
      </c>
      <c r="L2955" s="3">
        <v>6599</v>
      </c>
      <c r="M2955">
        <v>25</v>
      </c>
      <c r="N2955" s="3">
        <v>4950</v>
      </c>
      <c r="O2955" s="3">
        <v>19800</v>
      </c>
      <c r="P2955" t="s">
        <v>81</v>
      </c>
      <c r="Q2955" t="s">
        <v>51</v>
      </c>
      <c r="R2955" t="s">
        <v>36</v>
      </c>
      <c r="S2955" t="s">
        <v>384</v>
      </c>
      <c r="T2955" t="s">
        <v>1217</v>
      </c>
      <c r="U2955" t="s">
        <v>39</v>
      </c>
      <c r="V2955" t="s">
        <v>969</v>
      </c>
      <c r="W2955">
        <v>4.7</v>
      </c>
      <c r="X2955" t="s">
        <v>62</v>
      </c>
      <c r="Y2955" t="s">
        <v>42</v>
      </c>
      <c r="Z2955">
        <v>2</v>
      </c>
    </row>
    <row r="2956" spans="1:26">
      <c r="A2956" t="s">
        <v>4213</v>
      </c>
      <c r="B2956" t="s">
        <v>2834</v>
      </c>
      <c r="C2956" t="s">
        <v>28</v>
      </c>
      <c r="D2956" t="s">
        <v>29</v>
      </c>
      <c r="E2956" s="1">
        <v>45918</v>
      </c>
      <c r="F2956" t="s">
        <v>47</v>
      </c>
      <c r="G2956" t="s">
        <v>218</v>
      </c>
      <c r="H2956" t="s">
        <v>59</v>
      </c>
      <c r="I2956">
        <v>9</v>
      </c>
      <c r="J2956" t="s">
        <v>33</v>
      </c>
      <c r="K2956">
        <v>1</v>
      </c>
      <c r="L2956" s="3">
        <v>6199</v>
      </c>
      <c r="M2956">
        <v>0</v>
      </c>
      <c r="N2956" s="3">
        <v>6200</v>
      </c>
      <c r="O2956" s="3">
        <v>6200</v>
      </c>
      <c r="P2956" t="s">
        <v>74</v>
      </c>
      <c r="Q2956" t="s">
        <v>82</v>
      </c>
      <c r="R2956" t="s">
        <v>36</v>
      </c>
      <c r="S2956" t="s">
        <v>151</v>
      </c>
      <c r="T2956" t="s">
        <v>152</v>
      </c>
      <c r="U2956" t="s">
        <v>61</v>
      </c>
      <c r="V2956" t="s">
        <v>315</v>
      </c>
      <c r="W2956">
        <v>4.5999999999999996</v>
      </c>
      <c r="X2956" t="s">
        <v>106</v>
      </c>
      <c r="Y2956" t="s">
        <v>42</v>
      </c>
      <c r="Z2956">
        <v>4</v>
      </c>
    </row>
    <row r="2957" spans="1:26">
      <c r="A2957" t="s">
        <v>4214</v>
      </c>
      <c r="B2957" t="s">
        <v>374</v>
      </c>
      <c r="C2957" t="s">
        <v>28</v>
      </c>
      <c r="D2957" t="s">
        <v>29</v>
      </c>
      <c r="E2957" s="1">
        <v>45918</v>
      </c>
      <c r="F2957" t="s">
        <v>30</v>
      </c>
      <c r="G2957" t="s">
        <v>31</v>
      </c>
      <c r="H2957" t="s">
        <v>32</v>
      </c>
      <c r="I2957">
        <v>8</v>
      </c>
      <c r="J2957" t="s">
        <v>67</v>
      </c>
      <c r="K2957">
        <v>1</v>
      </c>
      <c r="L2957" s="3">
        <v>6899</v>
      </c>
      <c r="M2957">
        <v>10</v>
      </c>
      <c r="N2957" s="3">
        <v>6210</v>
      </c>
      <c r="O2957" s="3">
        <v>6210</v>
      </c>
      <c r="P2957" t="s">
        <v>74</v>
      </c>
      <c r="Q2957" t="s">
        <v>35</v>
      </c>
      <c r="R2957" t="s">
        <v>36</v>
      </c>
      <c r="S2957" t="s">
        <v>151</v>
      </c>
      <c r="T2957" t="s">
        <v>152</v>
      </c>
      <c r="U2957" t="s">
        <v>61</v>
      </c>
      <c r="V2957" t="s">
        <v>969</v>
      </c>
      <c r="W2957">
        <v>3.9</v>
      </c>
      <c r="X2957" t="s">
        <v>41</v>
      </c>
      <c r="Y2957" t="s">
        <v>55</v>
      </c>
      <c r="Z2957">
        <v>2</v>
      </c>
    </row>
    <row r="2958" spans="1:26">
      <c r="A2958" t="s">
        <v>4215</v>
      </c>
      <c r="B2958" t="s">
        <v>3403</v>
      </c>
      <c r="C2958" t="s">
        <v>28</v>
      </c>
      <c r="D2958" t="s">
        <v>103</v>
      </c>
      <c r="E2958" s="1">
        <v>45918</v>
      </c>
      <c r="F2958" t="s">
        <v>86</v>
      </c>
      <c r="G2958" t="s">
        <v>87</v>
      </c>
      <c r="H2958" t="s">
        <v>59</v>
      </c>
      <c r="I2958">
        <v>8</v>
      </c>
      <c r="J2958" t="s">
        <v>98</v>
      </c>
      <c r="K2958">
        <v>1</v>
      </c>
      <c r="L2958" s="3">
        <v>4299</v>
      </c>
      <c r="M2958">
        <v>20</v>
      </c>
      <c r="N2958" s="3">
        <v>3440</v>
      </c>
      <c r="O2958" s="3">
        <v>3440</v>
      </c>
      <c r="P2958" t="s">
        <v>74</v>
      </c>
      <c r="Q2958" t="s">
        <v>35</v>
      </c>
      <c r="R2958" t="s">
        <v>36</v>
      </c>
      <c r="S2958" t="s">
        <v>99</v>
      </c>
      <c r="T2958" t="s">
        <v>335</v>
      </c>
      <c r="U2958" t="s">
        <v>39</v>
      </c>
      <c r="V2958" t="s">
        <v>315</v>
      </c>
      <c r="W2958">
        <v>3.8</v>
      </c>
      <c r="X2958" t="s">
        <v>41</v>
      </c>
      <c r="Y2958" t="s">
        <v>42</v>
      </c>
      <c r="Z2958">
        <v>4</v>
      </c>
    </row>
    <row r="2959" spans="1:26">
      <c r="A2959" t="s">
        <v>4216</v>
      </c>
      <c r="B2959" t="s">
        <v>4217</v>
      </c>
      <c r="C2959" t="s">
        <v>28</v>
      </c>
      <c r="D2959" t="s">
        <v>46</v>
      </c>
      <c r="E2959" s="1">
        <v>45919</v>
      </c>
      <c r="F2959" t="s">
        <v>65</v>
      </c>
      <c r="G2959" t="s">
        <v>256</v>
      </c>
      <c r="H2959" t="s">
        <v>32</v>
      </c>
      <c r="I2959">
        <v>6</v>
      </c>
      <c r="J2959" t="s">
        <v>33</v>
      </c>
      <c r="K2959">
        <v>1</v>
      </c>
      <c r="L2959" s="3">
        <v>6199</v>
      </c>
      <c r="M2959">
        <v>10</v>
      </c>
      <c r="N2959" s="3">
        <v>5580</v>
      </c>
      <c r="O2959" s="3">
        <v>5580</v>
      </c>
      <c r="P2959" t="s">
        <v>50</v>
      </c>
      <c r="Q2959" t="s">
        <v>51</v>
      </c>
      <c r="R2959" t="s">
        <v>36</v>
      </c>
      <c r="S2959" t="s">
        <v>210</v>
      </c>
      <c r="T2959" t="s">
        <v>680</v>
      </c>
      <c r="U2959" t="s">
        <v>91</v>
      </c>
      <c r="V2959" t="s">
        <v>40</v>
      </c>
      <c r="W2959">
        <v>4.8</v>
      </c>
      <c r="X2959" t="s">
        <v>41</v>
      </c>
      <c r="Y2959" t="s">
        <v>42</v>
      </c>
      <c r="Z2959">
        <v>3</v>
      </c>
    </row>
    <row r="2960" spans="1:26">
      <c r="A2960" t="s">
        <v>4218</v>
      </c>
      <c r="B2960" t="s">
        <v>1160</v>
      </c>
      <c r="C2960" t="s">
        <v>45</v>
      </c>
      <c r="D2960" t="s">
        <v>95</v>
      </c>
      <c r="E2960" s="1">
        <v>45919</v>
      </c>
      <c r="F2960" t="s">
        <v>30</v>
      </c>
      <c r="G2960" t="s">
        <v>58</v>
      </c>
      <c r="H2960" t="s">
        <v>59</v>
      </c>
      <c r="I2960">
        <v>11</v>
      </c>
      <c r="J2960" t="s">
        <v>67</v>
      </c>
      <c r="K2960">
        <v>1</v>
      </c>
      <c r="L2960" s="3">
        <v>5799</v>
      </c>
      <c r="M2960">
        <v>20</v>
      </c>
      <c r="N2960" s="3">
        <v>4640</v>
      </c>
      <c r="O2960" s="3">
        <v>4640</v>
      </c>
      <c r="P2960" t="s">
        <v>34</v>
      </c>
      <c r="Q2960" t="s">
        <v>51</v>
      </c>
      <c r="R2960" t="s">
        <v>36</v>
      </c>
      <c r="S2960" t="s">
        <v>117</v>
      </c>
      <c r="T2960" t="s">
        <v>751</v>
      </c>
      <c r="U2960" t="s">
        <v>54</v>
      </c>
      <c r="V2960" t="s">
        <v>315</v>
      </c>
      <c r="W2960">
        <v>3</v>
      </c>
      <c r="X2960" t="s">
        <v>41</v>
      </c>
      <c r="Y2960" t="s">
        <v>55</v>
      </c>
      <c r="Z2960">
        <v>1</v>
      </c>
    </row>
    <row r="2961" spans="1:26">
      <c r="A2961" t="s">
        <v>4219</v>
      </c>
      <c r="B2961" t="s">
        <v>120</v>
      </c>
      <c r="C2961" t="s">
        <v>28</v>
      </c>
      <c r="D2961" t="s">
        <v>46</v>
      </c>
      <c r="E2961" s="1">
        <v>45920</v>
      </c>
      <c r="F2961" t="s">
        <v>30</v>
      </c>
      <c r="G2961" t="s">
        <v>347</v>
      </c>
      <c r="H2961" t="s">
        <v>49</v>
      </c>
      <c r="I2961">
        <v>7</v>
      </c>
      <c r="J2961" t="s">
        <v>150</v>
      </c>
      <c r="K2961">
        <v>1</v>
      </c>
      <c r="L2961" s="3">
        <v>8499</v>
      </c>
      <c r="M2961">
        <v>25</v>
      </c>
      <c r="N2961" s="3">
        <v>6370</v>
      </c>
      <c r="O2961" s="3">
        <v>6370</v>
      </c>
      <c r="P2961" t="s">
        <v>74</v>
      </c>
      <c r="Q2961" t="s">
        <v>82</v>
      </c>
      <c r="R2961" t="s">
        <v>36</v>
      </c>
      <c r="S2961" t="s">
        <v>384</v>
      </c>
      <c r="T2961" t="s">
        <v>444</v>
      </c>
      <c r="U2961" t="s">
        <v>54</v>
      </c>
      <c r="V2961" t="s">
        <v>969</v>
      </c>
      <c r="W2961">
        <v>4.2</v>
      </c>
      <c r="X2961" t="s">
        <v>41</v>
      </c>
      <c r="Y2961" t="s">
        <v>55</v>
      </c>
      <c r="Z2961">
        <v>3</v>
      </c>
    </row>
    <row r="2962" spans="1:26">
      <c r="A2962" t="s">
        <v>4220</v>
      </c>
      <c r="B2962" t="s">
        <v>1816</v>
      </c>
      <c r="C2962" t="s">
        <v>28</v>
      </c>
      <c r="D2962" t="s">
        <v>95</v>
      </c>
      <c r="E2962" s="1">
        <v>45921</v>
      </c>
      <c r="F2962" t="s">
        <v>30</v>
      </c>
      <c r="G2962" t="s">
        <v>110</v>
      </c>
      <c r="H2962" t="s">
        <v>111</v>
      </c>
      <c r="I2962">
        <v>8</v>
      </c>
      <c r="J2962" t="s">
        <v>73</v>
      </c>
      <c r="K2962">
        <v>1</v>
      </c>
      <c r="L2962" s="3">
        <v>5699</v>
      </c>
      <c r="M2962">
        <v>0</v>
      </c>
      <c r="N2962" s="3">
        <v>5700</v>
      </c>
      <c r="O2962" s="3">
        <v>5700</v>
      </c>
      <c r="P2962" t="s">
        <v>74</v>
      </c>
      <c r="Q2962" t="s">
        <v>51</v>
      </c>
      <c r="R2962" t="s">
        <v>36</v>
      </c>
      <c r="S2962" t="s">
        <v>338</v>
      </c>
      <c r="T2962" t="s">
        <v>338</v>
      </c>
      <c r="U2962" t="s">
        <v>61</v>
      </c>
      <c r="V2962" t="s">
        <v>315</v>
      </c>
      <c r="W2962">
        <v>4.9000000000000004</v>
      </c>
      <c r="X2962" t="s">
        <v>41</v>
      </c>
      <c r="Y2962" t="s">
        <v>42</v>
      </c>
      <c r="Z2962">
        <v>4</v>
      </c>
    </row>
    <row r="2963" spans="1:26">
      <c r="A2963" t="s">
        <v>4221</v>
      </c>
      <c r="B2963" t="s">
        <v>623</v>
      </c>
      <c r="C2963" t="s">
        <v>28</v>
      </c>
      <c r="D2963" t="s">
        <v>29</v>
      </c>
      <c r="E2963" s="1">
        <v>45921</v>
      </c>
      <c r="F2963" t="s">
        <v>47</v>
      </c>
      <c r="G2963" t="s">
        <v>140</v>
      </c>
      <c r="H2963" t="s">
        <v>128</v>
      </c>
      <c r="I2963">
        <v>9</v>
      </c>
      <c r="J2963" t="s">
        <v>67</v>
      </c>
      <c r="K2963">
        <v>1</v>
      </c>
      <c r="L2963" s="3">
        <v>7699</v>
      </c>
      <c r="M2963">
        <v>5</v>
      </c>
      <c r="N2963" s="3">
        <v>7310</v>
      </c>
      <c r="O2963" s="3">
        <v>7310</v>
      </c>
      <c r="P2963" t="s">
        <v>34</v>
      </c>
      <c r="Q2963" t="s">
        <v>51</v>
      </c>
      <c r="R2963" t="s">
        <v>36</v>
      </c>
      <c r="S2963" t="s">
        <v>168</v>
      </c>
      <c r="T2963" t="s">
        <v>168</v>
      </c>
      <c r="U2963" t="s">
        <v>39</v>
      </c>
      <c r="V2963" t="s">
        <v>969</v>
      </c>
      <c r="W2963">
        <v>3.3</v>
      </c>
      <c r="X2963" t="s">
        <v>41</v>
      </c>
      <c r="Y2963" t="s">
        <v>55</v>
      </c>
      <c r="Z2963">
        <v>2</v>
      </c>
    </row>
    <row r="2964" spans="1:26">
      <c r="A2964" t="s">
        <v>4222</v>
      </c>
      <c r="B2964" t="s">
        <v>154</v>
      </c>
      <c r="C2964" t="s">
        <v>28</v>
      </c>
      <c r="D2964" t="s">
        <v>29</v>
      </c>
      <c r="E2964" s="1">
        <v>45922</v>
      </c>
      <c r="F2964" t="s">
        <v>96</v>
      </c>
      <c r="G2964" t="s">
        <v>290</v>
      </c>
      <c r="H2964" t="s">
        <v>32</v>
      </c>
      <c r="I2964">
        <v>9</v>
      </c>
      <c r="J2964" t="s">
        <v>98</v>
      </c>
      <c r="K2964">
        <v>1</v>
      </c>
      <c r="L2964" s="3">
        <v>7599</v>
      </c>
      <c r="M2964">
        <v>15</v>
      </c>
      <c r="N2964" s="3">
        <v>6460</v>
      </c>
      <c r="O2964" s="3">
        <v>6460</v>
      </c>
      <c r="P2964" t="s">
        <v>74</v>
      </c>
      <c r="Q2964" t="s">
        <v>82</v>
      </c>
      <c r="R2964" t="s">
        <v>36</v>
      </c>
      <c r="S2964" t="s">
        <v>156</v>
      </c>
      <c r="T2964" t="s">
        <v>157</v>
      </c>
      <c r="U2964" t="s">
        <v>39</v>
      </c>
      <c r="V2964" t="s">
        <v>969</v>
      </c>
      <c r="W2964">
        <v>4.0999999999999996</v>
      </c>
      <c r="X2964" t="s">
        <v>41</v>
      </c>
      <c r="Y2964" t="s">
        <v>55</v>
      </c>
      <c r="Z2964">
        <v>3</v>
      </c>
    </row>
    <row r="2965" spans="1:26">
      <c r="A2965" t="s">
        <v>4223</v>
      </c>
      <c r="B2965" t="s">
        <v>4224</v>
      </c>
      <c r="C2965" t="s">
        <v>94</v>
      </c>
      <c r="D2965" t="s">
        <v>29</v>
      </c>
      <c r="E2965" s="1">
        <v>45925</v>
      </c>
      <c r="F2965" t="s">
        <v>96</v>
      </c>
      <c r="G2965" t="s">
        <v>155</v>
      </c>
      <c r="H2965" t="s">
        <v>111</v>
      </c>
      <c r="I2965">
        <v>7</v>
      </c>
      <c r="J2965" t="s">
        <v>67</v>
      </c>
      <c r="K2965">
        <v>1</v>
      </c>
      <c r="L2965" s="3">
        <v>5299</v>
      </c>
      <c r="M2965">
        <v>15</v>
      </c>
      <c r="N2965" s="3">
        <v>4500</v>
      </c>
      <c r="O2965" s="3">
        <v>4500</v>
      </c>
      <c r="P2965" t="s">
        <v>34</v>
      </c>
      <c r="Q2965" t="s">
        <v>51</v>
      </c>
      <c r="R2965" t="s">
        <v>36</v>
      </c>
      <c r="S2965" t="s">
        <v>37</v>
      </c>
      <c r="T2965" t="s">
        <v>1122</v>
      </c>
      <c r="U2965" t="s">
        <v>39</v>
      </c>
      <c r="V2965" t="s">
        <v>40</v>
      </c>
      <c r="W2965">
        <v>4.2</v>
      </c>
      <c r="X2965" t="s">
        <v>41</v>
      </c>
      <c r="Y2965" t="s">
        <v>42</v>
      </c>
      <c r="Z2965">
        <v>4</v>
      </c>
    </row>
    <row r="2966" spans="1:26">
      <c r="A2966" t="s">
        <v>4225</v>
      </c>
      <c r="B2966" t="s">
        <v>1463</v>
      </c>
      <c r="C2966" t="s">
        <v>28</v>
      </c>
      <c r="D2966" t="s">
        <v>103</v>
      </c>
      <c r="E2966" s="1">
        <v>45926</v>
      </c>
      <c r="F2966" t="s">
        <v>86</v>
      </c>
      <c r="G2966" t="s">
        <v>242</v>
      </c>
      <c r="H2966" t="s">
        <v>32</v>
      </c>
      <c r="I2966">
        <v>9</v>
      </c>
      <c r="J2966" t="s">
        <v>150</v>
      </c>
      <c r="K2966">
        <v>4</v>
      </c>
      <c r="L2966" s="3">
        <v>6199</v>
      </c>
      <c r="M2966">
        <v>10</v>
      </c>
      <c r="N2966" s="3">
        <v>5580</v>
      </c>
      <c r="O2966" s="3">
        <v>22320</v>
      </c>
      <c r="P2966" t="s">
        <v>74</v>
      </c>
      <c r="Q2966" t="s">
        <v>82</v>
      </c>
      <c r="R2966" t="s">
        <v>36</v>
      </c>
      <c r="S2966" t="s">
        <v>338</v>
      </c>
      <c r="T2966" t="s">
        <v>449</v>
      </c>
      <c r="U2966" t="s">
        <v>61</v>
      </c>
      <c r="V2966" t="s">
        <v>969</v>
      </c>
      <c r="W2966">
        <v>4</v>
      </c>
      <c r="X2966" t="s">
        <v>41</v>
      </c>
      <c r="Y2966" t="s">
        <v>55</v>
      </c>
      <c r="Z2966">
        <v>2</v>
      </c>
    </row>
    <row r="2967" spans="1:26">
      <c r="A2967" t="s">
        <v>4226</v>
      </c>
      <c r="B2967" t="s">
        <v>2395</v>
      </c>
      <c r="C2967" t="s">
        <v>28</v>
      </c>
      <c r="D2967" t="s">
        <v>103</v>
      </c>
      <c r="E2967" s="1">
        <v>45927</v>
      </c>
      <c r="F2967" t="s">
        <v>30</v>
      </c>
      <c r="G2967" t="s">
        <v>110</v>
      </c>
      <c r="H2967" t="s">
        <v>111</v>
      </c>
      <c r="I2967">
        <v>8</v>
      </c>
      <c r="J2967" t="s">
        <v>98</v>
      </c>
      <c r="K2967">
        <v>1</v>
      </c>
      <c r="L2967" s="3">
        <v>6299</v>
      </c>
      <c r="M2967">
        <v>0</v>
      </c>
      <c r="N2967" s="3">
        <v>6300</v>
      </c>
      <c r="O2967" s="3">
        <v>6300</v>
      </c>
      <c r="P2967" t="s">
        <v>81</v>
      </c>
      <c r="Q2967" t="s">
        <v>35</v>
      </c>
      <c r="R2967" t="s">
        <v>36</v>
      </c>
      <c r="S2967" t="s">
        <v>186</v>
      </c>
      <c r="T2967" t="s">
        <v>397</v>
      </c>
      <c r="U2967" t="s">
        <v>124</v>
      </c>
      <c r="V2967" t="s">
        <v>969</v>
      </c>
      <c r="W2967">
        <v>3.6</v>
      </c>
      <c r="X2967" t="s">
        <v>41</v>
      </c>
      <c r="Y2967" t="s">
        <v>42</v>
      </c>
      <c r="Z2967">
        <v>2</v>
      </c>
    </row>
    <row r="2968" spans="1:26">
      <c r="A2968" t="s">
        <v>4227</v>
      </c>
      <c r="B2968" t="s">
        <v>1786</v>
      </c>
      <c r="C2968" t="s">
        <v>94</v>
      </c>
      <c r="D2968" t="s">
        <v>29</v>
      </c>
      <c r="E2968" s="1">
        <v>45928</v>
      </c>
      <c r="F2968" t="s">
        <v>65</v>
      </c>
      <c r="G2968" t="s">
        <v>72</v>
      </c>
      <c r="H2968" t="s">
        <v>59</v>
      </c>
      <c r="I2968">
        <v>10</v>
      </c>
      <c r="J2968" t="s">
        <v>98</v>
      </c>
      <c r="K2968">
        <v>2</v>
      </c>
      <c r="L2968" s="3">
        <v>4099</v>
      </c>
      <c r="M2968">
        <v>20</v>
      </c>
      <c r="N2968" s="3">
        <v>3280</v>
      </c>
      <c r="O2968" s="3">
        <v>6560</v>
      </c>
      <c r="P2968" t="s">
        <v>74</v>
      </c>
      <c r="Q2968" t="s">
        <v>82</v>
      </c>
      <c r="R2968" t="s">
        <v>36</v>
      </c>
      <c r="S2968" t="s">
        <v>112</v>
      </c>
      <c r="T2968" t="s">
        <v>133</v>
      </c>
      <c r="U2968" t="s">
        <v>39</v>
      </c>
      <c r="V2968" t="s">
        <v>969</v>
      </c>
      <c r="W2968">
        <v>4.4000000000000004</v>
      </c>
      <c r="X2968" t="s">
        <v>41</v>
      </c>
      <c r="Y2968" t="s">
        <v>55</v>
      </c>
      <c r="Z2968">
        <v>3</v>
      </c>
    </row>
    <row r="2969" spans="1:26">
      <c r="A2969" t="s">
        <v>4228</v>
      </c>
      <c r="B2969" t="s">
        <v>686</v>
      </c>
      <c r="C2969" t="s">
        <v>45</v>
      </c>
      <c r="D2969" t="s">
        <v>29</v>
      </c>
      <c r="E2969" s="1">
        <v>45931</v>
      </c>
      <c r="F2969" t="s">
        <v>65</v>
      </c>
      <c r="G2969" t="s">
        <v>268</v>
      </c>
      <c r="H2969" t="s">
        <v>128</v>
      </c>
      <c r="I2969">
        <v>9</v>
      </c>
      <c r="J2969" t="s">
        <v>98</v>
      </c>
      <c r="K2969">
        <v>1</v>
      </c>
      <c r="L2969" s="3">
        <v>6599</v>
      </c>
      <c r="M2969">
        <v>20</v>
      </c>
      <c r="N2969" s="3">
        <v>5280</v>
      </c>
      <c r="O2969" s="3">
        <v>5280</v>
      </c>
      <c r="P2969" t="s">
        <v>34</v>
      </c>
      <c r="Q2969" t="s">
        <v>82</v>
      </c>
      <c r="R2969" t="s">
        <v>36</v>
      </c>
      <c r="S2969" t="s">
        <v>200</v>
      </c>
      <c r="T2969" t="s">
        <v>219</v>
      </c>
      <c r="U2969" t="s">
        <v>54</v>
      </c>
      <c r="V2969" t="s">
        <v>969</v>
      </c>
      <c r="W2969">
        <v>4.4000000000000004</v>
      </c>
      <c r="X2969" t="s">
        <v>41</v>
      </c>
      <c r="Y2969" t="s">
        <v>55</v>
      </c>
      <c r="Z2969">
        <v>2</v>
      </c>
    </row>
    <row r="2970" spans="1:26">
      <c r="A2970" t="s">
        <v>4229</v>
      </c>
      <c r="B2970" t="s">
        <v>709</v>
      </c>
      <c r="C2970" t="s">
        <v>94</v>
      </c>
      <c r="D2970" t="s">
        <v>109</v>
      </c>
      <c r="E2970" s="1">
        <v>45931</v>
      </c>
      <c r="F2970" t="s">
        <v>79</v>
      </c>
      <c r="G2970" t="s">
        <v>127</v>
      </c>
      <c r="H2970" t="s">
        <v>128</v>
      </c>
      <c r="I2970">
        <v>8</v>
      </c>
      <c r="J2970" t="s">
        <v>98</v>
      </c>
      <c r="K2970">
        <v>1</v>
      </c>
      <c r="L2970" s="3">
        <v>7899</v>
      </c>
      <c r="M2970">
        <v>25</v>
      </c>
      <c r="N2970" s="3">
        <v>5920</v>
      </c>
      <c r="O2970" s="3">
        <v>5920</v>
      </c>
      <c r="P2970" t="s">
        <v>74</v>
      </c>
      <c r="Q2970" t="s">
        <v>51</v>
      </c>
      <c r="R2970" t="s">
        <v>36</v>
      </c>
      <c r="S2970" t="s">
        <v>200</v>
      </c>
      <c r="T2970" t="s">
        <v>201</v>
      </c>
      <c r="U2970" t="s">
        <v>61</v>
      </c>
      <c r="V2970" t="s">
        <v>315</v>
      </c>
      <c r="W2970">
        <v>5</v>
      </c>
      <c r="X2970" t="s">
        <v>106</v>
      </c>
      <c r="Y2970" t="s">
        <v>55</v>
      </c>
      <c r="Z2970">
        <v>3</v>
      </c>
    </row>
    <row r="2971" spans="1:26">
      <c r="A2971" t="s">
        <v>4230</v>
      </c>
      <c r="B2971" t="s">
        <v>4231</v>
      </c>
      <c r="C2971" t="s">
        <v>45</v>
      </c>
      <c r="D2971" t="s">
        <v>95</v>
      </c>
      <c r="E2971" s="1">
        <v>45931</v>
      </c>
      <c r="F2971" t="s">
        <v>79</v>
      </c>
      <c r="G2971" t="s">
        <v>301</v>
      </c>
      <c r="H2971" t="s">
        <v>49</v>
      </c>
      <c r="I2971">
        <v>6</v>
      </c>
      <c r="J2971" t="s">
        <v>33</v>
      </c>
      <c r="K2971">
        <v>1</v>
      </c>
      <c r="L2971" s="3">
        <v>4199</v>
      </c>
      <c r="M2971">
        <v>30</v>
      </c>
      <c r="N2971" s="3">
        <v>2940</v>
      </c>
      <c r="O2971" s="3">
        <v>2940</v>
      </c>
      <c r="P2971" t="s">
        <v>74</v>
      </c>
      <c r="Q2971" t="s">
        <v>51</v>
      </c>
      <c r="R2971" t="s">
        <v>36</v>
      </c>
      <c r="S2971" t="s">
        <v>122</v>
      </c>
      <c r="T2971" t="s">
        <v>382</v>
      </c>
      <c r="U2971" t="s">
        <v>124</v>
      </c>
      <c r="V2971" t="s">
        <v>40</v>
      </c>
      <c r="W2971">
        <v>2.7</v>
      </c>
      <c r="X2971" t="s">
        <v>62</v>
      </c>
      <c r="Y2971" t="s">
        <v>42</v>
      </c>
      <c r="Z2971">
        <v>3</v>
      </c>
    </row>
    <row r="2972" spans="1:26">
      <c r="A2972" t="s">
        <v>4232</v>
      </c>
      <c r="B2972" t="s">
        <v>439</v>
      </c>
      <c r="C2972" t="s">
        <v>45</v>
      </c>
      <c r="D2972" t="s">
        <v>29</v>
      </c>
      <c r="E2972" s="1">
        <v>45931</v>
      </c>
      <c r="F2972" t="s">
        <v>79</v>
      </c>
      <c r="G2972" t="s">
        <v>174</v>
      </c>
      <c r="H2972" t="s">
        <v>32</v>
      </c>
      <c r="I2972">
        <v>7</v>
      </c>
      <c r="J2972" t="s">
        <v>150</v>
      </c>
      <c r="K2972">
        <v>1</v>
      </c>
      <c r="L2972" s="3">
        <v>8199</v>
      </c>
      <c r="M2972">
        <v>25</v>
      </c>
      <c r="N2972" s="3">
        <v>6150</v>
      </c>
      <c r="O2972" s="3">
        <v>6150</v>
      </c>
      <c r="P2972" t="s">
        <v>74</v>
      </c>
      <c r="Q2972" t="s">
        <v>82</v>
      </c>
      <c r="R2972" t="s">
        <v>36</v>
      </c>
      <c r="S2972" t="s">
        <v>238</v>
      </c>
      <c r="T2972" t="s">
        <v>239</v>
      </c>
      <c r="U2972" t="s">
        <v>124</v>
      </c>
      <c r="V2972" t="s">
        <v>969</v>
      </c>
      <c r="W2972">
        <v>5</v>
      </c>
      <c r="X2972" t="s">
        <v>62</v>
      </c>
      <c r="Y2972" t="s">
        <v>55</v>
      </c>
      <c r="Z2972">
        <v>2</v>
      </c>
    </row>
    <row r="2973" spans="1:26">
      <c r="A2973" t="s">
        <v>4233</v>
      </c>
      <c r="B2973" t="s">
        <v>4094</v>
      </c>
      <c r="C2973" t="s">
        <v>45</v>
      </c>
      <c r="D2973" t="s">
        <v>109</v>
      </c>
      <c r="E2973" s="1">
        <v>45932</v>
      </c>
      <c r="F2973" t="s">
        <v>96</v>
      </c>
      <c r="G2973" t="s">
        <v>323</v>
      </c>
      <c r="H2973" t="s">
        <v>59</v>
      </c>
      <c r="I2973">
        <v>10</v>
      </c>
      <c r="J2973" t="s">
        <v>67</v>
      </c>
      <c r="K2973">
        <v>4</v>
      </c>
      <c r="L2973" s="3">
        <v>4499</v>
      </c>
      <c r="M2973">
        <v>25</v>
      </c>
      <c r="N2973" s="3">
        <v>3370</v>
      </c>
      <c r="O2973" s="3">
        <v>13480</v>
      </c>
      <c r="P2973" t="s">
        <v>74</v>
      </c>
      <c r="Q2973" t="s">
        <v>35</v>
      </c>
      <c r="R2973" t="s">
        <v>36</v>
      </c>
      <c r="S2973" t="s">
        <v>112</v>
      </c>
      <c r="T2973" t="s">
        <v>133</v>
      </c>
      <c r="U2973" t="s">
        <v>91</v>
      </c>
      <c r="V2973" t="s">
        <v>315</v>
      </c>
      <c r="W2973">
        <v>4.2</v>
      </c>
      <c r="X2973" t="s">
        <v>62</v>
      </c>
      <c r="Y2973" t="s">
        <v>147</v>
      </c>
      <c r="Z2973">
        <v>1</v>
      </c>
    </row>
    <row r="2974" spans="1:26">
      <c r="A2974" t="s">
        <v>4234</v>
      </c>
      <c r="B2974" t="s">
        <v>1944</v>
      </c>
      <c r="C2974" t="s">
        <v>28</v>
      </c>
      <c r="D2974" t="s">
        <v>29</v>
      </c>
      <c r="E2974" s="1">
        <v>45933</v>
      </c>
      <c r="F2974" t="s">
        <v>96</v>
      </c>
      <c r="G2974" t="s">
        <v>290</v>
      </c>
      <c r="H2974" t="s">
        <v>32</v>
      </c>
      <c r="I2974">
        <v>8</v>
      </c>
      <c r="J2974" t="s">
        <v>98</v>
      </c>
      <c r="K2974">
        <v>1</v>
      </c>
      <c r="L2974" s="3">
        <v>4699</v>
      </c>
      <c r="M2974">
        <v>15</v>
      </c>
      <c r="N2974" s="3">
        <v>3990</v>
      </c>
      <c r="O2974" s="3">
        <v>3990</v>
      </c>
      <c r="P2974" t="s">
        <v>74</v>
      </c>
      <c r="Q2974" t="s">
        <v>82</v>
      </c>
      <c r="R2974" t="s">
        <v>36</v>
      </c>
      <c r="S2974" t="s">
        <v>151</v>
      </c>
      <c r="T2974" t="s">
        <v>152</v>
      </c>
      <c r="U2974" t="s">
        <v>61</v>
      </c>
      <c r="V2974" t="s">
        <v>315</v>
      </c>
      <c r="W2974">
        <v>3.3</v>
      </c>
      <c r="X2974" t="s">
        <v>41</v>
      </c>
      <c r="Y2974" t="s">
        <v>42</v>
      </c>
      <c r="Z2974">
        <v>3</v>
      </c>
    </row>
    <row r="2975" spans="1:26">
      <c r="A2975" t="s">
        <v>4235</v>
      </c>
      <c r="B2975" t="s">
        <v>2227</v>
      </c>
      <c r="C2975" t="s">
        <v>28</v>
      </c>
      <c r="D2975" t="s">
        <v>29</v>
      </c>
      <c r="E2975" s="1">
        <v>45933</v>
      </c>
      <c r="F2975" t="s">
        <v>65</v>
      </c>
      <c r="G2975" t="s">
        <v>279</v>
      </c>
      <c r="H2975" t="s">
        <v>111</v>
      </c>
      <c r="I2975">
        <v>8</v>
      </c>
      <c r="J2975" t="s">
        <v>88</v>
      </c>
      <c r="K2975">
        <v>1</v>
      </c>
      <c r="L2975" s="3">
        <v>6299</v>
      </c>
      <c r="M2975">
        <v>5</v>
      </c>
      <c r="N2975" s="3">
        <v>5980</v>
      </c>
      <c r="O2975" s="3">
        <v>5980</v>
      </c>
      <c r="P2975" t="s">
        <v>74</v>
      </c>
      <c r="Q2975" t="s">
        <v>51</v>
      </c>
      <c r="R2975" t="s">
        <v>36</v>
      </c>
      <c r="S2975" t="s">
        <v>168</v>
      </c>
      <c r="T2975" t="s">
        <v>714</v>
      </c>
      <c r="U2975" t="s">
        <v>54</v>
      </c>
      <c r="V2975" t="s">
        <v>315</v>
      </c>
      <c r="W2975">
        <v>2.2999999999999998</v>
      </c>
      <c r="X2975" t="s">
        <v>41</v>
      </c>
      <c r="Y2975" t="s">
        <v>42</v>
      </c>
      <c r="Z2975">
        <v>4</v>
      </c>
    </row>
    <row r="2976" spans="1:26">
      <c r="A2976" t="s">
        <v>4236</v>
      </c>
      <c r="B2976" t="s">
        <v>1600</v>
      </c>
      <c r="C2976" t="s">
        <v>28</v>
      </c>
      <c r="D2976" t="s">
        <v>46</v>
      </c>
      <c r="E2976" s="1">
        <v>45934</v>
      </c>
      <c r="F2976" t="s">
        <v>47</v>
      </c>
      <c r="G2976" t="s">
        <v>402</v>
      </c>
      <c r="H2976" t="s">
        <v>32</v>
      </c>
      <c r="I2976">
        <v>9</v>
      </c>
      <c r="J2976" t="s">
        <v>98</v>
      </c>
      <c r="K2976">
        <v>1</v>
      </c>
      <c r="L2976" s="3">
        <v>4799</v>
      </c>
      <c r="M2976">
        <v>15</v>
      </c>
      <c r="N2976" s="3">
        <v>4080</v>
      </c>
      <c r="O2976" s="3">
        <v>4080</v>
      </c>
      <c r="P2976" t="s">
        <v>34</v>
      </c>
      <c r="Q2976" t="s">
        <v>51</v>
      </c>
      <c r="R2976" t="s">
        <v>36</v>
      </c>
      <c r="S2976" t="s">
        <v>418</v>
      </c>
      <c r="T2976" t="s">
        <v>419</v>
      </c>
      <c r="U2976" t="s">
        <v>39</v>
      </c>
      <c r="V2976" t="s">
        <v>969</v>
      </c>
      <c r="W2976">
        <v>4</v>
      </c>
      <c r="X2976" t="s">
        <v>106</v>
      </c>
      <c r="Y2976" t="s">
        <v>42</v>
      </c>
      <c r="Z2976">
        <v>3</v>
      </c>
    </row>
    <row r="2977" spans="1:26">
      <c r="A2977" t="s">
        <v>4237</v>
      </c>
      <c r="B2977" t="s">
        <v>1854</v>
      </c>
      <c r="C2977" t="s">
        <v>28</v>
      </c>
      <c r="D2977" t="s">
        <v>46</v>
      </c>
      <c r="E2977" s="1">
        <v>45935</v>
      </c>
      <c r="F2977" t="s">
        <v>65</v>
      </c>
      <c r="G2977" t="s">
        <v>66</v>
      </c>
      <c r="H2977" t="s">
        <v>59</v>
      </c>
      <c r="I2977">
        <v>9</v>
      </c>
      <c r="J2977" t="s">
        <v>98</v>
      </c>
      <c r="K2977">
        <v>1</v>
      </c>
      <c r="L2977" s="3">
        <v>8099</v>
      </c>
      <c r="M2977">
        <v>15</v>
      </c>
      <c r="N2977" s="3">
        <v>6880</v>
      </c>
      <c r="O2977" s="3">
        <v>6880</v>
      </c>
      <c r="P2977" t="s">
        <v>74</v>
      </c>
      <c r="Q2977" t="s">
        <v>82</v>
      </c>
      <c r="R2977" t="s">
        <v>36</v>
      </c>
      <c r="S2977" t="s">
        <v>384</v>
      </c>
      <c r="T2977" t="s">
        <v>385</v>
      </c>
      <c r="U2977" t="s">
        <v>91</v>
      </c>
      <c r="V2977" t="s">
        <v>969</v>
      </c>
      <c r="W2977">
        <v>4.8</v>
      </c>
      <c r="X2977" t="s">
        <v>41</v>
      </c>
      <c r="Y2977" t="s">
        <v>55</v>
      </c>
      <c r="Z2977">
        <v>2</v>
      </c>
    </row>
    <row r="2978" spans="1:26">
      <c r="A2978" t="s">
        <v>4238</v>
      </c>
      <c r="B2978" t="s">
        <v>3827</v>
      </c>
      <c r="C2978" t="s">
        <v>45</v>
      </c>
      <c r="D2978" t="s">
        <v>29</v>
      </c>
      <c r="E2978" s="1">
        <v>45936</v>
      </c>
      <c r="F2978" t="s">
        <v>47</v>
      </c>
      <c r="G2978" t="s">
        <v>140</v>
      </c>
      <c r="H2978" t="s">
        <v>128</v>
      </c>
      <c r="I2978">
        <v>9</v>
      </c>
      <c r="J2978" t="s">
        <v>73</v>
      </c>
      <c r="K2978">
        <v>2</v>
      </c>
      <c r="L2978" s="3">
        <v>3999</v>
      </c>
      <c r="M2978">
        <v>20</v>
      </c>
      <c r="N2978" s="3">
        <v>3200</v>
      </c>
      <c r="O2978" s="3">
        <v>6400</v>
      </c>
      <c r="P2978" t="s">
        <v>74</v>
      </c>
      <c r="Q2978" t="s">
        <v>35</v>
      </c>
      <c r="R2978" t="s">
        <v>36</v>
      </c>
      <c r="S2978" t="s">
        <v>136</v>
      </c>
      <c r="T2978" t="s">
        <v>225</v>
      </c>
      <c r="U2978" t="s">
        <v>91</v>
      </c>
      <c r="V2978" t="s">
        <v>315</v>
      </c>
      <c r="W2978">
        <v>3.7</v>
      </c>
      <c r="X2978" t="s">
        <v>106</v>
      </c>
      <c r="Y2978" t="s">
        <v>42</v>
      </c>
      <c r="Z2978">
        <v>5</v>
      </c>
    </row>
    <row r="2979" spans="1:26">
      <c r="A2979" t="s">
        <v>4239</v>
      </c>
      <c r="B2979" t="s">
        <v>1523</v>
      </c>
      <c r="C2979" t="s">
        <v>45</v>
      </c>
      <c r="D2979" t="s">
        <v>29</v>
      </c>
      <c r="E2979" s="1">
        <v>45937</v>
      </c>
      <c r="F2979" t="s">
        <v>65</v>
      </c>
      <c r="G2979" t="s">
        <v>279</v>
      </c>
      <c r="H2979" t="s">
        <v>111</v>
      </c>
      <c r="I2979">
        <v>9</v>
      </c>
      <c r="J2979" t="s">
        <v>98</v>
      </c>
      <c r="K2979">
        <v>1</v>
      </c>
      <c r="L2979" s="3">
        <v>4099</v>
      </c>
      <c r="M2979">
        <v>15</v>
      </c>
      <c r="N2979" s="3">
        <v>3480</v>
      </c>
      <c r="O2979" s="3">
        <v>3480</v>
      </c>
      <c r="P2979" t="s">
        <v>34</v>
      </c>
      <c r="Q2979" t="s">
        <v>35</v>
      </c>
      <c r="R2979" t="s">
        <v>36</v>
      </c>
      <c r="S2979" t="s">
        <v>68</v>
      </c>
      <c r="T2979" t="s">
        <v>400</v>
      </c>
      <c r="U2979" t="s">
        <v>54</v>
      </c>
      <c r="V2979" t="s">
        <v>315</v>
      </c>
      <c r="W2979">
        <v>4.5</v>
      </c>
      <c r="X2979" t="s">
        <v>41</v>
      </c>
      <c r="Y2979" t="s">
        <v>42</v>
      </c>
      <c r="Z2979">
        <v>4</v>
      </c>
    </row>
    <row r="2980" spans="1:26">
      <c r="A2980" t="s">
        <v>4240</v>
      </c>
      <c r="B2980" t="s">
        <v>1765</v>
      </c>
      <c r="C2980" t="s">
        <v>28</v>
      </c>
      <c r="D2980" t="s">
        <v>46</v>
      </c>
      <c r="E2980" s="1">
        <v>45937</v>
      </c>
      <c r="F2980" t="s">
        <v>47</v>
      </c>
      <c r="G2980" t="s">
        <v>48</v>
      </c>
      <c r="H2980" t="s">
        <v>49</v>
      </c>
      <c r="I2980">
        <v>7</v>
      </c>
      <c r="J2980" t="s">
        <v>98</v>
      </c>
      <c r="K2980">
        <v>1</v>
      </c>
      <c r="L2980" s="3">
        <v>5099</v>
      </c>
      <c r="M2980">
        <v>15</v>
      </c>
      <c r="N2980" s="3">
        <v>4330</v>
      </c>
      <c r="O2980" s="3">
        <v>4330</v>
      </c>
      <c r="P2980" t="s">
        <v>74</v>
      </c>
      <c r="Q2980" t="s">
        <v>35</v>
      </c>
      <c r="R2980" t="s">
        <v>36</v>
      </c>
      <c r="S2980" t="s">
        <v>338</v>
      </c>
      <c r="T2980" t="s">
        <v>394</v>
      </c>
      <c r="U2980" t="s">
        <v>54</v>
      </c>
      <c r="V2980" t="s">
        <v>315</v>
      </c>
      <c r="W2980">
        <v>3.1</v>
      </c>
      <c r="X2980" t="s">
        <v>41</v>
      </c>
      <c r="Y2980" t="s">
        <v>55</v>
      </c>
      <c r="Z2980">
        <v>1</v>
      </c>
    </row>
    <row r="2981" spans="1:26">
      <c r="A2981" t="s">
        <v>4241</v>
      </c>
      <c r="B2981" t="s">
        <v>1334</v>
      </c>
      <c r="C2981" t="s">
        <v>28</v>
      </c>
      <c r="D2981" t="s">
        <v>46</v>
      </c>
      <c r="E2981" s="1">
        <v>45938</v>
      </c>
      <c r="F2981" t="s">
        <v>96</v>
      </c>
      <c r="G2981" t="s">
        <v>228</v>
      </c>
      <c r="H2981" t="s">
        <v>59</v>
      </c>
      <c r="I2981">
        <v>11</v>
      </c>
      <c r="J2981" t="s">
        <v>67</v>
      </c>
      <c r="K2981">
        <v>1</v>
      </c>
      <c r="L2981" s="3">
        <v>4499</v>
      </c>
      <c r="M2981">
        <v>15</v>
      </c>
      <c r="N2981" s="3">
        <v>3820</v>
      </c>
      <c r="O2981" s="3">
        <v>3820</v>
      </c>
      <c r="P2981" t="s">
        <v>74</v>
      </c>
      <c r="Q2981" t="s">
        <v>35</v>
      </c>
      <c r="R2981" t="s">
        <v>36</v>
      </c>
      <c r="S2981" t="s">
        <v>175</v>
      </c>
      <c r="T2981" t="s">
        <v>176</v>
      </c>
      <c r="U2981" t="s">
        <v>61</v>
      </c>
      <c r="V2981" t="s">
        <v>969</v>
      </c>
      <c r="W2981">
        <v>4.0999999999999996</v>
      </c>
      <c r="X2981" t="s">
        <v>41</v>
      </c>
      <c r="Y2981" t="s">
        <v>42</v>
      </c>
      <c r="Z2981">
        <v>7</v>
      </c>
    </row>
    <row r="2982" spans="1:26">
      <c r="A2982" t="s">
        <v>4242</v>
      </c>
      <c r="B2982" t="s">
        <v>2909</v>
      </c>
      <c r="C2982" t="s">
        <v>28</v>
      </c>
      <c r="D2982" t="s">
        <v>46</v>
      </c>
      <c r="E2982" s="1">
        <v>45938</v>
      </c>
      <c r="F2982" t="s">
        <v>65</v>
      </c>
      <c r="G2982" t="s">
        <v>256</v>
      </c>
      <c r="H2982" t="s">
        <v>32</v>
      </c>
      <c r="I2982">
        <v>8</v>
      </c>
      <c r="J2982" t="s">
        <v>67</v>
      </c>
      <c r="K2982">
        <v>2</v>
      </c>
      <c r="L2982" s="3">
        <v>7599</v>
      </c>
      <c r="M2982">
        <v>20</v>
      </c>
      <c r="N2982" s="3">
        <v>6080</v>
      </c>
      <c r="O2982" s="3">
        <v>12160</v>
      </c>
      <c r="P2982" t="s">
        <v>74</v>
      </c>
      <c r="Q2982" t="s">
        <v>51</v>
      </c>
      <c r="R2982" t="s">
        <v>36</v>
      </c>
      <c r="S2982" t="s">
        <v>200</v>
      </c>
      <c r="T2982" t="s">
        <v>204</v>
      </c>
      <c r="U2982" t="s">
        <v>39</v>
      </c>
      <c r="V2982" t="s">
        <v>315</v>
      </c>
      <c r="W2982">
        <v>3.9</v>
      </c>
      <c r="X2982" t="s">
        <v>41</v>
      </c>
      <c r="Y2982" t="s">
        <v>147</v>
      </c>
      <c r="Z2982">
        <v>1</v>
      </c>
    </row>
    <row r="2983" spans="1:26">
      <c r="A2983" t="s">
        <v>4243</v>
      </c>
      <c r="B2983" t="s">
        <v>4244</v>
      </c>
      <c r="C2983" t="s">
        <v>28</v>
      </c>
      <c r="D2983" t="s">
        <v>103</v>
      </c>
      <c r="E2983" s="1">
        <v>45938</v>
      </c>
      <c r="F2983" t="s">
        <v>86</v>
      </c>
      <c r="G2983" t="s">
        <v>312</v>
      </c>
      <c r="H2983" t="s">
        <v>59</v>
      </c>
      <c r="I2983">
        <v>6</v>
      </c>
      <c r="J2983" t="s">
        <v>67</v>
      </c>
      <c r="K2983">
        <v>1</v>
      </c>
      <c r="L2983" s="3">
        <v>8899</v>
      </c>
      <c r="M2983">
        <v>0</v>
      </c>
      <c r="N2983" s="3">
        <v>8900</v>
      </c>
      <c r="O2983" s="3">
        <v>8900</v>
      </c>
      <c r="P2983" t="s">
        <v>34</v>
      </c>
      <c r="Q2983" t="s">
        <v>51</v>
      </c>
      <c r="R2983" t="s">
        <v>36</v>
      </c>
      <c r="S2983" t="s">
        <v>243</v>
      </c>
      <c r="T2983" t="s">
        <v>276</v>
      </c>
      <c r="U2983" t="s">
        <v>39</v>
      </c>
      <c r="V2983" t="s">
        <v>40</v>
      </c>
      <c r="W2983">
        <v>3.5</v>
      </c>
      <c r="X2983" t="s">
        <v>41</v>
      </c>
      <c r="Y2983" t="s">
        <v>42</v>
      </c>
      <c r="Z2983">
        <v>6</v>
      </c>
    </row>
    <row r="2984" spans="1:26">
      <c r="A2984" t="s">
        <v>4245</v>
      </c>
      <c r="B2984" t="s">
        <v>502</v>
      </c>
      <c r="C2984" t="s">
        <v>45</v>
      </c>
      <c r="D2984" t="s">
        <v>46</v>
      </c>
      <c r="E2984" s="1">
        <v>45939</v>
      </c>
      <c r="F2984" t="s">
        <v>47</v>
      </c>
      <c r="G2984" t="s">
        <v>218</v>
      </c>
      <c r="H2984" t="s">
        <v>59</v>
      </c>
      <c r="I2984">
        <v>8</v>
      </c>
      <c r="J2984" t="s">
        <v>67</v>
      </c>
      <c r="K2984">
        <v>1</v>
      </c>
      <c r="L2984" s="3">
        <v>8099</v>
      </c>
      <c r="M2984">
        <v>25</v>
      </c>
      <c r="N2984" s="3">
        <v>6070</v>
      </c>
      <c r="O2984" s="3">
        <v>6070</v>
      </c>
      <c r="P2984" t="s">
        <v>74</v>
      </c>
      <c r="Q2984" t="s">
        <v>35</v>
      </c>
      <c r="R2984" t="s">
        <v>36</v>
      </c>
      <c r="S2984" t="s">
        <v>175</v>
      </c>
      <c r="T2984" t="s">
        <v>495</v>
      </c>
      <c r="U2984" t="s">
        <v>124</v>
      </c>
      <c r="V2984" t="s">
        <v>969</v>
      </c>
      <c r="W2984">
        <v>4.7</v>
      </c>
      <c r="X2984" t="s">
        <v>62</v>
      </c>
      <c r="Y2984" t="s">
        <v>55</v>
      </c>
      <c r="Z2984">
        <v>3</v>
      </c>
    </row>
    <row r="2985" spans="1:26">
      <c r="A2985" t="s">
        <v>4246</v>
      </c>
      <c r="B2985" t="s">
        <v>897</v>
      </c>
      <c r="C2985" t="s">
        <v>28</v>
      </c>
      <c r="D2985" t="s">
        <v>46</v>
      </c>
      <c r="E2985" s="1">
        <v>45940</v>
      </c>
      <c r="F2985" t="s">
        <v>86</v>
      </c>
      <c r="G2985" t="s">
        <v>242</v>
      </c>
      <c r="H2985" t="s">
        <v>32</v>
      </c>
      <c r="I2985">
        <v>7</v>
      </c>
      <c r="J2985" t="s">
        <v>33</v>
      </c>
      <c r="K2985">
        <v>1</v>
      </c>
      <c r="L2985" s="3">
        <v>4899</v>
      </c>
      <c r="M2985">
        <v>0</v>
      </c>
      <c r="N2985" s="3">
        <v>4900</v>
      </c>
      <c r="O2985" s="3">
        <v>4900</v>
      </c>
      <c r="P2985" t="s">
        <v>74</v>
      </c>
      <c r="Q2985" t="s">
        <v>82</v>
      </c>
      <c r="R2985" t="s">
        <v>36</v>
      </c>
      <c r="S2985" t="s">
        <v>297</v>
      </c>
      <c r="T2985" t="s">
        <v>351</v>
      </c>
      <c r="U2985" t="s">
        <v>91</v>
      </c>
      <c r="V2985" t="s">
        <v>969</v>
      </c>
      <c r="W2985">
        <v>3.6</v>
      </c>
      <c r="X2985" t="s">
        <v>41</v>
      </c>
      <c r="Y2985" t="s">
        <v>55</v>
      </c>
      <c r="Z2985">
        <v>2</v>
      </c>
    </row>
    <row r="2986" spans="1:26">
      <c r="A2986" t="s">
        <v>4247</v>
      </c>
      <c r="B2986" t="s">
        <v>4244</v>
      </c>
      <c r="C2986" t="s">
        <v>28</v>
      </c>
      <c r="D2986" t="s">
        <v>29</v>
      </c>
      <c r="E2986" s="1">
        <v>45940</v>
      </c>
      <c r="F2986" t="s">
        <v>65</v>
      </c>
      <c r="G2986" t="s">
        <v>256</v>
      </c>
      <c r="H2986" t="s">
        <v>32</v>
      </c>
      <c r="I2986">
        <v>9</v>
      </c>
      <c r="J2986" t="s">
        <v>67</v>
      </c>
      <c r="K2986">
        <v>2</v>
      </c>
      <c r="L2986" s="3">
        <v>5699</v>
      </c>
      <c r="M2986">
        <v>30</v>
      </c>
      <c r="N2986" s="3">
        <v>3990</v>
      </c>
      <c r="O2986" s="3">
        <v>7980</v>
      </c>
      <c r="P2986" t="s">
        <v>74</v>
      </c>
      <c r="Q2986" t="s">
        <v>35</v>
      </c>
      <c r="R2986" t="s">
        <v>36</v>
      </c>
      <c r="S2986" t="s">
        <v>200</v>
      </c>
      <c r="T2986" t="s">
        <v>219</v>
      </c>
      <c r="U2986" t="s">
        <v>91</v>
      </c>
      <c r="V2986" t="s">
        <v>315</v>
      </c>
      <c r="W2986">
        <v>2.7</v>
      </c>
      <c r="X2986" t="s">
        <v>41</v>
      </c>
      <c r="Y2986" t="s">
        <v>42</v>
      </c>
      <c r="Z2986">
        <v>2</v>
      </c>
    </row>
    <row r="2987" spans="1:26">
      <c r="A2987" t="s">
        <v>4248</v>
      </c>
      <c r="B2987" t="s">
        <v>441</v>
      </c>
      <c r="C2987" t="s">
        <v>28</v>
      </c>
      <c r="D2987" t="s">
        <v>46</v>
      </c>
      <c r="E2987" s="1">
        <v>45941</v>
      </c>
      <c r="F2987" t="s">
        <v>47</v>
      </c>
      <c r="G2987" t="s">
        <v>402</v>
      </c>
      <c r="H2987" t="s">
        <v>32</v>
      </c>
      <c r="I2987">
        <v>10</v>
      </c>
      <c r="J2987" t="s">
        <v>98</v>
      </c>
      <c r="K2987">
        <v>1</v>
      </c>
      <c r="L2987" s="3">
        <v>8499</v>
      </c>
      <c r="M2987">
        <v>25</v>
      </c>
      <c r="N2987" s="3">
        <v>6370</v>
      </c>
      <c r="O2987" s="3">
        <v>6370</v>
      </c>
      <c r="P2987" t="s">
        <v>34</v>
      </c>
      <c r="Q2987" t="s">
        <v>82</v>
      </c>
      <c r="R2987" t="s">
        <v>36</v>
      </c>
      <c r="S2987" t="s">
        <v>52</v>
      </c>
      <c r="T2987" t="s">
        <v>83</v>
      </c>
      <c r="U2987" t="s">
        <v>124</v>
      </c>
      <c r="V2987" t="s">
        <v>969</v>
      </c>
      <c r="W2987">
        <v>3.9</v>
      </c>
      <c r="X2987" t="s">
        <v>41</v>
      </c>
      <c r="Y2987" t="s">
        <v>55</v>
      </c>
      <c r="Z2987">
        <v>3</v>
      </c>
    </row>
    <row r="2988" spans="1:26">
      <c r="A2988" t="s">
        <v>4249</v>
      </c>
      <c r="B2988" t="s">
        <v>303</v>
      </c>
      <c r="C2988" t="s">
        <v>45</v>
      </c>
      <c r="D2988" t="s">
        <v>103</v>
      </c>
      <c r="E2988" s="1">
        <v>45941</v>
      </c>
      <c r="F2988" t="s">
        <v>79</v>
      </c>
      <c r="G2988" t="s">
        <v>480</v>
      </c>
      <c r="H2988" t="s">
        <v>111</v>
      </c>
      <c r="I2988">
        <v>7</v>
      </c>
      <c r="J2988" t="s">
        <v>73</v>
      </c>
      <c r="K2988">
        <v>1</v>
      </c>
      <c r="L2988" s="3">
        <v>3799</v>
      </c>
      <c r="M2988">
        <v>25</v>
      </c>
      <c r="N2988" s="3">
        <v>2850</v>
      </c>
      <c r="O2988" s="3">
        <v>2850</v>
      </c>
      <c r="P2988" t="s">
        <v>74</v>
      </c>
      <c r="Q2988" t="s">
        <v>82</v>
      </c>
      <c r="R2988" t="s">
        <v>36</v>
      </c>
      <c r="S2988" t="s">
        <v>200</v>
      </c>
      <c r="T2988" t="s">
        <v>201</v>
      </c>
      <c r="U2988" t="s">
        <v>91</v>
      </c>
      <c r="V2988" t="s">
        <v>969</v>
      </c>
      <c r="W2988">
        <v>4.7</v>
      </c>
      <c r="X2988" t="s">
        <v>41</v>
      </c>
      <c r="Y2988" t="s">
        <v>42</v>
      </c>
      <c r="Z2988">
        <v>4</v>
      </c>
    </row>
    <row r="2989" spans="1:26">
      <c r="A2989" t="s">
        <v>4250</v>
      </c>
      <c r="B2989" t="s">
        <v>2943</v>
      </c>
      <c r="C2989" t="s">
        <v>28</v>
      </c>
      <c r="D2989" t="s">
        <v>29</v>
      </c>
      <c r="E2989" s="1">
        <v>45942</v>
      </c>
      <c r="F2989" t="s">
        <v>86</v>
      </c>
      <c r="G2989" t="s">
        <v>312</v>
      </c>
      <c r="H2989" t="s">
        <v>59</v>
      </c>
      <c r="I2989">
        <v>12</v>
      </c>
      <c r="J2989" t="s">
        <v>98</v>
      </c>
      <c r="K2989">
        <v>1</v>
      </c>
      <c r="L2989" s="3">
        <v>8499</v>
      </c>
      <c r="M2989">
        <v>25</v>
      </c>
      <c r="N2989" s="3">
        <v>6370</v>
      </c>
      <c r="O2989" s="3">
        <v>6370</v>
      </c>
      <c r="P2989" t="s">
        <v>34</v>
      </c>
      <c r="Q2989" t="s">
        <v>82</v>
      </c>
      <c r="R2989" t="s">
        <v>36</v>
      </c>
      <c r="S2989" t="s">
        <v>164</v>
      </c>
      <c r="T2989" t="s">
        <v>165</v>
      </c>
      <c r="U2989" t="s">
        <v>54</v>
      </c>
      <c r="V2989" t="s">
        <v>315</v>
      </c>
      <c r="W2989">
        <v>3.7</v>
      </c>
      <c r="X2989" t="s">
        <v>41</v>
      </c>
      <c r="Y2989" t="s">
        <v>42</v>
      </c>
      <c r="Z2989">
        <v>4</v>
      </c>
    </row>
    <row r="2990" spans="1:26">
      <c r="A2990" t="s">
        <v>4251</v>
      </c>
      <c r="B2990" t="s">
        <v>2413</v>
      </c>
      <c r="C2990" t="s">
        <v>45</v>
      </c>
      <c r="D2990" t="s">
        <v>109</v>
      </c>
      <c r="E2990" s="1">
        <v>45943</v>
      </c>
      <c r="F2990" t="s">
        <v>79</v>
      </c>
      <c r="G2990" t="s">
        <v>517</v>
      </c>
      <c r="H2990" t="s">
        <v>59</v>
      </c>
      <c r="I2990">
        <v>9</v>
      </c>
      <c r="J2990" t="s">
        <v>98</v>
      </c>
      <c r="K2990">
        <v>1</v>
      </c>
      <c r="L2990" s="3">
        <v>4799</v>
      </c>
      <c r="M2990">
        <v>0</v>
      </c>
      <c r="N2990" s="3">
        <v>4800</v>
      </c>
      <c r="O2990" s="3">
        <v>4800</v>
      </c>
      <c r="P2990" t="s">
        <v>74</v>
      </c>
      <c r="Q2990" t="s">
        <v>51</v>
      </c>
      <c r="R2990" t="s">
        <v>36</v>
      </c>
      <c r="S2990" t="s">
        <v>384</v>
      </c>
      <c r="T2990" t="s">
        <v>481</v>
      </c>
      <c r="U2990" t="s">
        <v>124</v>
      </c>
      <c r="V2990" t="s">
        <v>315</v>
      </c>
      <c r="W2990">
        <v>3.5</v>
      </c>
      <c r="X2990" t="s">
        <v>41</v>
      </c>
      <c r="Y2990" t="s">
        <v>42</v>
      </c>
      <c r="Z2990">
        <v>3</v>
      </c>
    </row>
    <row r="2991" spans="1:26">
      <c r="A2991" t="s">
        <v>4252</v>
      </c>
      <c r="B2991" t="s">
        <v>1668</v>
      </c>
      <c r="C2991" t="s">
        <v>94</v>
      </c>
      <c r="D2991" t="s">
        <v>103</v>
      </c>
      <c r="E2991" s="1">
        <v>45944</v>
      </c>
      <c r="F2991" t="s">
        <v>47</v>
      </c>
      <c r="G2991" t="s">
        <v>121</v>
      </c>
      <c r="H2991" t="s">
        <v>111</v>
      </c>
      <c r="I2991">
        <v>12</v>
      </c>
      <c r="J2991" t="s">
        <v>150</v>
      </c>
      <c r="K2991">
        <v>2</v>
      </c>
      <c r="L2991" s="3">
        <v>6499</v>
      </c>
      <c r="M2991">
        <v>20</v>
      </c>
      <c r="N2991" s="3">
        <v>5200</v>
      </c>
      <c r="O2991" s="3">
        <v>10400</v>
      </c>
      <c r="P2991" t="s">
        <v>74</v>
      </c>
      <c r="Q2991" t="s">
        <v>51</v>
      </c>
      <c r="R2991" t="s">
        <v>36</v>
      </c>
      <c r="S2991" t="s">
        <v>200</v>
      </c>
      <c r="T2991" t="s">
        <v>219</v>
      </c>
      <c r="U2991" t="s">
        <v>124</v>
      </c>
      <c r="V2991" t="s">
        <v>969</v>
      </c>
      <c r="W2991">
        <v>3.8</v>
      </c>
      <c r="X2991" t="s">
        <v>41</v>
      </c>
      <c r="Y2991" t="s">
        <v>42</v>
      </c>
      <c r="Z2991">
        <v>4</v>
      </c>
    </row>
    <row r="2992" spans="1:26">
      <c r="A2992" t="s">
        <v>4253</v>
      </c>
      <c r="B2992" t="s">
        <v>1761</v>
      </c>
      <c r="C2992" t="s">
        <v>45</v>
      </c>
      <c r="D2992" t="s">
        <v>95</v>
      </c>
      <c r="E2992" s="1">
        <v>45945</v>
      </c>
      <c r="F2992" t="s">
        <v>65</v>
      </c>
      <c r="G2992" t="s">
        <v>66</v>
      </c>
      <c r="H2992" t="s">
        <v>59</v>
      </c>
      <c r="I2992">
        <v>9</v>
      </c>
      <c r="J2992" t="s">
        <v>98</v>
      </c>
      <c r="K2992">
        <v>1</v>
      </c>
      <c r="L2992" s="3">
        <v>7599</v>
      </c>
      <c r="M2992">
        <v>5</v>
      </c>
      <c r="N2992" s="3">
        <v>7220</v>
      </c>
      <c r="O2992" s="3">
        <v>7220</v>
      </c>
      <c r="P2992" t="s">
        <v>74</v>
      </c>
      <c r="Q2992" t="s">
        <v>51</v>
      </c>
      <c r="R2992" t="s">
        <v>36</v>
      </c>
      <c r="S2992" t="s">
        <v>269</v>
      </c>
      <c r="T2992" t="s">
        <v>270</v>
      </c>
      <c r="U2992" t="s">
        <v>91</v>
      </c>
      <c r="V2992" t="s">
        <v>969</v>
      </c>
      <c r="W2992">
        <v>3.9</v>
      </c>
      <c r="X2992" t="s">
        <v>41</v>
      </c>
      <c r="Y2992" t="s">
        <v>42</v>
      </c>
      <c r="Z2992">
        <v>7</v>
      </c>
    </row>
    <row r="2993" spans="1:26">
      <c r="A2993" t="s">
        <v>4254</v>
      </c>
      <c r="B2993" t="s">
        <v>827</v>
      </c>
      <c r="C2993" t="s">
        <v>94</v>
      </c>
      <c r="D2993" t="s">
        <v>103</v>
      </c>
      <c r="E2993" s="1">
        <v>45945</v>
      </c>
      <c r="F2993" t="s">
        <v>86</v>
      </c>
      <c r="G2993" t="s">
        <v>116</v>
      </c>
      <c r="H2993" t="s">
        <v>49</v>
      </c>
      <c r="I2993">
        <v>9</v>
      </c>
      <c r="J2993" t="s">
        <v>150</v>
      </c>
      <c r="K2993">
        <v>1</v>
      </c>
      <c r="L2993" s="3">
        <v>4399</v>
      </c>
      <c r="M2993">
        <v>35</v>
      </c>
      <c r="N2993" s="3">
        <v>2860</v>
      </c>
      <c r="O2993" s="3">
        <v>2860</v>
      </c>
      <c r="P2993" t="s">
        <v>81</v>
      </c>
      <c r="Q2993" t="s">
        <v>51</v>
      </c>
      <c r="R2993" t="s">
        <v>36</v>
      </c>
      <c r="S2993" t="s">
        <v>195</v>
      </c>
      <c r="T2993" t="s">
        <v>215</v>
      </c>
      <c r="U2993" t="s">
        <v>61</v>
      </c>
      <c r="V2993" t="s">
        <v>969</v>
      </c>
      <c r="W2993">
        <v>3.4</v>
      </c>
      <c r="X2993" t="s">
        <v>41</v>
      </c>
      <c r="Y2993" t="s">
        <v>42</v>
      </c>
      <c r="Z2993">
        <v>3</v>
      </c>
    </row>
    <row r="2994" spans="1:26">
      <c r="A2994" t="s">
        <v>4255</v>
      </c>
      <c r="B2994" t="s">
        <v>1245</v>
      </c>
      <c r="C2994" t="s">
        <v>94</v>
      </c>
      <c r="D2994" t="s">
        <v>109</v>
      </c>
      <c r="E2994" s="1">
        <v>45946</v>
      </c>
      <c r="F2994" t="s">
        <v>96</v>
      </c>
      <c r="G2994" t="s">
        <v>155</v>
      </c>
      <c r="H2994" t="s">
        <v>111</v>
      </c>
      <c r="I2994">
        <v>6</v>
      </c>
      <c r="J2994" t="s">
        <v>150</v>
      </c>
      <c r="K2994">
        <v>1</v>
      </c>
      <c r="L2994" s="3">
        <v>8999</v>
      </c>
      <c r="M2994">
        <v>40</v>
      </c>
      <c r="N2994" s="3">
        <v>5400</v>
      </c>
      <c r="O2994" s="3">
        <v>5400</v>
      </c>
      <c r="P2994" t="s">
        <v>74</v>
      </c>
      <c r="Q2994" t="s">
        <v>82</v>
      </c>
      <c r="R2994" t="s">
        <v>36</v>
      </c>
      <c r="S2994" t="s">
        <v>286</v>
      </c>
      <c r="T2994" t="s">
        <v>287</v>
      </c>
      <c r="U2994" t="s">
        <v>54</v>
      </c>
      <c r="V2994" t="s">
        <v>315</v>
      </c>
      <c r="W2994">
        <v>4.7</v>
      </c>
      <c r="X2994" t="s">
        <v>106</v>
      </c>
      <c r="Y2994" t="s">
        <v>42</v>
      </c>
      <c r="Z2994">
        <v>2</v>
      </c>
    </row>
    <row r="2995" spans="1:26">
      <c r="A2995" t="s">
        <v>4256</v>
      </c>
      <c r="B2995" t="s">
        <v>932</v>
      </c>
      <c r="C2995" t="s">
        <v>45</v>
      </c>
      <c r="D2995" t="s">
        <v>95</v>
      </c>
      <c r="E2995" s="1">
        <v>45946</v>
      </c>
      <c r="F2995" t="s">
        <v>47</v>
      </c>
      <c r="G2995" t="s">
        <v>218</v>
      </c>
      <c r="H2995" t="s">
        <v>59</v>
      </c>
      <c r="I2995">
        <v>8</v>
      </c>
      <c r="J2995" t="s">
        <v>73</v>
      </c>
      <c r="K2995">
        <v>1</v>
      </c>
      <c r="L2995" s="3">
        <v>5299</v>
      </c>
      <c r="M2995">
        <v>5</v>
      </c>
      <c r="N2995" s="3">
        <v>5030</v>
      </c>
      <c r="O2995" s="3">
        <v>5030</v>
      </c>
      <c r="P2995" t="s">
        <v>81</v>
      </c>
      <c r="Q2995" t="s">
        <v>51</v>
      </c>
      <c r="R2995" t="s">
        <v>36</v>
      </c>
      <c r="S2995" t="s">
        <v>104</v>
      </c>
      <c r="T2995" t="s">
        <v>1048</v>
      </c>
      <c r="U2995" t="s">
        <v>61</v>
      </c>
      <c r="V2995" t="s">
        <v>969</v>
      </c>
      <c r="W2995">
        <v>3.6</v>
      </c>
      <c r="X2995" t="s">
        <v>41</v>
      </c>
      <c r="Y2995" t="s">
        <v>42</v>
      </c>
      <c r="Z2995">
        <v>2</v>
      </c>
    </row>
    <row r="2996" spans="1:26">
      <c r="A2996" t="s">
        <v>4257</v>
      </c>
      <c r="B2996" t="s">
        <v>3361</v>
      </c>
      <c r="C2996" t="s">
        <v>45</v>
      </c>
      <c r="D2996" t="s">
        <v>46</v>
      </c>
      <c r="E2996" s="1">
        <v>45946</v>
      </c>
      <c r="F2996" t="s">
        <v>47</v>
      </c>
      <c r="G2996" t="s">
        <v>48</v>
      </c>
      <c r="H2996" t="s">
        <v>49</v>
      </c>
      <c r="I2996">
        <v>9</v>
      </c>
      <c r="J2996" t="s">
        <v>98</v>
      </c>
      <c r="K2996">
        <v>2</v>
      </c>
      <c r="L2996" s="3">
        <v>3999</v>
      </c>
      <c r="M2996">
        <v>25</v>
      </c>
      <c r="N2996" s="3">
        <v>3000</v>
      </c>
      <c r="O2996" s="3">
        <v>6000</v>
      </c>
      <c r="P2996" t="s">
        <v>81</v>
      </c>
      <c r="Q2996" t="s">
        <v>35</v>
      </c>
      <c r="R2996" t="s">
        <v>36</v>
      </c>
      <c r="S2996" t="s">
        <v>200</v>
      </c>
      <c r="T2996" t="s">
        <v>201</v>
      </c>
      <c r="U2996" t="s">
        <v>91</v>
      </c>
      <c r="V2996" t="s">
        <v>315</v>
      </c>
      <c r="W2996">
        <v>5</v>
      </c>
      <c r="X2996" t="s">
        <v>62</v>
      </c>
      <c r="Y2996" t="s">
        <v>42</v>
      </c>
      <c r="Z2996">
        <v>3</v>
      </c>
    </row>
    <row r="2997" spans="1:26">
      <c r="A2997" t="s">
        <v>4258</v>
      </c>
      <c r="B2997" t="s">
        <v>3872</v>
      </c>
      <c r="C2997" t="s">
        <v>28</v>
      </c>
      <c r="D2997" t="s">
        <v>29</v>
      </c>
      <c r="E2997" s="1">
        <v>45946</v>
      </c>
      <c r="F2997" t="s">
        <v>30</v>
      </c>
      <c r="G2997" t="s">
        <v>214</v>
      </c>
      <c r="H2997" t="s">
        <v>128</v>
      </c>
      <c r="I2997">
        <v>10</v>
      </c>
      <c r="J2997" t="s">
        <v>98</v>
      </c>
      <c r="K2997">
        <v>4</v>
      </c>
      <c r="L2997" s="3">
        <v>8099</v>
      </c>
      <c r="M2997">
        <v>5</v>
      </c>
      <c r="N2997" s="3">
        <v>7690</v>
      </c>
      <c r="O2997" s="3">
        <v>30760</v>
      </c>
      <c r="P2997" t="s">
        <v>34</v>
      </c>
      <c r="Q2997" t="s">
        <v>51</v>
      </c>
      <c r="R2997" t="s">
        <v>36</v>
      </c>
      <c r="S2997" t="s">
        <v>37</v>
      </c>
      <c r="T2997" t="s">
        <v>484</v>
      </c>
      <c r="U2997" t="s">
        <v>124</v>
      </c>
      <c r="V2997" t="s">
        <v>315</v>
      </c>
      <c r="W2997">
        <v>3.2</v>
      </c>
      <c r="X2997" t="s">
        <v>62</v>
      </c>
      <c r="Y2997" t="s">
        <v>42</v>
      </c>
      <c r="Z2997">
        <v>5</v>
      </c>
    </row>
    <row r="2998" spans="1:26">
      <c r="A2998" t="s">
        <v>4259</v>
      </c>
      <c r="B2998" t="s">
        <v>4260</v>
      </c>
      <c r="C2998" t="s">
        <v>45</v>
      </c>
      <c r="D2998" t="s">
        <v>103</v>
      </c>
      <c r="E2998" s="1">
        <v>45946</v>
      </c>
      <c r="F2998" t="s">
        <v>65</v>
      </c>
      <c r="G2998" t="s">
        <v>365</v>
      </c>
      <c r="H2998" t="s">
        <v>49</v>
      </c>
      <c r="I2998">
        <v>6</v>
      </c>
      <c r="J2998" t="s">
        <v>98</v>
      </c>
      <c r="K2998">
        <v>2</v>
      </c>
      <c r="L2998" s="3">
        <v>3799</v>
      </c>
      <c r="M2998">
        <v>10</v>
      </c>
      <c r="N2998" s="3">
        <v>3420</v>
      </c>
      <c r="O2998" s="3">
        <v>6840</v>
      </c>
      <c r="P2998" t="s">
        <v>74</v>
      </c>
      <c r="Q2998" t="s">
        <v>51</v>
      </c>
      <c r="R2998" t="s">
        <v>36</v>
      </c>
      <c r="S2998" t="s">
        <v>286</v>
      </c>
      <c r="T2998" t="s">
        <v>287</v>
      </c>
      <c r="U2998" t="s">
        <v>61</v>
      </c>
      <c r="V2998" t="s">
        <v>40</v>
      </c>
      <c r="W2998">
        <v>4.0999999999999996</v>
      </c>
      <c r="X2998" t="s">
        <v>41</v>
      </c>
      <c r="Y2998" t="s">
        <v>147</v>
      </c>
      <c r="Z2998">
        <v>1</v>
      </c>
    </row>
    <row r="2999" spans="1:26">
      <c r="A2999" t="s">
        <v>4261</v>
      </c>
      <c r="B2999" t="s">
        <v>677</v>
      </c>
      <c r="C2999" t="s">
        <v>28</v>
      </c>
      <c r="D2999" t="s">
        <v>29</v>
      </c>
      <c r="E2999" s="1">
        <v>45948</v>
      </c>
      <c r="F2999" t="s">
        <v>65</v>
      </c>
      <c r="G2999" t="s">
        <v>72</v>
      </c>
      <c r="H2999" t="s">
        <v>59</v>
      </c>
      <c r="I2999">
        <v>10</v>
      </c>
      <c r="J2999" t="s">
        <v>67</v>
      </c>
      <c r="K2999">
        <v>1</v>
      </c>
      <c r="L2999" s="3">
        <v>7899</v>
      </c>
      <c r="M2999">
        <v>15</v>
      </c>
      <c r="N2999" s="3">
        <v>6710</v>
      </c>
      <c r="O2999" s="3">
        <v>6710</v>
      </c>
      <c r="P2999" t="s">
        <v>74</v>
      </c>
      <c r="Q2999" t="s">
        <v>51</v>
      </c>
      <c r="R2999" t="s">
        <v>36</v>
      </c>
      <c r="S2999" t="s">
        <v>160</v>
      </c>
      <c r="T2999" t="s">
        <v>344</v>
      </c>
      <c r="U2999" t="s">
        <v>54</v>
      </c>
      <c r="V2999" t="s">
        <v>969</v>
      </c>
      <c r="W2999">
        <v>4.2</v>
      </c>
      <c r="X2999" t="s">
        <v>41</v>
      </c>
      <c r="Y2999" t="s">
        <v>55</v>
      </c>
      <c r="Z2999">
        <v>3</v>
      </c>
    </row>
    <row r="3000" spans="1:26">
      <c r="A3000" t="s">
        <v>4262</v>
      </c>
      <c r="B3000" t="s">
        <v>392</v>
      </c>
      <c r="C3000" t="s">
        <v>94</v>
      </c>
      <c r="D3000" t="s">
        <v>103</v>
      </c>
      <c r="E3000" s="1">
        <v>45948</v>
      </c>
      <c r="F3000" t="s">
        <v>96</v>
      </c>
      <c r="G3000" t="s">
        <v>171</v>
      </c>
      <c r="H3000" t="s">
        <v>128</v>
      </c>
      <c r="I3000">
        <v>11</v>
      </c>
      <c r="J3000" t="s">
        <v>33</v>
      </c>
      <c r="K3000">
        <v>2</v>
      </c>
      <c r="L3000" s="3">
        <v>5799</v>
      </c>
      <c r="M3000">
        <v>0</v>
      </c>
      <c r="N3000" s="3">
        <v>5800</v>
      </c>
      <c r="O3000" s="3">
        <v>11600</v>
      </c>
      <c r="P3000" t="s">
        <v>34</v>
      </c>
      <c r="Q3000" t="s">
        <v>51</v>
      </c>
      <c r="R3000" t="s">
        <v>36</v>
      </c>
      <c r="S3000" t="s">
        <v>210</v>
      </c>
      <c r="T3000" t="s">
        <v>412</v>
      </c>
      <c r="U3000" t="s">
        <v>91</v>
      </c>
      <c r="V3000" t="s">
        <v>969</v>
      </c>
      <c r="W3000">
        <v>4.2</v>
      </c>
      <c r="X3000" t="s">
        <v>41</v>
      </c>
      <c r="Y3000" t="s">
        <v>42</v>
      </c>
      <c r="Z3000">
        <v>4</v>
      </c>
    </row>
    <row r="3001" spans="1:26">
      <c r="A3001" t="s">
        <v>4263</v>
      </c>
      <c r="B3001" t="s">
        <v>1139</v>
      </c>
      <c r="C3001" t="s">
        <v>45</v>
      </c>
      <c r="D3001" t="s">
        <v>29</v>
      </c>
      <c r="E3001" s="1">
        <v>45949</v>
      </c>
      <c r="F3001" t="s">
        <v>86</v>
      </c>
      <c r="G3001" t="s">
        <v>242</v>
      </c>
      <c r="H3001" t="s">
        <v>32</v>
      </c>
      <c r="I3001">
        <v>11</v>
      </c>
      <c r="J3001" t="s">
        <v>98</v>
      </c>
      <c r="K3001">
        <v>1</v>
      </c>
      <c r="L3001" s="3">
        <v>7399</v>
      </c>
      <c r="M3001">
        <v>35</v>
      </c>
      <c r="N3001" s="3">
        <v>4810</v>
      </c>
      <c r="O3001" s="3">
        <v>4810</v>
      </c>
      <c r="P3001" t="s">
        <v>74</v>
      </c>
      <c r="Q3001" t="s">
        <v>51</v>
      </c>
      <c r="R3001" t="s">
        <v>36</v>
      </c>
      <c r="S3001" t="s">
        <v>297</v>
      </c>
      <c r="T3001" t="s">
        <v>351</v>
      </c>
      <c r="U3001" t="s">
        <v>61</v>
      </c>
      <c r="V3001" t="s">
        <v>969</v>
      </c>
      <c r="W3001">
        <v>4.5</v>
      </c>
      <c r="X3001" t="s">
        <v>41</v>
      </c>
      <c r="Y3001" t="s">
        <v>55</v>
      </c>
      <c r="Z3001">
        <v>2</v>
      </c>
    </row>
    <row r="3002" spans="1:26">
      <c r="A3002" t="s">
        <v>4264</v>
      </c>
      <c r="B3002" t="s">
        <v>167</v>
      </c>
      <c r="C3002" t="s">
        <v>45</v>
      </c>
      <c r="D3002" t="s">
        <v>103</v>
      </c>
      <c r="E3002" s="1">
        <v>45949</v>
      </c>
      <c r="F3002" t="s">
        <v>86</v>
      </c>
      <c r="G3002" t="s">
        <v>285</v>
      </c>
      <c r="H3002" t="s">
        <v>111</v>
      </c>
      <c r="I3002">
        <v>12</v>
      </c>
      <c r="J3002" t="s">
        <v>67</v>
      </c>
      <c r="K3002">
        <v>1</v>
      </c>
      <c r="L3002" s="3">
        <v>5099</v>
      </c>
      <c r="M3002">
        <v>5</v>
      </c>
      <c r="N3002" s="3">
        <v>4840</v>
      </c>
      <c r="O3002" s="3">
        <v>4840</v>
      </c>
      <c r="P3002" t="s">
        <v>74</v>
      </c>
      <c r="Q3002" t="s">
        <v>35</v>
      </c>
      <c r="R3002" t="s">
        <v>36</v>
      </c>
      <c r="S3002" t="s">
        <v>141</v>
      </c>
      <c r="T3002" t="s">
        <v>142</v>
      </c>
      <c r="U3002" t="s">
        <v>54</v>
      </c>
      <c r="V3002" t="s">
        <v>969</v>
      </c>
      <c r="W3002">
        <v>5</v>
      </c>
      <c r="X3002" t="s">
        <v>62</v>
      </c>
      <c r="Y3002" t="s">
        <v>42</v>
      </c>
      <c r="Z3002">
        <v>2</v>
      </c>
    </row>
    <row r="3003" spans="1:26">
      <c r="A3003" t="s">
        <v>4265</v>
      </c>
      <c r="B3003" t="s">
        <v>1332</v>
      </c>
      <c r="C3003" t="s">
        <v>45</v>
      </c>
      <c r="D3003" t="s">
        <v>46</v>
      </c>
      <c r="E3003" s="1">
        <v>45949</v>
      </c>
      <c r="F3003" t="s">
        <v>65</v>
      </c>
      <c r="G3003" t="s">
        <v>365</v>
      </c>
      <c r="H3003" t="s">
        <v>49</v>
      </c>
      <c r="I3003">
        <v>11</v>
      </c>
      <c r="J3003" t="s">
        <v>73</v>
      </c>
      <c r="K3003">
        <v>2</v>
      </c>
      <c r="L3003" s="3">
        <v>6399</v>
      </c>
      <c r="M3003">
        <v>30</v>
      </c>
      <c r="N3003" s="3">
        <v>4480</v>
      </c>
      <c r="O3003" s="3">
        <v>8960</v>
      </c>
      <c r="P3003" t="s">
        <v>34</v>
      </c>
      <c r="Q3003" t="s">
        <v>51</v>
      </c>
      <c r="R3003" t="s">
        <v>36</v>
      </c>
      <c r="S3003" t="s">
        <v>129</v>
      </c>
      <c r="T3003" t="s">
        <v>146</v>
      </c>
      <c r="U3003" t="s">
        <v>61</v>
      </c>
      <c r="V3003" t="s">
        <v>315</v>
      </c>
      <c r="W3003">
        <v>4.4000000000000004</v>
      </c>
      <c r="X3003" t="s">
        <v>41</v>
      </c>
      <c r="Y3003" t="s">
        <v>42</v>
      </c>
      <c r="Z3003">
        <v>3</v>
      </c>
    </row>
    <row r="3004" spans="1:26">
      <c r="A3004" t="s">
        <v>4266</v>
      </c>
      <c r="B3004" t="s">
        <v>761</v>
      </c>
      <c r="C3004" t="s">
        <v>28</v>
      </c>
      <c r="D3004" t="s">
        <v>46</v>
      </c>
      <c r="E3004" s="1">
        <v>45950</v>
      </c>
      <c r="F3004" t="s">
        <v>30</v>
      </c>
      <c r="G3004" t="s">
        <v>347</v>
      </c>
      <c r="H3004" t="s">
        <v>49</v>
      </c>
      <c r="I3004">
        <v>10</v>
      </c>
      <c r="J3004" t="s">
        <v>88</v>
      </c>
      <c r="K3004">
        <v>1</v>
      </c>
      <c r="L3004" s="3">
        <v>8199</v>
      </c>
      <c r="M3004">
        <v>15</v>
      </c>
      <c r="N3004" s="3">
        <v>6970</v>
      </c>
      <c r="O3004" s="3">
        <v>6970</v>
      </c>
      <c r="P3004" t="s">
        <v>34</v>
      </c>
      <c r="Q3004" t="s">
        <v>51</v>
      </c>
      <c r="R3004" t="s">
        <v>36</v>
      </c>
      <c r="S3004" t="s">
        <v>164</v>
      </c>
      <c r="T3004" t="s">
        <v>409</v>
      </c>
      <c r="U3004" t="s">
        <v>91</v>
      </c>
      <c r="V3004" t="s">
        <v>315</v>
      </c>
      <c r="W3004">
        <v>3.8</v>
      </c>
      <c r="X3004" t="s">
        <v>62</v>
      </c>
      <c r="Y3004" t="s">
        <v>42</v>
      </c>
      <c r="Z3004">
        <v>6</v>
      </c>
    </row>
    <row r="3005" spans="1:26">
      <c r="A3005" t="s">
        <v>4267</v>
      </c>
      <c r="B3005" t="s">
        <v>2790</v>
      </c>
      <c r="C3005" t="s">
        <v>28</v>
      </c>
      <c r="D3005" t="s">
        <v>103</v>
      </c>
      <c r="E3005" s="1">
        <v>45950</v>
      </c>
      <c r="F3005" t="s">
        <v>96</v>
      </c>
      <c r="G3005" t="s">
        <v>290</v>
      </c>
      <c r="H3005" t="s">
        <v>32</v>
      </c>
      <c r="I3005">
        <v>6</v>
      </c>
      <c r="J3005" t="s">
        <v>88</v>
      </c>
      <c r="K3005">
        <v>1</v>
      </c>
      <c r="L3005" s="3">
        <v>7599</v>
      </c>
      <c r="M3005">
        <v>20</v>
      </c>
      <c r="N3005" s="3">
        <v>6080</v>
      </c>
      <c r="O3005" s="3">
        <v>6080</v>
      </c>
      <c r="P3005" t="s">
        <v>34</v>
      </c>
      <c r="Q3005" t="s">
        <v>35</v>
      </c>
      <c r="R3005" t="s">
        <v>36</v>
      </c>
      <c r="S3005" t="s">
        <v>210</v>
      </c>
      <c r="T3005" t="s">
        <v>211</v>
      </c>
      <c r="U3005" t="s">
        <v>61</v>
      </c>
      <c r="V3005" t="s">
        <v>969</v>
      </c>
      <c r="W3005">
        <v>5</v>
      </c>
      <c r="X3005" t="s">
        <v>41</v>
      </c>
      <c r="Y3005" t="s">
        <v>55</v>
      </c>
      <c r="Z3005">
        <v>3</v>
      </c>
    </row>
    <row r="3006" spans="1:26">
      <c r="A3006" t="s">
        <v>4268</v>
      </c>
      <c r="B3006" t="s">
        <v>1292</v>
      </c>
      <c r="C3006" t="s">
        <v>28</v>
      </c>
      <c r="D3006" t="s">
        <v>29</v>
      </c>
      <c r="E3006" s="1">
        <v>45951</v>
      </c>
      <c r="F3006" t="s">
        <v>79</v>
      </c>
      <c r="G3006" t="s">
        <v>127</v>
      </c>
      <c r="H3006" t="s">
        <v>128</v>
      </c>
      <c r="I3006">
        <v>9</v>
      </c>
      <c r="J3006" t="s">
        <v>73</v>
      </c>
      <c r="K3006">
        <v>1</v>
      </c>
      <c r="L3006" s="3">
        <v>6799</v>
      </c>
      <c r="M3006">
        <v>0</v>
      </c>
      <c r="N3006" s="3">
        <v>6800</v>
      </c>
      <c r="O3006" s="3">
        <v>6800</v>
      </c>
      <c r="P3006" t="s">
        <v>74</v>
      </c>
      <c r="Q3006" t="s">
        <v>82</v>
      </c>
      <c r="R3006" t="s">
        <v>36</v>
      </c>
      <c r="S3006" t="s">
        <v>75</v>
      </c>
      <c r="T3006" t="s">
        <v>318</v>
      </c>
      <c r="U3006" t="s">
        <v>61</v>
      </c>
      <c r="V3006" t="s">
        <v>969</v>
      </c>
      <c r="W3006">
        <v>4.9000000000000004</v>
      </c>
      <c r="X3006" t="s">
        <v>41</v>
      </c>
      <c r="Y3006" t="s">
        <v>42</v>
      </c>
      <c r="Z3006">
        <v>5</v>
      </c>
    </row>
    <row r="3007" spans="1:26">
      <c r="A3007" t="s">
        <v>4269</v>
      </c>
      <c r="B3007" t="s">
        <v>1614</v>
      </c>
      <c r="C3007" t="s">
        <v>45</v>
      </c>
      <c r="D3007" t="s">
        <v>46</v>
      </c>
      <c r="E3007" s="1">
        <v>45952</v>
      </c>
      <c r="F3007" t="s">
        <v>86</v>
      </c>
      <c r="G3007" t="s">
        <v>87</v>
      </c>
      <c r="H3007" t="s">
        <v>59</v>
      </c>
      <c r="I3007">
        <v>12</v>
      </c>
      <c r="J3007" t="s">
        <v>98</v>
      </c>
      <c r="K3007">
        <v>1</v>
      </c>
      <c r="L3007" s="3">
        <v>6999</v>
      </c>
      <c r="M3007">
        <v>5</v>
      </c>
      <c r="N3007" s="3">
        <v>6650</v>
      </c>
      <c r="O3007" s="3">
        <v>6650</v>
      </c>
      <c r="P3007" t="s">
        <v>74</v>
      </c>
      <c r="Q3007" t="s">
        <v>51</v>
      </c>
      <c r="R3007" t="s">
        <v>36</v>
      </c>
      <c r="S3007" t="s">
        <v>186</v>
      </c>
      <c r="T3007" t="s">
        <v>222</v>
      </c>
      <c r="U3007" t="s">
        <v>54</v>
      </c>
      <c r="V3007" t="s">
        <v>315</v>
      </c>
      <c r="W3007">
        <v>4.3</v>
      </c>
      <c r="X3007" t="s">
        <v>106</v>
      </c>
      <c r="Y3007" t="s">
        <v>42</v>
      </c>
      <c r="Z3007">
        <v>1</v>
      </c>
    </row>
    <row r="3008" spans="1:26">
      <c r="A3008" t="s">
        <v>4270</v>
      </c>
      <c r="B3008" t="s">
        <v>1676</v>
      </c>
      <c r="C3008" t="s">
        <v>45</v>
      </c>
      <c r="D3008" t="s">
        <v>46</v>
      </c>
      <c r="E3008" s="1">
        <v>45952</v>
      </c>
      <c r="F3008" t="s">
        <v>65</v>
      </c>
      <c r="G3008" t="s">
        <v>256</v>
      </c>
      <c r="H3008" t="s">
        <v>32</v>
      </c>
      <c r="I3008">
        <v>9</v>
      </c>
      <c r="J3008" t="s">
        <v>88</v>
      </c>
      <c r="K3008">
        <v>1</v>
      </c>
      <c r="L3008" s="3">
        <v>3799</v>
      </c>
      <c r="M3008">
        <v>15</v>
      </c>
      <c r="N3008" s="3">
        <v>3230</v>
      </c>
      <c r="O3008" s="3">
        <v>3230</v>
      </c>
      <c r="P3008" t="s">
        <v>74</v>
      </c>
      <c r="Q3008" t="s">
        <v>82</v>
      </c>
      <c r="R3008" t="s">
        <v>36</v>
      </c>
      <c r="S3008" t="s">
        <v>210</v>
      </c>
      <c r="T3008" t="s">
        <v>680</v>
      </c>
      <c r="U3008" t="s">
        <v>61</v>
      </c>
      <c r="V3008" t="s">
        <v>969</v>
      </c>
      <c r="W3008">
        <v>4.0999999999999996</v>
      </c>
      <c r="X3008" t="s">
        <v>41</v>
      </c>
      <c r="Y3008" t="s">
        <v>42</v>
      </c>
      <c r="Z3008">
        <v>3</v>
      </c>
    </row>
    <row r="3009" spans="1:26">
      <c r="A3009" t="s">
        <v>4271</v>
      </c>
      <c r="B3009" t="s">
        <v>3696</v>
      </c>
      <c r="C3009" t="s">
        <v>45</v>
      </c>
      <c r="D3009" t="s">
        <v>29</v>
      </c>
      <c r="E3009" s="1">
        <v>45953</v>
      </c>
      <c r="F3009" t="s">
        <v>96</v>
      </c>
      <c r="G3009" t="s">
        <v>228</v>
      </c>
      <c r="H3009" t="s">
        <v>59</v>
      </c>
      <c r="I3009">
        <v>8</v>
      </c>
      <c r="J3009" t="s">
        <v>73</v>
      </c>
      <c r="K3009">
        <v>2</v>
      </c>
      <c r="L3009" s="3">
        <v>7799</v>
      </c>
      <c r="M3009">
        <v>10</v>
      </c>
      <c r="N3009" s="3">
        <v>7020</v>
      </c>
      <c r="O3009" s="3">
        <v>14040</v>
      </c>
      <c r="P3009" t="s">
        <v>74</v>
      </c>
      <c r="Q3009" t="s">
        <v>51</v>
      </c>
      <c r="R3009" t="s">
        <v>36</v>
      </c>
      <c r="S3009" t="s">
        <v>117</v>
      </c>
      <c r="T3009" t="s">
        <v>118</v>
      </c>
      <c r="U3009" t="s">
        <v>54</v>
      </c>
      <c r="V3009" t="s">
        <v>969</v>
      </c>
      <c r="W3009">
        <v>4.2</v>
      </c>
      <c r="X3009" t="s">
        <v>41</v>
      </c>
      <c r="Y3009" t="s">
        <v>55</v>
      </c>
      <c r="Z3009">
        <v>4</v>
      </c>
    </row>
    <row r="3010" spans="1:26">
      <c r="A3010" t="s">
        <v>4272</v>
      </c>
      <c r="B3010" t="s">
        <v>2764</v>
      </c>
      <c r="C3010" t="s">
        <v>28</v>
      </c>
      <c r="D3010" t="s">
        <v>95</v>
      </c>
      <c r="E3010" s="1">
        <v>45953</v>
      </c>
      <c r="F3010" t="s">
        <v>30</v>
      </c>
      <c r="G3010" t="s">
        <v>31</v>
      </c>
      <c r="H3010" t="s">
        <v>32</v>
      </c>
      <c r="I3010">
        <v>10</v>
      </c>
      <c r="J3010" t="s">
        <v>150</v>
      </c>
      <c r="K3010">
        <v>2</v>
      </c>
      <c r="L3010" s="3">
        <v>9299</v>
      </c>
      <c r="M3010">
        <v>15</v>
      </c>
      <c r="N3010" s="3">
        <v>7900</v>
      </c>
      <c r="O3010" s="3">
        <v>15800</v>
      </c>
      <c r="P3010" t="s">
        <v>50</v>
      </c>
      <c r="Q3010" t="s">
        <v>35</v>
      </c>
      <c r="R3010" t="s">
        <v>36</v>
      </c>
      <c r="S3010" t="s">
        <v>129</v>
      </c>
      <c r="T3010" t="s">
        <v>655</v>
      </c>
      <c r="U3010" t="s">
        <v>39</v>
      </c>
      <c r="V3010" t="s">
        <v>969</v>
      </c>
      <c r="W3010">
        <v>4</v>
      </c>
      <c r="X3010" t="s">
        <v>41</v>
      </c>
      <c r="Y3010" t="s">
        <v>42</v>
      </c>
      <c r="Z3010">
        <v>4</v>
      </c>
    </row>
    <row r="3011" spans="1:26">
      <c r="A3011" t="s">
        <v>4273</v>
      </c>
      <c r="B3011" t="s">
        <v>443</v>
      </c>
      <c r="C3011" t="s">
        <v>45</v>
      </c>
      <c r="D3011" t="s">
        <v>103</v>
      </c>
      <c r="E3011" s="1">
        <v>45954</v>
      </c>
      <c r="F3011" t="s">
        <v>86</v>
      </c>
      <c r="G3011" t="s">
        <v>312</v>
      </c>
      <c r="H3011" t="s">
        <v>59</v>
      </c>
      <c r="I3011">
        <v>7</v>
      </c>
      <c r="J3011" t="s">
        <v>98</v>
      </c>
      <c r="K3011">
        <v>2</v>
      </c>
      <c r="L3011" s="3">
        <v>5199</v>
      </c>
      <c r="M3011">
        <v>15</v>
      </c>
      <c r="N3011" s="3">
        <v>4420</v>
      </c>
      <c r="O3011" s="3">
        <v>8840</v>
      </c>
      <c r="P3011" t="s">
        <v>74</v>
      </c>
      <c r="Q3011" t="s">
        <v>51</v>
      </c>
      <c r="R3011" t="s">
        <v>36</v>
      </c>
      <c r="S3011" t="s">
        <v>129</v>
      </c>
      <c r="T3011" t="s">
        <v>655</v>
      </c>
      <c r="U3011" t="s">
        <v>54</v>
      </c>
      <c r="V3011" t="s">
        <v>969</v>
      </c>
      <c r="W3011">
        <v>2.9</v>
      </c>
      <c r="X3011" t="s">
        <v>41</v>
      </c>
      <c r="Y3011" t="s">
        <v>55</v>
      </c>
      <c r="Z3011">
        <v>2</v>
      </c>
    </row>
    <row r="3012" spans="1:26">
      <c r="A3012" t="s">
        <v>4274</v>
      </c>
      <c r="B3012" t="s">
        <v>2681</v>
      </c>
      <c r="C3012" t="s">
        <v>28</v>
      </c>
      <c r="D3012" t="s">
        <v>46</v>
      </c>
      <c r="E3012" s="1">
        <v>45954</v>
      </c>
      <c r="F3012" t="s">
        <v>65</v>
      </c>
      <c r="G3012" t="s">
        <v>279</v>
      </c>
      <c r="H3012" t="s">
        <v>111</v>
      </c>
      <c r="I3012">
        <v>10</v>
      </c>
      <c r="J3012" t="s">
        <v>67</v>
      </c>
      <c r="K3012">
        <v>2</v>
      </c>
      <c r="L3012" s="3">
        <v>7299</v>
      </c>
      <c r="M3012">
        <v>5</v>
      </c>
      <c r="N3012" s="3">
        <v>6930</v>
      </c>
      <c r="O3012" s="3">
        <v>13860</v>
      </c>
      <c r="P3012" t="s">
        <v>74</v>
      </c>
      <c r="Q3012" t="s">
        <v>51</v>
      </c>
      <c r="R3012" t="s">
        <v>36</v>
      </c>
      <c r="S3012" t="s">
        <v>160</v>
      </c>
      <c r="T3012" t="s">
        <v>344</v>
      </c>
      <c r="U3012" t="s">
        <v>91</v>
      </c>
      <c r="V3012" t="s">
        <v>315</v>
      </c>
      <c r="W3012">
        <v>4.3</v>
      </c>
      <c r="X3012" t="s">
        <v>41</v>
      </c>
      <c r="Y3012" t="s">
        <v>42</v>
      </c>
      <c r="Z3012">
        <v>5</v>
      </c>
    </row>
    <row r="3013" spans="1:26">
      <c r="A3013" t="s">
        <v>4275</v>
      </c>
      <c r="B3013" t="s">
        <v>2061</v>
      </c>
      <c r="C3013" t="s">
        <v>45</v>
      </c>
      <c r="D3013" t="s">
        <v>103</v>
      </c>
      <c r="E3013" s="1">
        <v>45954</v>
      </c>
      <c r="F3013" t="s">
        <v>79</v>
      </c>
      <c r="G3013" t="s">
        <v>517</v>
      </c>
      <c r="H3013" t="s">
        <v>59</v>
      </c>
      <c r="I3013">
        <v>9</v>
      </c>
      <c r="J3013" t="s">
        <v>98</v>
      </c>
      <c r="K3013">
        <v>1</v>
      </c>
      <c r="L3013" s="3">
        <v>5499</v>
      </c>
      <c r="M3013">
        <v>15</v>
      </c>
      <c r="N3013" s="3">
        <v>4670</v>
      </c>
      <c r="O3013" s="3">
        <v>4670</v>
      </c>
      <c r="P3013" t="s">
        <v>74</v>
      </c>
      <c r="Q3013" t="s">
        <v>51</v>
      </c>
      <c r="R3013" t="s">
        <v>36</v>
      </c>
      <c r="S3013" t="s">
        <v>156</v>
      </c>
      <c r="T3013" t="s">
        <v>257</v>
      </c>
      <c r="U3013" t="s">
        <v>54</v>
      </c>
      <c r="V3013" t="s">
        <v>315</v>
      </c>
      <c r="W3013">
        <v>4.9000000000000004</v>
      </c>
      <c r="X3013" t="s">
        <v>41</v>
      </c>
      <c r="Y3013" t="s">
        <v>42</v>
      </c>
      <c r="Z3013">
        <v>5</v>
      </c>
    </row>
    <row r="3014" spans="1:26">
      <c r="A3014" t="s">
        <v>4276</v>
      </c>
      <c r="B3014" t="s">
        <v>998</v>
      </c>
      <c r="C3014" t="s">
        <v>94</v>
      </c>
      <c r="D3014" t="s">
        <v>103</v>
      </c>
      <c r="E3014" s="1">
        <v>45955</v>
      </c>
      <c r="F3014" t="s">
        <v>65</v>
      </c>
      <c r="G3014" t="s">
        <v>279</v>
      </c>
      <c r="H3014" t="s">
        <v>111</v>
      </c>
      <c r="I3014">
        <v>9</v>
      </c>
      <c r="J3014" t="s">
        <v>67</v>
      </c>
      <c r="K3014">
        <v>2</v>
      </c>
      <c r="L3014" s="3">
        <v>8499</v>
      </c>
      <c r="M3014">
        <v>15</v>
      </c>
      <c r="N3014" s="3">
        <v>7220</v>
      </c>
      <c r="O3014" s="3">
        <v>14440</v>
      </c>
      <c r="P3014" t="s">
        <v>34</v>
      </c>
      <c r="Q3014" t="s">
        <v>35</v>
      </c>
      <c r="R3014" t="s">
        <v>36</v>
      </c>
      <c r="S3014" t="s">
        <v>164</v>
      </c>
      <c r="T3014" t="s">
        <v>409</v>
      </c>
      <c r="U3014" t="s">
        <v>124</v>
      </c>
      <c r="V3014" t="s">
        <v>969</v>
      </c>
      <c r="W3014">
        <v>3.7</v>
      </c>
      <c r="X3014" t="s">
        <v>106</v>
      </c>
      <c r="Y3014" t="s">
        <v>42</v>
      </c>
      <c r="Z3014">
        <v>4</v>
      </c>
    </row>
    <row r="3015" spans="1:26">
      <c r="A3015" t="s">
        <v>4277</v>
      </c>
      <c r="B3015" t="s">
        <v>4030</v>
      </c>
      <c r="C3015" t="s">
        <v>28</v>
      </c>
      <c r="D3015" t="s">
        <v>103</v>
      </c>
      <c r="E3015" s="1">
        <v>45955</v>
      </c>
      <c r="F3015" t="s">
        <v>96</v>
      </c>
      <c r="G3015" t="s">
        <v>171</v>
      </c>
      <c r="H3015" t="s">
        <v>128</v>
      </c>
      <c r="I3015">
        <v>7</v>
      </c>
      <c r="J3015" t="s">
        <v>67</v>
      </c>
      <c r="K3015">
        <v>1</v>
      </c>
      <c r="L3015" s="3">
        <v>4699</v>
      </c>
      <c r="M3015">
        <v>30</v>
      </c>
      <c r="N3015" s="3">
        <v>3290</v>
      </c>
      <c r="O3015" s="3">
        <v>3290</v>
      </c>
      <c r="P3015" t="s">
        <v>74</v>
      </c>
      <c r="Q3015" t="s">
        <v>51</v>
      </c>
      <c r="R3015" t="s">
        <v>36</v>
      </c>
      <c r="S3015" t="s">
        <v>238</v>
      </c>
      <c r="T3015" t="s">
        <v>260</v>
      </c>
      <c r="U3015" t="s">
        <v>54</v>
      </c>
      <c r="V3015" t="s">
        <v>315</v>
      </c>
      <c r="W3015">
        <v>2.9</v>
      </c>
      <c r="X3015" t="s">
        <v>62</v>
      </c>
      <c r="Y3015" t="s">
        <v>42</v>
      </c>
      <c r="Z3015">
        <v>2</v>
      </c>
    </row>
    <row r="3016" spans="1:26">
      <c r="A3016" t="s">
        <v>4278</v>
      </c>
      <c r="B3016" t="s">
        <v>1076</v>
      </c>
      <c r="C3016" t="s">
        <v>45</v>
      </c>
      <c r="D3016" t="s">
        <v>95</v>
      </c>
      <c r="E3016" s="1">
        <v>45956</v>
      </c>
      <c r="F3016" t="s">
        <v>47</v>
      </c>
      <c r="G3016" t="s">
        <v>140</v>
      </c>
      <c r="H3016" t="s">
        <v>128</v>
      </c>
      <c r="I3016">
        <v>8</v>
      </c>
      <c r="J3016" t="s">
        <v>33</v>
      </c>
      <c r="K3016">
        <v>1</v>
      </c>
      <c r="L3016" s="3">
        <v>7699</v>
      </c>
      <c r="M3016">
        <v>15</v>
      </c>
      <c r="N3016" s="3">
        <v>6540</v>
      </c>
      <c r="O3016" s="3">
        <v>6540</v>
      </c>
      <c r="P3016" t="s">
        <v>34</v>
      </c>
      <c r="Q3016" t="s">
        <v>82</v>
      </c>
      <c r="R3016" t="s">
        <v>36</v>
      </c>
      <c r="S3016" t="s">
        <v>338</v>
      </c>
      <c r="T3016" t="s">
        <v>338</v>
      </c>
      <c r="U3016" t="s">
        <v>61</v>
      </c>
      <c r="V3016" t="s">
        <v>969</v>
      </c>
      <c r="W3016">
        <v>4.7</v>
      </c>
      <c r="X3016" t="s">
        <v>41</v>
      </c>
      <c r="Y3016" t="s">
        <v>42</v>
      </c>
      <c r="Z3016">
        <v>5</v>
      </c>
    </row>
    <row r="3017" spans="1:26">
      <c r="A3017" t="s">
        <v>4279</v>
      </c>
      <c r="B3017" t="s">
        <v>1761</v>
      </c>
      <c r="C3017" t="s">
        <v>45</v>
      </c>
      <c r="D3017" t="s">
        <v>95</v>
      </c>
      <c r="E3017" s="1">
        <v>45957</v>
      </c>
      <c r="F3017" t="s">
        <v>79</v>
      </c>
      <c r="G3017" t="s">
        <v>480</v>
      </c>
      <c r="H3017" t="s">
        <v>111</v>
      </c>
      <c r="I3017">
        <v>11</v>
      </c>
      <c r="J3017" t="s">
        <v>150</v>
      </c>
      <c r="K3017">
        <v>3</v>
      </c>
      <c r="L3017" s="3">
        <v>3999</v>
      </c>
      <c r="M3017">
        <v>10</v>
      </c>
      <c r="N3017" s="3">
        <v>3600</v>
      </c>
      <c r="O3017" s="3">
        <v>10800</v>
      </c>
      <c r="P3017" t="s">
        <v>74</v>
      </c>
      <c r="Q3017" t="s">
        <v>82</v>
      </c>
      <c r="R3017" t="s">
        <v>36</v>
      </c>
      <c r="S3017" t="s">
        <v>269</v>
      </c>
      <c r="T3017" t="s">
        <v>575</v>
      </c>
      <c r="U3017" t="s">
        <v>39</v>
      </c>
      <c r="V3017" t="s">
        <v>969</v>
      </c>
      <c r="W3017">
        <v>4.3</v>
      </c>
      <c r="X3017" t="s">
        <v>41</v>
      </c>
      <c r="Y3017" t="s">
        <v>42</v>
      </c>
      <c r="Z3017">
        <v>3</v>
      </c>
    </row>
    <row r="3018" spans="1:26">
      <c r="A3018" t="s">
        <v>4280</v>
      </c>
      <c r="B3018" t="s">
        <v>1193</v>
      </c>
      <c r="C3018" t="s">
        <v>45</v>
      </c>
      <c r="D3018" t="s">
        <v>103</v>
      </c>
      <c r="E3018" s="1">
        <v>45957</v>
      </c>
      <c r="F3018" t="s">
        <v>65</v>
      </c>
      <c r="G3018" t="s">
        <v>256</v>
      </c>
      <c r="H3018" t="s">
        <v>32</v>
      </c>
      <c r="I3018">
        <v>12</v>
      </c>
      <c r="J3018" t="s">
        <v>98</v>
      </c>
      <c r="K3018">
        <v>1</v>
      </c>
      <c r="L3018" s="3">
        <v>5799</v>
      </c>
      <c r="M3018">
        <v>15</v>
      </c>
      <c r="N3018" s="3">
        <v>4930</v>
      </c>
      <c r="O3018" s="3">
        <v>4930</v>
      </c>
      <c r="P3018" t="s">
        <v>81</v>
      </c>
      <c r="Q3018" t="s">
        <v>35</v>
      </c>
      <c r="R3018" t="s">
        <v>36</v>
      </c>
      <c r="S3018" t="s">
        <v>186</v>
      </c>
      <c r="T3018" t="s">
        <v>341</v>
      </c>
      <c r="U3018" t="s">
        <v>91</v>
      </c>
      <c r="V3018" t="s">
        <v>969</v>
      </c>
      <c r="W3018">
        <v>4.0999999999999996</v>
      </c>
      <c r="X3018" t="s">
        <v>62</v>
      </c>
      <c r="Y3018" t="s">
        <v>55</v>
      </c>
      <c r="Z3018">
        <v>3</v>
      </c>
    </row>
    <row r="3019" spans="1:26">
      <c r="A3019" t="s">
        <v>4281</v>
      </c>
      <c r="B3019" t="s">
        <v>241</v>
      </c>
      <c r="C3019" t="s">
        <v>28</v>
      </c>
      <c r="D3019" t="s">
        <v>95</v>
      </c>
      <c r="E3019" s="1">
        <v>45957</v>
      </c>
      <c r="F3019" t="s">
        <v>30</v>
      </c>
      <c r="G3019" t="s">
        <v>31</v>
      </c>
      <c r="H3019" t="s">
        <v>32</v>
      </c>
      <c r="I3019">
        <v>6</v>
      </c>
      <c r="J3019" t="s">
        <v>67</v>
      </c>
      <c r="K3019">
        <v>1</v>
      </c>
      <c r="L3019" s="3">
        <v>6699</v>
      </c>
      <c r="M3019">
        <v>20</v>
      </c>
      <c r="N3019" s="3">
        <v>5360</v>
      </c>
      <c r="O3019" s="3">
        <v>5360</v>
      </c>
      <c r="P3019" t="s">
        <v>81</v>
      </c>
      <c r="Q3019" t="s">
        <v>82</v>
      </c>
      <c r="R3019" t="s">
        <v>36</v>
      </c>
      <c r="S3019" t="s">
        <v>141</v>
      </c>
      <c r="T3019" t="s">
        <v>142</v>
      </c>
      <c r="U3019" t="s">
        <v>124</v>
      </c>
      <c r="V3019" t="s">
        <v>969</v>
      </c>
      <c r="W3019">
        <v>3.8</v>
      </c>
      <c r="X3019" t="s">
        <v>106</v>
      </c>
      <c r="Y3019" t="s">
        <v>42</v>
      </c>
      <c r="Z3019">
        <v>5</v>
      </c>
    </row>
    <row r="3020" spans="1:26">
      <c r="A3020" t="s">
        <v>4282</v>
      </c>
      <c r="B3020" t="s">
        <v>2970</v>
      </c>
      <c r="C3020" t="s">
        <v>28</v>
      </c>
      <c r="D3020" t="s">
        <v>103</v>
      </c>
      <c r="E3020" s="1">
        <v>45957</v>
      </c>
      <c r="F3020" t="s">
        <v>65</v>
      </c>
      <c r="G3020" t="s">
        <v>279</v>
      </c>
      <c r="H3020" t="s">
        <v>111</v>
      </c>
      <c r="I3020">
        <v>8</v>
      </c>
      <c r="J3020" t="s">
        <v>98</v>
      </c>
      <c r="K3020">
        <v>1</v>
      </c>
      <c r="L3020" s="3">
        <v>3899</v>
      </c>
      <c r="M3020">
        <v>10</v>
      </c>
      <c r="N3020" s="3">
        <v>3510</v>
      </c>
      <c r="O3020" s="3">
        <v>3510</v>
      </c>
      <c r="P3020" t="s">
        <v>34</v>
      </c>
      <c r="Q3020" t="s">
        <v>35</v>
      </c>
      <c r="R3020" t="s">
        <v>36</v>
      </c>
      <c r="S3020" t="s">
        <v>297</v>
      </c>
      <c r="T3020" t="s">
        <v>390</v>
      </c>
      <c r="U3020" t="s">
        <v>61</v>
      </c>
      <c r="V3020" t="s">
        <v>969</v>
      </c>
      <c r="W3020">
        <v>4.3</v>
      </c>
      <c r="X3020" t="s">
        <v>106</v>
      </c>
      <c r="Y3020" t="s">
        <v>42</v>
      </c>
      <c r="Z3020">
        <v>5</v>
      </c>
    </row>
    <row r="3021" spans="1:26">
      <c r="A3021" t="s">
        <v>4283</v>
      </c>
      <c r="B3021" t="s">
        <v>974</v>
      </c>
      <c r="C3021" t="s">
        <v>28</v>
      </c>
      <c r="D3021" t="s">
        <v>95</v>
      </c>
      <c r="E3021" s="1">
        <v>45958</v>
      </c>
      <c r="F3021" t="s">
        <v>30</v>
      </c>
      <c r="G3021" t="s">
        <v>145</v>
      </c>
      <c r="H3021" t="s">
        <v>59</v>
      </c>
      <c r="I3021">
        <v>9</v>
      </c>
      <c r="J3021" t="s">
        <v>67</v>
      </c>
      <c r="K3021">
        <v>1</v>
      </c>
      <c r="L3021" s="3">
        <v>9599</v>
      </c>
      <c r="M3021">
        <v>10</v>
      </c>
      <c r="N3021" s="3">
        <v>8640</v>
      </c>
      <c r="O3021" s="3">
        <v>8640</v>
      </c>
      <c r="P3021" t="s">
        <v>34</v>
      </c>
      <c r="Q3021" t="s">
        <v>51</v>
      </c>
      <c r="R3021" t="s">
        <v>36</v>
      </c>
      <c r="S3021" t="s">
        <v>238</v>
      </c>
      <c r="T3021" t="s">
        <v>498</v>
      </c>
      <c r="U3021" t="s">
        <v>124</v>
      </c>
      <c r="V3021" t="s">
        <v>969</v>
      </c>
      <c r="W3021">
        <v>4.8</v>
      </c>
      <c r="X3021" t="s">
        <v>41</v>
      </c>
      <c r="Y3021" t="s">
        <v>42</v>
      </c>
      <c r="Z3021">
        <v>2</v>
      </c>
    </row>
    <row r="3022" spans="1:26">
      <c r="A3022" t="s">
        <v>4284</v>
      </c>
      <c r="B3022" t="s">
        <v>935</v>
      </c>
      <c r="C3022" t="s">
        <v>28</v>
      </c>
      <c r="D3022" t="s">
        <v>29</v>
      </c>
      <c r="E3022" s="1">
        <v>45958</v>
      </c>
      <c r="F3022" t="s">
        <v>86</v>
      </c>
      <c r="G3022" t="s">
        <v>312</v>
      </c>
      <c r="H3022" t="s">
        <v>59</v>
      </c>
      <c r="I3022">
        <v>9</v>
      </c>
      <c r="J3022" t="s">
        <v>98</v>
      </c>
      <c r="K3022">
        <v>2</v>
      </c>
      <c r="L3022" s="3">
        <v>5799</v>
      </c>
      <c r="M3022">
        <v>20</v>
      </c>
      <c r="N3022" s="3">
        <v>4640</v>
      </c>
      <c r="O3022" s="3">
        <v>9280</v>
      </c>
      <c r="P3022" t="s">
        <v>74</v>
      </c>
      <c r="Q3022" t="s">
        <v>51</v>
      </c>
      <c r="R3022" t="s">
        <v>36</v>
      </c>
      <c r="S3022" t="s">
        <v>418</v>
      </c>
      <c r="T3022" t="s">
        <v>549</v>
      </c>
      <c r="U3022" t="s">
        <v>91</v>
      </c>
      <c r="V3022" t="s">
        <v>969</v>
      </c>
      <c r="W3022">
        <v>4.5999999999999996</v>
      </c>
      <c r="X3022" t="s">
        <v>41</v>
      </c>
      <c r="Y3022" t="s">
        <v>55</v>
      </c>
      <c r="Z3022">
        <v>2</v>
      </c>
    </row>
    <row r="3023" spans="1:26">
      <c r="A3023" t="s">
        <v>4285</v>
      </c>
      <c r="B3023" t="s">
        <v>306</v>
      </c>
      <c r="C3023" t="s">
        <v>28</v>
      </c>
      <c r="D3023" t="s">
        <v>95</v>
      </c>
      <c r="E3023" s="1">
        <v>45958</v>
      </c>
      <c r="F3023" t="s">
        <v>65</v>
      </c>
      <c r="G3023" t="s">
        <v>365</v>
      </c>
      <c r="H3023" t="s">
        <v>49</v>
      </c>
      <c r="I3023">
        <v>10</v>
      </c>
      <c r="J3023" t="s">
        <v>88</v>
      </c>
      <c r="K3023">
        <v>1</v>
      </c>
      <c r="L3023" s="3">
        <v>7999</v>
      </c>
      <c r="M3023">
        <v>40</v>
      </c>
      <c r="N3023" s="3">
        <v>4800</v>
      </c>
      <c r="O3023" s="3">
        <v>4800</v>
      </c>
      <c r="P3023" t="s">
        <v>74</v>
      </c>
      <c r="Q3023" t="s">
        <v>82</v>
      </c>
      <c r="R3023" t="s">
        <v>36</v>
      </c>
      <c r="S3023" t="s">
        <v>195</v>
      </c>
      <c r="T3023" t="s">
        <v>215</v>
      </c>
      <c r="U3023" t="s">
        <v>124</v>
      </c>
      <c r="V3023" t="s">
        <v>969</v>
      </c>
      <c r="W3023">
        <v>4.3</v>
      </c>
      <c r="X3023" t="s">
        <v>106</v>
      </c>
      <c r="Y3023" t="s">
        <v>42</v>
      </c>
      <c r="Z3023">
        <v>4</v>
      </c>
    </row>
    <row r="3024" spans="1:26">
      <c r="A3024" t="s">
        <v>4286</v>
      </c>
      <c r="B3024" t="s">
        <v>596</v>
      </c>
      <c r="C3024" t="s">
        <v>45</v>
      </c>
      <c r="D3024" t="s">
        <v>95</v>
      </c>
      <c r="E3024" s="1">
        <v>45963</v>
      </c>
      <c r="F3024" t="s">
        <v>86</v>
      </c>
      <c r="G3024" t="s">
        <v>312</v>
      </c>
      <c r="H3024" t="s">
        <v>59</v>
      </c>
      <c r="I3024">
        <v>11</v>
      </c>
      <c r="J3024" t="s">
        <v>67</v>
      </c>
      <c r="K3024">
        <v>1</v>
      </c>
      <c r="L3024" s="3">
        <v>8499</v>
      </c>
      <c r="M3024">
        <v>25</v>
      </c>
      <c r="N3024" s="3">
        <v>6370</v>
      </c>
      <c r="O3024" s="3">
        <v>6370</v>
      </c>
      <c r="P3024" t="s">
        <v>34</v>
      </c>
      <c r="Q3024" t="s">
        <v>82</v>
      </c>
      <c r="R3024" t="s">
        <v>36</v>
      </c>
      <c r="S3024" t="s">
        <v>68</v>
      </c>
      <c r="T3024" t="s">
        <v>400</v>
      </c>
      <c r="U3024" t="s">
        <v>54</v>
      </c>
      <c r="V3024" t="s">
        <v>969</v>
      </c>
      <c r="W3024">
        <v>3.6</v>
      </c>
      <c r="X3024" t="s">
        <v>41</v>
      </c>
      <c r="Y3024" t="s">
        <v>147</v>
      </c>
      <c r="Z3024">
        <v>1</v>
      </c>
    </row>
    <row r="3025" spans="1:26">
      <c r="A3025" t="s">
        <v>4287</v>
      </c>
      <c r="B3025" t="s">
        <v>1493</v>
      </c>
      <c r="C3025" t="s">
        <v>28</v>
      </c>
      <c r="D3025" t="s">
        <v>103</v>
      </c>
      <c r="E3025" s="1">
        <v>45963</v>
      </c>
      <c r="F3025" t="s">
        <v>86</v>
      </c>
      <c r="G3025" t="s">
        <v>312</v>
      </c>
      <c r="H3025" t="s">
        <v>59</v>
      </c>
      <c r="I3025">
        <v>11</v>
      </c>
      <c r="J3025" t="s">
        <v>33</v>
      </c>
      <c r="K3025">
        <v>1</v>
      </c>
      <c r="L3025" s="3">
        <v>6399</v>
      </c>
      <c r="M3025">
        <v>25</v>
      </c>
      <c r="N3025" s="3">
        <v>4800</v>
      </c>
      <c r="O3025" s="3">
        <v>4800</v>
      </c>
      <c r="P3025" t="s">
        <v>74</v>
      </c>
      <c r="Q3025" t="s">
        <v>51</v>
      </c>
      <c r="R3025" t="s">
        <v>36</v>
      </c>
      <c r="S3025" t="s">
        <v>168</v>
      </c>
      <c r="T3025" t="s">
        <v>557</v>
      </c>
      <c r="U3025" t="s">
        <v>39</v>
      </c>
      <c r="V3025" t="s">
        <v>969</v>
      </c>
      <c r="W3025">
        <v>3.6</v>
      </c>
      <c r="X3025" t="s">
        <v>106</v>
      </c>
      <c r="Y3025" t="s">
        <v>147</v>
      </c>
      <c r="Z3025">
        <v>1</v>
      </c>
    </row>
    <row r="3026" spans="1:26">
      <c r="A3026" t="s">
        <v>4288</v>
      </c>
      <c r="B3026" t="s">
        <v>241</v>
      </c>
      <c r="C3026" t="s">
        <v>45</v>
      </c>
      <c r="D3026" t="s">
        <v>95</v>
      </c>
      <c r="E3026" s="1">
        <v>45963</v>
      </c>
      <c r="F3026" t="s">
        <v>65</v>
      </c>
      <c r="G3026" t="s">
        <v>256</v>
      </c>
      <c r="H3026" t="s">
        <v>32</v>
      </c>
      <c r="I3026">
        <v>6</v>
      </c>
      <c r="J3026" t="s">
        <v>88</v>
      </c>
      <c r="K3026">
        <v>2</v>
      </c>
      <c r="L3026" s="3">
        <v>6799</v>
      </c>
      <c r="M3026">
        <v>25</v>
      </c>
      <c r="N3026" s="3">
        <v>5100</v>
      </c>
      <c r="O3026" s="3">
        <v>10200</v>
      </c>
      <c r="P3026" t="s">
        <v>74</v>
      </c>
      <c r="Q3026" t="s">
        <v>82</v>
      </c>
      <c r="R3026" t="s">
        <v>36</v>
      </c>
      <c r="S3026" t="s">
        <v>112</v>
      </c>
      <c r="T3026" t="s">
        <v>265</v>
      </c>
      <c r="U3026" t="s">
        <v>54</v>
      </c>
      <c r="V3026" t="s">
        <v>969</v>
      </c>
      <c r="W3026">
        <v>4.2</v>
      </c>
      <c r="X3026" t="s">
        <v>41</v>
      </c>
      <c r="Y3026" t="s">
        <v>42</v>
      </c>
      <c r="Z3026">
        <v>3</v>
      </c>
    </row>
    <row r="3027" spans="1:26">
      <c r="A3027" t="s">
        <v>4289</v>
      </c>
      <c r="B3027" t="s">
        <v>511</v>
      </c>
      <c r="C3027" t="s">
        <v>94</v>
      </c>
      <c r="D3027" t="s">
        <v>46</v>
      </c>
      <c r="E3027" s="1">
        <v>45963</v>
      </c>
      <c r="F3027" t="s">
        <v>65</v>
      </c>
      <c r="G3027" t="s">
        <v>256</v>
      </c>
      <c r="H3027" t="s">
        <v>32</v>
      </c>
      <c r="I3027">
        <v>10</v>
      </c>
      <c r="J3027" t="s">
        <v>33</v>
      </c>
      <c r="K3027">
        <v>1</v>
      </c>
      <c r="L3027" s="3">
        <v>3799</v>
      </c>
      <c r="M3027">
        <v>25</v>
      </c>
      <c r="N3027" s="3">
        <v>2850</v>
      </c>
      <c r="O3027" s="3">
        <v>2850</v>
      </c>
      <c r="P3027" t="s">
        <v>74</v>
      </c>
      <c r="Q3027" t="s">
        <v>35</v>
      </c>
      <c r="R3027" t="s">
        <v>36</v>
      </c>
      <c r="S3027" t="s">
        <v>52</v>
      </c>
      <c r="T3027" t="s">
        <v>83</v>
      </c>
      <c r="U3027" t="s">
        <v>91</v>
      </c>
      <c r="V3027" t="s">
        <v>969</v>
      </c>
      <c r="W3027">
        <v>3.2</v>
      </c>
      <c r="X3027" t="s">
        <v>62</v>
      </c>
      <c r="Y3027" t="s">
        <v>147</v>
      </c>
      <c r="Z3027">
        <v>1</v>
      </c>
    </row>
    <row r="3028" spans="1:26">
      <c r="A3028" t="s">
        <v>4290</v>
      </c>
      <c r="B3028" t="s">
        <v>2267</v>
      </c>
      <c r="C3028" t="s">
        <v>45</v>
      </c>
      <c r="D3028" t="s">
        <v>46</v>
      </c>
      <c r="E3028" s="1">
        <v>45965</v>
      </c>
      <c r="F3028" t="s">
        <v>86</v>
      </c>
      <c r="G3028" t="s">
        <v>87</v>
      </c>
      <c r="H3028" t="s">
        <v>59</v>
      </c>
      <c r="I3028">
        <v>8</v>
      </c>
      <c r="J3028" t="s">
        <v>33</v>
      </c>
      <c r="K3028">
        <v>1</v>
      </c>
      <c r="L3028" s="3">
        <v>4299</v>
      </c>
      <c r="M3028">
        <v>5</v>
      </c>
      <c r="N3028" s="3">
        <v>4080</v>
      </c>
      <c r="O3028" s="3">
        <v>4080</v>
      </c>
      <c r="P3028" t="s">
        <v>74</v>
      </c>
      <c r="Q3028" t="s">
        <v>51</v>
      </c>
      <c r="R3028" t="s">
        <v>36</v>
      </c>
      <c r="S3028" t="s">
        <v>338</v>
      </c>
      <c r="T3028" t="s">
        <v>394</v>
      </c>
      <c r="U3028" t="s">
        <v>54</v>
      </c>
      <c r="V3028" t="s">
        <v>315</v>
      </c>
      <c r="W3028">
        <v>4.0999999999999996</v>
      </c>
      <c r="X3028" t="s">
        <v>62</v>
      </c>
      <c r="Y3028" t="s">
        <v>42</v>
      </c>
      <c r="Z3028">
        <v>1</v>
      </c>
    </row>
    <row r="3029" spans="1:26">
      <c r="A3029" t="s">
        <v>4291</v>
      </c>
      <c r="B3029" t="s">
        <v>1328</v>
      </c>
      <c r="C3029" t="s">
        <v>45</v>
      </c>
      <c r="D3029" t="s">
        <v>103</v>
      </c>
      <c r="E3029" s="1">
        <v>45965</v>
      </c>
      <c r="F3029" t="s">
        <v>65</v>
      </c>
      <c r="G3029" t="s">
        <v>365</v>
      </c>
      <c r="H3029" t="s">
        <v>49</v>
      </c>
      <c r="I3029">
        <v>6</v>
      </c>
      <c r="J3029" t="s">
        <v>67</v>
      </c>
      <c r="K3029">
        <v>1</v>
      </c>
      <c r="L3029" s="3">
        <v>4099</v>
      </c>
      <c r="M3029">
        <v>20</v>
      </c>
      <c r="N3029" s="3">
        <v>3280</v>
      </c>
      <c r="O3029" s="3">
        <v>3280</v>
      </c>
      <c r="P3029" t="s">
        <v>50</v>
      </c>
      <c r="Q3029" t="s">
        <v>51</v>
      </c>
      <c r="R3029" t="s">
        <v>36</v>
      </c>
      <c r="S3029" t="s">
        <v>99</v>
      </c>
      <c r="T3029" t="s">
        <v>759</v>
      </c>
      <c r="U3029" t="s">
        <v>124</v>
      </c>
      <c r="V3029" t="s">
        <v>315</v>
      </c>
      <c r="W3029">
        <v>3.7</v>
      </c>
      <c r="X3029" t="s">
        <v>41</v>
      </c>
      <c r="Y3029" t="s">
        <v>42</v>
      </c>
      <c r="Z3029">
        <v>3</v>
      </c>
    </row>
    <row r="3030" spans="1:26">
      <c r="A3030" t="s">
        <v>4292</v>
      </c>
      <c r="B3030" t="s">
        <v>3174</v>
      </c>
      <c r="C3030" t="s">
        <v>94</v>
      </c>
      <c r="D3030" t="s">
        <v>103</v>
      </c>
      <c r="E3030" s="1">
        <v>45965</v>
      </c>
      <c r="F3030" t="s">
        <v>30</v>
      </c>
      <c r="G3030" t="s">
        <v>347</v>
      </c>
      <c r="H3030" t="s">
        <v>49</v>
      </c>
      <c r="I3030">
        <v>12</v>
      </c>
      <c r="J3030" t="s">
        <v>67</v>
      </c>
      <c r="K3030">
        <v>1</v>
      </c>
      <c r="L3030" s="3">
        <v>3999</v>
      </c>
      <c r="M3030">
        <v>15</v>
      </c>
      <c r="N3030" s="3">
        <v>3400</v>
      </c>
      <c r="O3030" s="3">
        <v>3400</v>
      </c>
      <c r="P3030" t="s">
        <v>74</v>
      </c>
      <c r="Q3030" t="s">
        <v>51</v>
      </c>
      <c r="R3030" t="s">
        <v>36</v>
      </c>
      <c r="S3030" t="s">
        <v>238</v>
      </c>
      <c r="T3030" t="s">
        <v>498</v>
      </c>
      <c r="U3030" t="s">
        <v>54</v>
      </c>
      <c r="V3030" t="s">
        <v>315</v>
      </c>
      <c r="W3030">
        <v>4.9000000000000004</v>
      </c>
      <c r="X3030" t="s">
        <v>62</v>
      </c>
      <c r="Y3030" t="s">
        <v>42</v>
      </c>
      <c r="Z3030">
        <v>5</v>
      </c>
    </row>
    <row r="3031" spans="1:26">
      <c r="A3031" t="s">
        <v>4293</v>
      </c>
      <c r="B3031" t="s">
        <v>1553</v>
      </c>
      <c r="C3031" t="s">
        <v>94</v>
      </c>
      <c r="D3031" t="s">
        <v>95</v>
      </c>
      <c r="E3031" s="1">
        <v>45965</v>
      </c>
      <c r="F3031" t="s">
        <v>96</v>
      </c>
      <c r="G3031" t="s">
        <v>97</v>
      </c>
      <c r="H3031" t="s">
        <v>49</v>
      </c>
      <c r="I3031">
        <v>8</v>
      </c>
      <c r="J3031" t="s">
        <v>33</v>
      </c>
      <c r="K3031">
        <v>2</v>
      </c>
      <c r="L3031" s="3">
        <v>6199</v>
      </c>
      <c r="M3031">
        <v>20</v>
      </c>
      <c r="N3031" s="3">
        <v>4960</v>
      </c>
      <c r="O3031" s="3">
        <v>9920</v>
      </c>
      <c r="P3031" t="s">
        <v>74</v>
      </c>
      <c r="Q3031" t="s">
        <v>35</v>
      </c>
      <c r="R3031" t="s">
        <v>36</v>
      </c>
      <c r="S3031" t="s">
        <v>117</v>
      </c>
      <c r="T3031" t="s">
        <v>253</v>
      </c>
      <c r="U3031" t="s">
        <v>39</v>
      </c>
      <c r="V3031" t="s">
        <v>969</v>
      </c>
      <c r="W3031">
        <v>3.4</v>
      </c>
      <c r="X3031" t="s">
        <v>41</v>
      </c>
      <c r="Y3031" t="s">
        <v>42</v>
      </c>
      <c r="Z3031">
        <v>5</v>
      </c>
    </row>
    <row r="3032" spans="1:26">
      <c r="A3032" t="s">
        <v>4294</v>
      </c>
      <c r="B3032" t="s">
        <v>788</v>
      </c>
      <c r="C3032" t="s">
        <v>45</v>
      </c>
      <c r="D3032" t="s">
        <v>103</v>
      </c>
      <c r="E3032" s="1">
        <v>45966</v>
      </c>
      <c r="F3032" t="s">
        <v>47</v>
      </c>
      <c r="G3032" t="s">
        <v>121</v>
      </c>
      <c r="H3032" t="s">
        <v>111</v>
      </c>
      <c r="I3032">
        <v>10</v>
      </c>
      <c r="J3032" t="s">
        <v>98</v>
      </c>
      <c r="K3032">
        <v>1</v>
      </c>
      <c r="L3032" s="3">
        <v>7899</v>
      </c>
      <c r="M3032">
        <v>10</v>
      </c>
      <c r="N3032" s="3">
        <v>7110</v>
      </c>
      <c r="O3032" s="3">
        <v>7110</v>
      </c>
      <c r="P3032" t="s">
        <v>50</v>
      </c>
      <c r="Q3032" t="s">
        <v>51</v>
      </c>
      <c r="R3032" t="s">
        <v>36</v>
      </c>
      <c r="S3032" t="s">
        <v>200</v>
      </c>
      <c r="T3032" t="s">
        <v>204</v>
      </c>
      <c r="U3032" t="s">
        <v>61</v>
      </c>
      <c r="V3032" t="s">
        <v>315</v>
      </c>
      <c r="W3032">
        <v>5</v>
      </c>
      <c r="X3032" t="s">
        <v>41</v>
      </c>
      <c r="Y3032" t="s">
        <v>55</v>
      </c>
      <c r="Z3032">
        <v>3</v>
      </c>
    </row>
    <row r="3033" spans="1:26">
      <c r="A3033" t="s">
        <v>4295</v>
      </c>
      <c r="B3033" t="s">
        <v>1582</v>
      </c>
      <c r="C3033" t="s">
        <v>94</v>
      </c>
      <c r="D3033" t="s">
        <v>95</v>
      </c>
      <c r="E3033" s="1">
        <v>45966</v>
      </c>
      <c r="F3033" t="s">
        <v>65</v>
      </c>
      <c r="G3033" t="s">
        <v>72</v>
      </c>
      <c r="H3033" t="s">
        <v>59</v>
      </c>
      <c r="I3033">
        <v>12</v>
      </c>
      <c r="J3033" t="s">
        <v>150</v>
      </c>
      <c r="K3033">
        <v>1</v>
      </c>
      <c r="L3033" s="3">
        <v>4299</v>
      </c>
      <c r="M3033">
        <v>15</v>
      </c>
      <c r="N3033" s="3">
        <v>3650</v>
      </c>
      <c r="O3033" s="3">
        <v>3650</v>
      </c>
      <c r="P3033" t="s">
        <v>50</v>
      </c>
      <c r="Q3033" t="s">
        <v>51</v>
      </c>
      <c r="R3033" t="s">
        <v>36</v>
      </c>
      <c r="S3033" t="s">
        <v>164</v>
      </c>
      <c r="T3033" t="s">
        <v>165</v>
      </c>
      <c r="U3033" t="s">
        <v>39</v>
      </c>
      <c r="V3033" t="s">
        <v>969</v>
      </c>
      <c r="W3033">
        <v>3.7</v>
      </c>
      <c r="X3033" t="s">
        <v>41</v>
      </c>
      <c r="Y3033" t="s">
        <v>147</v>
      </c>
      <c r="Z3033">
        <v>1</v>
      </c>
    </row>
    <row r="3034" spans="1:26">
      <c r="A3034" t="s">
        <v>4296</v>
      </c>
      <c r="B3034" t="s">
        <v>1421</v>
      </c>
      <c r="C3034" t="s">
        <v>28</v>
      </c>
      <c r="D3034" t="s">
        <v>103</v>
      </c>
      <c r="E3034" s="1">
        <v>45967</v>
      </c>
      <c r="F3034" t="s">
        <v>86</v>
      </c>
      <c r="G3034" t="s">
        <v>242</v>
      </c>
      <c r="H3034" t="s">
        <v>32</v>
      </c>
      <c r="I3034">
        <v>8</v>
      </c>
      <c r="J3034" t="s">
        <v>33</v>
      </c>
      <c r="K3034">
        <v>1</v>
      </c>
      <c r="L3034" s="3">
        <v>9599</v>
      </c>
      <c r="M3034">
        <v>20</v>
      </c>
      <c r="N3034" s="3">
        <v>7680</v>
      </c>
      <c r="O3034" s="3">
        <v>7680</v>
      </c>
      <c r="P3034" t="s">
        <v>74</v>
      </c>
      <c r="Q3034" t="s">
        <v>82</v>
      </c>
      <c r="R3034" t="s">
        <v>36</v>
      </c>
      <c r="S3034" t="s">
        <v>136</v>
      </c>
      <c r="T3034" t="s">
        <v>225</v>
      </c>
      <c r="U3034" t="s">
        <v>54</v>
      </c>
      <c r="V3034" t="s">
        <v>969</v>
      </c>
      <c r="W3034">
        <v>3.7</v>
      </c>
      <c r="X3034" t="s">
        <v>106</v>
      </c>
      <c r="Y3034" t="s">
        <v>42</v>
      </c>
      <c r="Z3034">
        <v>3</v>
      </c>
    </row>
    <row r="3035" spans="1:26">
      <c r="A3035" t="s">
        <v>4297</v>
      </c>
      <c r="B3035" t="s">
        <v>1493</v>
      </c>
      <c r="C3035" t="s">
        <v>28</v>
      </c>
      <c r="D3035" t="s">
        <v>29</v>
      </c>
      <c r="E3035" s="1">
        <v>45967</v>
      </c>
      <c r="F3035" t="s">
        <v>47</v>
      </c>
      <c r="G3035" t="s">
        <v>48</v>
      </c>
      <c r="H3035" t="s">
        <v>49</v>
      </c>
      <c r="I3035">
        <v>10</v>
      </c>
      <c r="J3035" t="s">
        <v>67</v>
      </c>
      <c r="K3035">
        <v>1</v>
      </c>
      <c r="L3035" s="3">
        <v>4699</v>
      </c>
      <c r="M3035">
        <v>15</v>
      </c>
      <c r="N3035" s="3">
        <v>3990</v>
      </c>
      <c r="O3035" s="3">
        <v>3990</v>
      </c>
      <c r="P3035" t="s">
        <v>74</v>
      </c>
      <c r="Q3035" t="s">
        <v>51</v>
      </c>
      <c r="R3035" t="s">
        <v>36</v>
      </c>
      <c r="S3035" t="s">
        <v>210</v>
      </c>
      <c r="T3035" t="s">
        <v>211</v>
      </c>
      <c r="U3035" t="s">
        <v>54</v>
      </c>
      <c r="V3035" t="s">
        <v>969</v>
      </c>
      <c r="W3035">
        <v>5</v>
      </c>
      <c r="X3035" t="s">
        <v>41</v>
      </c>
      <c r="Y3035" t="s">
        <v>55</v>
      </c>
      <c r="Z3035">
        <v>3</v>
      </c>
    </row>
    <row r="3036" spans="1:26">
      <c r="A3036" t="s">
        <v>4298</v>
      </c>
      <c r="B3036" t="s">
        <v>1020</v>
      </c>
      <c r="C3036" t="s">
        <v>45</v>
      </c>
      <c r="D3036" t="s">
        <v>29</v>
      </c>
      <c r="E3036" s="1">
        <v>45968</v>
      </c>
      <c r="F3036" t="s">
        <v>96</v>
      </c>
      <c r="G3036" t="s">
        <v>155</v>
      </c>
      <c r="H3036" t="s">
        <v>111</v>
      </c>
      <c r="I3036">
        <v>10</v>
      </c>
      <c r="J3036" t="s">
        <v>98</v>
      </c>
      <c r="K3036">
        <v>1</v>
      </c>
      <c r="L3036" s="3">
        <v>7099</v>
      </c>
      <c r="M3036">
        <v>10</v>
      </c>
      <c r="N3036" s="3">
        <v>6390</v>
      </c>
      <c r="O3036" s="3">
        <v>6390</v>
      </c>
      <c r="P3036" t="s">
        <v>34</v>
      </c>
      <c r="Q3036" t="s">
        <v>51</v>
      </c>
      <c r="R3036" t="s">
        <v>36</v>
      </c>
      <c r="S3036" t="s">
        <v>238</v>
      </c>
      <c r="T3036" t="s">
        <v>239</v>
      </c>
      <c r="U3036" t="s">
        <v>91</v>
      </c>
      <c r="V3036" t="s">
        <v>969</v>
      </c>
      <c r="W3036">
        <v>5</v>
      </c>
      <c r="X3036" t="s">
        <v>62</v>
      </c>
      <c r="Y3036" t="s">
        <v>55</v>
      </c>
      <c r="Z3036">
        <v>2</v>
      </c>
    </row>
    <row r="3037" spans="1:26">
      <c r="A3037" t="s">
        <v>4299</v>
      </c>
      <c r="B3037" t="s">
        <v>2559</v>
      </c>
      <c r="C3037" t="s">
        <v>94</v>
      </c>
      <c r="D3037" t="s">
        <v>95</v>
      </c>
      <c r="E3037" s="1">
        <v>45969</v>
      </c>
      <c r="F3037" t="s">
        <v>96</v>
      </c>
      <c r="G3037" t="s">
        <v>228</v>
      </c>
      <c r="H3037" t="s">
        <v>59</v>
      </c>
      <c r="I3037">
        <v>9</v>
      </c>
      <c r="J3037" t="s">
        <v>73</v>
      </c>
      <c r="K3037">
        <v>1</v>
      </c>
      <c r="L3037" s="3">
        <v>5699</v>
      </c>
      <c r="M3037">
        <v>20</v>
      </c>
      <c r="N3037" s="3">
        <v>4560</v>
      </c>
      <c r="O3037" s="3">
        <v>4560</v>
      </c>
      <c r="P3037" t="s">
        <v>74</v>
      </c>
      <c r="Q3037" t="s">
        <v>51</v>
      </c>
      <c r="R3037" t="s">
        <v>36</v>
      </c>
      <c r="S3037" t="s">
        <v>104</v>
      </c>
      <c r="T3037" t="s">
        <v>179</v>
      </c>
      <c r="U3037" t="s">
        <v>61</v>
      </c>
      <c r="V3037" t="s">
        <v>315</v>
      </c>
      <c r="W3037">
        <v>4.5999999999999996</v>
      </c>
      <c r="X3037" t="s">
        <v>41</v>
      </c>
      <c r="Y3037" t="s">
        <v>42</v>
      </c>
      <c r="Z3037">
        <v>4</v>
      </c>
    </row>
    <row r="3038" spans="1:26">
      <c r="A3038" t="s">
        <v>4300</v>
      </c>
      <c r="B3038" t="s">
        <v>4301</v>
      </c>
      <c r="C3038" t="s">
        <v>45</v>
      </c>
      <c r="D3038" t="s">
        <v>46</v>
      </c>
      <c r="E3038" s="1">
        <v>45970</v>
      </c>
      <c r="F3038" t="s">
        <v>79</v>
      </c>
      <c r="G3038" t="s">
        <v>517</v>
      </c>
      <c r="H3038" t="s">
        <v>59</v>
      </c>
      <c r="I3038">
        <v>10</v>
      </c>
      <c r="J3038" t="s">
        <v>98</v>
      </c>
      <c r="K3038">
        <v>1</v>
      </c>
      <c r="L3038" s="3">
        <v>4199</v>
      </c>
      <c r="M3038">
        <v>5</v>
      </c>
      <c r="N3038" s="3">
        <v>3990</v>
      </c>
      <c r="O3038" s="3">
        <v>3990</v>
      </c>
      <c r="P3038" t="s">
        <v>74</v>
      </c>
      <c r="Q3038" t="s">
        <v>51</v>
      </c>
      <c r="R3038" t="s">
        <v>36</v>
      </c>
      <c r="S3038" t="s">
        <v>286</v>
      </c>
      <c r="T3038" t="s">
        <v>287</v>
      </c>
      <c r="U3038" t="s">
        <v>39</v>
      </c>
      <c r="V3038" t="s">
        <v>40</v>
      </c>
      <c r="W3038">
        <v>4.4000000000000004</v>
      </c>
      <c r="X3038" t="s">
        <v>62</v>
      </c>
      <c r="Y3038" t="s">
        <v>42</v>
      </c>
      <c r="Z3038">
        <v>2</v>
      </c>
    </row>
    <row r="3039" spans="1:26">
      <c r="A3039" t="s">
        <v>4302</v>
      </c>
      <c r="B3039" t="s">
        <v>468</v>
      </c>
      <c r="C3039" t="s">
        <v>94</v>
      </c>
      <c r="D3039" t="s">
        <v>103</v>
      </c>
      <c r="E3039" s="1">
        <v>45970</v>
      </c>
      <c r="F3039" t="s">
        <v>96</v>
      </c>
      <c r="G3039" t="s">
        <v>155</v>
      </c>
      <c r="H3039" t="s">
        <v>111</v>
      </c>
      <c r="I3039">
        <v>7</v>
      </c>
      <c r="J3039" t="s">
        <v>73</v>
      </c>
      <c r="K3039">
        <v>1</v>
      </c>
      <c r="L3039" s="3">
        <v>5899</v>
      </c>
      <c r="M3039">
        <v>25</v>
      </c>
      <c r="N3039" s="3">
        <v>4420</v>
      </c>
      <c r="O3039" s="3">
        <v>4420</v>
      </c>
      <c r="P3039" t="s">
        <v>74</v>
      </c>
      <c r="Q3039" t="s">
        <v>51</v>
      </c>
      <c r="R3039" t="s">
        <v>36</v>
      </c>
      <c r="S3039" t="s">
        <v>358</v>
      </c>
      <c r="T3039" t="s">
        <v>464</v>
      </c>
      <c r="U3039" t="s">
        <v>39</v>
      </c>
      <c r="V3039" t="s">
        <v>969</v>
      </c>
      <c r="W3039">
        <v>5</v>
      </c>
      <c r="X3039" t="s">
        <v>41</v>
      </c>
      <c r="Y3039" t="s">
        <v>42</v>
      </c>
      <c r="Z3039">
        <v>6</v>
      </c>
    </row>
    <row r="3040" spans="1:26">
      <c r="A3040" t="s">
        <v>4303</v>
      </c>
      <c r="B3040" t="s">
        <v>2012</v>
      </c>
      <c r="C3040" t="s">
        <v>45</v>
      </c>
      <c r="D3040" t="s">
        <v>109</v>
      </c>
      <c r="E3040" s="1">
        <v>45970</v>
      </c>
      <c r="F3040" t="s">
        <v>47</v>
      </c>
      <c r="G3040" t="s">
        <v>402</v>
      </c>
      <c r="H3040" t="s">
        <v>32</v>
      </c>
      <c r="I3040">
        <v>8</v>
      </c>
      <c r="J3040" t="s">
        <v>98</v>
      </c>
      <c r="K3040">
        <v>2</v>
      </c>
      <c r="L3040" s="3">
        <v>7099</v>
      </c>
      <c r="M3040">
        <v>15</v>
      </c>
      <c r="N3040" s="3">
        <v>6030</v>
      </c>
      <c r="O3040" s="3">
        <v>12060</v>
      </c>
      <c r="P3040" t="s">
        <v>74</v>
      </c>
      <c r="Q3040" t="s">
        <v>51</v>
      </c>
      <c r="R3040" t="s">
        <v>36</v>
      </c>
      <c r="S3040" t="s">
        <v>338</v>
      </c>
      <c r="T3040" t="s">
        <v>779</v>
      </c>
      <c r="U3040" t="s">
        <v>124</v>
      </c>
      <c r="V3040" t="s">
        <v>315</v>
      </c>
      <c r="W3040">
        <v>5</v>
      </c>
      <c r="X3040" t="s">
        <v>41</v>
      </c>
      <c r="Y3040" t="s">
        <v>42</v>
      </c>
      <c r="Z3040">
        <v>4</v>
      </c>
    </row>
    <row r="3041" spans="1:26">
      <c r="A3041" t="s">
        <v>4304</v>
      </c>
      <c r="B3041" t="s">
        <v>539</v>
      </c>
      <c r="C3041" t="s">
        <v>28</v>
      </c>
      <c r="D3041" t="s">
        <v>46</v>
      </c>
      <c r="E3041" s="1">
        <v>45971</v>
      </c>
      <c r="F3041" t="s">
        <v>96</v>
      </c>
      <c r="G3041" t="s">
        <v>171</v>
      </c>
      <c r="H3041" t="s">
        <v>128</v>
      </c>
      <c r="I3041">
        <v>10</v>
      </c>
      <c r="J3041" t="s">
        <v>98</v>
      </c>
      <c r="K3041">
        <v>2</v>
      </c>
      <c r="L3041" s="3">
        <v>5599</v>
      </c>
      <c r="M3041">
        <v>15</v>
      </c>
      <c r="N3041" s="3">
        <v>4760</v>
      </c>
      <c r="O3041" s="3">
        <v>9520</v>
      </c>
      <c r="P3041" t="s">
        <v>34</v>
      </c>
      <c r="Q3041" t="s">
        <v>35</v>
      </c>
      <c r="R3041" t="s">
        <v>36</v>
      </c>
      <c r="S3041" t="s">
        <v>136</v>
      </c>
      <c r="T3041" t="s">
        <v>1693</v>
      </c>
      <c r="U3041" t="s">
        <v>54</v>
      </c>
      <c r="V3041" t="s">
        <v>969</v>
      </c>
      <c r="W3041">
        <v>3.6</v>
      </c>
      <c r="X3041" t="s">
        <v>41</v>
      </c>
      <c r="Y3041" t="s">
        <v>55</v>
      </c>
      <c r="Z3041">
        <v>2</v>
      </c>
    </row>
    <row r="3042" spans="1:26">
      <c r="A3042" t="s">
        <v>4305</v>
      </c>
      <c r="B3042" t="s">
        <v>1509</v>
      </c>
      <c r="C3042" t="s">
        <v>45</v>
      </c>
      <c r="D3042" t="s">
        <v>46</v>
      </c>
      <c r="E3042" s="1">
        <v>45971</v>
      </c>
      <c r="F3042" t="s">
        <v>79</v>
      </c>
      <c r="G3042" t="s">
        <v>127</v>
      </c>
      <c r="H3042" t="s">
        <v>128</v>
      </c>
      <c r="I3042">
        <v>12</v>
      </c>
      <c r="J3042" t="s">
        <v>88</v>
      </c>
      <c r="K3042">
        <v>1</v>
      </c>
      <c r="L3042" s="3">
        <v>6999</v>
      </c>
      <c r="M3042">
        <v>0</v>
      </c>
      <c r="N3042" s="3">
        <v>7000</v>
      </c>
      <c r="O3042" s="3">
        <v>7000</v>
      </c>
      <c r="P3042" t="s">
        <v>74</v>
      </c>
      <c r="Q3042" t="s">
        <v>35</v>
      </c>
      <c r="R3042" t="s">
        <v>36</v>
      </c>
      <c r="S3042" t="s">
        <v>136</v>
      </c>
      <c r="T3042" t="s">
        <v>638</v>
      </c>
      <c r="U3042" t="s">
        <v>54</v>
      </c>
      <c r="V3042" t="s">
        <v>315</v>
      </c>
      <c r="W3042">
        <v>5</v>
      </c>
      <c r="X3042" t="s">
        <v>41</v>
      </c>
      <c r="Y3042" t="s">
        <v>42</v>
      </c>
      <c r="Z3042">
        <v>5</v>
      </c>
    </row>
    <row r="3043" spans="1:26">
      <c r="A3043" t="s">
        <v>4306</v>
      </c>
      <c r="B3043" t="s">
        <v>1912</v>
      </c>
      <c r="C3043" t="s">
        <v>45</v>
      </c>
      <c r="D3043" t="s">
        <v>29</v>
      </c>
      <c r="E3043" s="1">
        <v>45972</v>
      </c>
      <c r="F3043" t="s">
        <v>79</v>
      </c>
      <c r="G3043" t="s">
        <v>127</v>
      </c>
      <c r="H3043" t="s">
        <v>128</v>
      </c>
      <c r="I3043">
        <v>10</v>
      </c>
      <c r="J3043" t="s">
        <v>150</v>
      </c>
      <c r="K3043">
        <v>1</v>
      </c>
      <c r="L3043" s="3">
        <v>5199</v>
      </c>
      <c r="M3043">
        <v>15</v>
      </c>
      <c r="N3043" s="3">
        <v>4420</v>
      </c>
      <c r="O3043" s="3">
        <v>4420</v>
      </c>
      <c r="P3043" t="s">
        <v>74</v>
      </c>
      <c r="Q3043" t="s">
        <v>51</v>
      </c>
      <c r="R3043" t="s">
        <v>36</v>
      </c>
      <c r="S3043" t="s">
        <v>75</v>
      </c>
      <c r="T3043" t="s">
        <v>796</v>
      </c>
      <c r="U3043" t="s">
        <v>61</v>
      </c>
      <c r="V3043" t="s">
        <v>969</v>
      </c>
      <c r="W3043">
        <v>3.9</v>
      </c>
      <c r="X3043" t="s">
        <v>62</v>
      </c>
      <c r="Y3043" t="s">
        <v>55</v>
      </c>
      <c r="Z3043">
        <v>1</v>
      </c>
    </row>
    <row r="3044" spans="1:26">
      <c r="A3044" t="s">
        <v>4307</v>
      </c>
      <c r="B3044" t="s">
        <v>953</v>
      </c>
      <c r="C3044" t="s">
        <v>28</v>
      </c>
      <c r="D3044" t="s">
        <v>46</v>
      </c>
      <c r="E3044" s="1">
        <v>45972</v>
      </c>
      <c r="F3044" t="s">
        <v>30</v>
      </c>
      <c r="G3044" t="s">
        <v>145</v>
      </c>
      <c r="H3044" t="s">
        <v>59</v>
      </c>
      <c r="I3044">
        <v>12</v>
      </c>
      <c r="J3044" t="s">
        <v>67</v>
      </c>
      <c r="K3044">
        <v>2</v>
      </c>
      <c r="L3044" s="3">
        <v>8999</v>
      </c>
      <c r="M3044">
        <v>15</v>
      </c>
      <c r="N3044" s="3">
        <v>7650</v>
      </c>
      <c r="O3044" s="3">
        <v>15300</v>
      </c>
      <c r="P3044" t="s">
        <v>74</v>
      </c>
      <c r="Q3044" t="s">
        <v>35</v>
      </c>
      <c r="R3044" t="s">
        <v>36</v>
      </c>
      <c r="S3044" t="s">
        <v>460</v>
      </c>
      <c r="T3044" t="s">
        <v>1868</v>
      </c>
      <c r="U3044" t="s">
        <v>54</v>
      </c>
      <c r="V3044" t="s">
        <v>969</v>
      </c>
      <c r="W3044">
        <v>4.7</v>
      </c>
      <c r="X3044" t="s">
        <v>106</v>
      </c>
      <c r="Y3044" t="s">
        <v>42</v>
      </c>
      <c r="Z3044">
        <v>4</v>
      </c>
    </row>
    <row r="3045" spans="1:26">
      <c r="A3045" t="s">
        <v>4308</v>
      </c>
      <c r="B3045" t="s">
        <v>337</v>
      </c>
      <c r="C3045" t="s">
        <v>28</v>
      </c>
      <c r="D3045" t="s">
        <v>103</v>
      </c>
      <c r="E3045" s="1">
        <v>45973</v>
      </c>
      <c r="F3045" t="s">
        <v>96</v>
      </c>
      <c r="G3045" t="s">
        <v>323</v>
      </c>
      <c r="H3045" t="s">
        <v>59</v>
      </c>
      <c r="I3045">
        <v>6</v>
      </c>
      <c r="J3045" t="s">
        <v>150</v>
      </c>
      <c r="K3045">
        <v>2</v>
      </c>
      <c r="L3045" s="3">
        <v>6599</v>
      </c>
      <c r="M3045">
        <v>20</v>
      </c>
      <c r="N3045" s="3">
        <v>5280</v>
      </c>
      <c r="O3045" s="3">
        <v>10560</v>
      </c>
      <c r="P3045" t="s">
        <v>74</v>
      </c>
      <c r="Q3045" t="s">
        <v>51</v>
      </c>
      <c r="R3045" t="s">
        <v>36</v>
      </c>
      <c r="S3045" t="s">
        <v>112</v>
      </c>
      <c r="T3045" t="s">
        <v>265</v>
      </c>
      <c r="U3045" t="s">
        <v>39</v>
      </c>
      <c r="V3045" t="s">
        <v>315</v>
      </c>
      <c r="W3045">
        <v>3</v>
      </c>
      <c r="X3045" t="s">
        <v>41</v>
      </c>
      <c r="Y3045" t="s">
        <v>42</v>
      </c>
      <c r="Z3045">
        <v>4</v>
      </c>
    </row>
    <row r="3046" spans="1:26">
      <c r="A3046" t="s">
        <v>4309</v>
      </c>
      <c r="B3046" t="s">
        <v>3037</v>
      </c>
      <c r="C3046" t="s">
        <v>94</v>
      </c>
      <c r="D3046" t="s">
        <v>29</v>
      </c>
      <c r="E3046" s="1">
        <v>45973</v>
      </c>
      <c r="F3046" t="s">
        <v>79</v>
      </c>
      <c r="G3046" t="s">
        <v>80</v>
      </c>
      <c r="H3046" t="s">
        <v>59</v>
      </c>
      <c r="I3046">
        <v>9</v>
      </c>
      <c r="J3046" t="s">
        <v>98</v>
      </c>
      <c r="K3046">
        <v>1</v>
      </c>
      <c r="L3046" s="3">
        <v>5499</v>
      </c>
      <c r="M3046">
        <v>10</v>
      </c>
      <c r="N3046" s="3">
        <v>4950</v>
      </c>
      <c r="O3046" s="3">
        <v>4950</v>
      </c>
      <c r="P3046" t="s">
        <v>74</v>
      </c>
      <c r="Q3046" t="s">
        <v>35</v>
      </c>
      <c r="R3046" t="s">
        <v>36</v>
      </c>
      <c r="S3046" t="s">
        <v>384</v>
      </c>
      <c r="T3046" t="s">
        <v>1217</v>
      </c>
      <c r="U3046" t="s">
        <v>124</v>
      </c>
      <c r="V3046" t="s">
        <v>315</v>
      </c>
      <c r="W3046">
        <v>4.8</v>
      </c>
      <c r="X3046" t="s">
        <v>62</v>
      </c>
      <c r="Y3046" t="s">
        <v>55</v>
      </c>
      <c r="Z3046">
        <v>2</v>
      </c>
    </row>
    <row r="3047" spans="1:26">
      <c r="A3047" t="s">
        <v>4310</v>
      </c>
      <c r="B3047" t="s">
        <v>2784</v>
      </c>
      <c r="C3047" t="s">
        <v>28</v>
      </c>
      <c r="D3047" t="s">
        <v>29</v>
      </c>
      <c r="E3047" s="1">
        <v>45974</v>
      </c>
      <c r="F3047" t="s">
        <v>96</v>
      </c>
      <c r="G3047" t="s">
        <v>323</v>
      </c>
      <c r="H3047" t="s">
        <v>59</v>
      </c>
      <c r="I3047">
        <v>10</v>
      </c>
      <c r="J3047" t="s">
        <v>150</v>
      </c>
      <c r="K3047">
        <v>1</v>
      </c>
      <c r="L3047" s="3">
        <v>9199</v>
      </c>
      <c r="M3047">
        <v>20</v>
      </c>
      <c r="N3047" s="3">
        <v>7360</v>
      </c>
      <c r="O3047" s="3">
        <v>7360</v>
      </c>
      <c r="P3047" t="s">
        <v>74</v>
      </c>
      <c r="Q3047" t="s">
        <v>51</v>
      </c>
      <c r="R3047" t="s">
        <v>36</v>
      </c>
      <c r="S3047" t="s">
        <v>358</v>
      </c>
      <c r="T3047" t="s">
        <v>359</v>
      </c>
      <c r="U3047" t="s">
        <v>124</v>
      </c>
      <c r="V3047" t="s">
        <v>315</v>
      </c>
      <c r="W3047">
        <v>4.3</v>
      </c>
      <c r="X3047" t="s">
        <v>41</v>
      </c>
      <c r="Y3047" t="s">
        <v>42</v>
      </c>
      <c r="Z3047">
        <v>5</v>
      </c>
    </row>
    <row r="3048" spans="1:26">
      <c r="A3048" t="s">
        <v>4311</v>
      </c>
      <c r="B3048" t="s">
        <v>1102</v>
      </c>
      <c r="C3048" t="s">
        <v>94</v>
      </c>
      <c r="D3048" t="s">
        <v>109</v>
      </c>
      <c r="E3048" s="1">
        <v>45975</v>
      </c>
      <c r="F3048" t="s">
        <v>65</v>
      </c>
      <c r="G3048" t="s">
        <v>256</v>
      </c>
      <c r="H3048" t="s">
        <v>32</v>
      </c>
      <c r="I3048">
        <v>8</v>
      </c>
      <c r="J3048" t="s">
        <v>67</v>
      </c>
      <c r="K3048">
        <v>1</v>
      </c>
      <c r="L3048" s="3">
        <v>3299</v>
      </c>
      <c r="M3048">
        <v>10</v>
      </c>
      <c r="N3048" s="3">
        <v>2970</v>
      </c>
      <c r="O3048" s="3">
        <v>2970</v>
      </c>
      <c r="P3048" t="s">
        <v>74</v>
      </c>
      <c r="Q3048" t="s">
        <v>35</v>
      </c>
      <c r="R3048" t="s">
        <v>36</v>
      </c>
      <c r="S3048" t="s">
        <v>195</v>
      </c>
      <c r="T3048" t="s">
        <v>215</v>
      </c>
      <c r="U3048" t="s">
        <v>39</v>
      </c>
      <c r="V3048" t="s">
        <v>315</v>
      </c>
      <c r="W3048">
        <v>3.5</v>
      </c>
      <c r="X3048" t="s">
        <v>41</v>
      </c>
      <c r="Y3048" t="s">
        <v>42</v>
      </c>
      <c r="Z3048">
        <v>6</v>
      </c>
    </row>
    <row r="3049" spans="1:26">
      <c r="A3049" t="s">
        <v>4312</v>
      </c>
      <c r="B3049" t="s">
        <v>949</v>
      </c>
      <c r="C3049" t="s">
        <v>94</v>
      </c>
      <c r="D3049" t="s">
        <v>46</v>
      </c>
      <c r="E3049" s="1">
        <v>45975</v>
      </c>
      <c r="F3049" t="s">
        <v>86</v>
      </c>
      <c r="G3049" t="s">
        <v>285</v>
      </c>
      <c r="H3049" t="s">
        <v>111</v>
      </c>
      <c r="I3049">
        <v>8</v>
      </c>
      <c r="J3049" t="s">
        <v>73</v>
      </c>
      <c r="K3049">
        <v>1</v>
      </c>
      <c r="L3049" s="3">
        <v>5599</v>
      </c>
      <c r="M3049">
        <v>10</v>
      </c>
      <c r="N3049" s="3">
        <v>5040</v>
      </c>
      <c r="O3049" s="3">
        <v>5040</v>
      </c>
      <c r="P3049" t="s">
        <v>34</v>
      </c>
      <c r="Q3049" t="s">
        <v>35</v>
      </c>
      <c r="R3049" t="s">
        <v>36</v>
      </c>
      <c r="S3049" t="s">
        <v>52</v>
      </c>
      <c r="T3049" t="s">
        <v>60</v>
      </c>
      <c r="U3049" t="s">
        <v>61</v>
      </c>
      <c r="V3049" t="s">
        <v>315</v>
      </c>
      <c r="W3049">
        <v>3.2</v>
      </c>
      <c r="X3049" t="s">
        <v>41</v>
      </c>
      <c r="Y3049" t="s">
        <v>42</v>
      </c>
      <c r="Z3049">
        <v>3</v>
      </c>
    </row>
    <row r="3050" spans="1:26">
      <c r="A3050" t="s">
        <v>4313</v>
      </c>
      <c r="B3050" t="s">
        <v>267</v>
      </c>
      <c r="C3050" t="s">
        <v>45</v>
      </c>
      <c r="D3050" t="s">
        <v>29</v>
      </c>
      <c r="E3050" s="1">
        <v>45976</v>
      </c>
      <c r="F3050" t="s">
        <v>96</v>
      </c>
      <c r="G3050" t="s">
        <v>290</v>
      </c>
      <c r="H3050" t="s">
        <v>32</v>
      </c>
      <c r="I3050">
        <v>7</v>
      </c>
      <c r="J3050" t="s">
        <v>67</v>
      </c>
      <c r="K3050">
        <v>1</v>
      </c>
      <c r="L3050" s="3">
        <v>9799</v>
      </c>
      <c r="M3050">
        <v>25</v>
      </c>
      <c r="N3050" s="3">
        <v>7350</v>
      </c>
      <c r="O3050" s="3">
        <v>7350</v>
      </c>
      <c r="P3050" t="s">
        <v>74</v>
      </c>
      <c r="Q3050" t="s">
        <v>51</v>
      </c>
      <c r="R3050" t="s">
        <v>36</v>
      </c>
      <c r="S3050" t="s">
        <v>269</v>
      </c>
      <c r="T3050" t="s">
        <v>652</v>
      </c>
      <c r="U3050" t="s">
        <v>91</v>
      </c>
      <c r="V3050" t="s">
        <v>969</v>
      </c>
      <c r="W3050">
        <v>4.0999999999999996</v>
      </c>
      <c r="X3050" t="s">
        <v>106</v>
      </c>
      <c r="Y3050" t="s">
        <v>42</v>
      </c>
      <c r="Z3050">
        <v>6</v>
      </c>
    </row>
    <row r="3051" spans="1:26">
      <c r="A3051" t="s">
        <v>4314</v>
      </c>
      <c r="B3051" t="s">
        <v>508</v>
      </c>
      <c r="C3051" t="s">
        <v>45</v>
      </c>
      <c r="D3051" t="s">
        <v>46</v>
      </c>
      <c r="E3051" s="1">
        <v>45976</v>
      </c>
      <c r="F3051" t="s">
        <v>30</v>
      </c>
      <c r="G3051" t="s">
        <v>58</v>
      </c>
      <c r="H3051" t="s">
        <v>59</v>
      </c>
      <c r="I3051">
        <v>6</v>
      </c>
      <c r="J3051" t="s">
        <v>73</v>
      </c>
      <c r="K3051">
        <v>1</v>
      </c>
      <c r="L3051" s="3">
        <v>8199</v>
      </c>
      <c r="M3051">
        <v>5</v>
      </c>
      <c r="N3051" s="3">
        <v>7790</v>
      </c>
      <c r="O3051" s="3">
        <v>7790</v>
      </c>
      <c r="P3051" t="s">
        <v>74</v>
      </c>
      <c r="Q3051" t="s">
        <v>35</v>
      </c>
      <c r="R3051" t="s">
        <v>36</v>
      </c>
      <c r="S3051" t="s">
        <v>175</v>
      </c>
      <c r="T3051" t="s">
        <v>437</v>
      </c>
      <c r="U3051" t="s">
        <v>54</v>
      </c>
      <c r="V3051" t="s">
        <v>969</v>
      </c>
      <c r="W3051">
        <v>4.4000000000000004</v>
      </c>
      <c r="X3051" t="s">
        <v>41</v>
      </c>
      <c r="Y3051" t="s">
        <v>42</v>
      </c>
      <c r="Z3051">
        <v>4</v>
      </c>
    </row>
    <row r="3052" spans="1:26">
      <c r="A3052" t="s">
        <v>4315</v>
      </c>
      <c r="B3052" t="s">
        <v>1126</v>
      </c>
      <c r="C3052" t="s">
        <v>45</v>
      </c>
      <c r="D3052" t="s">
        <v>29</v>
      </c>
      <c r="E3052" s="1">
        <v>45976</v>
      </c>
      <c r="F3052" t="s">
        <v>79</v>
      </c>
      <c r="G3052" t="s">
        <v>80</v>
      </c>
      <c r="H3052" t="s">
        <v>59</v>
      </c>
      <c r="I3052">
        <v>9</v>
      </c>
      <c r="J3052" t="s">
        <v>73</v>
      </c>
      <c r="K3052">
        <v>1</v>
      </c>
      <c r="L3052" s="3">
        <v>8099</v>
      </c>
      <c r="M3052">
        <v>20</v>
      </c>
      <c r="N3052" s="3">
        <v>6480</v>
      </c>
      <c r="O3052" s="3">
        <v>6480</v>
      </c>
      <c r="P3052" t="s">
        <v>74</v>
      </c>
      <c r="Q3052" t="s">
        <v>51</v>
      </c>
      <c r="R3052" t="s">
        <v>36</v>
      </c>
      <c r="S3052" t="s">
        <v>136</v>
      </c>
      <c r="T3052" t="s">
        <v>137</v>
      </c>
      <c r="U3052" t="s">
        <v>91</v>
      </c>
      <c r="V3052" t="s">
        <v>969</v>
      </c>
      <c r="W3052">
        <v>3.6</v>
      </c>
      <c r="X3052" t="s">
        <v>41</v>
      </c>
      <c r="Y3052" t="s">
        <v>42</v>
      </c>
      <c r="Z3052">
        <v>2</v>
      </c>
    </row>
    <row r="3053" spans="1:26">
      <c r="A3053" t="s">
        <v>4316</v>
      </c>
      <c r="B3053" t="s">
        <v>889</v>
      </c>
      <c r="C3053" t="s">
        <v>94</v>
      </c>
      <c r="D3053" t="s">
        <v>46</v>
      </c>
      <c r="E3053" s="1">
        <v>45977</v>
      </c>
      <c r="F3053" t="s">
        <v>79</v>
      </c>
      <c r="G3053" t="s">
        <v>480</v>
      </c>
      <c r="H3053" t="s">
        <v>111</v>
      </c>
      <c r="I3053">
        <v>8</v>
      </c>
      <c r="J3053" t="s">
        <v>150</v>
      </c>
      <c r="K3053">
        <v>1</v>
      </c>
      <c r="L3053" s="3">
        <v>4699</v>
      </c>
      <c r="M3053">
        <v>15</v>
      </c>
      <c r="N3053" s="3">
        <v>3990</v>
      </c>
      <c r="O3053" s="3">
        <v>3990</v>
      </c>
      <c r="P3053" t="s">
        <v>74</v>
      </c>
      <c r="Q3053" t="s">
        <v>82</v>
      </c>
      <c r="R3053" t="s">
        <v>36</v>
      </c>
      <c r="S3053" t="s">
        <v>418</v>
      </c>
      <c r="T3053" t="s">
        <v>419</v>
      </c>
      <c r="U3053" t="s">
        <v>54</v>
      </c>
      <c r="V3053" t="s">
        <v>969</v>
      </c>
      <c r="W3053">
        <v>3.8</v>
      </c>
      <c r="X3053" t="s">
        <v>41</v>
      </c>
      <c r="Y3053" t="s">
        <v>147</v>
      </c>
      <c r="Z3053">
        <v>1</v>
      </c>
    </row>
    <row r="3054" spans="1:26">
      <c r="A3054" t="s">
        <v>4317</v>
      </c>
      <c r="B3054" t="s">
        <v>511</v>
      </c>
      <c r="C3054" t="s">
        <v>28</v>
      </c>
      <c r="D3054" t="s">
        <v>46</v>
      </c>
      <c r="E3054" s="1">
        <v>45977</v>
      </c>
      <c r="F3054" t="s">
        <v>47</v>
      </c>
      <c r="G3054" t="s">
        <v>121</v>
      </c>
      <c r="H3054" t="s">
        <v>111</v>
      </c>
      <c r="I3054">
        <v>8</v>
      </c>
      <c r="J3054" t="s">
        <v>33</v>
      </c>
      <c r="K3054">
        <v>1</v>
      </c>
      <c r="L3054" s="3">
        <v>5299</v>
      </c>
      <c r="M3054">
        <v>20</v>
      </c>
      <c r="N3054" s="3">
        <v>4240</v>
      </c>
      <c r="O3054" s="3">
        <v>4240</v>
      </c>
      <c r="P3054" t="s">
        <v>81</v>
      </c>
      <c r="Q3054" t="s">
        <v>35</v>
      </c>
      <c r="R3054" t="s">
        <v>36</v>
      </c>
      <c r="S3054" t="s">
        <v>354</v>
      </c>
      <c r="T3054" t="s">
        <v>355</v>
      </c>
      <c r="U3054" t="s">
        <v>39</v>
      </c>
      <c r="V3054" t="s">
        <v>969</v>
      </c>
      <c r="W3054">
        <v>4.3</v>
      </c>
      <c r="X3054" t="s">
        <v>41</v>
      </c>
      <c r="Y3054" t="s">
        <v>42</v>
      </c>
      <c r="Z3054">
        <v>2</v>
      </c>
    </row>
    <row r="3055" spans="1:26">
      <c r="A3055" t="s">
        <v>4318</v>
      </c>
      <c r="B3055" t="s">
        <v>1365</v>
      </c>
      <c r="C3055" t="s">
        <v>28</v>
      </c>
      <c r="D3055" t="s">
        <v>95</v>
      </c>
      <c r="E3055" s="1">
        <v>45977</v>
      </c>
      <c r="F3055" t="s">
        <v>86</v>
      </c>
      <c r="G3055" t="s">
        <v>285</v>
      </c>
      <c r="H3055" t="s">
        <v>111</v>
      </c>
      <c r="I3055">
        <v>8</v>
      </c>
      <c r="J3055" t="s">
        <v>33</v>
      </c>
      <c r="K3055">
        <v>1</v>
      </c>
      <c r="L3055" s="3">
        <v>9499</v>
      </c>
      <c r="M3055">
        <v>5</v>
      </c>
      <c r="N3055" s="3">
        <v>9020</v>
      </c>
      <c r="O3055" s="3">
        <v>9020</v>
      </c>
      <c r="P3055" t="s">
        <v>34</v>
      </c>
      <c r="Q3055" t="s">
        <v>35</v>
      </c>
      <c r="R3055" t="s">
        <v>36</v>
      </c>
      <c r="S3055" t="s">
        <v>186</v>
      </c>
      <c r="T3055" t="s">
        <v>187</v>
      </c>
      <c r="U3055" t="s">
        <v>124</v>
      </c>
      <c r="V3055" t="s">
        <v>315</v>
      </c>
      <c r="W3055">
        <v>4.5999999999999996</v>
      </c>
      <c r="X3055" t="s">
        <v>41</v>
      </c>
      <c r="Y3055" t="s">
        <v>42</v>
      </c>
      <c r="Z3055">
        <v>3</v>
      </c>
    </row>
    <row r="3056" spans="1:26">
      <c r="A3056" t="s">
        <v>4319</v>
      </c>
      <c r="B3056" t="s">
        <v>945</v>
      </c>
      <c r="C3056" t="s">
        <v>28</v>
      </c>
      <c r="D3056" t="s">
        <v>95</v>
      </c>
      <c r="E3056" s="1">
        <v>45978</v>
      </c>
      <c r="F3056" t="s">
        <v>30</v>
      </c>
      <c r="G3056" t="s">
        <v>58</v>
      </c>
      <c r="H3056" t="s">
        <v>59</v>
      </c>
      <c r="I3056">
        <v>8</v>
      </c>
      <c r="J3056" t="s">
        <v>73</v>
      </c>
      <c r="K3056">
        <v>1</v>
      </c>
      <c r="L3056" s="3">
        <v>4099</v>
      </c>
      <c r="M3056">
        <v>10</v>
      </c>
      <c r="N3056" s="3">
        <v>3690</v>
      </c>
      <c r="O3056" s="3">
        <v>3690</v>
      </c>
      <c r="P3056" t="s">
        <v>74</v>
      </c>
      <c r="Q3056" t="s">
        <v>82</v>
      </c>
      <c r="R3056" t="s">
        <v>36</v>
      </c>
      <c r="S3056" t="s">
        <v>338</v>
      </c>
      <c r="T3056" t="s">
        <v>338</v>
      </c>
      <c r="U3056" t="s">
        <v>124</v>
      </c>
      <c r="V3056" t="s">
        <v>969</v>
      </c>
      <c r="W3056">
        <v>3.6</v>
      </c>
      <c r="X3056" t="s">
        <v>106</v>
      </c>
      <c r="Y3056" t="s">
        <v>55</v>
      </c>
      <c r="Z3056">
        <v>4</v>
      </c>
    </row>
    <row r="3057" spans="1:26">
      <c r="A3057" t="s">
        <v>4320</v>
      </c>
      <c r="B3057" t="s">
        <v>1411</v>
      </c>
      <c r="C3057" t="s">
        <v>28</v>
      </c>
      <c r="D3057" t="s">
        <v>103</v>
      </c>
      <c r="E3057" s="1">
        <v>45979</v>
      </c>
      <c r="F3057" t="s">
        <v>86</v>
      </c>
      <c r="G3057" t="s">
        <v>116</v>
      </c>
      <c r="H3057" t="s">
        <v>49</v>
      </c>
      <c r="I3057">
        <v>8</v>
      </c>
      <c r="J3057" t="s">
        <v>150</v>
      </c>
      <c r="K3057">
        <v>1</v>
      </c>
      <c r="L3057" s="3">
        <v>8399</v>
      </c>
      <c r="M3057">
        <v>10</v>
      </c>
      <c r="N3057" s="3">
        <v>7560</v>
      </c>
      <c r="O3057" s="3">
        <v>7560</v>
      </c>
      <c r="P3057" t="s">
        <v>74</v>
      </c>
      <c r="Q3057" t="s">
        <v>82</v>
      </c>
      <c r="R3057" t="s">
        <v>36</v>
      </c>
      <c r="S3057" t="s">
        <v>52</v>
      </c>
      <c r="T3057" t="s">
        <v>83</v>
      </c>
      <c r="U3057" t="s">
        <v>61</v>
      </c>
      <c r="V3057" t="s">
        <v>969</v>
      </c>
      <c r="W3057">
        <v>4.5999999999999996</v>
      </c>
      <c r="X3057" t="s">
        <v>41</v>
      </c>
      <c r="Y3057" t="s">
        <v>147</v>
      </c>
      <c r="Z3057">
        <v>2</v>
      </c>
    </row>
    <row r="3058" spans="1:26">
      <c r="A3058" t="s">
        <v>4321</v>
      </c>
      <c r="B3058" t="s">
        <v>1589</v>
      </c>
      <c r="C3058" t="s">
        <v>28</v>
      </c>
      <c r="D3058" t="s">
        <v>109</v>
      </c>
      <c r="E3058" s="1">
        <v>45980</v>
      </c>
      <c r="F3058" t="s">
        <v>30</v>
      </c>
      <c r="G3058" t="s">
        <v>347</v>
      </c>
      <c r="H3058" t="s">
        <v>49</v>
      </c>
      <c r="I3058">
        <v>10</v>
      </c>
      <c r="J3058" t="s">
        <v>150</v>
      </c>
      <c r="K3058">
        <v>3</v>
      </c>
      <c r="L3058" s="3">
        <v>3899</v>
      </c>
      <c r="M3058">
        <v>10</v>
      </c>
      <c r="N3058" s="3">
        <v>3510</v>
      </c>
      <c r="O3058" s="3">
        <v>10530</v>
      </c>
      <c r="P3058" t="s">
        <v>74</v>
      </c>
      <c r="Q3058" t="s">
        <v>51</v>
      </c>
      <c r="R3058" t="s">
        <v>36</v>
      </c>
      <c r="S3058" t="s">
        <v>200</v>
      </c>
      <c r="T3058" t="s">
        <v>201</v>
      </c>
      <c r="U3058" t="s">
        <v>39</v>
      </c>
      <c r="V3058" t="s">
        <v>969</v>
      </c>
      <c r="W3058">
        <v>4.7</v>
      </c>
      <c r="X3058" t="s">
        <v>41</v>
      </c>
      <c r="Y3058" t="s">
        <v>55</v>
      </c>
      <c r="Z3058">
        <v>3</v>
      </c>
    </row>
    <row r="3059" spans="1:26">
      <c r="A3059" t="s">
        <v>4322</v>
      </c>
      <c r="B3059" t="s">
        <v>1195</v>
      </c>
      <c r="C3059" t="s">
        <v>45</v>
      </c>
      <c r="D3059" t="s">
        <v>29</v>
      </c>
      <c r="E3059" s="1">
        <v>45980</v>
      </c>
      <c r="F3059" t="s">
        <v>30</v>
      </c>
      <c r="G3059" t="s">
        <v>58</v>
      </c>
      <c r="H3059" t="s">
        <v>59</v>
      </c>
      <c r="I3059">
        <v>9</v>
      </c>
      <c r="J3059" t="s">
        <v>67</v>
      </c>
      <c r="K3059">
        <v>2</v>
      </c>
      <c r="L3059" s="3">
        <v>9099</v>
      </c>
      <c r="M3059">
        <v>15</v>
      </c>
      <c r="N3059" s="3">
        <v>7730</v>
      </c>
      <c r="O3059" s="3">
        <v>15460</v>
      </c>
      <c r="P3059" t="s">
        <v>74</v>
      </c>
      <c r="Q3059" t="s">
        <v>82</v>
      </c>
      <c r="R3059" t="s">
        <v>36</v>
      </c>
      <c r="S3059" t="s">
        <v>151</v>
      </c>
      <c r="T3059" t="s">
        <v>890</v>
      </c>
      <c r="U3059" t="s">
        <v>124</v>
      </c>
      <c r="V3059" t="s">
        <v>315</v>
      </c>
      <c r="W3059">
        <v>3.4</v>
      </c>
      <c r="X3059" t="s">
        <v>41</v>
      </c>
      <c r="Y3059" t="s">
        <v>147</v>
      </c>
      <c r="Z3059">
        <v>1</v>
      </c>
    </row>
    <row r="3060" spans="1:26">
      <c r="A3060" t="s">
        <v>4323</v>
      </c>
      <c r="B3060" t="s">
        <v>916</v>
      </c>
      <c r="C3060" t="s">
        <v>45</v>
      </c>
      <c r="D3060" t="s">
        <v>29</v>
      </c>
      <c r="E3060" s="1">
        <v>45980</v>
      </c>
      <c r="F3060" t="s">
        <v>65</v>
      </c>
      <c r="G3060" t="s">
        <v>72</v>
      </c>
      <c r="H3060" t="s">
        <v>59</v>
      </c>
      <c r="I3060">
        <v>12</v>
      </c>
      <c r="J3060" t="s">
        <v>98</v>
      </c>
      <c r="K3060">
        <v>2</v>
      </c>
      <c r="L3060" s="3">
        <v>7799</v>
      </c>
      <c r="M3060">
        <v>15</v>
      </c>
      <c r="N3060" s="3">
        <v>6630</v>
      </c>
      <c r="O3060" s="3">
        <v>13260</v>
      </c>
      <c r="P3060" t="s">
        <v>81</v>
      </c>
      <c r="Q3060" t="s">
        <v>82</v>
      </c>
      <c r="R3060" t="s">
        <v>36</v>
      </c>
      <c r="S3060" t="s">
        <v>89</v>
      </c>
      <c r="T3060" t="s">
        <v>1982</v>
      </c>
      <c r="U3060" t="s">
        <v>124</v>
      </c>
      <c r="V3060" t="s">
        <v>969</v>
      </c>
      <c r="W3060">
        <v>4.2</v>
      </c>
      <c r="X3060" t="s">
        <v>106</v>
      </c>
      <c r="Y3060" t="s">
        <v>42</v>
      </c>
      <c r="Z3060">
        <v>4</v>
      </c>
    </row>
    <row r="3061" spans="1:26">
      <c r="A3061" t="s">
        <v>4324</v>
      </c>
      <c r="B3061" t="s">
        <v>4178</v>
      </c>
      <c r="C3061" t="s">
        <v>45</v>
      </c>
      <c r="D3061" t="s">
        <v>103</v>
      </c>
      <c r="E3061" s="1">
        <v>45981</v>
      </c>
      <c r="F3061" t="s">
        <v>96</v>
      </c>
      <c r="G3061" t="s">
        <v>228</v>
      </c>
      <c r="H3061" t="s">
        <v>59</v>
      </c>
      <c r="I3061">
        <v>7</v>
      </c>
      <c r="J3061" t="s">
        <v>98</v>
      </c>
      <c r="K3061">
        <v>1</v>
      </c>
      <c r="L3061" s="3">
        <v>4499</v>
      </c>
      <c r="M3061">
        <v>30</v>
      </c>
      <c r="N3061" s="3">
        <v>3150</v>
      </c>
      <c r="O3061" s="3">
        <v>3150</v>
      </c>
      <c r="P3061" t="s">
        <v>74</v>
      </c>
      <c r="Q3061" t="s">
        <v>51</v>
      </c>
      <c r="R3061" t="s">
        <v>36</v>
      </c>
      <c r="S3061" t="s">
        <v>37</v>
      </c>
      <c r="T3061" t="s">
        <v>38</v>
      </c>
      <c r="U3061" t="s">
        <v>91</v>
      </c>
      <c r="V3061" t="s">
        <v>315</v>
      </c>
      <c r="W3061">
        <v>3.7</v>
      </c>
      <c r="X3061" t="s">
        <v>41</v>
      </c>
      <c r="Y3061" t="s">
        <v>42</v>
      </c>
      <c r="Z3061">
        <v>6</v>
      </c>
    </row>
    <row r="3062" spans="1:26">
      <c r="A3062" t="s">
        <v>4325</v>
      </c>
      <c r="B3062" t="s">
        <v>1253</v>
      </c>
      <c r="C3062" t="s">
        <v>28</v>
      </c>
      <c r="D3062" t="s">
        <v>109</v>
      </c>
      <c r="E3062" s="1">
        <v>45982</v>
      </c>
      <c r="F3062" t="s">
        <v>79</v>
      </c>
      <c r="G3062" t="s">
        <v>301</v>
      </c>
      <c r="H3062" t="s">
        <v>49</v>
      </c>
      <c r="I3062">
        <v>10</v>
      </c>
      <c r="J3062" t="s">
        <v>73</v>
      </c>
      <c r="K3062">
        <v>1</v>
      </c>
      <c r="L3062" s="3">
        <v>5299</v>
      </c>
      <c r="M3062">
        <v>0</v>
      </c>
      <c r="N3062" s="3">
        <v>5300</v>
      </c>
      <c r="O3062" s="3">
        <v>5300</v>
      </c>
      <c r="P3062" t="s">
        <v>34</v>
      </c>
      <c r="Q3062" t="s">
        <v>82</v>
      </c>
      <c r="R3062" t="s">
        <v>36</v>
      </c>
      <c r="S3062" t="s">
        <v>354</v>
      </c>
      <c r="T3062" t="s">
        <v>518</v>
      </c>
      <c r="U3062" t="s">
        <v>91</v>
      </c>
      <c r="V3062" t="s">
        <v>969</v>
      </c>
      <c r="W3062">
        <v>4.3</v>
      </c>
      <c r="X3062" t="s">
        <v>41</v>
      </c>
      <c r="Y3062" t="s">
        <v>42</v>
      </c>
      <c r="Z3062">
        <v>5</v>
      </c>
    </row>
    <row r="3063" spans="1:26">
      <c r="A3063" t="s">
        <v>4326</v>
      </c>
      <c r="B3063" t="s">
        <v>486</v>
      </c>
      <c r="C3063" t="s">
        <v>28</v>
      </c>
      <c r="D3063" t="s">
        <v>29</v>
      </c>
      <c r="E3063" s="1">
        <v>45982</v>
      </c>
      <c r="F3063" t="s">
        <v>86</v>
      </c>
      <c r="G3063" t="s">
        <v>312</v>
      </c>
      <c r="H3063" t="s">
        <v>59</v>
      </c>
      <c r="I3063">
        <v>8</v>
      </c>
      <c r="J3063" t="s">
        <v>33</v>
      </c>
      <c r="K3063">
        <v>2</v>
      </c>
      <c r="L3063" s="3">
        <v>9199</v>
      </c>
      <c r="M3063">
        <v>10</v>
      </c>
      <c r="N3063" s="3">
        <v>8280</v>
      </c>
      <c r="O3063" s="3">
        <v>16560</v>
      </c>
      <c r="P3063" t="s">
        <v>74</v>
      </c>
      <c r="Q3063" t="s">
        <v>51</v>
      </c>
      <c r="R3063" t="s">
        <v>36</v>
      </c>
      <c r="S3063" t="s">
        <v>99</v>
      </c>
      <c r="T3063" t="s">
        <v>335</v>
      </c>
      <c r="U3063" t="s">
        <v>54</v>
      </c>
      <c r="V3063" t="s">
        <v>969</v>
      </c>
      <c r="W3063">
        <v>4.4000000000000004</v>
      </c>
      <c r="X3063" t="s">
        <v>41</v>
      </c>
      <c r="Y3063" t="s">
        <v>55</v>
      </c>
      <c r="Z3063">
        <v>2</v>
      </c>
    </row>
    <row r="3064" spans="1:26">
      <c r="A3064" t="s">
        <v>4327</v>
      </c>
      <c r="B3064" t="s">
        <v>2562</v>
      </c>
      <c r="C3064" t="s">
        <v>45</v>
      </c>
      <c r="D3064" t="s">
        <v>109</v>
      </c>
      <c r="E3064" s="1">
        <v>45983</v>
      </c>
      <c r="F3064" t="s">
        <v>30</v>
      </c>
      <c r="G3064" t="s">
        <v>145</v>
      </c>
      <c r="H3064" t="s">
        <v>59</v>
      </c>
      <c r="I3064">
        <v>8</v>
      </c>
      <c r="J3064" t="s">
        <v>33</v>
      </c>
      <c r="K3064">
        <v>1</v>
      </c>
      <c r="L3064" s="3">
        <v>8699</v>
      </c>
      <c r="M3064">
        <v>5</v>
      </c>
      <c r="N3064" s="3">
        <v>8260</v>
      </c>
      <c r="O3064" s="3">
        <v>8260</v>
      </c>
      <c r="P3064" t="s">
        <v>34</v>
      </c>
      <c r="Q3064" t="s">
        <v>51</v>
      </c>
      <c r="R3064" t="s">
        <v>36</v>
      </c>
      <c r="S3064" t="s">
        <v>210</v>
      </c>
      <c r="T3064" t="s">
        <v>211</v>
      </c>
      <c r="U3064" t="s">
        <v>39</v>
      </c>
      <c r="V3064" t="s">
        <v>969</v>
      </c>
      <c r="W3064">
        <v>4.5999999999999996</v>
      </c>
      <c r="X3064" t="s">
        <v>106</v>
      </c>
      <c r="Y3064" t="s">
        <v>42</v>
      </c>
      <c r="Z3064">
        <v>3</v>
      </c>
    </row>
    <row r="3065" spans="1:26">
      <c r="A3065" t="s">
        <v>4328</v>
      </c>
      <c r="B3065" t="s">
        <v>1445</v>
      </c>
      <c r="C3065" t="s">
        <v>45</v>
      </c>
      <c r="D3065" t="s">
        <v>46</v>
      </c>
      <c r="E3065" s="1">
        <v>45983</v>
      </c>
      <c r="F3065" t="s">
        <v>30</v>
      </c>
      <c r="G3065" t="s">
        <v>58</v>
      </c>
      <c r="H3065" t="s">
        <v>59</v>
      </c>
      <c r="I3065">
        <v>9</v>
      </c>
      <c r="J3065" t="s">
        <v>73</v>
      </c>
      <c r="K3065">
        <v>1</v>
      </c>
      <c r="L3065" s="3">
        <v>7599</v>
      </c>
      <c r="M3065">
        <v>15</v>
      </c>
      <c r="N3065" s="3">
        <v>6460</v>
      </c>
      <c r="O3065" s="3">
        <v>6460</v>
      </c>
      <c r="P3065" t="s">
        <v>34</v>
      </c>
      <c r="Q3065" t="s">
        <v>51</v>
      </c>
      <c r="R3065" t="s">
        <v>36</v>
      </c>
      <c r="S3065" t="s">
        <v>156</v>
      </c>
      <c r="T3065" t="s">
        <v>324</v>
      </c>
      <c r="U3065" t="s">
        <v>54</v>
      </c>
      <c r="V3065" t="s">
        <v>969</v>
      </c>
      <c r="W3065">
        <v>3.6</v>
      </c>
      <c r="X3065" t="s">
        <v>41</v>
      </c>
      <c r="Y3065" t="s">
        <v>55</v>
      </c>
      <c r="Z3065">
        <v>3</v>
      </c>
    </row>
    <row r="3066" spans="1:26">
      <c r="A3066" t="s">
        <v>4329</v>
      </c>
      <c r="B3066" t="s">
        <v>249</v>
      </c>
      <c r="C3066" t="s">
        <v>94</v>
      </c>
      <c r="D3066" t="s">
        <v>103</v>
      </c>
      <c r="E3066" s="1">
        <v>45984</v>
      </c>
      <c r="F3066" t="s">
        <v>47</v>
      </c>
      <c r="G3066" t="s">
        <v>218</v>
      </c>
      <c r="H3066" t="s">
        <v>59</v>
      </c>
      <c r="I3066">
        <v>8</v>
      </c>
      <c r="J3066" t="s">
        <v>73</v>
      </c>
      <c r="K3066">
        <v>1</v>
      </c>
      <c r="L3066" s="3">
        <v>5799</v>
      </c>
      <c r="M3066">
        <v>10</v>
      </c>
      <c r="N3066" s="3">
        <v>5220</v>
      </c>
      <c r="O3066" s="3">
        <v>5220</v>
      </c>
      <c r="P3066" t="s">
        <v>74</v>
      </c>
      <c r="Q3066" t="s">
        <v>51</v>
      </c>
      <c r="R3066" t="s">
        <v>36</v>
      </c>
      <c r="S3066" t="s">
        <v>354</v>
      </c>
      <c r="T3066" t="s">
        <v>355</v>
      </c>
      <c r="U3066" t="s">
        <v>39</v>
      </c>
      <c r="V3066" t="s">
        <v>969</v>
      </c>
      <c r="W3066">
        <v>3.6</v>
      </c>
      <c r="X3066" t="s">
        <v>41</v>
      </c>
      <c r="Y3066" t="s">
        <v>42</v>
      </c>
      <c r="Z3066">
        <v>2</v>
      </c>
    </row>
    <row r="3067" spans="1:26">
      <c r="A3067" t="s">
        <v>4330</v>
      </c>
      <c r="B3067" t="s">
        <v>1179</v>
      </c>
      <c r="C3067" t="s">
        <v>28</v>
      </c>
      <c r="D3067" t="s">
        <v>46</v>
      </c>
      <c r="E3067" s="1">
        <v>45984</v>
      </c>
      <c r="F3067" t="s">
        <v>65</v>
      </c>
      <c r="G3067" t="s">
        <v>268</v>
      </c>
      <c r="H3067" t="s">
        <v>128</v>
      </c>
      <c r="I3067">
        <v>11</v>
      </c>
      <c r="J3067" t="s">
        <v>150</v>
      </c>
      <c r="K3067">
        <v>1</v>
      </c>
      <c r="L3067" s="3">
        <v>7699</v>
      </c>
      <c r="M3067">
        <v>20</v>
      </c>
      <c r="N3067" s="3">
        <v>6160</v>
      </c>
      <c r="O3067" s="3">
        <v>6160</v>
      </c>
      <c r="P3067" t="s">
        <v>74</v>
      </c>
      <c r="Q3067" t="s">
        <v>51</v>
      </c>
      <c r="R3067" t="s">
        <v>36</v>
      </c>
      <c r="S3067" t="s">
        <v>418</v>
      </c>
      <c r="T3067" t="s">
        <v>613</v>
      </c>
      <c r="U3067" t="s">
        <v>54</v>
      </c>
      <c r="V3067" t="s">
        <v>969</v>
      </c>
      <c r="W3067">
        <v>3.8</v>
      </c>
      <c r="X3067" t="s">
        <v>41</v>
      </c>
      <c r="Y3067" t="s">
        <v>55</v>
      </c>
      <c r="Z3067">
        <v>3</v>
      </c>
    </row>
    <row r="3068" spans="1:26">
      <c r="A3068" t="s">
        <v>4331</v>
      </c>
      <c r="B3068" t="s">
        <v>4332</v>
      </c>
      <c r="C3068" t="s">
        <v>45</v>
      </c>
      <c r="D3068" t="s">
        <v>103</v>
      </c>
      <c r="E3068" s="1">
        <v>45985</v>
      </c>
      <c r="F3068" t="s">
        <v>96</v>
      </c>
      <c r="G3068" t="s">
        <v>155</v>
      </c>
      <c r="H3068" t="s">
        <v>111</v>
      </c>
      <c r="I3068">
        <v>8</v>
      </c>
      <c r="J3068" t="s">
        <v>33</v>
      </c>
      <c r="K3068">
        <v>2</v>
      </c>
      <c r="L3068" s="3">
        <v>8699</v>
      </c>
      <c r="M3068">
        <v>20</v>
      </c>
      <c r="N3068" s="3">
        <v>6960</v>
      </c>
      <c r="O3068" s="3">
        <v>13920</v>
      </c>
      <c r="P3068" t="s">
        <v>50</v>
      </c>
      <c r="Q3068" t="s">
        <v>82</v>
      </c>
      <c r="R3068" t="s">
        <v>36</v>
      </c>
      <c r="S3068" t="s">
        <v>358</v>
      </c>
      <c r="T3068" t="s">
        <v>464</v>
      </c>
      <c r="U3068" t="s">
        <v>124</v>
      </c>
      <c r="V3068" t="s">
        <v>40</v>
      </c>
      <c r="W3068">
        <v>5</v>
      </c>
      <c r="X3068" t="s">
        <v>41</v>
      </c>
      <c r="Y3068" t="s">
        <v>42</v>
      </c>
      <c r="Z3068">
        <v>7</v>
      </c>
    </row>
    <row r="3069" spans="1:26">
      <c r="A3069" t="s">
        <v>4333</v>
      </c>
      <c r="B3069" t="s">
        <v>1213</v>
      </c>
      <c r="C3069" t="s">
        <v>45</v>
      </c>
      <c r="D3069" t="s">
        <v>46</v>
      </c>
      <c r="E3069" s="1">
        <v>45985</v>
      </c>
      <c r="F3069" t="s">
        <v>47</v>
      </c>
      <c r="G3069" t="s">
        <v>199</v>
      </c>
      <c r="H3069" t="s">
        <v>59</v>
      </c>
      <c r="I3069">
        <v>6</v>
      </c>
      <c r="J3069" t="s">
        <v>33</v>
      </c>
      <c r="K3069">
        <v>1</v>
      </c>
      <c r="L3069" s="3">
        <v>5499</v>
      </c>
      <c r="M3069">
        <v>5</v>
      </c>
      <c r="N3069" s="3">
        <v>5220</v>
      </c>
      <c r="O3069" s="3">
        <v>5220</v>
      </c>
      <c r="P3069" t="s">
        <v>34</v>
      </c>
      <c r="Q3069" t="s">
        <v>82</v>
      </c>
      <c r="R3069" t="s">
        <v>36</v>
      </c>
      <c r="S3069" t="s">
        <v>112</v>
      </c>
      <c r="T3069" t="s">
        <v>113</v>
      </c>
      <c r="U3069" t="s">
        <v>61</v>
      </c>
      <c r="V3069" t="s">
        <v>969</v>
      </c>
      <c r="W3069">
        <v>5</v>
      </c>
      <c r="X3069" t="s">
        <v>41</v>
      </c>
      <c r="Y3069" t="s">
        <v>55</v>
      </c>
      <c r="Z3069">
        <v>2</v>
      </c>
    </row>
    <row r="3070" spans="1:26">
      <c r="A3070" t="s">
        <v>4334</v>
      </c>
      <c r="B3070" t="s">
        <v>1562</v>
      </c>
      <c r="C3070" t="s">
        <v>45</v>
      </c>
      <c r="D3070" t="s">
        <v>103</v>
      </c>
      <c r="E3070" s="1">
        <v>45985</v>
      </c>
      <c r="F3070" t="s">
        <v>30</v>
      </c>
      <c r="G3070" t="s">
        <v>347</v>
      </c>
      <c r="H3070" t="s">
        <v>49</v>
      </c>
      <c r="I3070">
        <v>7</v>
      </c>
      <c r="J3070" t="s">
        <v>67</v>
      </c>
      <c r="K3070">
        <v>1</v>
      </c>
      <c r="L3070" s="3">
        <v>7699</v>
      </c>
      <c r="M3070">
        <v>0</v>
      </c>
      <c r="N3070" s="3">
        <v>7700</v>
      </c>
      <c r="O3070" s="3">
        <v>7700</v>
      </c>
      <c r="P3070" t="s">
        <v>74</v>
      </c>
      <c r="Q3070" t="s">
        <v>51</v>
      </c>
      <c r="R3070" t="s">
        <v>36</v>
      </c>
      <c r="S3070" t="s">
        <v>354</v>
      </c>
      <c r="T3070" t="s">
        <v>518</v>
      </c>
      <c r="U3070" t="s">
        <v>61</v>
      </c>
      <c r="V3070" t="s">
        <v>315</v>
      </c>
      <c r="W3070">
        <v>5</v>
      </c>
      <c r="X3070" t="s">
        <v>41</v>
      </c>
      <c r="Y3070" t="s">
        <v>55</v>
      </c>
      <c r="Z3070">
        <v>3</v>
      </c>
    </row>
    <row r="3071" spans="1:26">
      <c r="A3071" t="s">
        <v>4335</v>
      </c>
      <c r="B3071" t="s">
        <v>628</v>
      </c>
      <c r="C3071" t="s">
        <v>94</v>
      </c>
      <c r="D3071" t="s">
        <v>29</v>
      </c>
      <c r="E3071" s="1">
        <v>45986</v>
      </c>
      <c r="F3071" t="s">
        <v>65</v>
      </c>
      <c r="G3071" t="s">
        <v>66</v>
      </c>
      <c r="H3071" t="s">
        <v>59</v>
      </c>
      <c r="I3071">
        <v>10</v>
      </c>
      <c r="J3071" t="s">
        <v>67</v>
      </c>
      <c r="K3071">
        <v>1</v>
      </c>
      <c r="L3071" s="3">
        <v>4099</v>
      </c>
      <c r="M3071">
        <v>10</v>
      </c>
      <c r="N3071" s="3">
        <v>3690</v>
      </c>
      <c r="O3071" s="3">
        <v>3690</v>
      </c>
      <c r="P3071" t="s">
        <v>34</v>
      </c>
      <c r="Q3071" t="s">
        <v>35</v>
      </c>
      <c r="R3071" t="s">
        <v>36</v>
      </c>
      <c r="S3071" t="s">
        <v>200</v>
      </c>
      <c r="T3071" t="s">
        <v>219</v>
      </c>
      <c r="U3071" t="s">
        <v>91</v>
      </c>
      <c r="V3071" t="s">
        <v>969</v>
      </c>
      <c r="W3071">
        <v>3.5</v>
      </c>
      <c r="X3071" t="s">
        <v>41</v>
      </c>
      <c r="Y3071" t="s">
        <v>42</v>
      </c>
      <c r="Z3071">
        <v>5</v>
      </c>
    </row>
    <row r="3072" spans="1:26">
      <c r="A3072" t="s">
        <v>4336</v>
      </c>
      <c r="B3072" t="s">
        <v>1525</v>
      </c>
      <c r="C3072" t="s">
        <v>28</v>
      </c>
      <c r="D3072" t="s">
        <v>29</v>
      </c>
      <c r="E3072" s="1">
        <v>45988</v>
      </c>
      <c r="F3072" t="s">
        <v>65</v>
      </c>
      <c r="G3072" t="s">
        <v>72</v>
      </c>
      <c r="H3072" t="s">
        <v>59</v>
      </c>
      <c r="I3072">
        <v>8</v>
      </c>
      <c r="J3072" t="s">
        <v>150</v>
      </c>
      <c r="K3072">
        <v>1</v>
      </c>
      <c r="L3072" s="3">
        <v>7599</v>
      </c>
      <c r="M3072">
        <v>5</v>
      </c>
      <c r="N3072" s="3">
        <v>7220</v>
      </c>
      <c r="O3072" s="3">
        <v>7220</v>
      </c>
      <c r="P3072" t="s">
        <v>74</v>
      </c>
      <c r="Q3072" t="s">
        <v>35</v>
      </c>
      <c r="R3072" t="s">
        <v>36</v>
      </c>
      <c r="S3072" t="s">
        <v>200</v>
      </c>
      <c r="T3072" t="s">
        <v>204</v>
      </c>
      <c r="U3072" t="s">
        <v>61</v>
      </c>
      <c r="V3072" t="s">
        <v>969</v>
      </c>
      <c r="W3072">
        <v>5</v>
      </c>
      <c r="X3072" t="s">
        <v>106</v>
      </c>
      <c r="Y3072" t="s">
        <v>55</v>
      </c>
      <c r="Z3072">
        <v>3</v>
      </c>
    </row>
    <row r="3073" spans="1:26">
      <c r="A3073" t="s">
        <v>4337</v>
      </c>
      <c r="B3073" t="s">
        <v>814</v>
      </c>
      <c r="C3073" t="s">
        <v>28</v>
      </c>
      <c r="D3073" t="s">
        <v>46</v>
      </c>
      <c r="E3073" s="1">
        <v>45988</v>
      </c>
      <c r="F3073" t="s">
        <v>30</v>
      </c>
      <c r="G3073" t="s">
        <v>31</v>
      </c>
      <c r="H3073" t="s">
        <v>32</v>
      </c>
      <c r="I3073">
        <v>7</v>
      </c>
      <c r="J3073" t="s">
        <v>98</v>
      </c>
      <c r="K3073">
        <v>3</v>
      </c>
      <c r="L3073" s="3">
        <v>6399</v>
      </c>
      <c r="M3073">
        <v>25</v>
      </c>
      <c r="N3073" s="3">
        <v>4800</v>
      </c>
      <c r="O3073" s="3">
        <v>14400</v>
      </c>
      <c r="P3073" t="s">
        <v>34</v>
      </c>
      <c r="Q3073" t="s">
        <v>35</v>
      </c>
      <c r="R3073" t="s">
        <v>36</v>
      </c>
      <c r="S3073" t="s">
        <v>168</v>
      </c>
      <c r="T3073" t="s">
        <v>168</v>
      </c>
      <c r="U3073" t="s">
        <v>39</v>
      </c>
      <c r="V3073" t="s">
        <v>969</v>
      </c>
      <c r="W3073">
        <v>3.7</v>
      </c>
      <c r="X3073" t="s">
        <v>41</v>
      </c>
      <c r="Y3073" t="s">
        <v>42</v>
      </c>
      <c r="Z3073">
        <v>3</v>
      </c>
    </row>
    <row r="3074" spans="1:26">
      <c r="A3074" t="s">
        <v>4338</v>
      </c>
      <c r="B3074" t="s">
        <v>311</v>
      </c>
      <c r="C3074" t="s">
        <v>94</v>
      </c>
      <c r="D3074" t="s">
        <v>95</v>
      </c>
      <c r="E3074" s="1">
        <v>45989</v>
      </c>
      <c r="F3074" t="s">
        <v>86</v>
      </c>
      <c r="G3074" t="s">
        <v>285</v>
      </c>
      <c r="H3074" t="s">
        <v>111</v>
      </c>
      <c r="I3074">
        <v>9</v>
      </c>
      <c r="J3074" t="s">
        <v>73</v>
      </c>
      <c r="K3074">
        <v>1</v>
      </c>
      <c r="L3074" s="3">
        <v>7799</v>
      </c>
      <c r="M3074">
        <v>10</v>
      </c>
      <c r="N3074" s="3">
        <v>7020</v>
      </c>
      <c r="O3074" s="3">
        <v>7020</v>
      </c>
      <c r="P3074" t="s">
        <v>74</v>
      </c>
      <c r="Q3074" t="s">
        <v>35</v>
      </c>
      <c r="R3074" t="s">
        <v>36</v>
      </c>
      <c r="S3074" t="s">
        <v>182</v>
      </c>
      <c r="T3074" t="s">
        <v>309</v>
      </c>
      <c r="U3074" t="s">
        <v>54</v>
      </c>
      <c r="V3074" t="s">
        <v>969</v>
      </c>
      <c r="W3074">
        <v>4.5</v>
      </c>
      <c r="X3074" t="s">
        <v>106</v>
      </c>
      <c r="Y3074" t="s">
        <v>55</v>
      </c>
      <c r="Z3074">
        <v>1</v>
      </c>
    </row>
    <row r="3075" spans="1:26">
      <c r="A3075" t="s">
        <v>4339</v>
      </c>
      <c r="B3075" t="s">
        <v>1763</v>
      </c>
      <c r="C3075" t="s">
        <v>28</v>
      </c>
      <c r="D3075" t="s">
        <v>29</v>
      </c>
      <c r="E3075" s="1">
        <v>45989</v>
      </c>
      <c r="F3075" t="s">
        <v>79</v>
      </c>
      <c r="G3075" t="s">
        <v>301</v>
      </c>
      <c r="H3075" t="s">
        <v>49</v>
      </c>
      <c r="I3075">
        <v>8</v>
      </c>
      <c r="J3075" t="s">
        <v>67</v>
      </c>
      <c r="K3075">
        <v>2</v>
      </c>
      <c r="L3075" s="3">
        <v>4499</v>
      </c>
      <c r="M3075">
        <v>10</v>
      </c>
      <c r="N3075" s="3">
        <v>4050</v>
      </c>
      <c r="O3075" s="3">
        <v>8100</v>
      </c>
      <c r="P3075" t="s">
        <v>34</v>
      </c>
      <c r="Q3075" t="s">
        <v>82</v>
      </c>
      <c r="R3075" t="s">
        <v>36</v>
      </c>
      <c r="S3075" t="s">
        <v>164</v>
      </c>
      <c r="T3075" t="s">
        <v>409</v>
      </c>
      <c r="U3075" t="s">
        <v>61</v>
      </c>
      <c r="V3075" t="s">
        <v>969</v>
      </c>
      <c r="W3075">
        <v>4.7</v>
      </c>
      <c r="X3075" t="s">
        <v>41</v>
      </c>
      <c r="Y3075" t="s">
        <v>55</v>
      </c>
      <c r="Z3075">
        <v>2</v>
      </c>
    </row>
    <row r="3076" spans="1:26">
      <c r="A3076" t="s">
        <v>4340</v>
      </c>
      <c r="B3076" t="s">
        <v>2703</v>
      </c>
      <c r="C3076" t="s">
        <v>28</v>
      </c>
      <c r="D3076" t="s">
        <v>103</v>
      </c>
      <c r="E3076" s="1">
        <v>45989</v>
      </c>
      <c r="F3076" t="s">
        <v>86</v>
      </c>
      <c r="G3076" t="s">
        <v>312</v>
      </c>
      <c r="H3076" t="s">
        <v>59</v>
      </c>
      <c r="I3076">
        <v>11</v>
      </c>
      <c r="J3076" t="s">
        <v>98</v>
      </c>
      <c r="K3076">
        <v>1</v>
      </c>
      <c r="L3076" s="3">
        <v>8199</v>
      </c>
      <c r="M3076">
        <v>25</v>
      </c>
      <c r="N3076" s="3">
        <v>6150</v>
      </c>
      <c r="O3076" s="3">
        <v>6150</v>
      </c>
      <c r="P3076" t="s">
        <v>34</v>
      </c>
      <c r="Q3076" t="s">
        <v>51</v>
      </c>
      <c r="R3076" t="s">
        <v>36</v>
      </c>
      <c r="S3076" t="s">
        <v>136</v>
      </c>
      <c r="T3076" t="s">
        <v>1693</v>
      </c>
      <c r="U3076" t="s">
        <v>39</v>
      </c>
      <c r="V3076" t="s">
        <v>315</v>
      </c>
      <c r="W3076">
        <v>3.4</v>
      </c>
      <c r="X3076" t="s">
        <v>62</v>
      </c>
      <c r="Y3076" t="s">
        <v>42</v>
      </c>
      <c r="Z3076">
        <v>3</v>
      </c>
    </row>
    <row r="3077" spans="1:26">
      <c r="A3077" t="s">
        <v>4341</v>
      </c>
      <c r="B3077" t="s">
        <v>2167</v>
      </c>
      <c r="C3077" t="s">
        <v>45</v>
      </c>
      <c r="D3077" t="s">
        <v>46</v>
      </c>
      <c r="E3077" s="1">
        <v>45992</v>
      </c>
      <c r="F3077" t="s">
        <v>79</v>
      </c>
      <c r="G3077" t="s">
        <v>127</v>
      </c>
      <c r="H3077" t="s">
        <v>128</v>
      </c>
      <c r="I3077">
        <v>7</v>
      </c>
      <c r="J3077" t="s">
        <v>98</v>
      </c>
      <c r="K3077">
        <v>1</v>
      </c>
      <c r="L3077" s="3">
        <v>5799</v>
      </c>
      <c r="M3077">
        <v>10</v>
      </c>
      <c r="N3077" s="3">
        <v>5220</v>
      </c>
      <c r="O3077" s="3">
        <v>5220</v>
      </c>
      <c r="P3077" t="s">
        <v>74</v>
      </c>
      <c r="Q3077" t="s">
        <v>51</v>
      </c>
      <c r="R3077" t="s">
        <v>36</v>
      </c>
      <c r="S3077" t="s">
        <v>384</v>
      </c>
      <c r="T3077" t="s">
        <v>385</v>
      </c>
      <c r="U3077" t="s">
        <v>54</v>
      </c>
      <c r="V3077" t="s">
        <v>969</v>
      </c>
      <c r="W3077">
        <v>4.7</v>
      </c>
      <c r="X3077" t="s">
        <v>41</v>
      </c>
      <c r="Y3077" t="s">
        <v>42</v>
      </c>
      <c r="Z3077">
        <v>5</v>
      </c>
    </row>
    <row r="3078" spans="1:26">
      <c r="A3078" t="s">
        <v>4342</v>
      </c>
      <c r="B3078" t="s">
        <v>2681</v>
      </c>
      <c r="C3078" t="s">
        <v>28</v>
      </c>
      <c r="D3078" t="s">
        <v>95</v>
      </c>
      <c r="E3078" s="1">
        <v>45992</v>
      </c>
      <c r="F3078" t="s">
        <v>65</v>
      </c>
      <c r="G3078" t="s">
        <v>72</v>
      </c>
      <c r="H3078" t="s">
        <v>59</v>
      </c>
      <c r="I3078">
        <v>6</v>
      </c>
      <c r="J3078" t="s">
        <v>150</v>
      </c>
      <c r="K3078">
        <v>1</v>
      </c>
      <c r="L3078" s="3">
        <v>6299</v>
      </c>
      <c r="M3078">
        <v>20</v>
      </c>
      <c r="N3078" s="3">
        <v>5040</v>
      </c>
      <c r="O3078" s="3">
        <v>5040</v>
      </c>
      <c r="P3078" t="s">
        <v>74</v>
      </c>
      <c r="Q3078" t="s">
        <v>35</v>
      </c>
      <c r="R3078" t="s">
        <v>36</v>
      </c>
      <c r="S3078" t="s">
        <v>156</v>
      </c>
      <c r="T3078" t="s">
        <v>369</v>
      </c>
      <c r="U3078" t="s">
        <v>39</v>
      </c>
      <c r="V3078" t="s">
        <v>315</v>
      </c>
      <c r="W3078">
        <v>4</v>
      </c>
      <c r="X3078" t="s">
        <v>106</v>
      </c>
      <c r="Y3078" t="s">
        <v>55</v>
      </c>
      <c r="Z3078">
        <v>3</v>
      </c>
    </row>
    <row r="3079" spans="1:26">
      <c r="A3079" t="s">
        <v>4343</v>
      </c>
      <c r="B3079" t="s">
        <v>3665</v>
      </c>
      <c r="C3079" t="s">
        <v>28</v>
      </c>
      <c r="D3079" t="s">
        <v>46</v>
      </c>
      <c r="E3079" s="1">
        <v>45992</v>
      </c>
      <c r="F3079" t="s">
        <v>30</v>
      </c>
      <c r="G3079" t="s">
        <v>347</v>
      </c>
      <c r="H3079" t="s">
        <v>49</v>
      </c>
      <c r="I3079">
        <v>10</v>
      </c>
      <c r="J3079" t="s">
        <v>98</v>
      </c>
      <c r="K3079">
        <v>3</v>
      </c>
      <c r="L3079" s="3">
        <v>4399</v>
      </c>
      <c r="M3079">
        <v>10</v>
      </c>
      <c r="N3079" s="3">
        <v>3960</v>
      </c>
      <c r="O3079" s="3">
        <v>11880</v>
      </c>
      <c r="P3079" t="s">
        <v>74</v>
      </c>
      <c r="Q3079" t="s">
        <v>51</v>
      </c>
      <c r="R3079" t="s">
        <v>36</v>
      </c>
      <c r="S3079" t="s">
        <v>117</v>
      </c>
      <c r="T3079" t="s">
        <v>118</v>
      </c>
      <c r="U3079" t="s">
        <v>54</v>
      </c>
      <c r="V3079" t="s">
        <v>315</v>
      </c>
      <c r="W3079">
        <v>4.0999999999999996</v>
      </c>
      <c r="X3079" t="s">
        <v>41</v>
      </c>
      <c r="Y3079" t="s">
        <v>42</v>
      </c>
      <c r="Z3079">
        <v>5</v>
      </c>
    </row>
    <row r="3080" spans="1:26">
      <c r="A3080" t="s">
        <v>4344</v>
      </c>
      <c r="B3080" t="s">
        <v>802</v>
      </c>
      <c r="C3080" t="s">
        <v>45</v>
      </c>
      <c r="D3080" t="s">
        <v>103</v>
      </c>
      <c r="E3080" s="1">
        <v>45993</v>
      </c>
      <c r="F3080" t="s">
        <v>30</v>
      </c>
      <c r="G3080" t="s">
        <v>58</v>
      </c>
      <c r="H3080" t="s">
        <v>59</v>
      </c>
      <c r="I3080">
        <v>9</v>
      </c>
      <c r="J3080" t="s">
        <v>98</v>
      </c>
      <c r="K3080">
        <v>1</v>
      </c>
      <c r="L3080" s="3">
        <v>6199</v>
      </c>
      <c r="M3080">
        <v>10</v>
      </c>
      <c r="N3080" s="3">
        <v>5580</v>
      </c>
      <c r="O3080" s="3">
        <v>5580</v>
      </c>
      <c r="P3080" t="s">
        <v>74</v>
      </c>
      <c r="Q3080" t="s">
        <v>51</v>
      </c>
      <c r="R3080" t="s">
        <v>36</v>
      </c>
      <c r="S3080" t="s">
        <v>68</v>
      </c>
      <c r="T3080" t="s">
        <v>811</v>
      </c>
      <c r="U3080" t="s">
        <v>61</v>
      </c>
      <c r="V3080" t="s">
        <v>969</v>
      </c>
      <c r="W3080">
        <v>4</v>
      </c>
      <c r="X3080" t="s">
        <v>41</v>
      </c>
      <c r="Y3080" t="s">
        <v>42</v>
      </c>
      <c r="Z3080">
        <v>3</v>
      </c>
    </row>
    <row r="3081" spans="1:26">
      <c r="A3081" t="s">
        <v>4345</v>
      </c>
      <c r="B3081" t="s">
        <v>3361</v>
      </c>
      <c r="C3081" t="s">
        <v>45</v>
      </c>
      <c r="D3081" t="s">
        <v>46</v>
      </c>
      <c r="E3081" s="1">
        <v>45994</v>
      </c>
      <c r="F3081" t="s">
        <v>65</v>
      </c>
      <c r="G3081" t="s">
        <v>365</v>
      </c>
      <c r="H3081" t="s">
        <v>49</v>
      </c>
      <c r="I3081">
        <v>10</v>
      </c>
      <c r="J3081" t="s">
        <v>33</v>
      </c>
      <c r="K3081">
        <v>1</v>
      </c>
      <c r="L3081" s="3">
        <v>4299</v>
      </c>
      <c r="M3081">
        <v>20</v>
      </c>
      <c r="N3081" s="3">
        <v>3440</v>
      </c>
      <c r="O3081" s="3">
        <v>3440</v>
      </c>
      <c r="P3081" t="s">
        <v>74</v>
      </c>
      <c r="Q3081" t="s">
        <v>82</v>
      </c>
      <c r="R3081" t="s">
        <v>36</v>
      </c>
      <c r="S3081" t="s">
        <v>37</v>
      </c>
      <c r="T3081" t="s">
        <v>484</v>
      </c>
      <c r="U3081" t="s">
        <v>61</v>
      </c>
      <c r="V3081" t="s">
        <v>315</v>
      </c>
      <c r="W3081">
        <v>4.2</v>
      </c>
      <c r="X3081" t="s">
        <v>41</v>
      </c>
      <c r="Y3081" t="s">
        <v>55</v>
      </c>
      <c r="Z3081">
        <v>1</v>
      </c>
    </row>
    <row r="3082" spans="1:26">
      <c r="A3082" t="s">
        <v>4346</v>
      </c>
      <c r="B3082" t="s">
        <v>2443</v>
      </c>
      <c r="C3082" t="s">
        <v>94</v>
      </c>
      <c r="D3082" t="s">
        <v>109</v>
      </c>
      <c r="E3082" s="1">
        <v>45994</v>
      </c>
      <c r="F3082" t="s">
        <v>86</v>
      </c>
      <c r="G3082" t="s">
        <v>116</v>
      </c>
      <c r="H3082" t="s">
        <v>49</v>
      </c>
      <c r="I3082">
        <v>11</v>
      </c>
      <c r="J3082" t="s">
        <v>67</v>
      </c>
      <c r="K3082">
        <v>2</v>
      </c>
      <c r="L3082" s="3">
        <v>8899</v>
      </c>
      <c r="M3082">
        <v>30</v>
      </c>
      <c r="N3082" s="3">
        <v>6230</v>
      </c>
      <c r="O3082" s="3">
        <v>12460</v>
      </c>
      <c r="P3082" t="s">
        <v>74</v>
      </c>
      <c r="Q3082" t="s">
        <v>51</v>
      </c>
      <c r="R3082" t="s">
        <v>36</v>
      </c>
      <c r="S3082" t="s">
        <v>156</v>
      </c>
      <c r="T3082" t="s">
        <v>369</v>
      </c>
      <c r="U3082" t="s">
        <v>61</v>
      </c>
      <c r="V3082" t="s">
        <v>969</v>
      </c>
      <c r="W3082">
        <v>3.8</v>
      </c>
      <c r="X3082" t="s">
        <v>106</v>
      </c>
      <c r="Y3082" t="s">
        <v>42</v>
      </c>
      <c r="Z3082">
        <v>2</v>
      </c>
    </row>
    <row r="3083" spans="1:26">
      <c r="A3083" t="s">
        <v>4347</v>
      </c>
      <c r="B3083" t="s">
        <v>1119</v>
      </c>
      <c r="C3083" t="s">
        <v>28</v>
      </c>
      <c r="D3083" t="s">
        <v>29</v>
      </c>
      <c r="E3083" s="1">
        <v>45994</v>
      </c>
      <c r="F3083" t="s">
        <v>79</v>
      </c>
      <c r="G3083" t="s">
        <v>301</v>
      </c>
      <c r="H3083" t="s">
        <v>49</v>
      </c>
      <c r="I3083">
        <v>11</v>
      </c>
      <c r="J3083" t="s">
        <v>33</v>
      </c>
      <c r="K3083">
        <v>1</v>
      </c>
      <c r="L3083" s="3">
        <v>5099</v>
      </c>
      <c r="M3083">
        <v>25</v>
      </c>
      <c r="N3083" s="3">
        <v>3820</v>
      </c>
      <c r="O3083" s="3">
        <v>3820</v>
      </c>
      <c r="P3083" t="s">
        <v>74</v>
      </c>
      <c r="Q3083" t="s">
        <v>51</v>
      </c>
      <c r="R3083" t="s">
        <v>36</v>
      </c>
      <c r="S3083" t="s">
        <v>338</v>
      </c>
      <c r="T3083" t="s">
        <v>779</v>
      </c>
      <c r="U3083" t="s">
        <v>91</v>
      </c>
      <c r="V3083" t="s">
        <v>315</v>
      </c>
      <c r="W3083">
        <v>4</v>
      </c>
      <c r="X3083" t="s">
        <v>106</v>
      </c>
      <c r="Y3083" t="s">
        <v>42</v>
      </c>
      <c r="Z3083">
        <v>7</v>
      </c>
    </row>
    <row r="3084" spans="1:26">
      <c r="A3084" t="s">
        <v>4348</v>
      </c>
      <c r="B3084" t="s">
        <v>2429</v>
      </c>
      <c r="C3084" t="s">
        <v>45</v>
      </c>
      <c r="D3084" t="s">
        <v>46</v>
      </c>
      <c r="E3084" s="1">
        <v>45995</v>
      </c>
      <c r="F3084" t="s">
        <v>86</v>
      </c>
      <c r="G3084" t="s">
        <v>242</v>
      </c>
      <c r="H3084" t="s">
        <v>32</v>
      </c>
      <c r="I3084">
        <v>7</v>
      </c>
      <c r="J3084" t="s">
        <v>88</v>
      </c>
      <c r="K3084">
        <v>1</v>
      </c>
      <c r="L3084" s="3">
        <v>9099</v>
      </c>
      <c r="M3084">
        <v>30</v>
      </c>
      <c r="N3084" s="3">
        <v>6370</v>
      </c>
      <c r="O3084" s="3">
        <v>6370</v>
      </c>
      <c r="P3084" t="s">
        <v>74</v>
      </c>
      <c r="Q3084" t="s">
        <v>82</v>
      </c>
      <c r="R3084" t="s">
        <v>36</v>
      </c>
      <c r="S3084" t="s">
        <v>210</v>
      </c>
      <c r="T3084" t="s">
        <v>680</v>
      </c>
      <c r="U3084" t="s">
        <v>54</v>
      </c>
      <c r="V3084" t="s">
        <v>315</v>
      </c>
      <c r="W3084">
        <v>4</v>
      </c>
      <c r="X3084" t="s">
        <v>41</v>
      </c>
      <c r="Y3084" t="s">
        <v>42</v>
      </c>
      <c r="Z3084">
        <v>5</v>
      </c>
    </row>
    <row r="3085" spans="1:26">
      <c r="A3085" t="s">
        <v>4349</v>
      </c>
      <c r="B3085" t="s">
        <v>4350</v>
      </c>
      <c r="C3085" t="s">
        <v>94</v>
      </c>
      <c r="D3085" t="s">
        <v>29</v>
      </c>
      <c r="E3085" s="1">
        <v>45996</v>
      </c>
      <c r="F3085" t="s">
        <v>65</v>
      </c>
      <c r="G3085" t="s">
        <v>66</v>
      </c>
      <c r="H3085" t="s">
        <v>59</v>
      </c>
      <c r="I3085">
        <v>9</v>
      </c>
      <c r="J3085" t="s">
        <v>98</v>
      </c>
      <c r="K3085">
        <v>1</v>
      </c>
      <c r="L3085" s="3">
        <v>5699</v>
      </c>
      <c r="M3085">
        <v>15</v>
      </c>
      <c r="N3085" s="3">
        <v>4840</v>
      </c>
      <c r="O3085" s="3">
        <v>4840</v>
      </c>
      <c r="P3085" t="s">
        <v>74</v>
      </c>
      <c r="Q3085" t="s">
        <v>35</v>
      </c>
      <c r="R3085" t="s">
        <v>36</v>
      </c>
      <c r="S3085" t="s">
        <v>269</v>
      </c>
      <c r="T3085" t="s">
        <v>652</v>
      </c>
      <c r="U3085" t="s">
        <v>39</v>
      </c>
      <c r="V3085" t="s">
        <v>40</v>
      </c>
      <c r="W3085">
        <v>4.7</v>
      </c>
      <c r="X3085" t="s">
        <v>41</v>
      </c>
      <c r="Y3085" t="s">
        <v>42</v>
      </c>
      <c r="Z3085">
        <v>4</v>
      </c>
    </row>
    <row r="3086" spans="1:26">
      <c r="A3086" t="s">
        <v>4351</v>
      </c>
      <c r="B3086" t="s">
        <v>1589</v>
      </c>
      <c r="C3086" t="s">
        <v>45</v>
      </c>
      <c r="D3086" t="s">
        <v>46</v>
      </c>
      <c r="E3086" s="1">
        <v>45997</v>
      </c>
      <c r="F3086" t="s">
        <v>96</v>
      </c>
      <c r="G3086" t="s">
        <v>228</v>
      </c>
      <c r="H3086" t="s">
        <v>59</v>
      </c>
      <c r="I3086">
        <v>10</v>
      </c>
      <c r="J3086" t="s">
        <v>67</v>
      </c>
      <c r="K3086">
        <v>1</v>
      </c>
      <c r="L3086" s="3">
        <v>8899</v>
      </c>
      <c r="M3086">
        <v>20</v>
      </c>
      <c r="N3086" s="3">
        <v>7120</v>
      </c>
      <c r="O3086" s="3">
        <v>7120</v>
      </c>
      <c r="P3086" t="s">
        <v>34</v>
      </c>
      <c r="Q3086" t="s">
        <v>35</v>
      </c>
      <c r="R3086" t="s">
        <v>36</v>
      </c>
      <c r="S3086" t="s">
        <v>89</v>
      </c>
      <c r="T3086" t="s">
        <v>425</v>
      </c>
      <c r="U3086" t="s">
        <v>91</v>
      </c>
      <c r="V3086" t="s">
        <v>969</v>
      </c>
      <c r="W3086">
        <v>3.8</v>
      </c>
      <c r="X3086" t="s">
        <v>62</v>
      </c>
      <c r="Y3086" t="s">
        <v>55</v>
      </c>
      <c r="Z3086">
        <v>2</v>
      </c>
    </row>
    <row r="3087" spans="1:26">
      <c r="A3087" t="s">
        <v>4352</v>
      </c>
      <c r="B3087" t="s">
        <v>2231</v>
      </c>
      <c r="C3087" t="s">
        <v>45</v>
      </c>
      <c r="D3087" t="s">
        <v>103</v>
      </c>
      <c r="E3087" s="1">
        <v>45997</v>
      </c>
      <c r="F3087" t="s">
        <v>65</v>
      </c>
      <c r="G3087" t="s">
        <v>365</v>
      </c>
      <c r="H3087" t="s">
        <v>49</v>
      </c>
      <c r="I3087">
        <v>9</v>
      </c>
      <c r="J3087" t="s">
        <v>73</v>
      </c>
      <c r="K3087">
        <v>3</v>
      </c>
      <c r="L3087" s="3">
        <v>3199</v>
      </c>
      <c r="M3087">
        <v>0</v>
      </c>
      <c r="N3087" s="3">
        <v>3200</v>
      </c>
      <c r="O3087" s="3">
        <v>9600</v>
      </c>
      <c r="P3087" t="s">
        <v>34</v>
      </c>
      <c r="Q3087" t="s">
        <v>51</v>
      </c>
      <c r="R3087" t="s">
        <v>36</v>
      </c>
      <c r="S3087" t="s">
        <v>243</v>
      </c>
      <c r="T3087" t="s">
        <v>244</v>
      </c>
      <c r="U3087" t="s">
        <v>39</v>
      </c>
      <c r="V3087" t="s">
        <v>969</v>
      </c>
      <c r="W3087">
        <v>5</v>
      </c>
      <c r="X3087" t="s">
        <v>41</v>
      </c>
      <c r="Y3087" t="s">
        <v>55</v>
      </c>
      <c r="Z3087">
        <v>3</v>
      </c>
    </row>
    <row r="3088" spans="1:26">
      <c r="A3088" t="s">
        <v>4353</v>
      </c>
      <c r="B3088" t="s">
        <v>4354</v>
      </c>
      <c r="C3088" t="s">
        <v>28</v>
      </c>
      <c r="D3088" t="s">
        <v>46</v>
      </c>
      <c r="E3088" s="1">
        <v>45997</v>
      </c>
      <c r="F3088" t="s">
        <v>79</v>
      </c>
      <c r="G3088" t="s">
        <v>480</v>
      </c>
      <c r="H3088" t="s">
        <v>111</v>
      </c>
      <c r="I3088">
        <v>8</v>
      </c>
      <c r="J3088" t="s">
        <v>73</v>
      </c>
      <c r="K3088">
        <v>1</v>
      </c>
      <c r="L3088" s="3">
        <v>4299</v>
      </c>
      <c r="M3088">
        <v>25</v>
      </c>
      <c r="N3088" s="3">
        <v>3220</v>
      </c>
      <c r="O3088" s="3">
        <v>3220</v>
      </c>
      <c r="P3088" t="s">
        <v>74</v>
      </c>
      <c r="Q3088" t="s">
        <v>82</v>
      </c>
      <c r="R3088" t="s">
        <v>36</v>
      </c>
      <c r="S3088" t="s">
        <v>68</v>
      </c>
      <c r="T3088" t="s">
        <v>400</v>
      </c>
      <c r="U3088" t="s">
        <v>124</v>
      </c>
      <c r="V3088" t="s">
        <v>40</v>
      </c>
      <c r="W3088">
        <v>4.7</v>
      </c>
      <c r="X3088" t="s">
        <v>62</v>
      </c>
      <c r="Y3088" t="s">
        <v>55</v>
      </c>
      <c r="Z3088">
        <v>1</v>
      </c>
    </row>
    <row r="3089" spans="1:26">
      <c r="A3089" t="s">
        <v>4355</v>
      </c>
      <c r="B3089" t="s">
        <v>2003</v>
      </c>
      <c r="C3089" t="s">
        <v>45</v>
      </c>
      <c r="D3089" t="s">
        <v>29</v>
      </c>
      <c r="E3089" s="1">
        <v>45997</v>
      </c>
      <c r="F3089" t="s">
        <v>47</v>
      </c>
      <c r="G3089" t="s">
        <v>48</v>
      </c>
      <c r="H3089" t="s">
        <v>49</v>
      </c>
      <c r="I3089">
        <v>10</v>
      </c>
      <c r="J3089" t="s">
        <v>150</v>
      </c>
      <c r="K3089">
        <v>1</v>
      </c>
      <c r="L3089" s="3">
        <v>8499</v>
      </c>
      <c r="M3089">
        <v>20</v>
      </c>
      <c r="N3089" s="3">
        <v>6800</v>
      </c>
      <c r="O3089" s="3">
        <v>6800</v>
      </c>
      <c r="P3089" t="s">
        <v>81</v>
      </c>
      <c r="Q3089" t="s">
        <v>82</v>
      </c>
      <c r="R3089" t="s">
        <v>36</v>
      </c>
      <c r="S3089" t="s">
        <v>141</v>
      </c>
      <c r="T3089" t="s">
        <v>294</v>
      </c>
      <c r="U3089" t="s">
        <v>124</v>
      </c>
      <c r="V3089" t="s">
        <v>969</v>
      </c>
      <c r="W3089">
        <v>4.5</v>
      </c>
      <c r="X3089" t="s">
        <v>41</v>
      </c>
      <c r="Y3089" t="s">
        <v>42</v>
      </c>
      <c r="Z3089">
        <v>6</v>
      </c>
    </row>
    <row r="3090" spans="1:26">
      <c r="A3090" t="s">
        <v>4356</v>
      </c>
      <c r="B3090" t="s">
        <v>3019</v>
      </c>
      <c r="C3090" t="s">
        <v>28</v>
      </c>
      <c r="D3090" t="s">
        <v>46</v>
      </c>
      <c r="E3090" s="1">
        <v>45997</v>
      </c>
      <c r="F3090" t="s">
        <v>96</v>
      </c>
      <c r="G3090" t="s">
        <v>97</v>
      </c>
      <c r="H3090" t="s">
        <v>49</v>
      </c>
      <c r="I3090">
        <v>8</v>
      </c>
      <c r="J3090" t="s">
        <v>98</v>
      </c>
      <c r="K3090">
        <v>3</v>
      </c>
      <c r="L3090" s="3">
        <v>6599</v>
      </c>
      <c r="M3090">
        <v>25</v>
      </c>
      <c r="N3090" s="3">
        <v>4950</v>
      </c>
      <c r="O3090" s="3">
        <v>14850</v>
      </c>
      <c r="P3090" t="s">
        <v>34</v>
      </c>
      <c r="Q3090" t="s">
        <v>51</v>
      </c>
      <c r="R3090" t="s">
        <v>36</v>
      </c>
      <c r="S3090" t="s">
        <v>168</v>
      </c>
      <c r="T3090" t="s">
        <v>168</v>
      </c>
      <c r="U3090" t="s">
        <v>91</v>
      </c>
      <c r="V3090" t="s">
        <v>315</v>
      </c>
      <c r="W3090">
        <v>3.1</v>
      </c>
      <c r="X3090" t="s">
        <v>106</v>
      </c>
      <c r="Y3090" t="s">
        <v>55</v>
      </c>
      <c r="Z3090">
        <v>1</v>
      </c>
    </row>
    <row r="3091" spans="1:26">
      <c r="A3091" t="s">
        <v>4357</v>
      </c>
      <c r="B3091" t="s">
        <v>3750</v>
      </c>
      <c r="C3091" t="s">
        <v>28</v>
      </c>
      <c r="D3091" t="s">
        <v>103</v>
      </c>
      <c r="E3091" s="1">
        <v>45997</v>
      </c>
      <c r="F3091" t="s">
        <v>30</v>
      </c>
      <c r="G3091" t="s">
        <v>110</v>
      </c>
      <c r="H3091" t="s">
        <v>111</v>
      </c>
      <c r="I3091">
        <v>7</v>
      </c>
      <c r="J3091" t="s">
        <v>33</v>
      </c>
      <c r="K3091">
        <v>1</v>
      </c>
      <c r="L3091" s="3">
        <v>5999</v>
      </c>
      <c r="M3091">
        <v>25</v>
      </c>
      <c r="N3091" s="3">
        <v>4500</v>
      </c>
      <c r="O3091" s="3">
        <v>4500</v>
      </c>
      <c r="P3091" t="s">
        <v>74</v>
      </c>
      <c r="Q3091" t="s">
        <v>82</v>
      </c>
      <c r="R3091" t="s">
        <v>36</v>
      </c>
      <c r="S3091" t="s">
        <v>243</v>
      </c>
      <c r="T3091" t="s">
        <v>328</v>
      </c>
      <c r="U3091" t="s">
        <v>61</v>
      </c>
      <c r="V3091" t="s">
        <v>315</v>
      </c>
      <c r="W3091">
        <v>4.3</v>
      </c>
      <c r="X3091" t="s">
        <v>41</v>
      </c>
      <c r="Y3091" t="s">
        <v>42</v>
      </c>
      <c r="Z3091">
        <v>7</v>
      </c>
    </row>
    <row r="3092" spans="1:26">
      <c r="A3092" t="s">
        <v>4358</v>
      </c>
      <c r="B3092" t="s">
        <v>3311</v>
      </c>
      <c r="C3092" t="s">
        <v>45</v>
      </c>
      <c r="D3092" t="s">
        <v>46</v>
      </c>
      <c r="E3092" s="1">
        <v>45998</v>
      </c>
      <c r="F3092" t="s">
        <v>47</v>
      </c>
      <c r="G3092" t="s">
        <v>121</v>
      </c>
      <c r="H3092" t="s">
        <v>111</v>
      </c>
      <c r="I3092">
        <v>9</v>
      </c>
      <c r="J3092" t="s">
        <v>73</v>
      </c>
      <c r="K3092">
        <v>3</v>
      </c>
      <c r="L3092" s="3">
        <v>6799</v>
      </c>
      <c r="M3092">
        <v>15</v>
      </c>
      <c r="N3092" s="3">
        <v>5780</v>
      </c>
      <c r="O3092" s="3">
        <v>17340</v>
      </c>
      <c r="P3092" t="s">
        <v>34</v>
      </c>
      <c r="Q3092" t="s">
        <v>82</v>
      </c>
      <c r="R3092" t="s">
        <v>36</v>
      </c>
      <c r="S3092" t="s">
        <v>186</v>
      </c>
      <c r="T3092" t="s">
        <v>187</v>
      </c>
      <c r="U3092" t="s">
        <v>124</v>
      </c>
      <c r="V3092" t="s">
        <v>315</v>
      </c>
      <c r="W3092">
        <v>4</v>
      </c>
      <c r="X3092" t="s">
        <v>41</v>
      </c>
      <c r="Y3092" t="s">
        <v>42</v>
      </c>
      <c r="Z3092">
        <v>5</v>
      </c>
    </row>
    <row r="3093" spans="1:26">
      <c r="A3093" t="s">
        <v>4359</v>
      </c>
      <c r="B3093" t="s">
        <v>1744</v>
      </c>
      <c r="C3093" t="s">
        <v>45</v>
      </c>
      <c r="D3093" t="s">
        <v>46</v>
      </c>
      <c r="E3093" s="1">
        <v>45998</v>
      </c>
      <c r="F3093" t="s">
        <v>96</v>
      </c>
      <c r="G3093" t="s">
        <v>171</v>
      </c>
      <c r="H3093" t="s">
        <v>128</v>
      </c>
      <c r="I3093">
        <v>8</v>
      </c>
      <c r="J3093" t="s">
        <v>33</v>
      </c>
      <c r="K3093">
        <v>1</v>
      </c>
      <c r="L3093" s="3">
        <v>7599</v>
      </c>
      <c r="M3093">
        <v>20</v>
      </c>
      <c r="N3093" s="3">
        <v>6080</v>
      </c>
      <c r="O3093" s="3">
        <v>6080</v>
      </c>
      <c r="P3093" t="s">
        <v>74</v>
      </c>
      <c r="Q3093" t="s">
        <v>51</v>
      </c>
      <c r="R3093" t="s">
        <v>36</v>
      </c>
      <c r="S3093" t="s">
        <v>117</v>
      </c>
      <c r="T3093" t="s">
        <v>253</v>
      </c>
      <c r="U3093" t="s">
        <v>54</v>
      </c>
      <c r="V3093" t="s">
        <v>969</v>
      </c>
      <c r="W3093">
        <v>3.9</v>
      </c>
      <c r="X3093" t="s">
        <v>41</v>
      </c>
      <c r="Y3093" t="s">
        <v>55</v>
      </c>
      <c r="Z3093">
        <v>2</v>
      </c>
    </row>
    <row r="3094" spans="1:26">
      <c r="A3094" t="s">
        <v>4360</v>
      </c>
      <c r="B3094" t="s">
        <v>389</v>
      </c>
      <c r="C3094" t="s">
        <v>45</v>
      </c>
      <c r="D3094" t="s">
        <v>95</v>
      </c>
      <c r="E3094" s="1">
        <v>45999</v>
      </c>
      <c r="F3094" t="s">
        <v>79</v>
      </c>
      <c r="G3094" t="s">
        <v>80</v>
      </c>
      <c r="H3094" t="s">
        <v>59</v>
      </c>
      <c r="I3094">
        <v>12</v>
      </c>
      <c r="J3094" t="s">
        <v>98</v>
      </c>
      <c r="K3094">
        <v>1</v>
      </c>
      <c r="L3094" s="3">
        <v>3899</v>
      </c>
      <c r="M3094">
        <v>30</v>
      </c>
      <c r="N3094" s="3">
        <v>2730</v>
      </c>
      <c r="O3094" s="3">
        <v>2730</v>
      </c>
      <c r="P3094" t="s">
        <v>74</v>
      </c>
      <c r="Q3094" t="s">
        <v>51</v>
      </c>
      <c r="R3094" t="s">
        <v>36</v>
      </c>
      <c r="S3094" t="s">
        <v>186</v>
      </c>
      <c r="T3094" t="s">
        <v>397</v>
      </c>
      <c r="U3094" t="s">
        <v>124</v>
      </c>
      <c r="V3094" t="s">
        <v>969</v>
      </c>
      <c r="W3094">
        <v>4.4000000000000004</v>
      </c>
      <c r="X3094" t="s">
        <v>41</v>
      </c>
      <c r="Y3094" t="s">
        <v>55</v>
      </c>
      <c r="Z3094">
        <v>4</v>
      </c>
    </row>
    <row r="3095" spans="1:26">
      <c r="A3095" t="s">
        <v>4361</v>
      </c>
      <c r="B3095" t="s">
        <v>1880</v>
      </c>
      <c r="C3095" t="s">
        <v>45</v>
      </c>
      <c r="D3095" t="s">
        <v>95</v>
      </c>
      <c r="E3095" s="1">
        <v>45999</v>
      </c>
      <c r="F3095" t="s">
        <v>86</v>
      </c>
      <c r="G3095" t="s">
        <v>242</v>
      </c>
      <c r="H3095" t="s">
        <v>32</v>
      </c>
      <c r="I3095">
        <v>7</v>
      </c>
      <c r="J3095" t="s">
        <v>67</v>
      </c>
      <c r="K3095">
        <v>1</v>
      </c>
      <c r="L3095" s="3">
        <v>7199</v>
      </c>
      <c r="M3095">
        <v>10</v>
      </c>
      <c r="N3095" s="3">
        <v>6480</v>
      </c>
      <c r="O3095" s="3">
        <v>6480</v>
      </c>
      <c r="P3095" t="s">
        <v>74</v>
      </c>
      <c r="Q3095" t="s">
        <v>51</v>
      </c>
      <c r="R3095" t="s">
        <v>36</v>
      </c>
      <c r="S3095" t="s">
        <v>37</v>
      </c>
      <c r="T3095" t="s">
        <v>484</v>
      </c>
      <c r="U3095" t="s">
        <v>91</v>
      </c>
      <c r="V3095" t="s">
        <v>315</v>
      </c>
      <c r="W3095">
        <v>4.0999999999999996</v>
      </c>
      <c r="X3095" t="s">
        <v>41</v>
      </c>
      <c r="Y3095" t="s">
        <v>42</v>
      </c>
      <c r="Z3095">
        <v>3</v>
      </c>
    </row>
    <row r="3096" spans="1:26">
      <c r="A3096" t="s">
        <v>4362</v>
      </c>
      <c r="B3096" t="s">
        <v>1260</v>
      </c>
      <c r="C3096" t="s">
        <v>28</v>
      </c>
      <c r="D3096" t="s">
        <v>46</v>
      </c>
      <c r="E3096" s="1">
        <v>45999</v>
      </c>
      <c r="F3096" t="s">
        <v>47</v>
      </c>
      <c r="G3096" t="s">
        <v>218</v>
      </c>
      <c r="H3096" t="s">
        <v>59</v>
      </c>
      <c r="I3096">
        <v>7</v>
      </c>
      <c r="J3096" t="s">
        <v>67</v>
      </c>
      <c r="K3096">
        <v>1</v>
      </c>
      <c r="L3096" s="3">
        <v>8899</v>
      </c>
      <c r="M3096">
        <v>15</v>
      </c>
      <c r="N3096" s="3">
        <v>7560</v>
      </c>
      <c r="O3096" s="3">
        <v>7560</v>
      </c>
      <c r="P3096" t="s">
        <v>74</v>
      </c>
      <c r="Q3096" t="s">
        <v>51</v>
      </c>
      <c r="R3096" t="s">
        <v>36</v>
      </c>
      <c r="S3096" t="s">
        <v>182</v>
      </c>
      <c r="T3096" t="s">
        <v>183</v>
      </c>
      <c r="U3096" t="s">
        <v>91</v>
      </c>
      <c r="V3096" t="s">
        <v>969</v>
      </c>
      <c r="W3096">
        <v>4.2</v>
      </c>
      <c r="X3096" t="s">
        <v>41</v>
      </c>
      <c r="Y3096" t="s">
        <v>55</v>
      </c>
      <c r="Z3096">
        <v>2</v>
      </c>
    </row>
    <row r="3097" spans="1:26">
      <c r="A3097" t="s">
        <v>4363</v>
      </c>
      <c r="B3097" t="s">
        <v>2098</v>
      </c>
      <c r="C3097" t="s">
        <v>28</v>
      </c>
      <c r="D3097" t="s">
        <v>109</v>
      </c>
      <c r="E3097" s="1">
        <v>46000</v>
      </c>
      <c r="F3097" t="s">
        <v>47</v>
      </c>
      <c r="G3097" t="s">
        <v>199</v>
      </c>
      <c r="H3097" t="s">
        <v>59</v>
      </c>
      <c r="I3097">
        <v>9</v>
      </c>
      <c r="J3097" t="s">
        <v>67</v>
      </c>
      <c r="K3097">
        <v>1</v>
      </c>
      <c r="L3097" s="3">
        <v>8599</v>
      </c>
      <c r="M3097">
        <v>25</v>
      </c>
      <c r="N3097" s="3">
        <v>6450</v>
      </c>
      <c r="O3097" s="3">
        <v>6450</v>
      </c>
      <c r="P3097" t="s">
        <v>81</v>
      </c>
      <c r="Q3097" t="s">
        <v>51</v>
      </c>
      <c r="R3097" t="s">
        <v>36</v>
      </c>
      <c r="S3097" t="s">
        <v>37</v>
      </c>
      <c r="T3097" t="s">
        <v>1122</v>
      </c>
      <c r="U3097" t="s">
        <v>39</v>
      </c>
      <c r="V3097" t="s">
        <v>315</v>
      </c>
      <c r="W3097">
        <v>4.5999999999999996</v>
      </c>
      <c r="X3097" t="s">
        <v>41</v>
      </c>
      <c r="Y3097" t="s">
        <v>42</v>
      </c>
      <c r="Z3097">
        <v>2</v>
      </c>
    </row>
    <row r="3098" spans="1:26">
      <c r="A3098" t="s">
        <v>4364</v>
      </c>
      <c r="B3098" t="s">
        <v>1109</v>
      </c>
      <c r="C3098" t="s">
        <v>45</v>
      </c>
      <c r="D3098" t="s">
        <v>29</v>
      </c>
      <c r="E3098" s="1">
        <v>46000</v>
      </c>
      <c r="F3098" t="s">
        <v>47</v>
      </c>
      <c r="G3098" t="s">
        <v>121</v>
      </c>
      <c r="H3098" t="s">
        <v>111</v>
      </c>
      <c r="I3098">
        <v>11</v>
      </c>
      <c r="J3098" t="s">
        <v>98</v>
      </c>
      <c r="K3098">
        <v>1</v>
      </c>
      <c r="L3098" s="3">
        <v>6399</v>
      </c>
      <c r="M3098">
        <v>0</v>
      </c>
      <c r="N3098" s="3">
        <v>6400</v>
      </c>
      <c r="O3098" s="3">
        <v>6400</v>
      </c>
      <c r="P3098" t="s">
        <v>34</v>
      </c>
      <c r="Q3098" t="s">
        <v>51</v>
      </c>
      <c r="R3098" t="s">
        <v>36</v>
      </c>
      <c r="S3098" t="s">
        <v>269</v>
      </c>
      <c r="T3098" t="s">
        <v>270</v>
      </c>
      <c r="U3098" t="s">
        <v>54</v>
      </c>
      <c r="V3098" t="s">
        <v>969</v>
      </c>
      <c r="W3098">
        <v>4.2</v>
      </c>
      <c r="X3098" t="s">
        <v>41</v>
      </c>
      <c r="Y3098" t="s">
        <v>55</v>
      </c>
      <c r="Z3098">
        <v>2</v>
      </c>
    </row>
    <row r="3099" spans="1:26">
      <c r="A3099" t="s">
        <v>4365</v>
      </c>
      <c r="B3099" t="s">
        <v>1181</v>
      </c>
      <c r="C3099" t="s">
        <v>28</v>
      </c>
      <c r="D3099" t="s">
        <v>46</v>
      </c>
      <c r="E3099" s="1">
        <v>46001</v>
      </c>
      <c r="F3099" t="s">
        <v>86</v>
      </c>
      <c r="G3099" t="s">
        <v>116</v>
      </c>
      <c r="H3099" t="s">
        <v>49</v>
      </c>
      <c r="I3099">
        <v>7</v>
      </c>
      <c r="J3099" t="s">
        <v>33</v>
      </c>
      <c r="K3099">
        <v>2</v>
      </c>
      <c r="L3099" s="3">
        <v>6199</v>
      </c>
      <c r="M3099">
        <v>5</v>
      </c>
      <c r="N3099" s="3">
        <v>5890</v>
      </c>
      <c r="O3099" s="3">
        <v>11780</v>
      </c>
      <c r="P3099" t="s">
        <v>34</v>
      </c>
      <c r="Q3099" t="s">
        <v>51</v>
      </c>
      <c r="R3099" t="s">
        <v>36</v>
      </c>
      <c r="S3099" t="s">
        <v>384</v>
      </c>
      <c r="T3099" t="s">
        <v>444</v>
      </c>
      <c r="U3099" t="s">
        <v>91</v>
      </c>
      <c r="V3099" t="s">
        <v>969</v>
      </c>
      <c r="W3099">
        <v>4.2</v>
      </c>
      <c r="X3099" t="s">
        <v>62</v>
      </c>
      <c r="Y3099" t="s">
        <v>147</v>
      </c>
      <c r="Z3099">
        <v>1</v>
      </c>
    </row>
    <row r="3100" spans="1:26">
      <c r="A3100" t="s">
        <v>4366</v>
      </c>
      <c r="B3100" t="s">
        <v>814</v>
      </c>
      <c r="C3100" t="s">
        <v>45</v>
      </c>
      <c r="D3100" t="s">
        <v>46</v>
      </c>
      <c r="E3100" s="1">
        <v>46001</v>
      </c>
      <c r="F3100" t="s">
        <v>47</v>
      </c>
      <c r="G3100" t="s">
        <v>218</v>
      </c>
      <c r="H3100" t="s">
        <v>59</v>
      </c>
      <c r="I3100">
        <v>9</v>
      </c>
      <c r="J3100" t="s">
        <v>98</v>
      </c>
      <c r="K3100">
        <v>1</v>
      </c>
      <c r="L3100" s="3">
        <v>9099</v>
      </c>
      <c r="M3100">
        <v>15</v>
      </c>
      <c r="N3100" s="3">
        <v>7730</v>
      </c>
      <c r="O3100" s="3">
        <v>7730</v>
      </c>
      <c r="P3100" t="s">
        <v>34</v>
      </c>
      <c r="Q3100" t="s">
        <v>51</v>
      </c>
      <c r="R3100" t="s">
        <v>36</v>
      </c>
      <c r="S3100" t="s">
        <v>68</v>
      </c>
      <c r="T3100" t="s">
        <v>207</v>
      </c>
      <c r="U3100" t="s">
        <v>39</v>
      </c>
      <c r="V3100" t="s">
        <v>969</v>
      </c>
      <c r="W3100">
        <v>4.7</v>
      </c>
      <c r="X3100" t="s">
        <v>106</v>
      </c>
      <c r="Y3100" t="s">
        <v>55</v>
      </c>
      <c r="Z3100">
        <v>2</v>
      </c>
    </row>
    <row r="3101" spans="1:26">
      <c r="A3101" t="s">
        <v>4367</v>
      </c>
      <c r="B3101" t="s">
        <v>1233</v>
      </c>
      <c r="C3101" t="s">
        <v>45</v>
      </c>
      <c r="D3101" t="s">
        <v>95</v>
      </c>
      <c r="E3101" s="1">
        <v>46001</v>
      </c>
      <c r="F3101" t="s">
        <v>79</v>
      </c>
      <c r="G3101" t="s">
        <v>127</v>
      </c>
      <c r="H3101" t="s">
        <v>128</v>
      </c>
      <c r="I3101">
        <v>7</v>
      </c>
      <c r="J3101" t="s">
        <v>150</v>
      </c>
      <c r="K3101">
        <v>4</v>
      </c>
      <c r="L3101" s="3">
        <v>4599</v>
      </c>
      <c r="M3101">
        <v>25</v>
      </c>
      <c r="N3101" s="3">
        <v>3450</v>
      </c>
      <c r="O3101" s="3">
        <v>13800</v>
      </c>
      <c r="P3101" t="s">
        <v>74</v>
      </c>
      <c r="Q3101" t="s">
        <v>82</v>
      </c>
      <c r="R3101" t="s">
        <v>36</v>
      </c>
      <c r="S3101" t="s">
        <v>286</v>
      </c>
      <c r="T3101" t="s">
        <v>287</v>
      </c>
      <c r="U3101" t="s">
        <v>124</v>
      </c>
      <c r="V3101" t="s">
        <v>315</v>
      </c>
      <c r="W3101">
        <v>4.5</v>
      </c>
      <c r="X3101" t="s">
        <v>106</v>
      </c>
      <c r="Y3101" t="s">
        <v>55</v>
      </c>
      <c r="Z3101">
        <v>2</v>
      </c>
    </row>
    <row r="3102" spans="1:26">
      <c r="A3102" t="s">
        <v>4368</v>
      </c>
      <c r="B3102" t="s">
        <v>1042</v>
      </c>
      <c r="C3102" t="s">
        <v>45</v>
      </c>
      <c r="D3102" t="s">
        <v>29</v>
      </c>
      <c r="E3102" s="1">
        <v>46001</v>
      </c>
      <c r="F3102" t="s">
        <v>86</v>
      </c>
      <c r="G3102" t="s">
        <v>242</v>
      </c>
      <c r="H3102" t="s">
        <v>32</v>
      </c>
      <c r="I3102">
        <v>11</v>
      </c>
      <c r="J3102" t="s">
        <v>73</v>
      </c>
      <c r="K3102">
        <v>2</v>
      </c>
      <c r="L3102" s="3">
        <v>7199</v>
      </c>
      <c r="M3102">
        <v>15</v>
      </c>
      <c r="N3102" s="3">
        <v>6120</v>
      </c>
      <c r="O3102" s="3">
        <v>12240</v>
      </c>
      <c r="P3102" t="s">
        <v>34</v>
      </c>
      <c r="Q3102" t="s">
        <v>82</v>
      </c>
      <c r="R3102" t="s">
        <v>36</v>
      </c>
      <c r="S3102" t="s">
        <v>151</v>
      </c>
      <c r="T3102" t="s">
        <v>452</v>
      </c>
      <c r="U3102" t="s">
        <v>54</v>
      </c>
      <c r="V3102" t="s">
        <v>315</v>
      </c>
      <c r="W3102">
        <v>4.0999999999999996</v>
      </c>
      <c r="X3102" t="s">
        <v>41</v>
      </c>
      <c r="Y3102" t="s">
        <v>42</v>
      </c>
      <c r="Z3102">
        <v>1</v>
      </c>
    </row>
    <row r="3103" spans="1:26">
      <c r="A3103" t="s">
        <v>4369</v>
      </c>
      <c r="B3103" t="s">
        <v>2231</v>
      </c>
      <c r="C3103" t="s">
        <v>45</v>
      </c>
      <c r="D3103" t="s">
        <v>29</v>
      </c>
      <c r="E3103" s="1">
        <v>46001</v>
      </c>
      <c r="F3103" t="s">
        <v>65</v>
      </c>
      <c r="G3103" t="s">
        <v>72</v>
      </c>
      <c r="H3103" t="s">
        <v>59</v>
      </c>
      <c r="I3103">
        <v>7</v>
      </c>
      <c r="J3103" t="s">
        <v>98</v>
      </c>
      <c r="K3103">
        <v>2</v>
      </c>
      <c r="L3103" s="3">
        <v>3599</v>
      </c>
      <c r="M3103">
        <v>30</v>
      </c>
      <c r="N3103" s="3">
        <v>2520</v>
      </c>
      <c r="O3103" s="3">
        <v>5040</v>
      </c>
      <c r="P3103" t="s">
        <v>81</v>
      </c>
      <c r="Q3103" t="s">
        <v>51</v>
      </c>
      <c r="R3103" t="s">
        <v>36</v>
      </c>
      <c r="S3103" t="s">
        <v>418</v>
      </c>
      <c r="T3103" t="s">
        <v>924</v>
      </c>
      <c r="U3103" t="s">
        <v>91</v>
      </c>
      <c r="V3103" t="s">
        <v>969</v>
      </c>
      <c r="W3103">
        <v>4.3</v>
      </c>
      <c r="X3103" t="s">
        <v>41</v>
      </c>
      <c r="Y3103" t="s">
        <v>42</v>
      </c>
      <c r="Z3103">
        <v>4</v>
      </c>
    </row>
    <row r="3104" spans="1:26">
      <c r="A3104" t="s">
        <v>4370</v>
      </c>
      <c r="B3104" t="s">
        <v>1497</v>
      </c>
      <c r="C3104" t="s">
        <v>45</v>
      </c>
      <c r="D3104" t="s">
        <v>103</v>
      </c>
      <c r="E3104" s="1">
        <v>46002</v>
      </c>
      <c r="F3104" t="s">
        <v>47</v>
      </c>
      <c r="G3104" t="s">
        <v>199</v>
      </c>
      <c r="H3104" t="s">
        <v>59</v>
      </c>
      <c r="I3104">
        <v>8</v>
      </c>
      <c r="J3104" t="s">
        <v>73</v>
      </c>
      <c r="K3104">
        <v>1</v>
      </c>
      <c r="L3104" s="3">
        <v>5799</v>
      </c>
      <c r="M3104">
        <v>10</v>
      </c>
      <c r="N3104" s="3">
        <v>5220</v>
      </c>
      <c r="O3104" s="3">
        <v>5220</v>
      </c>
      <c r="P3104" t="s">
        <v>34</v>
      </c>
      <c r="Q3104" t="s">
        <v>82</v>
      </c>
      <c r="R3104" t="s">
        <v>36</v>
      </c>
      <c r="S3104" t="s">
        <v>238</v>
      </c>
      <c r="T3104" t="s">
        <v>498</v>
      </c>
      <c r="U3104" t="s">
        <v>54</v>
      </c>
      <c r="V3104" t="s">
        <v>969</v>
      </c>
      <c r="W3104">
        <v>2.2999999999999998</v>
      </c>
      <c r="X3104" t="s">
        <v>106</v>
      </c>
      <c r="Y3104" t="s">
        <v>42</v>
      </c>
      <c r="Z3104">
        <v>7</v>
      </c>
    </row>
    <row r="3105" spans="1:26">
      <c r="A3105" t="s">
        <v>4371</v>
      </c>
      <c r="B3105" t="s">
        <v>1036</v>
      </c>
      <c r="C3105" t="s">
        <v>45</v>
      </c>
      <c r="D3105" t="s">
        <v>29</v>
      </c>
      <c r="E3105" s="1">
        <v>46002</v>
      </c>
      <c r="F3105" t="s">
        <v>47</v>
      </c>
      <c r="G3105" t="s">
        <v>402</v>
      </c>
      <c r="H3105" t="s">
        <v>32</v>
      </c>
      <c r="I3105">
        <v>7</v>
      </c>
      <c r="J3105" t="s">
        <v>98</v>
      </c>
      <c r="K3105">
        <v>1</v>
      </c>
      <c r="L3105" s="3">
        <v>9699</v>
      </c>
      <c r="M3105">
        <v>35</v>
      </c>
      <c r="N3105" s="3">
        <v>6300</v>
      </c>
      <c r="O3105" s="3">
        <v>6300</v>
      </c>
      <c r="P3105" t="s">
        <v>74</v>
      </c>
      <c r="Q3105" t="s">
        <v>35</v>
      </c>
      <c r="R3105" t="s">
        <v>36</v>
      </c>
      <c r="S3105" t="s">
        <v>89</v>
      </c>
      <c r="T3105" t="s">
        <v>425</v>
      </c>
      <c r="U3105" t="s">
        <v>124</v>
      </c>
      <c r="V3105" t="s">
        <v>969</v>
      </c>
      <c r="W3105">
        <v>3.1</v>
      </c>
      <c r="X3105" t="s">
        <v>106</v>
      </c>
      <c r="Y3105" t="s">
        <v>55</v>
      </c>
      <c r="Z3105">
        <v>3</v>
      </c>
    </row>
    <row r="3106" spans="1:26">
      <c r="A3106" t="s">
        <v>4372</v>
      </c>
      <c r="B3106" t="s">
        <v>810</v>
      </c>
      <c r="C3106" t="s">
        <v>28</v>
      </c>
      <c r="D3106" t="s">
        <v>29</v>
      </c>
      <c r="E3106" s="1">
        <v>46002</v>
      </c>
      <c r="F3106" t="s">
        <v>96</v>
      </c>
      <c r="G3106" t="s">
        <v>290</v>
      </c>
      <c r="H3106" t="s">
        <v>32</v>
      </c>
      <c r="I3106">
        <v>11</v>
      </c>
      <c r="J3106" t="s">
        <v>67</v>
      </c>
      <c r="K3106">
        <v>1</v>
      </c>
      <c r="L3106" s="3">
        <v>7599</v>
      </c>
      <c r="M3106">
        <v>25</v>
      </c>
      <c r="N3106" s="3">
        <v>5700</v>
      </c>
      <c r="O3106" s="3">
        <v>5700</v>
      </c>
      <c r="P3106" t="s">
        <v>34</v>
      </c>
      <c r="Q3106" t="s">
        <v>82</v>
      </c>
      <c r="R3106" t="s">
        <v>36</v>
      </c>
      <c r="S3106" t="s">
        <v>112</v>
      </c>
      <c r="T3106" t="s">
        <v>133</v>
      </c>
      <c r="U3106" t="s">
        <v>39</v>
      </c>
      <c r="V3106" t="s">
        <v>315</v>
      </c>
      <c r="W3106">
        <v>4.2</v>
      </c>
      <c r="X3106" t="s">
        <v>41</v>
      </c>
      <c r="Y3106" t="s">
        <v>42</v>
      </c>
      <c r="Z3106">
        <v>2</v>
      </c>
    </row>
    <row r="3107" spans="1:26">
      <c r="A3107" t="s">
        <v>4373</v>
      </c>
      <c r="B3107" t="s">
        <v>2169</v>
      </c>
      <c r="C3107" t="s">
        <v>28</v>
      </c>
      <c r="D3107" t="s">
        <v>103</v>
      </c>
      <c r="E3107" s="1">
        <v>46002</v>
      </c>
      <c r="F3107" t="s">
        <v>65</v>
      </c>
      <c r="G3107" t="s">
        <v>279</v>
      </c>
      <c r="H3107" t="s">
        <v>111</v>
      </c>
      <c r="I3107">
        <v>7</v>
      </c>
      <c r="J3107" t="s">
        <v>98</v>
      </c>
      <c r="K3107">
        <v>1</v>
      </c>
      <c r="L3107" s="3">
        <v>3899</v>
      </c>
      <c r="M3107">
        <v>5</v>
      </c>
      <c r="N3107" s="3">
        <v>3700</v>
      </c>
      <c r="O3107" s="3">
        <v>3700</v>
      </c>
      <c r="P3107" t="s">
        <v>74</v>
      </c>
      <c r="Q3107" t="s">
        <v>51</v>
      </c>
      <c r="R3107" t="s">
        <v>36</v>
      </c>
      <c r="S3107" t="s">
        <v>186</v>
      </c>
      <c r="T3107" t="s">
        <v>397</v>
      </c>
      <c r="U3107" t="s">
        <v>61</v>
      </c>
      <c r="V3107" t="s">
        <v>969</v>
      </c>
      <c r="W3107">
        <v>4.2</v>
      </c>
      <c r="X3107" t="s">
        <v>41</v>
      </c>
      <c r="Y3107" t="s">
        <v>55</v>
      </c>
      <c r="Z3107">
        <v>4</v>
      </c>
    </row>
    <row r="3108" spans="1:26">
      <c r="A3108" t="s">
        <v>4374</v>
      </c>
      <c r="B3108" t="s">
        <v>1474</v>
      </c>
      <c r="C3108" t="s">
        <v>28</v>
      </c>
      <c r="D3108" t="s">
        <v>109</v>
      </c>
      <c r="E3108" s="1">
        <v>46002</v>
      </c>
      <c r="F3108" t="s">
        <v>47</v>
      </c>
      <c r="G3108" t="s">
        <v>140</v>
      </c>
      <c r="H3108" t="s">
        <v>128</v>
      </c>
      <c r="I3108">
        <v>11</v>
      </c>
      <c r="J3108" t="s">
        <v>88</v>
      </c>
      <c r="K3108">
        <v>1</v>
      </c>
      <c r="L3108" s="3">
        <v>5699</v>
      </c>
      <c r="M3108">
        <v>20</v>
      </c>
      <c r="N3108" s="3">
        <v>4560</v>
      </c>
      <c r="O3108" s="3">
        <v>4560</v>
      </c>
      <c r="P3108" t="s">
        <v>74</v>
      </c>
      <c r="Q3108" t="s">
        <v>51</v>
      </c>
      <c r="R3108" t="s">
        <v>36</v>
      </c>
      <c r="S3108" t="s">
        <v>141</v>
      </c>
      <c r="T3108" t="s">
        <v>142</v>
      </c>
      <c r="U3108" t="s">
        <v>39</v>
      </c>
      <c r="V3108" t="s">
        <v>315</v>
      </c>
      <c r="W3108">
        <v>4.3</v>
      </c>
      <c r="X3108" t="s">
        <v>41</v>
      </c>
      <c r="Y3108" t="s">
        <v>55</v>
      </c>
      <c r="Z3108">
        <v>4</v>
      </c>
    </row>
    <row r="3109" spans="1:26">
      <c r="A3109" t="s">
        <v>4375</v>
      </c>
      <c r="B3109" t="s">
        <v>490</v>
      </c>
      <c r="C3109" t="s">
        <v>94</v>
      </c>
      <c r="D3109" t="s">
        <v>46</v>
      </c>
      <c r="E3109" s="1">
        <v>46002</v>
      </c>
      <c r="F3109" t="s">
        <v>96</v>
      </c>
      <c r="G3109" t="s">
        <v>171</v>
      </c>
      <c r="H3109" t="s">
        <v>128</v>
      </c>
      <c r="I3109">
        <v>8</v>
      </c>
      <c r="J3109" t="s">
        <v>33</v>
      </c>
      <c r="K3109">
        <v>1</v>
      </c>
      <c r="L3109" s="3">
        <v>7699</v>
      </c>
      <c r="M3109">
        <v>10</v>
      </c>
      <c r="N3109" s="3">
        <v>6930</v>
      </c>
      <c r="O3109" s="3">
        <v>6930</v>
      </c>
      <c r="P3109" t="s">
        <v>74</v>
      </c>
      <c r="Q3109" t="s">
        <v>51</v>
      </c>
      <c r="R3109" t="s">
        <v>36</v>
      </c>
      <c r="S3109" t="s">
        <v>186</v>
      </c>
      <c r="T3109" t="s">
        <v>187</v>
      </c>
      <c r="U3109" t="s">
        <v>61</v>
      </c>
      <c r="V3109" t="s">
        <v>969</v>
      </c>
      <c r="W3109">
        <v>3.4</v>
      </c>
      <c r="X3109" t="s">
        <v>41</v>
      </c>
      <c r="Y3109" t="s">
        <v>42</v>
      </c>
      <c r="Z3109">
        <v>4</v>
      </c>
    </row>
    <row r="3110" spans="1:26">
      <c r="A3110" t="s">
        <v>4376</v>
      </c>
      <c r="B3110" t="s">
        <v>592</v>
      </c>
      <c r="C3110" t="s">
        <v>28</v>
      </c>
      <c r="D3110" t="s">
        <v>103</v>
      </c>
      <c r="E3110" s="1">
        <v>46002</v>
      </c>
      <c r="F3110" t="s">
        <v>79</v>
      </c>
      <c r="G3110" t="s">
        <v>480</v>
      </c>
      <c r="H3110" t="s">
        <v>111</v>
      </c>
      <c r="I3110">
        <v>7</v>
      </c>
      <c r="J3110" t="s">
        <v>150</v>
      </c>
      <c r="K3110">
        <v>2</v>
      </c>
      <c r="L3110" s="3">
        <v>6499</v>
      </c>
      <c r="M3110">
        <v>20</v>
      </c>
      <c r="N3110" s="3">
        <v>5200</v>
      </c>
      <c r="O3110" s="3">
        <v>10400</v>
      </c>
      <c r="P3110" t="s">
        <v>34</v>
      </c>
      <c r="Q3110" t="s">
        <v>35</v>
      </c>
      <c r="R3110" t="s">
        <v>36</v>
      </c>
      <c r="S3110" t="s">
        <v>418</v>
      </c>
      <c r="T3110" t="s">
        <v>549</v>
      </c>
      <c r="U3110" t="s">
        <v>61</v>
      </c>
      <c r="V3110" t="s">
        <v>315</v>
      </c>
      <c r="W3110">
        <v>4.5</v>
      </c>
      <c r="X3110" t="s">
        <v>106</v>
      </c>
      <c r="Y3110" t="s">
        <v>42</v>
      </c>
      <c r="Z3110">
        <v>2</v>
      </c>
    </row>
    <row r="3111" spans="1:26">
      <c r="A3111" t="s">
        <v>4377</v>
      </c>
      <c r="B3111" t="s">
        <v>791</v>
      </c>
      <c r="C3111" t="s">
        <v>28</v>
      </c>
      <c r="D3111" t="s">
        <v>46</v>
      </c>
      <c r="E3111" s="1">
        <v>46002</v>
      </c>
      <c r="F3111" t="s">
        <v>86</v>
      </c>
      <c r="G3111" t="s">
        <v>116</v>
      </c>
      <c r="H3111" t="s">
        <v>49</v>
      </c>
      <c r="I3111">
        <v>7</v>
      </c>
      <c r="J3111" t="s">
        <v>73</v>
      </c>
      <c r="K3111">
        <v>1</v>
      </c>
      <c r="L3111" s="3">
        <v>5999</v>
      </c>
      <c r="M3111">
        <v>20</v>
      </c>
      <c r="N3111" s="3">
        <v>4800</v>
      </c>
      <c r="O3111" s="3">
        <v>4800</v>
      </c>
      <c r="P3111" t="s">
        <v>74</v>
      </c>
      <c r="Q3111" t="s">
        <v>51</v>
      </c>
      <c r="R3111" t="s">
        <v>36</v>
      </c>
      <c r="S3111" t="s">
        <v>297</v>
      </c>
      <c r="T3111" t="s">
        <v>298</v>
      </c>
      <c r="U3111" t="s">
        <v>61</v>
      </c>
      <c r="V3111" t="s">
        <v>315</v>
      </c>
      <c r="W3111">
        <v>4.5</v>
      </c>
      <c r="X3111" t="s">
        <v>41</v>
      </c>
      <c r="Y3111" t="s">
        <v>42</v>
      </c>
      <c r="Z3111">
        <v>4</v>
      </c>
    </row>
    <row r="3112" spans="1:26">
      <c r="A3112" t="s">
        <v>4378</v>
      </c>
      <c r="B3112" t="s">
        <v>1336</v>
      </c>
      <c r="C3112" t="s">
        <v>28</v>
      </c>
      <c r="D3112" t="s">
        <v>29</v>
      </c>
      <c r="E3112" s="1">
        <v>46002</v>
      </c>
      <c r="F3112" t="s">
        <v>30</v>
      </c>
      <c r="G3112" t="s">
        <v>110</v>
      </c>
      <c r="H3112" t="s">
        <v>111</v>
      </c>
      <c r="I3112">
        <v>9</v>
      </c>
      <c r="J3112" t="s">
        <v>88</v>
      </c>
      <c r="K3112">
        <v>1</v>
      </c>
      <c r="L3112" s="3">
        <v>4899</v>
      </c>
      <c r="M3112">
        <v>15</v>
      </c>
      <c r="N3112" s="3">
        <v>4160</v>
      </c>
      <c r="O3112" s="3">
        <v>4160</v>
      </c>
      <c r="P3112" t="s">
        <v>74</v>
      </c>
      <c r="Q3112" t="s">
        <v>51</v>
      </c>
      <c r="R3112" t="s">
        <v>36</v>
      </c>
      <c r="S3112" t="s">
        <v>122</v>
      </c>
      <c r="T3112" t="s">
        <v>304</v>
      </c>
      <c r="U3112" t="s">
        <v>124</v>
      </c>
      <c r="V3112" t="s">
        <v>969</v>
      </c>
      <c r="W3112">
        <v>4.2</v>
      </c>
      <c r="X3112" t="s">
        <v>41</v>
      </c>
      <c r="Y3112" t="s">
        <v>42</v>
      </c>
      <c r="Z3112">
        <v>6</v>
      </c>
    </row>
    <row r="3113" spans="1:26">
      <c r="A3113" t="s">
        <v>4379</v>
      </c>
      <c r="B3113" t="s">
        <v>2834</v>
      </c>
      <c r="C3113" t="s">
        <v>45</v>
      </c>
      <c r="D3113" t="s">
        <v>46</v>
      </c>
      <c r="E3113" s="1">
        <v>46002</v>
      </c>
      <c r="F3113" t="s">
        <v>86</v>
      </c>
      <c r="G3113" t="s">
        <v>312</v>
      </c>
      <c r="H3113" t="s">
        <v>59</v>
      </c>
      <c r="I3113">
        <v>10</v>
      </c>
      <c r="J3113" t="s">
        <v>67</v>
      </c>
      <c r="K3113">
        <v>1</v>
      </c>
      <c r="L3113" s="3">
        <v>6999</v>
      </c>
      <c r="M3113">
        <v>30</v>
      </c>
      <c r="N3113" s="3">
        <v>4900</v>
      </c>
      <c r="O3113" s="3">
        <v>4900</v>
      </c>
      <c r="P3113" t="s">
        <v>74</v>
      </c>
      <c r="Q3113" t="s">
        <v>35</v>
      </c>
      <c r="R3113" t="s">
        <v>36</v>
      </c>
      <c r="S3113" t="s">
        <v>37</v>
      </c>
      <c r="T3113" t="s">
        <v>509</v>
      </c>
      <c r="U3113" t="s">
        <v>91</v>
      </c>
      <c r="V3113" t="s">
        <v>969</v>
      </c>
      <c r="W3113">
        <v>3.6</v>
      </c>
      <c r="X3113" t="s">
        <v>41</v>
      </c>
      <c r="Y3113" t="s">
        <v>42</v>
      </c>
      <c r="Z3113">
        <v>6</v>
      </c>
    </row>
    <row r="3114" spans="1:26">
      <c r="A3114" t="s">
        <v>4380</v>
      </c>
      <c r="B3114" t="s">
        <v>1516</v>
      </c>
      <c r="C3114" t="s">
        <v>28</v>
      </c>
      <c r="D3114" t="s">
        <v>46</v>
      </c>
      <c r="E3114" s="1">
        <v>46003</v>
      </c>
      <c r="F3114" t="s">
        <v>79</v>
      </c>
      <c r="G3114" t="s">
        <v>80</v>
      </c>
      <c r="H3114" t="s">
        <v>59</v>
      </c>
      <c r="I3114">
        <v>10</v>
      </c>
      <c r="J3114" t="s">
        <v>33</v>
      </c>
      <c r="K3114">
        <v>1</v>
      </c>
      <c r="L3114" s="3">
        <v>6999</v>
      </c>
      <c r="M3114">
        <v>10</v>
      </c>
      <c r="N3114" s="3">
        <v>6300</v>
      </c>
      <c r="O3114" s="3">
        <v>6300</v>
      </c>
      <c r="P3114" t="s">
        <v>74</v>
      </c>
      <c r="Q3114" t="s">
        <v>35</v>
      </c>
      <c r="R3114" t="s">
        <v>36</v>
      </c>
      <c r="S3114" t="s">
        <v>210</v>
      </c>
      <c r="T3114" t="s">
        <v>680</v>
      </c>
      <c r="U3114" t="s">
        <v>54</v>
      </c>
      <c r="V3114" t="s">
        <v>969</v>
      </c>
      <c r="W3114">
        <v>3.6</v>
      </c>
      <c r="X3114" t="s">
        <v>62</v>
      </c>
      <c r="Y3114" t="s">
        <v>55</v>
      </c>
      <c r="Z3114">
        <v>2</v>
      </c>
    </row>
    <row r="3115" spans="1:26">
      <c r="A3115" t="s">
        <v>4381</v>
      </c>
      <c r="B3115" t="s">
        <v>3510</v>
      </c>
      <c r="C3115" t="s">
        <v>28</v>
      </c>
      <c r="D3115" t="s">
        <v>103</v>
      </c>
      <c r="E3115" s="1">
        <v>46003</v>
      </c>
      <c r="F3115" t="s">
        <v>86</v>
      </c>
      <c r="G3115" t="s">
        <v>285</v>
      </c>
      <c r="H3115" t="s">
        <v>111</v>
      </c>
      <c r="I3115">
        <v>6</v>
      </c>
      <c r="J3115" t="s">
        <v>98</v>
      </c>
      <c r="K3115">
        <v>1</v>
      </c>
      <c r="L3115" s="3">
        <v>6899</v>
      </c>
      <c r="M3115">
        <v>0</v>
      </c>
      <c r="N3115" s="3">
        <v>6900</v>
      </c>
      <c r="O3115" s="3">
        <v>6900</v>
      </c>
      <c r="P3115" t="s">
        <v>34</v>
      </c>
      <c r="Q3115" t="s">
        <v>51</v>
      </c>
      <c r="R3115" t="s">
        <v>36</v>
      </c>
      <c r="S3115" t="s">
        <v>418</v>
      </c>
      <c r="T3115" t="s">
        <v>613</v>
      </c>
      <c r="U3115" t="s">
        <v>39</v>
      </c>
      <c r="V3115" t="s">
        <v>315</v>
      </c>
      <c r="W3115">
        <v>2.9</v>
      </c>
      <c r="X3115" t="s">
        <v>41</v>
      </c>
      <c r="Y3115" t="s">
        <v>55</v>
      </c>
      <c r="Z3115">
        <v>1</v>
      </c>
    </row>
    <row r="3116" spans="1:26">
      <c r="A3116" t="s">
        <v>4382</v>
      </c>
      <c r="B3116" t="s">
        <v>964</v>
      </c>
      <c r="C3116" t="s">
        <v>45</v>
      </c>
      <c r="D3116" t="s">
        <v>103</v>
      </c>
      <c r="E3116" s="1">
        <v>46003</v>
      </c>
      <c r="F3116" t="s">
        <v>47</v>
      </c>
      <c r="G3116" t="s">
        <v>199</v>
      </c>
      <c r="H3116" t="s">
        <v>59</v>
      </c>
      <c r="I3116">
        <v>10</v>
      </c>
      <c r="J3116" t="s">
        <v>73</v>
      </c>
      <c r="K3116">
        <v>2</v>
      </c>
      <c r="L3116" s="3">
        <v>5599</v>
      </c>
      <c r="M3116">
        <v>25</v>
      </c>
      <c r="N3116" s="3">
        <v>4200</v>
      </c>
      <c r="O3116" s="3">
        <v>8400</v>
      </c>
      <c r="P3116" t="s">
        <v>34</v>
      </c>
      <c r="Q3116" t="s">
        <v>51</v>
      </c>
      <c r="R3116" t="s">
        <v>36</v>
      </c>
      <c r="S3116" t="s">
        <v>338</v>
      </c>
      <c r="T3116" t="s">
        <v>394</v>
      </c>
      <c r="U3116" t="s">
        <v>54</v>
      </c>
      <c r="V3116" t="s">
        <v>315</v>
      </c>
      <c r="W3116">
        <v>4.2</v>
      </c>
      <c r="X3116" t="s">
        <v>41</v>
      </c>
      <c r="Y3116" t="s">
        <v>55</v>
      </c>
      <c r="Z3116">
        <v>2</v>
      </c>
    </row>
    <row r="3117" spans="1:26">
      <c r="A3117" t="s">
        <v>4383</v>
      </c>
      <c r="B3117" t="s">
        <v>767</v>
      </c>
      <c r="C3117" t="s">
        <v>45</v>
      </c>
      <c r="D3117" t="s">
        <v>103</v>
      </c>
      <c r="E3117" s="1">
        <v>46003</v>
      </c>
      <c r="F3117" t="s">
        <v>47</v>
      </c>
      <c r="G3117" t="s">
        <v>121</v>
      </c>
      <c r="H3117" t="s">
        <v>111</v>
      </c>
      <c r="I3117">
        <v>9</v>
      </c>
      <c r="J3117" t="s">
        <v>150</v>
      </c>
      <c r="K3117">
        <v>2</v>
      </c>
      <c r="L3117" s="3">
        <v>5299</v>
      </c>
      <c r="M3117">
        <v>0</v>
      </c>
      <c r="N3117" s="3">
        <v>5300</v>
      </c>
      <c r="O3117" s="3">
        <v>10600</v>
      </c>
      <c r="P3117" t="s">
        <v>34</v>
      </c>
      <c r="Q3117" t="s">
        <v>82</v>
      </c>
      <c r="R3117" t="s">
        <v>36</v>
      </c>
      <c r="S3117" t="s">
        <v>104</v>
      </c>
      <c r="T3117" t="s">
        <v>179</v>
      </c>
      <c r="U3117" t="s">
        <v>61</v>
      </c>
      <c r="V3117" t="s">
        <v>969</v>
      </c>
      <c r="W3117">
        <v>4.3</v>
      </c>
      <c r="X3117" t="s">
        <v>106</v>
      </c>
      <c r="Y3117" t="s">
        <v>55</v>
      </c>
      <c r="Z3117">
        <v>2</v>
      </c>
    </row>
    <row r="3118" spans="1:26">
      <c r="A3118" t="s">
        <v>4384</v>
      </c>
      <c r="B3118" t="s">
        <v>300</v>
      </c>
      <c r="C3118" t="s">
        <v>28</v>
      </c>
      <c r="D3118" t="s">
        <v>103</v>
      </c>
      <c r="E3118" s="1">
        <v>46003</v>
      </c>
      <c r="F3118" t="s">
        <v>79</v>
      </c>
      <c r="G3118" t="s">
        <v>480</v>
      </c>
      <c r="H3118" t="s">
        <v>111</v>
      </c>
      <c r="I3118">
        <v>6</v>
      </c>
      <c r="J3118" t="s">
        <v>150</v>
      </c>
      <c r="K3118">
        <v>1</v>
      </c>
      <c r="L3118" s="3">
        <v>3399</v>
      </c>
      <c r="M3118">
        <v>10</v>
      </c>
      <c r="N3118" s="3">
        <v>3060</v>
      </c>
      <c r="O3118" s="3">
        <v>3060</v>
      </c>
      <c r="P3118" t="s">
        <v>74</v>
      </c>
      <c r="Q3118" t="s">
        <v>82</v>
      </c>
      <c r="R3118" t="s">
        <v>36</v>
      </c>
      <c r="S3118" t="s">
        <v>112</v>
      </c>
      <c r="T3118" t="s">
        <v>113</v>
      </c>
      <c r="U3118" t="s">
        <v>61</v>
      </c>
      <c r="V3118" t="s">
        <v>969</v>
      </c>
      <c r="W3118">
        <v>4</v>
      </c>
      <c r="X3118" t="s">
        <v>41</v>
      </c>
      <c r="Y3118" t="s">
        <v>42</v>
      </c>
      <c r="Z3118">
        <v>5</v>
      </c>
    </row>
    <row r="3119" spans="1:26">
      <c r="A3119" t="s">
        <v>4385</v>
      </c>
      <c r="B3119" t="s">
        <v>2964</v>
      </c>
      <c r="C3119" t="s">
        <v>28</v>
      </c>
      <c r="D3119" t="s">
        <v>46</v>
      </c>
      <c r="E3119" s="1">
        <v>46004</v>
      </c>
      <c r="F3119" t="s">
        <v>30</v>
      </c>
      <c r="G3119" t="s">
        <v>110</v>
      </c>
      <c r="H3119" t="s">
        <v>111</v>
      </c>
      <c r="I3119">
        <v>9</v>
      </c>
      <c r="J3119" t="s">
        <v>33</v>
      </c>
      <c r="K3119">
        <v>1</v>
      </c>
      <c r="L3119" s="3">
        <v>4699</v>
      </c>
      <c r="M3119">
        <v>10</v>
      </c>
      <c r="N3119" s="3">
        <v>4230</v>
      </c>
      <c r="O3119" s="3">
        <v>4230</v>
      </c>
      <c r="P3119" t="s">
        <v>74</v>
      </c>
      <c r="Q3119" t="s">
        <v>82</v>
      </c>
      <c r="R3119" t="s">
        <v>36</v>
      </c>
      <c r="S3119" t="s">
        <v>129</v>
      </c>
      <c r="T3119" t="s">
        <v>282</v>
      </c>
      <c r="U3119" t="s">
        <v>54</v>
      </c>
      <c r="V3119" t="s">
        <v>315</v>
      </c>
      <c r="W3119">
        <v>3.9</v>
      </c>
      <c r="X3119" t="s">
        <v>41</v>
      </c>
      <c r="Y3119" t="s">
        <v>55</v>
      </c>
      <c r="Z3119">
        <v>4</v>
      </c>
    </row>
    <row r="3120" spans="1:26">
      <c r="A3120" t="s">
        <v>4386</v>
      </c>
      <c r="B3120" t="s">
        <v>798</v>
      </c>
      <c r="C3120" t="s">
        <v>28</v>
      </c>
      <c r="D3120" t="s">
        <v>29</v>
      </c>
      <c r="E3120" s="1">
        <v>46005</v>
      </c>
      <c r="F3120" t="s">
        <v>79</v>
      </c>
      <c r="G3120" t="s">
        <v>517</v>
      </c>
      <c r="H3120" t="s">
        <v>59</v>
      </c>
      <c r="I3120">
        <v>10</v>
      </c>
      <c r="J3120" t="s">
        <v>67</v>
      </c>
      <c r="K3120">
        <v>1</v>
      </c>
      <c r="L3120" s="3">
        <v>6899</v>
      </c>
      <c r="M3120">
        <v>20</v>
      </c>
      <c r="N3120" s="3">
        <v>5520</v>
      </c>
      <c r="O3120" s="3">
        <v>5520</v>
      </c>
      <c r="P3120" t="s">
        <v>34</v>
      </c>
      <c r="Q3120" t="s">
        <v>51</v>
      </c>
      <c r="R3120" t="s">
        <v>36</v>
      </c>
      <c r="S3120" t="s">
        <v>151</v>
      </c>
      <c r="T3120" t="s">
        <v>890</v>
      </c>
      <c r="U3120" t="s">
        <v>61</v>
      </c>
      <c r="V3120" t="s">
        <v>969</v>
      </c>
      <c r="W3120">
        <v>3.5</v>
      </c>
      <c r="X3120" t="s">
        <v>41</v>
      </c>
      <c r="Y3120" t="s">
        <v>42</v>
      </c>
      <c r="Z3120">
        <v>4</v>
      </c>
    </row>
    <row r="3121" spans="1:26">
      <c r="A3121" t="s">
        <v>4387</v>
      </c>
      <c r="B3121" t="s">
        <v>2473</v>
      </c>
      <c r="C3121" t="s">
        <v>28</v>
      </c>
      <c r="D3121" t="s">
        <v>29</v>
      </c>
      <c r="E3121" s="1">
        <v>46005</v>
      </c>
      <c r="F3121" t="s">
        <v>65</v>
      </c>
      <c r="G3121" t="s">
        <v>268</v>
      </c>
      <c r="H3121" t="s">
        <v>128</v>
      </c>
      <c r="I3121">
        <v>11</v>
      </c>
      <c r="J3121" t="s">
        <v>73</v>
      </c>
      <c r="K3121">
        <v>1</v>
      </c>
      <c r="L3121" s="3">
        <v>3899</v>
      </c>
      <c r="M3121">
        <v>25</v>
      </c>
      <c r="N3121" s="3">
        <v>2920</v>
      </c>
      <c r="O3121" s="3">
        <v>2920</v>
      </c>
      <c r="P3121" t="s">
        <v>74</v>
      </c>
      <c r="Q3121" t="s">
        <v>51</v>
      </c>
      <c r="R3121" t="s">
        <v>36</v>
      </c>
      <c r="S3121" t="s">
        <v>358</v>
      </c>
      <c r="T3121" t="s">
        <v>805</v>
      </c>
      <c r="U3121" t="s">
        <v>39</v>
      </c>
      <c r="V3121" t="s">
        <v>315</v>
      </c>
      <c r="W3121">
        <v>3.3</v>
      </c>
      <c r="X3121" t="s">
        <v>41</v>
      </c>
      <c r="Y3121" t="s">
        <v>42</v>
      </c>
      <c r="Z3121">
        <v>2</v>
      </c>
    </row>
    <row r="3122" spans="1:26">
      <c r="A3122" t="s">
        <v>4388</v>
      </c>
      <c r="B3122" t="s">
        <v>793</v>
      </c>
      <c r="C3122" t="s">
        <v>94</v>
      </c>
      <c r="D3122" t="s">
        <v>46</v>
      </c>
      <c r="E3122" s="1">
        <v>46005</v>
      </c>
      <c r="F3122" t="s">
        <v>30</v>
      </c>
      <c r="G3122" t="s">
        <v>58</v>
      </c>
      <c r="H3122" t="s">
        <v>59</v>
      </c>
      <c r="I3122">
        <v>8</v>
      </c>
      <c r="J3122" t="s">
        <v>150</v>
      </c>
      <c r="K3122">
        <v>1</v>
      </c>
      <c r="L3122" s="3">
        <v>4299</v>
      </c>
      <c r="M3122">
        <v>5</v>
      </c>
      <c r="N3122" s="3">
        <v>4080</v>
      </c>
      <c r="O3122" s="3">
        <v>4080</v>
      </c>
      <c r="P3122" t="s">
        <v>34</v>
      </c>
      <c r="Q3122" t="s">
        <v>82</v>
      </c>
      <c r="R3122" t="s">
        <v>36</v>
      </c>
      <c r="S3122" t="s">
        <v>136</v>
      </c>
      <c r="T3122" t="s">
        <v>225</v>
      </c>
      <c r="U3122" t="s">
        <v>39</v>
      </c>
      <c r="V3122" t="s">
        <v>969</v>
      </c>
      <c r="W3122">
        <v>4.0999999999999996</v>
      </c>
      <c r="X3122" t="s">
        <v>41</v>
      </c>
      <c r="Y3122" t="s">
        <v>55</v>
      </c>
      <c r="Z3122">
        <v>2</v>
      </c>
    </row>
    <row r="3123" spans="1:26">
      <c r="A3123" t="s">
        <v>4389</v>
      </c>
      <c r="B3123" t="s">
        <v>947</v>
      </c>
      <c r="C3123" t="s">
        <v>28</v>
      </c>
      <c r="D3123" t="s">
        <v>29</v>
      </c>
      <c r="E3123" s="1">
        <v>46006</v>
      </c>
      <c r="F3123" t="s">
        <v>47</v>
      </c>
      <c r="G3123" t="s">
        <v>121</v>
      </c>
      <c r="H3123" t="s">
        <v>111</v>
      </c>
      <c r="I3123">
        <v>10</v>
      </c>
      <c r="J3123" t="s">
        <v>98</v>
      </c>
      <c r="K3123">
        <v>1</v>
      </c>
      <c r="L3123" s="3">
        <v>4899</v>
      </c>
      <c r="M3123">
        <v>30</v>
      </c>
      <c r="N3123" s="3">
        <v>3430</v>
      </c>
      <c r="O3123" s="3">
        <v>3430</v>
      </c>
      <c r="P3123" t="s">
        <v>34</v>
      </c>
      <c r="Q3123" t="s">
        <v>51</v>
      </c>
      <c r="R3123" t="s">
        <v>36</v>
      </c>
      <c r="S3123" t="s">
        <v>384</v>
      </c>
      <c r="T3123" t="s">
        <v>444</v>
      </c>
      <c r="U3123" t="s">
        <v>61</v>
      </c>
      <c r="V3123" t="s">
        <v>969</v>
      </c>
      <c r="W3123">
        <v>3.7</v>
      </c>
      <c r="X3123" t="s">
        <v>41</v>
      </c>
      <c r="Y3123" t="s">
        <v>42</v>
      </c>
      <c r="Z3123">
        <v>6</v>
      </c>
    </row>
    <row r="3124" spans="1:26">
      <c r="A3124" t="s">
        <v>4390</v>
      </c>
      <c r="B3124" t="s">
        <v>2937</v>
      </c>
      <c r="C3124" t="s">
        <v>28</v>
      </c>
      <c r="D3124" t="s">
        <v>29</v>
      </c>
      <c r="E3124" s="1">
        <v>46006</v>
      </c>
      <c r="F3124" t="s">
        <v>96</v>
      </c>
      <c r="G3124" t="s">
        <v>155</v>
      </c>
      <c r="H3124" t="s">
        <v>111</v>
      </c>
      <c r="I3124">
        <v>10</v>
      </c>
      <c r="J3124" t="s">
        <v>88</v>
      </c>
      <c r="K3124">
        <v>1</v>
      </c>
      <c r="L3124" s="3">
        <v>4999</v>
      </c>
      <c r="M3124">
        <v>20</v>
      </c>
      <c r="N3124" s="3">
        <v>4000</v>
      </c>
      <c r="O3124" s="3">
        <v>4000</v>
      </c>
      <c r="P3124" t="s">
        <v>74</v>
      </c>
      <c r="Q3124" t="s">
        <v>51</v>
      </c>
      <c r="R3124" t="s">
        <v>36</v>
      </c>
      <c r="S3124" t="s">
        <v>338</v>
      </c>
      <c r="T3124" t="s">
        <v>394</v>
      </c>
      <c r="U3124" t="s">
        <v>91</v>
      </c>
      <c r="V3124" t="s">
        <v>315</v>
      </c>
      <c r="W3124">
        <v>4</v>
      </c>
      <c r="X3124" t="s">
        <v>41</v>
      </c>
      <c r="Y3124" t="s">
        <v>42</v>
      </c>
      <c r="Z3124">
        <v>5</v>
      </c>
    </row>
    <row r="3125" spans="1:26">
      <c r="A3125" t="s">
        <v>4391</v>
      </c>
      <c r="B3125" t="s">
        <v>2090</v>
      </c>
      <c r="C3125" t="s">
        <v>94</v>
      </c>
      <c r="D3125" t="s">
        <v>103</v>
      </c>
      <c r="E3125" s="1">
        <v>46006</v>
      </c>
      <c r="F3125" t="s">
        <v>47</v>
      </c>
      <c r="G3125" t="s">
        <v>121</v>
      </c>
      <c r="H3125" t="s">
        <v>111</v>
      </c>
      <c r="I3125">
        <v>10</v>
      </c>
      <c r="J3125" t="s">
        <v>73</v>
      </c>
      <c r="K3125">
        <v>1</v>
      </c>
      <c r="L3125" s="3">
        <v>4999</v>
      </c>
      <c r="M3125">
        <v>5</v>
      </c>
      <c r="N3125" s="3">
        <v>4750</v>
      </c>
      <c r="O3125" s="3">
        <v>4750</v>
      </c>
      <c r="P3125" t="s">
        <v>74</v>
      </c>
      <c r="Q3125" t="s">
        <v>82</v>
      </c>
      <c r="R3125" t="s">
        <v>36</v>
      </c>
      <c r="S3125" t="s">
        <v>117</v>
      </c>
      <c r="T3125" t="s">
        <v>118</v>
      </c>
      <c r="U3125" t="s">
        <v>54</v>
      </c>
      <c r="V3125" t="s">
        <v>315</v>
      </c>
      <c r="W3125">
        <v>5</v>
      </c>
      <c r="X3125" t="s">
        <v>106</v>
      </c>
      <c r="Y3125" t="s">
        <v>42</v>
      </c>
      <c r="Z3125">
        <v>3</v>
      </c>
    </row>
    <row r="3126" spans="1:26">
      <c r="A3126" t="s">
        <v>4392</v>
      </c>
      <c r="B3126" t="s">
        <v>1928</v>
      </c>
      <c r="C3126" t="s">
        <v>28</v>
      </c>
      <c r="D3126" t="s">
        <v>103</v>
      </c>
      <c r="E3126" s="1">
        <v>46006</v>
      </c>
      <c r="F3126" t="s">
        <v>65</v>
      </c>
      <c r="G3126" t="s">
        <v>72</v>
      </c>
      <c r="H3126" t="s">
        <v>59</v>
      </c>
      <c r="I3126">
        <v>9</v>
      </c>
      <c r="J3126" t="s">
        <v>98</v>
      </c>
      <c r="K3126">
        <v>1</v>
      </c>
      <c r="L3126" s="3">
        <v>4499</v>
      </c>
      <c r="M3126">
        <v>5</v>
      </c>
      <c r="N3126" s="3">
        <v>4270</v>
      </c>
      <c r="O3126" s="3">
        <v>4270</v>
      </c>
      <c r="P3126" t="s">
        <v>34</v>
      </c>
      <c r="Q3126" t="s">
        <v>51</v>
      </c>
      <c r="R3126" t="s">
        <v>36</v>
      </c>
      <c r="S3126" t="s">
        <v>269</v>
      </c>
      <c r="T3126" t="s">
        <v>575</v>
      </c>
      <c r="U3126" t="s">
        <v>91</v>
      </c>
      <c r="V3126" t="s">
        <v>969</v>
      </c>
      <c r="W3126">
        <v>3.7</v>
      </c>
      <c r="X3126" t="s">
        <v>41</v>
      </c>
      <c r="Y3126" t="s">
        <v>42</v>
      </c>
      <c r="Z3126">
        <v>5</v>
      </c>
    </row>
    <row r="3127" spans="1:26">
      <c r="A3127" t="s">
        <v>4393</v>
      </c>
      <c r="B3127" t="s">
        <v>1875</v>
      </c>
      <c r="C3127" t="s">
        <v>45</v>
      </c>
      <c r="D3127" t="s">
        <v>109</v>
      </c>
      <c r="E3127" s="1">
        <v>46006</v>
      </c>
      <c r="F3127" t="s">
        <v>96</v>
      </c>
      <c r="G3127" t="s">
        <v>97</v>
      </c>
      <c r="H3127" t="s">
        <v>49</v>
      </c>
      <c r="I3127">
        <v>9</v>
      </c>
      <c r="J3127" t="s">
        <v>88</v>
      </c>
      <c r="K3127">
        <v>1</v>
      </c>
      <c r="L3127" s="3">
        <v>6899</v>
      </c>
      <c r="M3127">
        <v>20</v>
      </c>
      <c r="N3127" s="3">
        <v>5520</v>
      </c>
      <c r="O3127" s="3">
        <v>5520</v>
      </c>
      <c r="P3127" t="s">
        <v>34</v>
      </c>
      <c r="Q3127" t="s">
        <v>51</v>
      </c>
      <c r="R3127" t="s">
        <v>36</v>
      </c>
      <c r="S3127" t="s">
        <v>75</v>
      </c>
      <c r="T3127" t="s">
        <v>318</v>
      </c>
      <c r="U3127" t="s">
        <v>124</v>
      </c>
      <c r="V3127" t="s">
        <v>969</v>
      </c>
      <c r="W3127">
        <v>3</v>
      </c>
      <c r="X3127" t="s">
        <v>41</v>
      </c>
      <c r="Y3127" t="s">
        <v>42</v>
      </c>
      <c r="Z3127">
        <v>3</v>
      </c>
    </row>
    <row r="3128" spans="1:26">
      <c r="A3128" t="s">
        <v>4394</v>
      </c>
      <c r="B3128" t="s">
        <v>2709</v>
      </c>
      <c r="C3128" t="s">
        <v>94</v>
      </c>
      <c r="D3128" t="s">
        <v>95</v>
      </c>
      <c r="E3128" s="1">
        <v>46006</v>
      </c>
      <c r="F3128" t="s">
        <v>96</v>
      </c>
      <c r="G3128" t="s">
        <v>228</v>
      </c>
      <c r="H3128" t="s">
        <v>59</v>
      </c>
      <c r="I3128">
        <v>11</v>
      </c>
      <c r="J3128" t="s">
        <v>67</v>
      </c>
      <c r="K3128">
        <v>1</v>
      </c>
      <c r="L3128" s="3">
        <v>7999</v>
      </c>
      <c r="M3128">
        <v>10</v>
      </c>
      <c r="N3128" s="3">
        <v>7200</v>
      </c>
      <c r="O3128" s="3">
        <v>7200</v>
      </c>
      <c r="P3128" t="s">
        <v>74</v>
      </c>
      <c r="Q3128" t="s">
        <v>82</v>
      </c>
      <c r="R3128" t="s">
        <v>36</v>
      </c>
      <c r="S3128" t="s">
        <v>243</v>
      </c>
      <c r="T3128" t="s">
        <v>276</v>
      </c>
      <c r="U3128" t="s">
        <v>91</v>
      </c>
      <c r="V3128" t="s">
        <v>969</v>
      </c>
      <c r="W3128">
        <v>4.0999999999999996</v>
      </c>
      <c r="X3128" t="s">
        <v>41</v>
      </c>
      <c r="Y3128" t="s">
        <v>42</v>
      </c>
      <c r="Z3128">
        <v>3</v>
      </c>
    </row>
    <row r="3129" spans="1:26">
      <c r="A3129" t="s">
        <v>4395</v>
      </c>
      <c r="B3129" t="s">
        <v>1207</v>
      </c>
      <c r="C3129" t="s">
        <v>28</v>
      </c>
      <c r="D3129" t="s">
        <v>95</v>
      </c>
      <c r="E3129" s="1">
        <v>46007</v>
      </c>
      <c r="F3129" t="s">
        <v>79</v>
      </c>
      <c r="G3129" t="s">
        <v>127</v>
      </c>
      <c r="H3129" t="s">
        <v>128</v>
      </c>
      <c r="I3129">
        <v>9</v>
      </c>
      <c r="J3129" t="s">
        <v>150</v>
      </c>
      <c r="K3129">
        <v>1</v>
      </c>
      <c r="L3129" s="3">
        <v>5199</v>
      </c>
      <c r="M3129">
        <v>10</v>
      </c>
      <c r="N3129" s="3">
        <v>4680</v>
      </c>
      <c r="O3129" s="3">
        <v>4680</v>
      </c>
      <c r="P3129" t="s">
        <v>34</v>
      </c>
      <c r="Q3129" t="s">
        <v>82</v>
      </c>
      <c r="R3129" t="s">
        <v>36</v>
      </c>
      <c r="S3129" t="s">
        <v>418</v>
      </c>
      <c r="T3129" t="s">
        <v>924</v>
      </c>
      <c r="U3129" t="s">
        <v>124</v>
      </c>
      <c r="V3129" t="s">
        <v>969</v>
      </c>
      <c r="W3129">
        <v>4.0999999999999996</v>
      </c>
      <c r="X3129" t="s">
        <v>41</v>
      </c>
      <c r="Y3129" t="s">
        <v>42</v>
      </c>
      <c r="Z3129">
        <v>3</v>
      </c>
    </row>
    <row r="3130" spans="1:26">
      <c r="A3130" t="s">
        <v>4396</v>
      </c>
      <c r="B3130" t="s">
        <v>2709</v>
      </c>
      <c r="C3130" t="s">
        <v>28</v>
      </c>
      <c r="D3130" t="s">
        <v>103</v>
      </c>
      <c r="E3130" s="1">
        <v>46007</v>
      </c>
      <c r="F3130" t="s">
        <v>96</v>
      </c>
      <c r="G3130" t="s">
        <v>97</v>
      </c>
      <c r="H3130" t="s">
        <v>49</v>
      </c>
      <c r="I3130">
        <v>10</v>
      </c>
      <c r="J3130" t="s">
        <v>67</v>
      </c>
      <c r="K3130">
        <v>1</v>
      </c>
      <c r="L3130" s="3">
        <v>8299</v>
      </c>
      <c r="M3130">
        <v>10</v>
      </c>
      <c r="N3130" s="3">
        <v>7470</v>
      </c>
      <c r="O3130" s="3">
        <v>7470</v>
      </c>
      <c r="P3130" t="s">
        <v>74</v>
      </c>
      <c r="Q3130" t="s">
        <v>51</v>
      </c>
      <c r="R3130" t="s">
        <v>36</v>
      </c>
      <c r="S3130" t="s">
        <v>151</v>
      </c>
      <c r="T3130" t="s">
        <v>506</v>
      </c>
      <c r="U3130" t="s">
        <v>61</v>
      </c>
      <c r="V3130" t="s">
        <v>969</v>
      </c>
      <c r="W3130">
        <v>4.8</v>
      </c>
      <c r="X3130" t="s">
        <v>106</v>
      </c>
      <c r="Y3130" t="s">
        <v>55</v>
      </c>
      <c r="Z3130">
        <v>2</v>
      </c>
    </row>
    <row r="3131" spans="1:26">
      <c r="A3131" t="s">
        <v>4397</v>
      </c>
      <c r="B3131" t="s">
        <v>513</v>
      </c>
      <c r="C3131" t="s">
        <v>94</v>
      </c>
      <c r="D3131" t="s">
        <v>29</v>
      </c>
      <c r="E3131" s="1">
        <v>46007</v>
      </c>
      <c r="F3131" t="s">
        <v>47</v>
      </c>
      <c r="G3131" t="s">
        <v>140</v>
      </c>
      <c r="H3131" t="s">
        <v>128</v>
      </c>
      <c r="I3131">
        <v>10</v>
      </c>
      <c r="J3131" t="s">
        <v>73</v>
      </c>
      <c r="K3131">
        <v>2</v>
      </c>
      <c r="L3131" s="3">
        <v>4299</v>
      </c>
      <c r="M3131">
        <v>20</v>
      </c>
      <c r="N3131" s="3">
        <v>3440</v>
      </c>
      <c r="O3131" s="3">
        <v>6880</v>
      </c>
      <c r="P3131" t="s">
        <v>34</v>
      </c>
      <c r="Q3131" t="s">
        <v>51</v>
      </c>
      <c r="R3131" t="s">
        <v>36</v>
      </c>
      <c r="S3131" t="s">
        <v>384</v>
      </c>
      <c r="T3131" t="s">
        <v>385</v>
      </c>
      <c r="U3131" t="s">
        <v>54</v>
      </c>
      <c r="V3131" t="s">
        <v>969</v>
      </c>
      <c r="W3131">
        <v>4.3</v>
      </c>
      <c r="X3131" t="s">
        <v>41</v>
      </c>
      <c r="Y3131" t="s">
        <v>55</v>
      </c>
      <c r="Z3131">
        <v>3</v>
      </c>
    </row>
    <row r="3132" spans="1:26">
      <c r="A3132" t="s">
        <v>4398</v>
      </c>
      <c r="B3132" t="s">
        <v>3767</v>
      </c>
      <c r="C3132" t="s">
        <v>45</v>
      </c>
      <c r="D3132" t="s">
        <v>103</v>
      </c>
      <c r="E3132" s="1">
        <v>46007</v>
      </c>
      <c r="F3132" t="s">
        <v>96</v>
      </c>
      <c r="G3132" t="s">
        <v>97</v>
      </c>
      <c r="H3132" t="s">
        <v>49</v>
      </c>
      <c r="I3132">
        <v>6</v>
      </c>
      <c r="J3132" t="s">
        <v>98</v>
      </c>
      <c r="K3132">
        <v>1</v>
      </c>
      <c r="L3132" s="3">
        <v>7199</v>
      </c>
      <c r="M3132">
        <v>20</v>
      </c>
      <c r="N3132" s="3">
        <v>5760</v>
      </c>
      <c r="O3132" s="3">
        <v>5760</v>
      </c>
      <c r="P3132" t="s">
        <v>34</v>
      </c>
      <c r="Q3132" t="s">
        <v>35</v>
      </c>
      <c r="R3132" t="s">
        <v>36</v>
      </c>
      <c r="S3132" t="s">
        <v>99</v>
      </c>
      <c r="T3132" t="s">
        <v>100</v>
      </c>
      <c r="U3132" t="s">
        <v>54</v>
      </c>
      <c r="V3132" t="s">
        <v>315</v>
      </c>
      <c r="W3132">
        <v>3.6</v>
      </c>
      <c r="X3132" t="s">
        <v>41</v>
      </c>
      <c r="Y3132" t="s">
        <v>55</v>
      </c>
      <c r="Z3132">
        <v>2</v>
      </c>
    </row>
    <row r="3133" spans="1:26">
      <c r="A3133" t="s">
        <v>4399</v>
      </c>
      <c r="B3133" t="s">
        <v>1887</v>
      </c>
      <c r="C3133" t="s">
        <v>28</v>
      </c>
      <c r="D3133" t="s">
        <v>95</v>
      </c>
      <c r="E3133" s="1">
        <v>46008</v>
      </c>
      <c r="F3133" t="s">
        <v>47</v>
      </c>
      <c r="G3133" t="s">
        <v>218</v>
      </c>
      <c r="H3133" t="s">
        <v>59</v>
      </c>
      <c r="I3133">
        <v>9</v>
      </c>
      <c r="J3133" t="s">
        <v>67</v>
      </c>
      <c r="K3133">
        <v>2</v>
      </c>
      <c r="L3133" s="3">
        <v>9099</v>
      </c>
      <c r="M3133">
        <v>10</v>
      </c>
      <c r="N3133" s="3">
        <v>8190</v>
      </c>
      <c r="O3133" s="3">
        <v>16380</v>
      </c>
      <c r="P3133" t="s">
        <v>34</v>
      </c>
      <c r="Q3133" t="s">
        <v>82</v>
      </c>
      <c r="R3133" t="s">
        <v>36</v>
      </c>
      <c r="S3133" t="s">
        <v>210</v>
      </c>
      <c r="T3133" t="s">
        <v>415</v>
      </c>
      <c r="U3133" t="s">
        <v>124</v>
      </c>
      <c r="V3133" t="s">
        <v>969</v>
      </c>
      <c r="W3133">
        <v>4.7</v>
      </c>
      <c r="X3133" t="s">
        <v>41</v>
      </c>
      <c r="Y3133" t="s">
        <v>42</v>
      </c>
      <c r="Z3133">
        <v>3</v>
      </c>
    </row>
    <row r="3134" spans="1:26">
      <c r="A3134" t="s">
        <v>4400</v>
      </c>
      <c r="B3134" t="s">
        <v>3678</v>
      </c>
      <c r="C3134" t="s">
        <v>28</v>
      </c>
      <c r="D3134" t="s">
        <v>29</v>
      </c>
      <c r="E3134" s="1">
        <v>46008</v>
      </c>
      <c r="F3134" t="s">
        <v>96</v>
      </c>
      <c r="G3134" t="s">
        <v>290</v>
      </c>
      <c r="H3134" t="s">
        <v>32</v>
      </c>
      <c r="I3134">
        <v>6</v>
      </c>
      <c r="J3134" t="s">
        <v>33</v>
      </c>
      <c r="K3134">
        <v>1</v>
      </c>
      <c r="L3134" s="3">
        <v>6899</v>
      </c>
      <c r="M3134">
        <v>15</v>
      </c>
      <c r="N3134" s="3">
        <v>5860</v>
      </c>
      <c r="O3134" s="3">
        <v>5860</v>
      </c>
      <c r="P3134" t="s">
        <v>34</v>
      </c>
      <c r="Q3134" t="s">
        <v>51</v>
      </c>
      <c r="R3134" t="s">
        <v>36</v>
      </c>
      <c r="S3134" t="s">
        <v>151</v>
      </c>
      <c r="T3134" t="s">
        <v>890</v>
      </c>
      <c r="U3134" t="s">
        <v>61</v>
      </c>
      <c r="V3134" t="s">
        <v>969</v>
      </c>
      <c r="W3134">
        <v>4.2</v>
      </c>
      <c r="X3134" t="s">
        <v>62</v>
      </c>
      <c r="Y3134" t="s">
        <v>147</v>
      </c>
      <c r="Z3134">
        <v>1</v>
      </c>
    </row>
    <row r="3135" spans="1:26">
      <c r="A3135" t="s">
        <v>4401</v>
      </c>
      <c r="B3135" t="s">
        <v>3633</v>
      </c>
      <c r="C3135" t="s">
        <v>94</v>
      </c>
      <c r="D3135" t="s">
        <v>29</v>
      </c>
      <c r="E3135" s="1">
        <v>46009</v>
      </c>
      <c r="F3135" t="s">
        <v>30</v>
      </c>
      <c r="G3135" t="s">
        <v>347</v>
      </c>
      <c r="H3135" t="s">
        <v>49</v>
      </c>
      <c r="I3135">
        <v>6</v>
      </c>
      <c r="J3135" t="s">
        <v>98</v>
      </c>
      <c r="K3135">
        <v>1</v>
      </c>
      <c r="L3135" s="3">
        <v>8599</v>
      </c>
      <c r="M3135">
        <v>30</v>
      </c>
      <c r="N3135" s="3">
        <v>6020</v>
      </c>
      <c r="O3135" s="3">
        <v>6020</v>
      </c>
      <c r="P3135" t="s">
        <v>81</v>
      </c>
      <c r="Q3135" t="s">
        <v>51</v>
      </c>
      <c r="R3135" t="s">
        <v>36</v>
      </c>
      <c r="S3135" t="s">
        <v>156</v>
      </c>
      <c r="T3135" t="s">
        <v>369</v>
      </c>
      <c r="U3135" t="s">
        <v>61</v>
      </c>
      <c r="V3135" t="s">
        <v>315</v>
      </c>
      <c r="W3135">
        <v>3.2</v>
      </c>
      <c r="X3135" t="s">
        <v>41</v>
      </c>
      <c r="Y3135" t="s">
        <v>55</v>
      </c>
      <c r="Z3135">
        <v>2</v>
      </c>
    </row>
    <row r="3136" spans="1:26">
      <c r="A3136" t="s">
        <v>4402</v>
      </c>
      <c r="B3136" t="s">
        <v>488</v>
      </c>
      <c r="C3136" t="s">
        <v>28</v>
      </c>
      <c r="D3136" t="s">
        <v>103</v>
      </c>
      <c r="E3136" s="1">
        <v>46009</v>
      </c>
      <c r="F3136" t="s">
        <v>79</v>
      </c>
      <c r="G3136" t="s">
        <v>480</v>
      </c>
      <c r="H3136" t="s">
        <v>111</v>
      </c>
      <c r="I3136">
        <v>10</v>
      </c>
      <c r="J3136" t="s">
        <v>88</v>
      </c>
      <c r="K3136">
        <v>1</v>
      </c>
      <c r="L3136" s="3">
        <v>8599</v>
      </c>
      <c r="M3136">
        <v>40</v>
      </c>
      <c r="N3136" s="3">
        <v>5160</v>
      </c>
      <c r="O3136" s="3">
        <v>5160</v>
      </c>
      <c r="P3136" t="s">
        <v>74</v>
      </c>
      <c r="Q3136" t="s">
        <v>35</v>
      </c>
      <c r="R3136" t="s">
        <v>36</v>
      </c>
      <c r="S3136" t="s">
        <v>104</v>
      </c>
      <c r="T3136" t="s">
        <v>291</v>
      </c>
      <c r="U3136" t="s">
        <v>61</v>
      </c>
      <c r="V3136" t="s">
        <v>315</v>
      </c>
      <c r="W3136">
        <v>3.8</v>
      </c>
      <c r="X3136" t="s">
        <v>41</v>
      </c>
      <c r="Y3136" t="s">
        <v>42</v>
      </c>
      <c r="Z3136">
        <v>5</v>
      </c>
    </row>
    <row r="3137" spans="1:26">
      <c r="A3137" t="s">
        <v>4403</v>
      </c>
      <c r="B3137" t="s">
        <v>1455</v>
      </c>
      <c r="C3137" t="s">
        <v>45</v>
      </c>
      <c r="D3137" t="s">
        <v>103</v>
      </c>
      <c r="E3137" s="1">
        <v>46010</v>
      </c>
      <c r="F3137" t="s">
        <v>79</v>
      </c>
      <c r="G3137" t="s">
        <v>127</v>
      </c>
      <c r="H3137" t="s">
        <v>128</v>
      </c>
      <c r="I3137">
        <v>8</v>
      </c>
      <c r="J3137" t="s">
        <v>98</v>
      </c>
      <c r="K3137">
        <v>2</v>
      </c>
      <c r="L3137" s="3">
        <v>7399</v>
      </c>
      <c r="M3137">
        <v>5</v>
      </c>
      <c r="N3137" s="3">
        <v>7030</v>
      </c>
      <c r="O3137" s="3">
        <v>14060</v>
      </c>
      <c r="P3137" t="s">
        <v>81</v>
      </c>
      <c r="Q3137" t="s">
        <v>51</v>
      </c>
      <c r="R3137" t="s">
        <v>36</v>
      </c>
      <c r="S3137" t="s">
        <v>68</v>
      </c>
      <c r="T3137" t="s">
        <v>69</v>
      </c>
      <c r="U3137" t="s">
        <v>39</v>
      </c>
      <c r="V3137" t="s">
        <v>315</v>
      </c>
      <c r="W3137">
        <v>4.8</v>
      </c>
      <c r="X3137" t="s">
        <v>62</v>
      </c>
      <c r="Y3137" t="s">
        <v>42</v>
      </c>
      <c r="Z3137">
        <v>3</v>
      </c>
    </row>
    <row r="3138" spans="1:26">
      <c r="A3138" t="s">
        <v>4404</v>
      </c>
      <c r="B3138" t="s">
        <v>1944</v>
      </c>
      <c r="C3138" t="s">
        <v>94</v>
      </c>
      <c r="D3138" t="s">
        <v>103</v>
      </c>
      <c r="E3138" s="1">
        <v>46011</v>
      </c>
      <c r="F3138" t="s">
        <v>47</v>
      </c>
      <c r="G3138" t="s">
        <v>199</v>
      </c>
      <c r="H3138" t="s">
        <v>59</v>
      </c>
      <c r="I3138">
        <v>8</v>
      </c>
      <c r="J3138" t="s">
        <v>67</v>
      </c>
      <c r="K3138">
        <v>1</v>
      </c>
      <c r="L3138" s="3">
        <v>9099</v>
      </c>
      <c r="M3138">
        <v>10</v>
      </c>
      <c r="N3138" s="3">
        <v>8190</v>
      </c>
      <c r="O3138" s="3">
        <v>8190</v>
      </c>
      <c r="P3138" t="s">
        <v>74</v>
      </c>
      <c r="Q3138" t="s">
        <v>35</v>
      </c>
      <c r="R3138" t="s">
        <v>36</v>
      </c>
      <c r="S3138" t="s">
        <v>89</v>
      </c>
      <c r="T3138" t="s">
        <v>425</v>
      </c>
      <c r="U3138" t="s">
        <v>39</v>
      </c>
      <c r="V3138" t="s">
        <v>315</v>
      </c>
      <c r="W3138">
        <v>4.8</v>
      </c>
      <c r="X3138" t="s">
        <v>62</v>
      </c>
      <c r="Y3138" t="s">
        <v>55</v>
      </c>
      <c r="Z3138">
        <v>3</v>
      </c>
    </row>
    <row r="3139" spans="1:26">
      <c r="A3139" t="s">
        <v>4405</v>
      </c>
      <c r="B3139" t="s">
        <v>1849</v>
      </c>
      <c r="C3139" t="s">
        <v>28</v>
      </c>
      <c r="D3139" t="s">
        <v>46</v>
      </c>
      <c r="E3139" s="1">
        <v>46011</v>
      </c>
      <c r="F3139" t="s">
        <v>79</v>
      </c>
      <c r="G3139" t="s">
        <v>301</v>
      </c>
      <c r="H3139" t="s">
        <v>49</v>
      </c>
      <c r="I3139">
        <v>11</v>
      </c>
      <c r="J3139" t="s">
        <v>150</v>
      </c>
      <c r="K3139">
        <v>2</v>
      </c>
      <c r="L3139" s="3">
        <v>6899</v>
      </c>
      <c r="M3139">
        <v>20</v>
      </c>
      <c r="N3139" s="3">
        <v>5520</v>
      </c>
      <c r="O3139" s="3">
        <v>11040</v>
      </c>
      <c r="P3139" t="s">
        <v>74</v>
      </c>
      <c r="Q3139" t="s">
        <v>51</v>
      </c>
      <c r="R3139" t="s">
        <v>36</v>
      </c>
      <c r="S3139" t="s">
        <v>99</v>
      </c>
      <c r="T3139" t="s">
        <v>759</v>
      </c>
      <c r="U3139" t="s">
        <v>54</v>
      </c>
      <c r="V3139" t="s">
        <v>315</v>
      </c>
      <c r="W3139">
        <v>3.6</v>
      </c>
      <c r="X3139" t="s">
        <v>62</v>
      </c>
      <c r="Y3139" t="s">
        <v>42</v>
      </c>
      <c r="Z3139">
        <v>5</v>
      </c>
    </row>
    <row r="3140" spans="1:26">
      <c r="A3140" t="s">
        <v>4406</v>
      </c>
      <c r="B3140" t="s">
        <v>1528</v>
      </c>
      <c r="C3140" t="s">
        <v>28</v>
      </c>
      <c r="D3140" t="s">
        <v>46</v>
      </c>
      <c r="E3140" s="1">
        <v>46011</v>
      </c>
      <c r="F3140" t="s">
        <v>79</v>
      </c>
      <c r="G3140" t="s">
        <v>127</v>
      </c>
      <c r="H3140" t="s">
        <v>128</v>
      </c>
      <c r="I3140">
        <v>8</v>
      </c>
      <c r="J3140" t="s">
        <v>98</v>
      </c>
      <c r="K3140">
        <v>2</v>
      </c>
      <c r="L3140" s="3">
        <v>7299</v>
      </c>
      <c r="M3140">
        <v>15</v>
      </c>
      <c r="N3140" s="3">
        <v>6200</v>
      </c>
      <c r="O3140" s="3">
        <v>12400</v>
      </c>
      <c r="P3140" t="s">
        <v>74</v>
      </c>
      <c r="Q3140" t="s">
        <v>51</v>
      </c>
      <c r="R3140" t="s">
        <v>36</v>
      </c>
      <c r="S3140" t="s">
        <v>243</v>
      </c>
      <c r="T3140" t="s">
        <v>276</v>
      </c>
      <c r="U3140" t="s">
        <v>91</v>
      </c>
      <c r="V3140" t="s">
        <v>969</v>
      </c>
      <c r="W3140">
        <v>4.5</v>
      </c>
      <c r="X3140" t="s">
        <v>41</v>
      </c>
      <c r="Y3140" t="s">
        <v>55</v>
      </c>
      <c r="Z3140">
        <v>3</v>
      </c>
    </row>
    <row r="3141" spans="1:26">
      <c r="A3141" t="s">
        <v>4407</v>
      </c>
      <c r="B3141" t="s">
        <v>2236</v>
      </c>
      <c r="C3141" t="s">
        <v>45</v>
      </c>
      <c r="D3141" t="s">
        <v>103</v>
      </c>
      <c r="E3141" s="1">
        <v>46011</v>
      </c>
      <c r="F3141" t="s">
        <v>86</v>
      </c>
      <c r="G3141" t="s">
        <v>285</v>
      </c>
      <c r="H3141" t="s">
        <v>111</v>
      </c>
      <c r="I3141">
        <v>6</v>
      </c>
      <c r="J3141" t="s">
        <v>98</v>
      </c>
      <c r="K3141">
        <v>1</v>
      </c>
      <c r="L3141" s="3">
        <v>8999</v>
      </c>
      <c r="M3141">
        <v>35</v>
      </c>
      <c r="N3141" s="3">
        <v>5850</v>
      </c>
      <c r="O3141" s="3">
        <v>5850</v>
      </c>
      <c r="P3141" t="s">
        <v>34</v>
      </c>
      <c r="Q3141" t="s">
        <v>51</v>
      </c>
      <c r="R3141" t="s">
        <v>36</v>
      </c>
      <c r="S3141" t="s">
        <v>191</v>
      </c>
      <c r="T3141" t="s">
        <v>332</v>
      </c>
      <c r="U3141" t="s">
        <v>61</v>
      </c>
      <c r="V3141" t="s">
        <v>315</v>
      </c>
      <c r="W3141">
        <v>4.0999999999999996</v>
      </c>
      <c r="X3141" t="s">
        <v>41</v>
      </c>
      <c r="Y3141" t="s">
        <v>42</v>
      </c>
      <c r="Z3141">
        <v>6</v>
      </c>
    </row>
    <row r="3142" spans="1:26">
      <c r="A3142" t="s">
        <v>4408</v>
      </c>
      <c r="B3142" t="s">
        <v>1928</v>
      </c>
      <c r="C3142" t="s">
        <v>45</v>
      </c>
      <c r="D3142" t="s">
        <v>95</v>
      </c>
      <c r="E3142" s="1">
        <v>46012</v>
      </c>
      <c r="F3142" t="s">
        <v>86</v>
      </c>
      <c r="G3142" t="s">
        <v>312</v>
      </c>
      <c r="H3142" t="s">
        <v>59</v>
      </c>
      <c r="I3142">
        <v>11</v>
      </c>
      <c r="J3142" t="s">
        <v>67</v>
      </c>
      <c r="K3142">
        <v>1</v>
      </c>
      <c r="L3142" s="3">
        <v>9099</v>
      </c>
      <c r="M3142">
        <v>0</v>
      </c>
      <c r="N3142" s="3">
        <v>9100</v>
      </c>
      <c r="O3142" s="3">
        <v>9100</v>
      </c>
      <c r="P3142" t="s">
        <v>74</v>
      </c>
      <c r="Q3142" t="s">
        <v>82</v>
      </c>
      <c r="R3142" t="s">
        <v>36</v>
      </c>
      <c r="S3142" t="s">
        <v>37</v>
      </c>
      <c r="T3142" t="s">
        <v>1122</v>
      </c>
      <c r="U3142" t="s">
        <v>54</v>
      </c>
      <c r="V3142" t="s">
        <v>969</v>
      </c>
      <c r="W3142">
        <v>4.5</v>
      </c>
      <c r="X3142" t="s">
        <v>62</v>
      </c>
      <c r="Y3142" t="s">
        <v>42</v>
      </c>
      <c r="Z3142">
        <v>3</v>
      </c>
    </row>
    <row r="3143" spans="1:26">
      <c r="A3143" t="s">
        <v>4409</v>
      </c>
      <c r="B3143" t="s">
        <v>497</v>
      </c>
      <c r="C3143" t="s">
        <v>45</v>
      </c>
      <c r="D3143" t="s">
        <v>103</v>
      </c>
      <c r="E3143" s="1">
        <v>46012</v>
      </c>
      <c r="F3143" t="s">
        <v>96</v>
      </c>
      <c r="G3143" t="s">
        <v>228</v>
      </c>
      <c r="H3143" t="s">
        <v>59</v>
      </c>
      <c r="I3143">
        <v>10</v>
      </c>
      <c r="J3143" t="s">
        <v>67</v>
      </c>
      <c r="K3143">
        <v>1</v>
      </c>
      <c r="L3143" s="3">
        <v>6099</v>
      </c>
      <c r="M3143">
        <v>15</v>
      </c>
      <c r="N3143" s="3">
        <v>5180</v>
      </c>
      <c r="O3143" s="3">
        <v>5180</v>
      </c>
      <c r="P3143" t="s">
        <v>74</v>
      </c>
      <c r="Q3143" t="s">
        <v>51</v>
      </c>
      <c r="R3143" t="s">
        <v>36</v>
      </c>
      <c r="S3143" t="s">
        <v>460</v>
      </c>
      <c r="T3143" t="s">
        <v>525</v>
      </c>
      <c r="U3143" t="s">
        <v>39</v>
      </c>
      <c r="V3143" t="s">
        <v>315</v>
      </c>
      <c r="W3143">
        <v>5</v>
      </c>
      <c r="X3143" t="s">
        <v>62</v>
      </c>
      <c r="Y3143" t="s">
        <v>42</v>
      </c>
      <c r="Z3143">
        <v>6</v>
      </c>
    </row>
    <row r="3144" spans="1:26">
      <c r="A3144" t="s">
        <v>4410</v>
      </c>
      <c r="B3144" t="s">
        <v>1207</v>
      </c>
      <c r="C3144" t="s">
        <v>45</v>
      </c>
      <c r="D3144" t="s">
        <v>29</v>
      </c>
      <c r="E3144" s="1">
        <v>46013</v>
      </c>
      <c r="F3144" t="s">
        <v>30</v>
      </c>
      <c r="G3144" t="s">
        <v>31</v>
      </c>
      <c r="H3144" t="s">
        <v>32</v>
      </c>
      <c r="I3144">
        <v>7</v>
      </c>
      <c r="J3144" t="s">
        <v>150</v>
      </c>
      <c r="K3144">
        <v>1</v>
      </c>
      <c r="L3144" s="3">
        <v>8499</v>
      </c>
      <c r="M3144">
        <v>5</v>
      </c>
      <c r="N3144" s="3">
        <v>8070</v>
      </c>
      <c r="O3144" s="3">
        <v>8070</v>
      </c>
      <c r="P3144" t="s">
        <v>34</v>
      </c>
      <c r="Q3144" t="s">
        <v>82</v>
      </c>
      <c r="R3144" t="s">
        <v>36</v>
      </c>
      <c r="S3144" t="s">
        <v>99</v>
      </c>
      <c r="T3144" t="s">
        <v>100</v>
      </c>
      <c r="U3144" t="s">
        <v>61</v>
      </c>
      <c r="V3144" t="s">
        <v>969</v>
      </c>
      <c r="W3144">
        <v>3</v>
      </c>
      <c r="X3144" t="s">
        <v>106</v>
      </c>
      <c r="Y3144" t="s">
        <v>55</v>
      </c>
      <c r="Z3144">
        <v>3</v>
      </c>
    </row>
    <row r="3145" spans="1:26">
      <c r="A3145" t="s">
        <v>4411</v>
      </c>
      <c r="B3145" t="s">
        <v>746</v>
      </c>
      <c r="C3145" t="s">
        <v>45</v>
      </c>
      <c r="D3145" t="s">
        <v>95</v>
      </c>
      <c r="E3145" s="1">
        <v>46013</v>
      </c>
      <c r="F3145" t="s">
        <v>47</v>
      </c>
      <c r="G3145" t="s">
        <v>121</v>
      </c>
      <c r="H3145" t="s">
        <v>111</v>
      </c>
      <c r="I3145">
        <v>12</v>
      </c>
      <c r="J3145" t="s">
        <v>98</v>
      </c>
      <c r="K3145">
        <v>1</v>
      </c>
      <c r="L3145" s="3">
        <v>9199</v>
      </c>
      <c r="M3145">
        <v>0</v>
      </c>
      <c r="N3145" s="3">
        <v>9200</v>
      </c>
      <c r="O3145" s="3">
        <v>9200</v>
      </c>
      <c r="P3145" t="s">
        <v>34</v>
      </c>
      <c r="Q3145" t="s">
        <v>51</v>
      </c>
      <c r="R3145" t="s">
        <v>36</v>
      </c>
      <c r="S3145" t="s">
        <v>200</v>
      </c>
      <c r="T3145" t="s">
        <v>232</v>
      </c>
      <c r="U3145" t="s">
        <v>124</v>
      </c>
      <c r="V3145" t="s">
        <v>315</v>
      </c>
      <c r="W3145">
        <v>4.5</v>
      </c>
      <c r="X3145" t="s">
        <v>41</v>
      </c>
      <c r="Y3145" t="s">
        <v>55</v>
      </c>
      <c r="Z3145">
        <v>4</v>
      </c>
    </row>
    <row r="3146" spans="1:26">
      <c r="A3146" t="s">
        <v>4412</v>
      </c>
      <c r="B3146" t="s">
        <v>427</v>
      </c>
      <c r="C3146" t="s">
        <v>28</v>
      </c>
      <c r="D3146" t="s">
        <v>103</v>
      </c>
      <c r="E3146" s="1">
        <v>46013</v>
      </c>
      <c r="F3146" t="s">
        <v>65</v>
      </c>
      <c r="G3146" t="s">
        <v>365</v>
      </c>
      <c r="H3146" t="s">
        <v>49</v>
      </c>
      <c r="I3146">
        <v>10</v>
      </c>
      <c r="J3146" t="s">
        <v>150</v>
      </c>
      <c r="K3146">
        <v>1</v>
      </c>
      <c r="L3146" s="3">
        <v>4099</v>
      </c>
      <c r="M3146">
        <v>15</v>
      </c>
      <c r="N3146" s="3">
        <v>3480</v>
      </c>
      <c r="O3146" s="3">
        <v>3480</v>
      </c>
      <c r="P3146" t="s">
        <v>34</v>
      </c>
      <c r="Q3146" t="s">
        <v>51</v>
      </c>
      <c r="R3146" t="s">
        <v>36</v>
      </c>
      <c r="S3146" t="s">
        <v>156</v>
      </c>
      <c r="T3146" t="s">
        <v>257</v>
      </c>
      <c r="U3146" t="s">
        <v>91</v>
      </c>
      <c r="V3146" t="s">
        <v>969</v>
      </c>
      <c r="W3146">
        <v>4.0999999999999996</v>
      </c>
      <c r="X3146" t="s">
        <v>106</v>
      </c>
      <c r="Y3146" t="s">
        <v>42</v>
      </c>
      <c r="Z3146">
        <v>2</v>
      </c>
    </row>
    <row r="3147" spans="1:26">
      <c r="A3147" t="s">
        <v>4413</v>
      </c>
      <c r="B3147" t="s">
        <v>320</v>
      </c>
      <c r="C3147" t="s">
        <v>94</v>
      </c>
      <c r="D3147" t="s">
        <v>46</v>
      </c>
      <c r="E3147" s="1">
        <v>46015</v>
      </c>
      <c r="F3147" t="s">
        <v>47</v>
      </c>
      <c r="G3147" t="s">
        <v>48</v>
      </c>
      <c r="H3147" t="s">
        <v>49</v>
      </c>
      <c r="I3147">
        <v>7</v>
      </c>
      <c r="J3147" t="s">
        <v>88</v>
      </c>
      <c r="K3147">
        <v>1</v>
      </c>
      <c r="L3147" s="3">
        <v>7099</v>
      </c>
      <c r="M3147">
        <v>20</v>
      </c>
      <c r="N3147" s="3">
        <v>5680</v>
      </c>
      <c r="O3147" s="3">
        <v>5680</v>
      </c>
      <c r="P3147" t="s">
        <v>34</v>
      </c>
      <c r="Q3147" t="s">
        <v>82</v>
      </c>
      <c r="R3147" t="s">
        <v>36</v>
      </c>
      <c r="S3147" t="s">
        <v>122</v>
      </c>
      <c r="T3147" t="s">
        <v>382</v>
      </c>
      <c r="U3147" t="s">
        <v>54</v>
      </c>
      <c r="V3147" t="s">
        <v>969</v>
      </c>
      <c r="W3147">
        <v>4.2</v>
      </c>
      <c r="X3147" t="s">
        <v>41</v>
      </c>
      <c r="Y3147" t="s">
        <v>42</v>
      </c>
      <c r="Z3147">
        <v>3</v>
      </c>
    </row>
    <row r="3148" spans="1:26">
      <c r="A3148" t="s">
        <v>4414</v>
      </c>
      <c r="B3148" t="s">
        <v>427</v>
      </c>
      <c r="C3148" t="s">
        <v>45</v>
      </c>
      <c r="D3148" t="s">
        <v>29</v>
      </c>
      <c r="E3148" s="1">
        <v>46015</v>
      </c>
      <c r="F3148" t="s">
        <v>47</v>
      </c>
      <c r="G3148" t="s">
        <v>218</v>
      </c>
      <c r="H3148" t="s">
        <v>59</v>
      </c>
      <c r="I3148">
        <v>10</v>
      </c>
      <c r="J3148" t="s">
        <v>73</v>
      </c>
      <c r="K3148">
        <v>1</v>
      </c>
      <c r="L3148" s="3">
        <v>7899</v>
      </c>
      <c r="M3148">
        <v>25</v>
      </c>
      <c r="N3148" s="3">
        <v>5920</v>
      </c>
      <c r="O3148" s="3">
        <v>5920</v>
      </c>
      <c r="P3148" t="s">
        <v>81</v>
      </c>
      <c r="Q3148" t="s">
        <v>82</v>
      </c>
      <c r="R3148" t="s">
        <v>36</v>
      </c>
      <c r="S3148" t="s">
        <v>164</v>
      </c>
      <c r="T3148" t="s">
        <v>409</v>
      </c>
      <c r="U3148" t="s">
        <v>54</v>
      </c>
      <c r="V3148" t="s">
        <v>969</v>
      </c>
      <c r="W3148">
        <v>4</v>
      </c>
      <c r="X3148" t="s">
        <v>41</v>
      </c>
      <c r="Y3148" t="s">
        <v>55</v>
      </c>
      <c r="Z3148">
        <v>1</v>
      </c>
    </row>
    <row r="3149" spans="1:26">
      <c r="A3149" t="s">
        <v>4415</v>
      </c>
      <c r="B3149" t="s">
        <v>4162</v>
      </c>
      <c r="C3149" t="s">
        <v>94</v>
      </c>
      <c r="D3149" t="s">
        <v>46</v>
      </c>
      <c r="E3149" s="1">
        <v>46015</v>
      </c>
      <c r="F3149" t="s">
        <v>86</v>
      </c>
      <c r="G3149" t="s">
        <v>242</v>
      </c>
      <c r="H3149" t="s">
        <v>32</v>
      </c>
      <c r="I3149">
        <v>10</v>
      </c>
      <c r="J3149" t="s">
        <v>150</v>
      </c>
      <c r="K3149">
        <v>1</v>
      </c>
      <c r="L3149" s="3">
        <v>6099</v>
      </c>
      <c r="M3149">
        <v>15</v>
      </c>
      <c r="N3149" s="3">
        <v>5180</v>
      </c>
      <c r="O3149" s="3">
        <v>5180</v>
      </c>
      <c r="P3149" t="s">
        <v>34</v>
      </c>
      <c r="Q3149" t="s">
        <v>82</v>
      </c>
      <c r="R3149" t="s">
        <v>36</v>
      </c>
      <c r="S3149" t="s">
        <v>269</v>
      </c>
      <c r="T3149" t="s">
        <v>575</v>
      </c>
      <c r="U3149" t="s">
        <v>91</v>
      </c>
      <c r="V3149" t="s">
        <v>315</v>
      </c>
      <c r="W3149">
        <v>4.4000000000000004</v>
      </c>
      <c r="X3149" t="s">
        <v>62</v>
      </c>
      <c r="Y3149" t="s">
        <v>147</v>
      </c>
      <c r="Z3149">
        <v>1</v>
      </c>
    </row>
    <row r="3150" spans="1:26">
      <c r="A3150" t="s">
        <v>4416</v>
      </c>
      <c r="B3150" t="s">
        <v>1056</v>
      </c>
      <c r="C3150" t="s">
        <v>45</v>
      </c>
      <c r="D3150" t="s">
        <v>46</v>
      </c>
      <c r="E3150" s="1">
        <v>46015</v>
      </c>
      <c r="F3150" t="s">
        <v>30</v>
      </c>
      <c r="G3150" t="s">
        <v>145</v>
      </c>
      <c r="H3150" t="s">
        <v>59</v>
      </c>
      <c r="I3150">
        <v>9</v>
      </c>
      <c r="J3150" t="s">
        <v>88</v>
      </c>
      <c r="K3150">
        <v>1</v>
      </c>
      <c r="L3150" s="3">
        <v>6199</v>
      </c>
      <c r="M3150">
        <v>20</v>
      </c>
      <c r="N3150" s="3">
        <v>4960</v>
      </c>
      <c r="O3150" s="3">
        <v>4960</v>
      </c>
      <c r="P3150" t="s">
        <v>74</v>
      </c>
      <c r="Q3150" t="s">
        <v>35</v>
      </c>
      <c r="R3150" t="s">
        <v>36</v>
      </c>
      <c r="S3150" t="s">
        <v>160</v>
      </c>
      <c r="T3150" t="s">
        <v>344</v>
      </c>
      <c r="U3150" t="s">
        <v>54</v>
      </c>
      <c r="V3150" t="s">
        <v>969</v>
      </c>
      <c r="W3150">
        <v>5</v>
      </c>
      <c r="X3150" t="s">
        <v>41</v>
      </c>
      <c r="Y3150" t="s">
        <v>55</v>
      </c>
      <c r="Z3150">
        <v>2</v>
      </c>
    </row>
    <row r="3151" spans="1:26">
      <c r="A3151" t="s">
        <v>4417</v>
      </c>
      <c r="B3151" t="s">
        <v>1961</v>
      </c>
      <c r="C3151" t="s">
        <v>28</v>
      </c>
      <c r="D3151" t="s">
        <v>29</v>
      </c>
      <c r="E3151" s="1">
        <v>46016</v>
      </c>
      <c r="F3151" t="s">
        <v>65</v>
      </c>
      <c r="G3151" t="s">
        <v>66</v>
      </c>
      <c r="H3151" t="s">
        <v>59</v>
      </c>
      <c r="I3151">
        <v>7</v>
      </c>
      <c r="J3151" t="s">
        <v>150</v>
      </c>
      <c r="K3151">
        <v>1</v>
      </c>
      <c r="L3151" s="3">
        <v>6799</v>
      </c>
      <c r="M3151">
        <v>20</v>
      </c>
      <c r="N3151" s="3">
        <v>5440</v>
      </c>
      <c r="O3151" s="3">
        <v>5440</v>
      </c>
      <c r="P3151" t="s">
        <v>74</v>
      </c>
      <c r="Q3151" t="s">
        <v>82</v>
      </c>
      <c r="R3151" t="s">
        <v>36</v>
      </c>
      <c r="S3151" t="s">
        <v>112</v>
      </c>
      <c r="T3151" t="s">
        <v>133</v>
      </c>
      <c r="U3151" t="s">
        <v>91</v>
      </c>
      <c r="V3151" t="s">
        <v>969</v>
      </c>
      <c r="W3151">
        <v>3.3</v>
      </c>
      <c r="X3151" t="s">
        <v>41</v>
      </c>
      <c r="Y3151" t="s">
        <v>42</v>
      </c>
      <c r="Z3151">
        <v>2</v>
      </c>
    </row>
    <row r="3152" spans="1:26">
      <c r="A3152" t="s">
        <v>4418</v>
      </c>
      <c r="B3152" t="s">
        <v>635</v>
      </c>
      <c r="C3152" t="s">
        <v>45</v>
      </c>
      <c r="D3152" t="s">
        <v>46</v>
      </c>
      <c r="E3152" s="1">
        <v>46016</v>
      </c>
      <c r="F3152" t="s">
        <v>96</v>
      </c>
      <c r="G3152" t="s">
        <v>171</v>
      </c>
      <c r="H3152" t="s">
        <v>128</v>
      </c>
      <c r="I3152">
        <v>11</v>
      </c>
      <c r="J3152" t="s">
        <v>150</v>
      </c>
      <c r="K3152">
        <v>1</v>
      </c>
      <c r="L3152" s="3">
        <v>4999</v>
      </c>
      <c r="M3152">
        <v>15</v>
      </c>
      <c r="N3152" s="3">
        <v>4250</v>
      </c>
      <c r="O3152" s="3">
        <v>4250</v>
      </c>
      <c r="P3152" t="s">
        <v>74</v>
      </c>
      <c r="Q3152" t="s">
        <v>51</v>
      </c>
      <c r="R3152" t="s">
        <v>36</v>
      </c>
      <c r="S3152" t="s">
        <v>238</v>
      </c>
      <c r="T3152" t="s">
        <v>377</v>
      </c>
      <c r="U3152" t="s">
        <v>39</v>
      </c>
      <c r="V3152" t="s">
        <v>315</v>
      </c>
      <c r="W3152">
        <v>4.4000000000000004</v>
      </c>
      <c r="X3152" t="s">
        <v>106</v>
      </c>
      <c r="Y3152" t="s">
        <v>55</v>
      </c>
      <c r="Z3152">
        <v>3</v>
      </c>
    </row>
    <row r="3153" spans="1:26">
      <c r="A3153" t="s">
        <v>4419</v>
      </c>
      <c r="B3153" t="s">
        <v>227</v>
      </c>
      <c r="C3153" t="s">
        <v>28</v>
      </c>
      <c r="D3153" t="s">
        <v>103</v>
      </c>
      <c r="E3153" s="1">
        <v>46016</v>
      </c>
      <c r="F3153" t="s">
        <v>79</v>
      </c>
      <c r="G3153" t="s">
        <v>517</v>
      </c>
      <c r="H3153" t="s">
        <v>59</v>
      </c>
      <c r="I3153">
        <v>10</v>
      </c>
      <c r="J3153" t="s">
        <v>73</v>
      </c>
      <c r="K3153">
        <v>4</v>
      </c>
      <c r="L3153" s="3">
        <v>8199</v>
      </c>
      <c r="M3153">
        <v>0</v>
      </c>
      <c r="N3153" s="3">
        <v>8200</v>
      </c>
      <c r="O3153" s="3">
        <v>32800</v>
      </c>
      <c r="P3153" t="s">
        <v>34</v>
      </c>
      <c r="Q3153" t="s">
        <v>51</v>
      </c>
      <c r="R3153" t="s">
        <v>36</v>
      </c>
      <c r="S3153" t="s">
        <v>210</v>
      </c>
      <c r="T3153" t="s">
        <v>211</v>
      </c>
      <c r="U3153" t="s">
        <v>61</v>
      </c>
      <c r="V3153" t="s">
        <v>969</v>
      </c>
      <c r="W3153">
        <v>2.8</v>
      </c>
      <c r="X3153" t="s">
        <v>106</v>
      </c>
      <c r="Y3153" t="s">
        <v>55</v>
      </c>
      <c r="Z3153">
        <v>2</v>
      </c>
    </row>
    <row r="3154" spans="1:26">
      <c r="A3154" t="s">
        <v>4420</v>
      </c>
      <c r="B3154" t="s">
        <v>1115</v>
      </c>
      <c r="C3154" t="s">
        <v>28</v>
      </c>
      <c r="D3154" t="s">
        <v>46</v>
      </c>
      <c r="E3154" s="1">
        <v>46016</v>
      </c>
      <c r="F3154" t="s">
        <v>30</v>
      </c>
      <c r="G3154" t="s">
        <v>145</v>
      </c>
      <c r="H3154" t="s">
        <v>59</v>
      </c>
      <c r="I3154">
        <v>11</v>
      </c>
      <c r="J3154" t="s">
        <v>98</v>
      </c>
      <c r="K3154">
        <v>1</v>
      </c>
      <c r="L3154" s="3">
        <v>4699</v>
      </c>
      <c r="M3154">
        <v>30</v>
      </c>
      <c r="N3154" s="3">
        <v>3290</v>
      </c>
      <c r="O3154" s="3">
        <v>3290</v>
      </c>
      <c r="P3154" t="s">
        <v>34</v>
      </c>
      <c r="Q3154" t="s">
        <v>51</v>
      </c>
      <c r="R3154" t="s">
        <v>36</v>
      </c>
      <c r="S3154" t="s">
        <v>75</v>
      </c>
      <c r="T3154" t="s">
        <v>215</v>
      </c>
      <c r="U3154" t="s">
        <v>54</v>
      </c>
      <c r="V3154" t="s">
        <v>315</v>
      </c>
      <c r="W3154">
        <v>3.8</v>
      </c>
      <c r="X3154" t="s">
        <v>62</v>
      </c>
      <c r="Y3154" t="s">
        <v>42</v>
      </c>
      <c r="Z3154">
        <v>3</v>
      </c>
    </row>
    <row r="3155" spans="1:26">
      <c r="A3155" t="s">
        <v>4421</v>
      </c>
      <c r="B3155" t="s">
        <v>1294</v>
      </c>
      <c r="C3155" t="s">
        <v>28</v>
      </c>
      <c r="D3155" t="s">
        <v>46</v>
      </c>
      <c r="E3155" s="1">
        <v>46016</v>
      </c>
      <c r="F3155" t="s">
        <v>47</v>
      </c>
      <c r="G3155" t="s">
        <v>218</v>
      </c>
      <c r="H3155" t="s">
        <v>59</v>
      </c>
      <c r="I3155">
        <v>11</v>
      </c>
      <c r="J3155" t="s">
        <v>33</v>
      </c>
      <c r="K3155">
        <v>1</v>
      </c>
      <c r="L3155" s="3">
        <v>6299</v>
      </c>
      <c r="M3155">
        <v>25</v>
      </c>
      <c r="N3155" s="3">
        <v>4720</v>
      </c>
      <c r="O3155" s="3">
        <v>4720</v>
      </c>
      <c r="P3155" t="s">
        <v>74</v>
      </c>
      <c r="Q3155" t="s">
        <v>82</v>
      </c>
      <c r="R3155" t="s">
        <v>36</v>
      </c>
      <c r="S3155" t="s">
        <v>286</v>
      </c>
      <c r="T3155" t="s">
        <v>366</v>
      </c>
      <c r="U3155" t="s">
        <v>54</v>
      </c>
      <c r="V3155" t="s">
        <v>969</v>
      </c>
      <c r="W3155">
        <v>4.5</v>
      </c>
      <c r="X3155" t="s">
        <v>62</v>
      </c>
      <c r="Y3155" t="s">
        <v>55</v>
      </c>
      <c r="Z3155">
        <v>1</v>
      </c>
    </row>
    <row r="3156" spans="1:26">
      <c r="A3156" t="s">
        <v>4422</v>
      </c>
      <c r="B3156" t="s">
        <v>1824</v>
      </c>
      <c r="C3156" t="s">
        <v>45</v>
      </c>
      <c r="D3156" t="s">
        <v>109</v>
      </c>
      <c r="E3156" s="1">
        <v>46016</v>
      </c>
      <c r="F3156" t="s">
        <v>65</v>
      </c>
      <c r="G3156" t="s">
        <v>72</v>
      </c>
      <c r="H3156" t="s">
        <v>59</v>
      </c>
      <c r="I3156">
        <v>11</v>
      </c>
      <c r="J3156" t="s">
        <v>150</v>
      </c>
      <c r="K3156">
        <v>1</v>
      </c>
      <c r="L3156" s="3">
        <v>7799</v>
      </c>
      <c r="M3156">
        <v>15</v>
      </c>
      <c r="N3156" s="3">
        <v>6630</v>
      </c>
      <c r="O3156" s="3">
        <v>6630</v>
      </c>
      <c r="P3156" t="s">
        <v>74</v>
      </c>
      <c r="Q3156" t="s">
        <v>35</v>
      </c>
      <c r="R3156" t="s">
        <v>36</v>
      </c>
      <c r="S3156" t="s">
        <v>418</v>
      </c>
      <c r="T3156" t="s">
        <v>924</v>
      </c>
      <c r="U3156" t="s">
        <v>124</v>
      </c>
      <c r="V3156" t="s">
        <v>315</v>
      </c>
      <c r="W3156">
        <v>3.9</v>
      </c>
      <c r="X3156" t="s">
        <v>62</v>
      </c>
      <c r="Y3156" t="s">
        <v>42</v>
      </c>
      <c r="Z3156">
        <v>3</v>
      </c>
    </row>
    <row r="3157" spans="1:26">
      <c r="A3157" t="s">
        <v>4423</v>
      </c>
      <c r="B3157" t="s">
        <v>1205</v>
      </c>
      <c r="C3157" t="s">
        <v>45</v>
      </c>
      <c r="D3157" t="s">
        <v>95</v>
      </c>
      <c r="E3157" s="1">
        <v>46016</v>
      </c>
      <c r="F3157" t="s">
        <v>30</v>
      </c>
      <c r="G3157" t="s">
        <v>31</v>
      </c>
      <c r="H3157" t="s">
        <v>32</v>
      </c>
      <c r="I3157">
        <v>9</v>
      </c>
      <c r="J3157" t="s">
        <v>88</v>
      </c>
      <c r="K3157">
        <v>1</v>
      </c>
      <c r="L3157" s="3">
        <v>4999</v>
      </c>
      <c r="M3157">
        <v>20</v>
      </c>
      <c r="N3157" s="3">
        <v>4000</v>
      </c>
      <c r="O3157" s="3">
        <v>4000</v>
      </c>
      <c r="P3157" t="s">
        <v>74</v>
      </c>
      <c r="Q3157" t="s">
        <v>51</v>
      </c>
      <c r="R3157" t="s">
        <v>36</v>
      </c>
      <c r="S3157" t="s">
        <v>238</v>
      </c>
      <c r="T3157" t="s">
        <v>260</v>
      </c>
      <c r="U3157" t="s">
        <v>54</v>
      </c>
      <c r="V3157" t="s">
        <v>315</v>
      </c>
      <c r="W3157">
        <v>3.4</v>
      </c>
      <c r="X3157" t="s">
        <v>41</v>
      </c>
      <c r="Y3157" t="s">
        <v>55</v>
      </c>
      <c r="Z3157">
        <v>2</v>
      </c>
    </row>
    <row r="3158" spans="1:26">
      <c r="A3158" t="s">
        <v>4424</v>
      </c>
      <c r="B3158" t="s">
        <v>2970</v>
      </c>
      <c r="C3158" t="s">
        <v>94</v>
      </c>
      <c r="D3158" t="s">
        <v>29</v>
      </c>
      <c r="E3158" s="1">
        <v>46016</v>
      </c>
      <c r="F3158" t="s">
        <v>47</v>
      </c>
      <c r="G3158" t="s">
        <v>140</v>
      </c>
      <c r="H3158" t="s">
        <v>128</v>
      </c>
      <c r="I3158">
        <v>8</v>
      </c>
      <c r="J3158" t="s">
        <v>150</v>
      </c>
      <c r="K3158">
        <v>1</v>
      </c>
      <c r="L3158" s="3">
        <v>6599</v>
      </c>
      <c r="M3158">
        <v>20</v>
      </c>
      <c r="N3158" s="3">
        <v>5280</v>
      </c>
      <c r="O3158" s="3">
        <v>5280</v>
      </c>
      <c r="P3158" t="s">
        <v>74</v>
      </c>
      <c r="Q3158" t="s">
        <v>82</v>
      </c>
      <c r="R3158" t="s">
        <v>36</v>
      </c>
      <c r="S3158" t="s">
        <v>286</v>
      </c>
      <c r="T3158" t="s">
        <v>737</v>
      </c>
      <c r="U3158" t="s">
        <v>54</v>
      </c>
      <c r="V3158" t="s">
        <v>969</v>
      </c>
      <c r="W3158">
        <v>4</v>
      </c>
      <c r="X3158" t="s">
        <v>41</v>
      </c>
      <c r="Y3158" t="s">
        <v>42</v>
      </c>
      <c r="Z3158">
        <v>4</v>
      </c>
    </row>
    <row r="3159" spans="1:26">
      <c r="A3159" t="s">
        <v>4425</v>
      </c>
      <c r="B3159" t="s">
        <v>2798</v>
      </c>
      <c r="C3159" t="s">
        <v>45</v>
      </c>
      <c r="D3159" t="s">
        <v>109</v>
      </c>
      <c r="E3159" s="1">
        <v>46017</v>
      </c>
      <c r="F3159" t="s">
        <v>86</v>
      </c>
      <c r="G3159" t="s">
        <v>116</v>
      </c>
      <c r="H3159" t="s">
        <v>49</v>
      </c>
      <c r="I3159">
        <v>8</v>
      </c>
      <c r="J3159" t="s">
        <v>98</v>
      </c>
      <c r="K3159">
        <v>2</v>
      </c>
      <c r="L3159" s="3">
        <v>7199</v>
      </c>
      <c r="M3159">
        <v>10</v>
      </c>
      <c r="N3159" s="3">
        <v>6480</v>
      </c>
      <c r="O3159" s="3">
        <v>12960</v>
      </c>
      <c r="P3159" t="s">
        <v>34</v>
      </c>
      <c r="Q3159" t="s">
        <v>35</v>
      </c>
      <c r="R3159" t="s">
        <v>36</v>
      </c>
      <c r="S3159" t="s">
        <v>160</v>
      </c>
      <c r="T3159" t="s">
        <v>344</v>
      </c>
      <c r="U3159" t="s">
        <v>39</v>
      </c>
      <c r="V3159" t="s">
        <v>969</v>
      </c>
      <c r="W3159">
        <v>3.6</v>
      </c>
      <c r="X3159" t="s">
        <v>41</v>
      </c>
      <c r="Y3159" t="s">
        <v>42</v>
      </c>
      <c r="Z3159">
        <v>3</v>
      </c>
    </row>
    <row r="3160" spans="1:26">
      <c r="A3160" t="s">
        <v>4426</v>
      </c>
      <c r="B3160" t="s">
        <v>4030</v>
      </c>
      <c r="C3160" t="s">
        <v>28</v>
      </c>
      <c r="D3160" t="s">
        <v>29</v>
      </c>
      <c r="E3160" s="1">
        <v>46018</v>
      </c>
      <c r="F3160" t="s">
        <v>96</v>
      </c>
      <c r="G3160" t="s">
        <v>228</v>
      </c>
      <c r="H3160" t="s">
        <v>59</v>
      </c>
      <c r="I3160">
        <v>10</v>
      </c>
      <c r="J3160" t="s">
        <v>73</v>
      </c>
      <c r="K3160">
        <v>1</v>
      </c>
      <c r="L3160" s="3">
        <v>4899</v>
      </c>
      <c r="M3160">
        <v>5</v>
      </c>
      <c r="N3160" s="3">
        <v>4650</v>
      </c>
      <c r="O3160" s="3">
        <v>4650</v>
      </c>
      <c r="P3160" t="s">
        <v>81</v>
      </c>
      <c r="Q3160" t="s">
        <v>82</v>
      </c>
      <c r="R3160" t="s">
        <v>36</v>
      </c>
      <c r="S3160" t="s">
        <v>117</v>
      </c>
      <c r="T3160" t="s">
        <v>751</v>
      </c>
      <c r="U3160" t="s">
        <v>91</v>
      </c>
      <c r="V3160" t="s">
        <v>315</v>
      </c>
      <c r="W3160">
        <v>4.7</v>
      </c>
      <c r="X3160" t="s">
        <v>62</v>
      </c>
      <c r="Y3160" t="s">
        <v>55</v>
      </c>
      <c r="Z3160">
        <v>2</v>
      </c>
    </row>
    <row r="3161" spans="1:26">
      <c r="A3161" t="s">
        <v>4427</v>
      </c>
      <c r="B3161" t="s">
        <v>3403</v>
      </c>
      <c r="C3161" t="s">
        <v>28</v>
      </c>
      <c r="D3161" t="s">
        <v>95</v>
      </c>
      <c r="E3161" s="1">
        <v>46018</v>
      </c>
      <c r="F3161" t="s">
        <v>86</v>
      </c>
      <c r="G3161" t="s">
        <v>285</v>
      </c>
      <c r="H3161" t="s">
        <v>111</v>
      </c>
      <c r="I3161">
        <v>9</v>
      </c>
      <c r="J3161" t="s">
        <v>98</v>
      </c>
      <c r="K3161">
        <v>1</v>
      </c>
      <c r="L3161" s="3">
        <v>7199</v>
      </c>
      <c r="M3161">
        <v>20</v>
      </c>
      <c r="N3161" s="3">
        <v>5760</v>
      </c>
      <c r="O3161" s="3">
        <v>5760</v>
      </c>
      <c r="P3161" t="s">
        <v>74</v>
      </c>
      <c r="Q3161" t="s">
        <v>51</v>
      </c>
      <c r="R3161" t="s">
        <v>36</v>
      </c>
      <c r="S3161" t="s">
        <v>210</v>
      </c>
      <c r="T3161" t="s">
        <v>415</v>
      </c>
      <c r="U3161" t="s">
        <v>61</v>
      </c>
      <c r="V3161" t="s">
        <v>969</v>
      </c>
      <c r="W3161">
        <v>3.7</v>
      </c>
      <c r="X3161" t="s">
        <v>106</v>
      </c>
      <c r="Y3161" t="s">
        <v>55</v>
      </c>
      <c r="Z3161">
        <v>2</v>
      </c>
    </row>
    <row r="3162" spans="1:26">
      <c r="A3162" t="s">
        <v>4428</v>
      </c>
      <c r="B3162" t="s">
        <v>2139</v>
      </c>
      <c r="C3162" t="s">
        <v>45</v>
      </c>
      <c r="D3162" t="s">
        <v>46</v>
      </c>
      <c r="E3162" s="1">
        <v>46018</v>
      </c>
      <c r="F3162" t="s">
        <v>79</v>
      </c>
      <c r="G3162" t="s">
        <v>80</v>
      </c>
      <c r="H3162" t="s">
        <v>59</v>
      </c>
      <c r="I3162">
        <v>10</v>
      </c>
      <c r="J3162" t="s">
        <v>73</v>
      </c>
      <c r="K3162">
        <v>1</v>
      </c>
      <c r="L3162" s="3">
        <v>3599</v>
      </c>
      <c r="M3162">
        <v>25</v>
      </c>
      <c r="N3162" s="3">
        <v>2700</v>
      </c>
      <c r="O3162" s="3">
        <v>2700</v>
      </c>
      <c r="P3162" t="s">
        <v>74</v>
      </c>
      <c r="Q3162" t="s">
        <v>51</v>
      </c>
      <c r="R3162" t="s">
        <v>36</v>
      </c>
      <c r="S3162" t="s">
        <v>354</v>
      </c>
      <c r="T3162" t="s">
        <v>518</v>
      </c>
      <c r="U3162" t="s">
        <v>39</v>
      </c>
      <c r="V3162" t="s">
        <v>315</v>
      </c>
      <c r="W3162">
        <v>4.0999999999999996</v>
      </c>
      <c r="X3162" t="s">
        <v>62</v>
      </c>
      <c r="Y3162" t="s">
        <v>42</v>
      </c>
      <c r="Z3162">
        <v>2</v>
      </c>
    </row>
    <row r="3163" spans="1:26">
      <c r="A3163" t="s">
        <v>4429</v>
      </c>
      <c r="B3163" t="s">
        <v>804</v>
      </c>
      <c r="C3163" t="s">
        <v>28</v>
      </c>
      <c r="D3163" t="s">
        <v>103</v>
      </c>
      <c r="E3163" s="1">
        <v>46018</v>
      </c>
      <c r="F3163" t="s">
        <v>30</v>
      </c>
      <c r="G3163" t="s">
        <v>31</v>
      </c>
      <c r="H3163" t="s">
        <v>32</v>
      </c>
      <c r="I3163">
        <v>7</v>
      </c>
      <c r="J3163" t="s">
        <v>98</v>
      </c>
      <c r="K3163">
        <v>1</v>
      </c>
      <c r="L3163" s="3">
        <v>5099</v>
      </c>
      <c r="M3163">
        <v>25</v>
      </c>
      <c r="N3163" s="3">
        <v>3820</v>
      </c>
      <c r="O3163" s="3">
        <v>3820</v>
      </c>
      <c r="P3163" t="s">
        <v>34</v>
      </c>
      <c r="Q3163" t="s">
        <v>35</v>
      </c>
      <c r="R3163" t="s">
        <v>36</v>
      </c>
      <c r="S3163" t="s">
        <v>238</v>
      </c>
      <c r="T3163" t="s">
        <v>239</v>
      </c>
      <c r="U3163" t="s">
        <v>54</v>
      </c>
      <c r="V3163" t="s">
        <v>315</v>
      </c>
      <c r="W3163">
        <v>4.5</v>
      </c>
      <c r="X3163" t="s">
        <v>106</v>
      </c>
      <c r="Y3163" t="s">
        <v>42</v>
      </c>
      <c r="Z3163">
        <v>3</v>
      </c>
    </row>
    <row r="3164" spans="1:26">
      <c r="A3164" t="s">
        <v>4430</v>
      </c>
      <c r="B3164" t="s">
        <v>2372</v>
      </c>
      <c r="C3164" t="s">
        <v>28</v>
      </c>
      <c r="D3164" t="s">
        <v>46</v>
      </c>
      <c r="E3164" s="1">
        <v>46019</v>
      </c>
      <c r="F3164" t="s">
        <v>47</v>
      </c>
      <c r="G3164" t="s">
        <v>218</v>
      </c>
      <c r="H3164" t="s">
        <v>59</v>
      </c>
      <c r="I3164">
        <v>9</v>
      </c>
      <c r="J3164" t="s">
        <v>73</v>
      </c>
      <c r="K3164">
        <v>2</v>
      </c>
      <c r="L3164" s="3">
        <v>4299</v>
      </c>
      <c r="M3164">
        <v>25</v>
      </c>
      <c r="N3164" s="3">
        <v>3220</v>
      </c>
      <c r="O3164" s="3">
        <v>6440</v>
      </c>
      <c r="P3164" t="s">
        <v>34</v>
      </c>
      <c r="Q3164" t="s">
        <v>51</v>
      </c>
      <c r="R3164" t="s">
        <v>36</v>
      </c>
      <c r="S3164" t="s">
        <v>156</v>
      </c>
      <c r="T3164" t="s">
        <v>157</v>
      </c>
      <c r="U3164" t="s">
        <v>91</v>
      </c>
      <c r="V3164" t="s">
        <v>315</v>
      </c>
      <c r="W3164">
        <v>3.8</v>
      </c>
      <c r="X3164" t="s">
        <v>41</v>
      </c>
      <c r="Y3164" t="s">
        <v>55</v>
      </c>
      <c r="Z3164">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F13F6-F1DD-4EFA-AA2B-B16720BF4147}">
  <dimension ref="A3:B12"/>
  <sheetViews>
    <sheetView workbookViewId="0">
      <selection activeCell="B12" sqref="B12"/>
    </sheetView>
  </sheetViews>
  <sheetFormatPr defaultRowHeight="13.8"/>
  <cols>
    <col min="1" max="1" width="13.09765625" bestFit="1" customWidth="1"/>
    <col min="2" max="2" width="20.5" bestFit="1" customWidth="1"/>
  </cols>
  <sheetData>
    <row r="3" spans="1:2">
      <c r="A3" s="4" t="s">
        <v>4431</v>
      </c>
      <c r="B3" t="s">
        <v>4433</v>
      </c>
    </row>
    <row r="4" spans="1:2">
      <c r="A4" s="5" t="s">
        <v>4434</v>
      </c>
      <c r="B4" s="6">
        <v>2538790</v>
      </c>
    </row>
    <row r="5" spans="1:2">
      <c r="A5" s="5" t="s">
        <v>4435</v>
      </c>
      <c r="B5" s="6">
        <v>2109110</v>
      </c>
    </row>
    <row r="6" spans="1:2">
      <c r="A6" s="5" t="s">
        <v>4436</v>
      </c>
      <c r="B6" s="6">
        <v>2776980</v>
      </c>
    </row>
    <row r="7" spans="1:2">
      <c r="A7" s="5" t="s">
        <v>4437</v>
      </c>
      <c r="B7" s="6">
        <v>2823220</v>
      </c>
    </row>
    <row r="8" spans="1:2">
      <c r="A8" s="5" t="s">
        <v>4438</v>
      </c>
      <c r="B8" s="6">
        <v>3312660</v>
      </c>
    </row>
    <row r="9" spans="1:2">
      <c r="A9" s="5" t="s">
        <v>4439</v>
      </c>
      <c r="B9" s="6">
        <v>3500070</v>
      </c>
    </row>
    <row r="10" spans="1:2">
      <c r="A10" s="5" t="s">
        <v>4440</v>
      </c>
      <c r="B10" s="6">
        <v>3489770</v>
      </c>
    </row>
    <row r="11" spans="1:2">
      <c r="A11" s="5" t="s">
        <v>4441</v>
      </c>
      <c r="B11" s="6">
        <v>3542500</v>
      </c>
    </row>
    <row r="12" spans="1:2">
      <c r="A12" s="5" t="s">
        <v>4432</v>
      </c>
      <c r="B12" s="6">
        <v>24093100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DFDCC-855C-4E52-BE35-76A39C1A37C1}">
  <dimension ref="A3:B9"/>
  <sheetViews>
    <sheetView workbookViewId="0">
      <selection activeCell="B4" sqref="B4"/>
    </sheetView>
  </sheetViews>
  <sheetFormatPr defaultRowHeight="13.8"/>
  <cols>
    <col min="1" max="1" width="14.59765625" bestFit="1" customWidth="1"/>
    <col min="2" max="3" width="21.69921875" bestFit="1" customWidth="1"/>
  </cols>
  <sheetData>
    <row r="3" spans="1:2">
      <c r="A3" s="4" t="s">
        <v>4431</v>
      </c>
      <c r="B3" t="s">
        <v>4445</v>
      </c>
    </row>
    <row r="4" spans="1:2">
      <c r="A4" s="5" t="s">
        <v>418</v>
      </c>
      <c r="B4" s="6">
        <v>11.085000000000001</v>
      </c>
    </row>
    <row r="5" spans="1:2">
      <c r="A5" s="5" t="s">
        <v>210</v>
      </c>
      <c r="B5" s="6">
        <v>9.4343000000000004</v>
      </c>
    </row>
    <row r="6" spans="1:2">
      <c r="A6" s="5" t="s">
        <v>354</v>
      </c>
      <c r="B6" s="6">
        <v>9.3989999999999991</v>
      </c>
    </row>
    <row r="7" spans="1:2">
      <c r="A7" s="5" t="s">
        <v>117</v>
      </c>
      <c r="B7" s="6">
        <v>9.1624999999999996</v>
      </c>
    </row>
    <row r="8" spans="1:2">
      <c r="A8" s="5" t="s">
        <v>112</v>
      </c>
      <c r="B8" s="6">
        <v>8.7194000000000003</v>
      </c>
    </row>
    <row r="9" spans="1:2">
      <c r="A9" s="5" t="s">
        <v>4432</v>
      </c>
      <c r="B9" s="6">
        <v>47.800199999999997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E2B99-E2FE-4D2D-8BDC-6C9E1C04A24A}">
  <dimension ref="A3:B10"/>
  <sheetViews>
    <sheetView workbookViewId="0">
      <selection activeCell="B4" sqref="B4"/>
    </sheetView>
  </sheetViews>
  <sheetFormatPr defaultRowHeight="13.8"/>
  <cols>
    <col min="1" max="1" width="13.09765625" bestFit="1" customWidth="1"/>
    <col min="2" max="2" width="20.5" bestFit="1" customWidth="1"/>
  </cols>
  <sheetData>
    <row r="3" spans="1:2">
      <c r="A3" s="4" t="s">
        <v>4431</v>
      </c>
      <c r="B3" t="s">
        <v>4433</v>
      </c>
    </row>
    <row r="4" spans="1:2">
      <c r="A4" s="5" t="s">
        <v>30</v>
      </c>
      <c r="B4" s="6">
        <v>4607120</v>
      </c>
    </row>
    <row r="5" spans="1:2">
      <c r="A5" s="5" t="s">
        <v>96</v>
      </c>
      <c r="B5" s="6">
        <v>4330530</v>
      </c>
    </row>
    <row r="6" spans="1:2">
      <c r="A6" s="5" t="s">
        <v>86</v>
      </c>
      <c r="B6" s="6">
        <v>4228640</v>
      </c>
    </row>
    <row r="7" spans="1:2">
      <c r="A7" s="5" t="s">
        <v>47</v>
      </c>
      <c r="B7" s="6">
        <v>3787260</v>
      </c>
    </row>
    <row r="8" spans="1:2">
      <c r="A8" s="5" t="s">
        <v>65</v>
      </c>
      <c r="B8" s="6">
        <v>3579240</v>
      </c>
    </row>
    <row r="9" spans="1:2">
      <c r="A9" s="5" t="s">
        <v>79</v>
      </c>
      <c r="B9" s="6">
        <v>3560310</v>
      </c>
    </row>
    <row r="10" spans="1:2">
      <c r="A10" s="5" t="s">
        <v>4432</v>
      </c>
      <c r="B10" s="6">
        <v>24093100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9C278-2F6F-4376-9621-938F22CD6C94}">
  <dimension ref="A3:B9"/>
  <sheetViews>
    <sheetView zoomScale="85" zoomScaleNormal="85" workbookViewId="0">
      <selection activeCell="B6" sqref="B6"/>
    </sheetView>
  </sheetViews>
  <sheetFormatPr defaultRowHeight="13.8"/>
  <cols>
    <col min="1" max="4" width="22.19921875" bestFit="1" customWidth="1"/>
  </cols>
  <sheetData>
    <row r="3" spans="1:2">
      <c r="A3" s="4" t="s">
        <v>4431</v>
      </c>
      <c r="B3" t="s">
        <v>4445</v>
      </c>
    </row>
    <row r="4" spans="1:2">
      <c r="A4" s="5" t="s">
        <v>58</v>
      </c>
      <c r="B4" s="6">
        <v>8.6339000000000006</v>
      </c>
    </row>
    <row r="5" spans="1:2">
      <c r="A5" s="5" t="s">
        <v>87</v>
      </c>
      <c r="B5" s="6">
        <v>8.2258999999999993</v>
      </c>
    </row>
    <row r="6" spans="1:2">
      <c r="A6" s="5" t="s">
        <v>242</v>
      </c>
      <c r="B6" s="6">
        <v>8.1942000000000004</v>
      </c>
    </row>
    <row r="7" spans="1:2">
      <c r="A7" s="5" t="s">
        <v>155</v>
      </c>
      <c r="B7" s="6">
        <v>8.1504999999999992</v>
      </c>
    </row>
    <row r="8" spans="1:2">
      <c r="A8" s="5" t="s">
        <v>312</v>
      </c>
      <c r="B8" s="6">
        <v>7.8842999999999996</v>
      </c>
    </row>
    <row r="9" spans="1:2">
      <c r="A9" s="5" t="s">
        <v>4432</v>
      </c>
      <c r="B9" s="6">
        <v>41.088799999999999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D38A-5105-40B2-B1E0-B3042806972E}">
  <dimension ref="A3:B7"/>
  <sheetViews>
    <sheetView workbookViewId="0">
      <selection activeCell="K44" sqref="K44"/>
    </sheetView>
  </sheetViews>
  <sheetFormatPr defaultRowHeight="13.8"/>
  <cols>
    <col min="1" max="1" width="15" bestFit="1" customWidth="1"/>
    <col min="2" max="2" width="20.5" bestFit="1" customWidth="1"/>
  </cols>
  <sheetData>
    <row r="3" spans="1:2">
      <c r="A3" s="4" t="s">
        <v>4431</v>
      </c>
      <c r="B3" t="s">
        <v>4433</v>
      </c>
    </row>
    <row r="4" spans="1:2">
      <c r="A4" s="5" t="s">
        <v>969</v>
      </c>
      <c r="B4" s="6">
        <v>5906170</v>
      </c>
    </row>
    <row r="5" spans="1:2">
      <c r="A5" s="5" t="s">
        <v>40</v>
      </c>
      <c r="B5" s="6">
        <v>7456970</v>
      </c>
    </row>
    <row r="6" spans="1:2">
      <c r="A6" s="5" t="s">
        <v>315</v>
      </c>
      <c r="B6" s="6">
        <v>10729960</v>
      </c>
    </row>
    <row r="7" spans="1:2">
      <c r="A7" s="5" t="s">
        <v>4432</v>
      </c>
      <c r="B7" s="6">
        <v>24093100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1718-13A6-4C2F-B20F-A5EECE59FDC4}">
  <dimension ref="A3:D10"/>
  <sheetViews>
    <sheetView workbookViewId="0">
      <selection activeCell="C11" sqref="C11"/>
    </sheetView>
  </sheetViews>
  <sheetFormatPr defaultRowHeight="13.8"/>
  <cols>
    <col min="1" max="1" width="20.5" bestFit="1" customWidth="1"/>
    <col min="2" max="2" width="16.19921875" bestFit="1" customWidth="1"/>
    <col min="3" max="3" width="16.59765625" bestFit="1" customWidth="1"/>
    <col min="4" max="4" width="26.09765625" bestFit="1" customWidth="1"/>
  </cols>
  <sheetData>
    <row r="3" spans="1:4">
      <c r="A3" t="s">
        <v>4433</v>
      </c>
      <c r="B3" t="s">
        <v>4443</v>
      </c>
      <c r="C3" t="s">
        <v>4442</v>
      </c>
      <c r="D3" t="s">
        <v>4444</v>
      </c>
    </row>
    <row r="4" spans="1:4">
      <c r="A4" s="6">
        <v>24093100</v>
      </c>
      <c r="B4">
        <v>3163</v>
      </c>
      <c r="C4">
        <v>4373</v>
      </c>
      <c r="D4">
        <v>4.0759089472020218</v>
      </c>
    </row>
    <row r="6" spans="1:4">
      <c r="A6">
        <f>GETPIVOTDATA("Sum of Revenue (INR)",$A$3)</f>
        <v>24093100</v>
      </c>
      <c r="B6">
        <f>GETPIVOTDATA("Count of Order ID",$A$3)</f>
        <v>3163</v>
      </c>
      <c r="C6">
        <f>GETPIVOTDATA("Sum of Units Sold",$A$3)</f>
        <v>4373</v>
      </c>
      <c r="D6">
        <f>GETPIVOTDATA("Average of Customer Rating",$A$3)</f>
        <v>4.0759089472020218</v>
      </c>
    </row>
    <row r="8" spans="1:4">
      <c r="A8" t="str">
        <f>TEXT(A6/10000000,"₹0.00")&amp;" Cr"</f>
        <v>₹2.41 Cr</v>
      </c>
      <c r="D8" t="str">
        <f>TEXT(D6,"0.0")</f>
        <v>4.1</v>
      </c>
    </row>
    <row r="9" spans="1:4">
      <c r="C9">
        <f>A6/B6</f>
        <v>7617.167246285172</v>
      </c>
    </row>
    <row r="10" spans="1:4">
      <c r="C10" t="str">
        <f>TEXT(C9/1000,"₹0.00")&amp;"K"</f>
        <v>₹7.62K</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India_Sports_Footwear_Ecommerce</vt:lpstr>
      <vt:lpstr>Revenue_Trend</vt:lpstr>
      <vt:lpstr>Top_State</vt:lpstr>
      <vt:lpstr>Top_Brand</vt:lpstr>
      <vt:lpstr>Top_Products</vt:lpstr>
      <vt:lpstr>Customer_Analysis</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 Gupta</dc:creator>
  <cp:lastModifiedBy>Devansh Gupta</cp:lastModifiedBy>
  <dcterms:created xsi:type="dcterms:W3CDTF">2026-08-10T11:25:23Z</dcterms:created>
  <dcterms:modified xsi:type="dcterms:W3CDTF">2026-08-24T07:11:55Z</dcterms:modified>
</cp:coreProperties>
</file>